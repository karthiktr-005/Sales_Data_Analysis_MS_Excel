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defaultThemeVersion="166925"/>
  <mc:AlternateContent xmlns:mc="http://schemas.openxmlformats.org/markup-compatibility/2006">
    <mc:Choice Requires="x15">
      <x15ac:absPath xmlns:x15ac="http://schemas.microsoft.com/office/spreadsheetml/2010/11/ac" url="E:\Zaalima\"/>
    </mc:Choice>
  </mc:AlternateContent>
  <xr:revisionPtr revIDLastSave="0" documentId="13_ncr:1_{6801FC6F-ACF5-4B5C-BB8C-C0B877B909EB}" xr6:coauthVersionLast="47" xr6:coauthVersionMax="47" xr10:uidLastSave="{00000000-0000-0000-0000-000000000000}"/>
  <bookViews>
    <workbookView xWindow="-108" yWindow="-108" windowWidth="23256" windowHeight="12576" firstSheet="2" activeTab="4" xr2:uid="{7EEDFFFE-62A0-486E-A864-465CED2539DA}"/>
  </bookViews>
  <sheets>
    <sheet name="Region_Analysis" sheetId="2" r:id="rId1"/>
    <sheet name="Category_Analysis" sheetId="6" r:id="rId2"/>
    <sheet name="Weekly_Performance" sheetId="7" r:id="rId3"/>
    <sheet name="Payment_Analysis" sheetId="8" r:id="rId4"/>
    <sheet name="Sales_Dashboard" sheetId="9" r:id="rId5"/>
    <sheet name="Sales_cleaned" sheetId="1" r:id="rId6"/>
  </sheets>
  <definedNames>
    <definedName name="Slicer_Month">#N/A</definedName>
    <definedName name="Slicer_Payment_Method_clean">#N/A</definedName>
    <definedName name="Slicer_Product_Category_clean">#N/A</definedName>
    <definedName name="Slicer_Region_clean">#N/A</definedName>
    <definedName name="Slicer_Salesperson_clean">#N/A</definedName>
  </definedNames>
  <calcPr calcId="191029"/>
  <pivotCaches>
    <pivotCache cacheId="9"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001" i="1" l="1"/>
  <c r="R2001" i="1"/>
  <c r="P2001" i="1"/>
  <c r="N2001" i="1"/>
  <c r="Y2001" i="1" s="1"/>
  <c r="L2001" i="1"/>
  <c r="J2001" i="1"/>
  <c r="H2001" i="1"/>
  <c r="G2001" i="1"/>
  <c r="E2001" i="1"/>
  <c r="B2001" i="1"/>
  <c r="W2001" i="1" s="1"/>
  <c r="Y2000" i="1"/>
  <c r="U2000" i="1"/>
  <c r="R2000" i="1"/>
  <c r="P2000" i="1"/>
  <c r="T2000" i="1" s="1"/>
  <c r="N2000" i="1"/>
  <c r="L2000" i="1"/>
  <c r="J2000" i="1"/>
  <c r="H2000" i="1"/>
  <c r="G2000" i="1"/>
  <c r="E2000" i="1"/>
  <c r="B2000" i="1"/>
  <c r="W2000" i="1" s="1"/>
  <c r="Y1999" i="1"/>
  <c r="V1999" i="1"/>
  <c r="T1999" i="1"/>
  <c r="Z1999" i="1" s="1"/>
  <c r="R1999" i="1"/>
  <c r="P1999" i="1"/>
  <c r="N1999" i="1"/>
  <c r="L1999" i="1"/>
  <c r="J1999" i="1"/>
  <c r="H1999" i="1"/>
  <c r="G1999" i="1"/>
  <c r="E1999" i="1"/>
  <c r="B1999" i="1"/>
  <c r="U1999" i="1" s="1"/>
  <c r="Y1998" i="1"/>
  <c r="W1998" i="1"/>
  <c r="U1998" i="1"/>
  <c r="T1998" i="1"/>
  <c r="Z1998" i="1" s="1"/>
  <c r="R1998" i="1"/>
  <c r="P1998" i="1"/>
  <c r="N1998" i="1"/>
  <c r="L1998" i="1"/>
  <c r="J1998" i="1"/>
  <c r="H1998" i="1"/>
  <c r="G1998" i="1"/>
  <c r="E1998" i="1"/>
  <c r="B1998" i="1"/>
  <c r="V1998" i="1" s="1"/>
  <c r="Y1997" i="1"/>
  <c r="X1997" i="1" a="1"/>
  <c r="X1997" i="1" s="1"/>
  <c r="W1997" i="1"/>
  <c r="V1997" i="1"/>
  <c r="U1997" i="1"/>
  <c r="T1997" i="1"/>
  <c r="Z1997" i="1" s="1"/>
  <c r="R1997" i="1"/>
  <c r="P1997" i="1"/>
  <c r="N1997" i="1"/>
  <c r="L1997" i="1"/>
  <c r="J1997" i="1"/>
  <c r="H1997" i="1"/>
  <c r="G1997" i="1"/>
  <c r="E1997" i="1"/>
  <c r="B1997" i="1"/>
  <c r="X1996" i="1"/>
  <c r="X1996" i="1" a="1"/>
  <c r="W1996" i="1"/>
  <c r="V1996" i="1"/>
  <c r="U1996" i="1"/>
  <c r="T1996" i="1"/>
  <c r="Z1996" i="1" s="1"/>
  <c r="R1996" i="1"/>
  <c r="P1996" i="1"/>
  <c r="N1996" i="1"/>
  <c r="Y1996" i="1" s="1"/>
  <c r="L1996" i="1"/>
  <c r="J1996" i="1"/>
  <c r="H1996" i="1"/>
  <c r="G1996" i="1"/>
  <c r="E1996" i="1"/>
  <c r="B1996" i="1"/>
  <c r="Y1995" i="1"/>
  <c r="W1995" i="1"/>
  <c r="V1995" i="1"/>
  <c r="U1995" i="1"/>
  <c r="R1995" i="1"/>
  <c r="P1995" i="1"/>
  <c r="T1995" i="1" s="1"/>
  <c r="N1995" i="1"/>
  <c r="L1995" i="1"/>
  <c r="J1995" i="1"/>
  <c r="H1995" i="1"/>
  <c r="G1995" i="1"/>
  <c r="E1995" i="1"/>
  <c r="B1995" i="1"/>
  <c r="R1994" i="1"/>
  <c r="P1994" i="1"/>
  <c r="N1994" i="1"/>
  <c r="Y1994" i="1" s="1"/>
  <c r="L1994" i="1"/>
  <c r="J1994" i="1"/>
  <c r="H1994" i="1"/>
  <c r="G1994" i="1"/>
  <c r="E1994" i="1"/>
  <c r="B1994" i="1"/>
  <c r="Y1993" i="1"/>
  <c r="T1993" i="1"/>
  <c r="R1993" i="1"/>
  <c r="P1993" i="1"/>
  <c r="N1993" i="1"/>
  <c r="L1993" i="1"/>
  <c r="J1993" i="1"/>
  <c r="H1993" i="1"/>
  <c r="G1993" i="1"/>
  <c r="E1993" i="1"/>
  <c r="B1993" i="1"/>
  <c r="W1993" i="1" s="1"/>
  <c r="Y1992" i="1"/>
  <c r="U1992" i="1"/>
  <c r="R1992" i="1"/>
  <c r="P1992" i="1"/>
  <c r="T1992" i="1" s="1"/>
  <c r="N1992" i="1"/>
  <c r="L1992" i="1"/>
  <c r="J1992" i="1"/>
  <c r="H1992" i="1"/>
  <c r="G1992" i="1"/>
  <c r="E1992" i="1"/>
  <c r="B1992" i="1"/>
  <c r="W1992" i="1" s="1"/>
  <c r="Y1991" i="1"/>
  <c r="V1991" i="1"/>
  <c r="T1991" i="1"/>
  <c r="Z1991" i="1" s="1"/>
  <c r="R1991" i="1"/>
  <c r="P1991" i="1"/>
  <c r="N1991" i="1"/>
  <c r="L1991" i="1"/>
  <c r="J1991" i="1"/>
  <c r="H1991" i="1"/>
  <c r="G1991" i="1"/>
  <c r="E1991" i="1"/>
  <c r="B1991" i="1"/>
  <c r="U1991" i="1" s="1"/>
  <c r="Y1990" i="1"/>
  <c r="W1990" i="1"/>
  <c r="U1990" i="1"/>
  <c r="T1990" i="1"/>
  <c r="Z1990" i="1" s="1"/>
  <c r="R1990" i="1"/>
  <c r="P1990" i="1"/>
  <c r="N1990" i="1"/>
  <c r="L1990" i="1"/>
  <c r="J1990" i="1"/>
  <c r="H1990" i="1"/>
  <c r="G1990" i="1"/>
  <c r="E1990" i="1"/>
  <c r="B1990" i="1"/>
  <c r="V1990" i="1" s="1"/>
  <c r="Y1989" i="1"/>
  <c r="X1989" i="1" a="1"/>
  <c r="X1989" i="1" s="1"/>
  <c r="W1989" i="1"/>
  <c r="V1989" i="1"/>
  <c r="U1989" i="1"/>
  <c r="T1989" i="1"/>
  <c r="Z1989" i="1" s="1"/>
  <c r="R1989" i="1"/>
  <c r="P1989" i="1"/>
  <c r="N1989" i="1"/>
  <c r="L1989" i="1"/>
  <c r="J1989" i="1"/>
  <c r="H1989" i="1"/>
  <c r="G1989" i="1"/>
  <c r="E1989" i="1"/>
  <c r="B1989" i="1"/>
  <c r="X1988" i="1"/>
  <c r="X1988" i="1" a="1"/>
  <c r="W1988" i="1"/>
  <c r="V1988" i="1"/>
  <c r="U1988" i="1"/>
  <c r="T1988" i="1"/>
  <c r="Z1988" i="1" s="1"/>
  <c r="R1988" i="1"/>
  <c r="P1988" i="1"/>
  <c r="N1988" i="1"/>
  <c r="Y1988" i="1" s="1"/>
  <c r="L1988" i="1"/>
  <c r="J1988" i="1"/>
  <c r="H1988" i="1"/>
  <c r="G1988" i="1"/>
  <c r="E1988" i="1"/>
  <c r="B1988" i="1"/>
  <c r="Y1987" i="1"/>
  <c r="W1987" i="1"/>
  <c r="V1987" i="1"/>
  <c r="U1987" i="1"/>
  <c r="R1987" i="1"/>
  <c r="P1987" i="1"/>
  <c r="T1987" i="1" s="1"/>
  <c r="N1987" i="1"/>
  <c r="L1987" i="1"/>
  <c r="J1987" i="1"/>
  <c r="H1987" i="1"/>
  <c r="G1987" i="1"/>
  <c r="E1987" i="1"/>
  <c r="B1987" i="1"/>
  <c r="R1986" i="1"/>
  <c r="P1986" i="1"/>
  <c r="T1986" i="1" s="1"/>
  <c r="N1986" i="1"/>
  <c r="Y1986" i="1" s="1"/>
  <c r="L1986" i="1"/>
  <c r="J1986" i="1"/>
  <c r="H1986" i="1"/>
  <c r="G1986" i="1"/>
  <c r="E1986" i="1"/>
  <c r="B1986" i="1"/>
  <c r="Y1985" i="1"/>
  <c r="T1985" i="1"/>
  <c r="R1985" i="1"/>
  <c r="P1985" i="1"/>
  <c r="N1985" i="1"/>
  <c r="L1985" i="1"/>
  <c r="J1985" i="1"/>
  <c r="H1985" i="1"/>
  <c r="G1985" i="1"/>
  <c r="E1985" i="1"/>
  <c r="B1985" i="1"/>
  <c r="W1985" i="1" s="1"/>
  <c r="Y1984" i="1"/>
  <c r="U1984" i="1"/>
  <c r="R1984" i="1"/>
  <c r="P1984" i="1"/>
  <c r="T1984" i="1" s="1"/>
  <c r="N1984" i="1"/>
  <c r="L1984" i="1"/>
  <c r="J1984" i="1"/>
  <c r="H1984" i="1"/>
  <c r="G1984" i="1"/>
  <c r="E1984" i="1"/>
  <c r="B1984" i="1"/>
  <c r="W1984" i="1" s="1"/>
  <c r="Y1983" i="1"/>
  <c r="V1983" i="1"/>
  <c r="T1983" i="1"/>
  <c r="Z1983" i="1" s="1"/>
  <c r="R1983" i="1"/>
  <c r="P1983" i="1"/>
  <c r="N1983" i="1"/>
  <c r="L1983" i="1"/>
  <c r="J1983" i="1"/>
  <c r="H1983" i="1"/>
  <c r="G1983" i="1"/>
  <c r="E1983" i="1"/>
  <c r="B1983" i="1"/>
  <c r="U1983" i="1" s="1"/>
  <c r="Y1982" i="1"/>
  <c r="W1982" i="1"/>
  <c r="U1982" i="1"/>
  <c r="T1982" i="1"/>
  <c r="Z1982" i="1" s="1"/>
  <c r="R1982" i="1"/>
  <c r="P1982" i="1"/>
  <c r="N1982" i="1"/>
  <c r="L1982" i="1"/>
  <c r="J1982" i="1"/>
  <c r="H1982" i="1"/>
  <c r="G1982" i="1"/>
  <c r="E1982" i="1"/>
  <c r="B1982" i="1"/>
  <c r="V1982" i="1" s="1"/>
  <c r="Y1981" i="1"/>
  <c r="X1981" i="1" a="1"/>
  <c r="X1981" i="1" s="1"/>
  <c r="W1981" i="1"/>
  <c r="V1981" i="1"/>
  <c r="U1981" i="1"/>
  <c r="T1981" i="1"/>
  <c r="Z1981" i="1" s="1"/>
  <c r="R1981" i="1"/>
  <c r="P1981" i="1"/>
  <c r="N1981" i="1"/>
  <c r="L1981" i="1"/>
  <c r="J1981" i="1"/>
  <c r="H1981" i="1"/>
  <c r="G1981" i="1"/>
  <c r="E1981" i="1"/>
  <c r="B1981" i="1"/>
  <c r="X1980" i="1"/>
  <c r="X1980" i="1" a="1"/>
  <c r="W1980" i="1"/>
  <c r="V1980" i="1"/>
  <c r="U1980" i="1"/>
  <c r="T1980" i="1"/>
  <c r="Z1980" i="1" s="1"/>
  <c r="R1980" i="1"/>
  <c r="P1980" i="1"/>
  <c r="N1980" i="1"/>
  <c r="Y1980" i="1" s="1"/>
  <c r="L1980" i="1"/>
  <c r="J1980" i="1"/>
  <c r="H1980" i="1"/>
  <c r="G1980" i="1"/>
  <c r="E1980" i="1"/>
  <c r="B1980" i="1"/>
  <c r="Y1979" i="1"/>
  <c r="X1979" i="1" a="1"/>
  <c r="X1979" i="1" s="1"/>
  <c r="W1979" i="1"/>
  <c r="V1979" i="1"/>
  <c r="U1979" i="1"/>
  <c r="R1979" i="1"/>
  <c r="P1979" i="1"/>
  <c r="T1979" i="1" s="1"/>
  <c r="Z1979" i="1" s="1"/>
  <c r="N1979" i="1"/>
  <c r="L1979" i="1"/>
  <c r="J1979" i="1"/>
  <c r="H1979" i="1"/>
  <c r="G1979" i="1"/>
  <c r="E1979" i="1"/>
  <c r="B1979" i="1"/>
  <c r="R1978" i="1"/>
  <c r="P1978" i="1"/>
  <c r="N1978" i="1"/>
  <c r="Y1978" i="1" s="1"/>
  <c r="L1978" i="1"/>
  <c r="J1978" i="1"/>
  <c r="H1978" i="1"/>
  <c r="G1978" i="1"/>
  <c r="E1978" i="1"/>
  <c r="B1978" i="1"/>
  <c r="R1977" i="1"/>
  <c r="P1977" i="1"/>
  <c r="T1977" i="1" s="1"/>
  <c r="N1977" i="1"/>
  <c r="Y1977" i="1" s="1"/>
  <c r="L1977" i="1"/>
  <c r="J1977" i="1"/>
  <c r="H1977" i="1"/>
  <c r="G1977" i="1"/>
  <c r="E1977" i="1"/>
  <c r="B1977" i="1"/>
  <c r="W1977" i="1" s="1"/>
  <c r="Y1976" i="1"/>
  <c r="R1976" i="1"/>
  <c r="P1976" i="1"/>
  <c r="N1976" i="1"/>
  <c r="L1976" i="1"/>
  <c r="J1976" i="1"/>
  <c r="H1976" i="1"/>
  <c r="G1976" i="1"/>
  <c r="E1976" i="1"/>
  <c r="B1976" i="1"/>
  <c r="Y1975" i="1"/>
  <c r="R1975" i="1"/>
  <c r="T1975" i="1" s="1"/>
  <c r="P1975" i="1"/>
  <c r="N1975" i="1"/>
  <c r="L1975" i="1"/>
  <c r="J1975" i="1"/>
  <c r="H1975" i="1"/>
  <c r="G1975" i="1"/>
  <c r="E1975" i="1"/>
  <c r="B1975" i="1"/>
  <c r="Y1974" i="1"/>
  <c r="W1974" i="1"/>
  <c r="U1974" i="1"/>
  <c r="T1974" i="1"/>
  <c r="R1974" i="1"/>
  <c r="P1974" i="1"/>
  <c r="N1974" i="1"/>
  <c r="L1974" i="1"/>
  <c r="J1974" i="1"/>
  <c r="H1974" i="1"/>
  <c r="G1974" i="1"/>
  <c r="E1974" i="1"/>
  <c r="B1974" i="1"/>
  <c r="V1974" i="1" s="1"/>
  <c r="Y1973" i="1"/>
  <c r="W1973" i="1"/>
  <c r="V1973" i="1"/>
  <c r="U1973" i="1"/>
  <c r="T1973" i="1"/>
  <c r="Z1973" i="1" s="1"/>
  <c r="R1973" i="1"/>
  <c r="P1973" i="1"/>
  <c r="N1973" i="1"/>
  <c r="L1973" i="1"/>
  <c r="J1973" i="1"/>
  <c r="H1973" i="1"/>
  <c r="G1973" i="1"/>
  <c r="E1973" i="1"/>
  <c r="B1973" i="1"/>
  <c r="X1972" i="1"/>
  <c r="X1972" i="1" a="1"/>
  <c r="W1972" i="1"/>
  <c r="V1972" i="1"/>
  <c r="U1972" i="1"/>
  <c r="T1972" i="1"/>
  <c r="Z1972" i="1" s="1"/>
  <c r="R1972" i="1"/>
  <c r="P1972" i="1"/>
  <c r="N1972" i="1"/>
  <c r="Y1972" i="1" s="1"/>
  <c r="L1972" i="1"/>
  <c r="J1972" i="1"/>
  <c r="H1972" i="1"/>
  <c r="G1972" i="1"/>
  <c r="E1972" i="1"/>
  <c r="B1972" i="1"/>
  <c r="X1971" i="1" a="1"/>
  <c r="X1971" i="1" s="1"/>
  <c r="W1971" i="1"/>
  <c r="V1971" i="1"/>
  <c r="U1971" i="1"/>
  <c r="R1971" i="1"/>
  <c r="P1971" i="1"/>
  <c r="T1971" i="1" s="1"/>
  <c r="Z1971" i="1" s="1"/>
  <c r="N1971" i="1"/>
  <c r="Y1971" i="1" s="1"/>
  <c r="L1971" i="1"/>
  <c r="J1971" i="1"/>
  <c r="H1971" i="1"/>
  <c r="G1971" i="1"/>
  <c r="E1971" i="1"/>
  <c r="B1971" i="1"/>
  <c r="Y1970" i="1"/>
  <c r="X1970" i="1" a="1"/>
  <c r="X1970" i="1" s="1"/>
  <c r="R1970" i="1"/>
  <c r="P1970" i="1"/>
  <c r="T1970" i="1" s="1"/>
  <c r="Z1970" i="1" s="1"/>
  <c r="N1970" i="1"/>
  <c r="L1970" i="1"/>
  <c r="J1970" i="1"/>
  <c r="H1970" i="1"/>
  <c r="G1970" i="1"/>
  <c r="E1970" i="1"/>
  <c r="B1970" i="1"/>
  <c r="R1969" i="1"/>
  <c r="P1969" i="1"/>
  <c r="T1969" i="1" s="1"/>
  <c r="N1969" i="1"/>
  <c r="Y1969" i="1" s="1"/>
  <c r="L1969" i="1"/>
  <c r="J1969" i="1"/>
  <c r="H1969" i="1"/>
  <c r="G1969" i="1"/>
  <c r="E1969" i="1"/>
  <c r="B1969" i="1"/>
  <c r="R1968" i="1"/>
  <c r="T1968" i="1" s="1"/>
  <c r="P1968" i="1"/>
  <c r="N1968" i="1"/>
  <c r="Y1968" i="1" s="1"/>
  <c r="L1968" i="1"/>
  <c r="J1968" i="1"/>
  <c r="H1968" i="1"/>
  <c r="G1968" i="1"/>
  <c r="E1968" i="1"/>
  <c r="B1968" i="1"/>
  <c r="Y1967" i="1"/>
  <c r="U1967" i="1"/>
  <c r="T1967" i="1"/>
  <c r="X1967" i="1" s="1" a="1"/>
  <c r="X1967" i="1" s="1"/>
  <c r="R1967" i="1"/>
  <c r="P1967" i="1"/>
  <c r="N1967" i="1"/>
  <c r="L1967" i="1"/>
  <c r="J1967" i="1"/>
  <c r="H1967" i="1"/>
  <c r="G1967" i="1"/>
  <c r="E1967" i="1"/>
  <c r="B1967" i="1"/>
  <c r="W1967" i="1" s="1"/>
  <c r="Y1966" i="1"/>
  <c r="V1966" i="1"/>
  <c r="T1966" i="1"/>
  <c r="X1966" i="1" s="1" a="1"/>
  <c r="X1966" i="1" s="1"/>
  <c r="R1966" i="1"/>
  <c r="P1966" i="1"/>
  <c r="N1966" i="1"/>
  <c r="L1966" i="1"/>
  <c r="J1966" i="1"/>
  <c r="H1966" i="1"/>
  <c r="G1966" i="1"/>
  <c r="E1966" i="1"/>
  <c r="B1966" i="1"/>
  <c r="U1966" i="1" s="1"/>
  <c r="Y1965" i="1"/>
  <c r="X1965" i="1" a="1"/>
  <c r="X1965" i="1" s="1"/>
  <c r="W1965" i="1"/>
  <c r="V1965" i="1"/>
  <c r="U1965" i="1"/>
  <c r="T1965" i="1"/>
  <c r="Z1965" i="1" s="1"/>
  <c r="R1965" i="1"/>
  <c r="P1965" i="1"/>
  <c r="N1965" i="1"/>
  <c r="L1965" i="1"/>
  <c r="J1965" i="1"/>
  <c r="H1965" i="1"/>
  <c r="G1965" i="1"/>
  <c r="E1965" i="1"/>
  <c r="B1965" i="1"/>
  <c r="X1964" i="1"/>
  <c r="X1964" i="1" a="1"/>
  <c r="W1964" i="1"/>
  <c r="V1964" i="1"/>
  <c r="U1964" i="1"/>
  <c r="T1964" i="1"/>
  <c r="Z1964" i="1" s="1"/>
  <c r="R1964" i="1"/>
  <c r="P1964" i="1"/>
  <c r="N1964" i="1"/>
  <c r="Y1964" i="1" s="1"/>
  <c r="L1964" i="1"/>
  <c r="J1964" i="1"/>
  <c r="H1964" i="1"/>
  <c r="G1964" i="1"/>
  <c r="E1964" i="1"/>
  <c r="B1964" i="1"/>
  <c r="X1963" i="1"/>
  <c r="X1963" i="1" a="1"/>
  <c r="W1963" i="1"/>
  <c r="V1963" i="1"/>
  <c r="U1963" i="1"/>
  <c r="R1963" i="1"/>
  <c r="P1963" i="1"/>
  <c r="T1963" i="1" s="1"/>
  <c r="Z1963" i="1" s="1"/>
  <c r="N1963" i="1"/>
  <c r="Y1963" i="1" s="1"/>
  <c r="L1963" i="1"/>
  <c r="J1963" i="1"/>
  <c r="H1963" i="1"/>
  <c r="G1963" i="1"/>
  <c r="E1963" i="1"/>
  <c r="B1963" i="1"/>
  <c r="R1962" i="1"/>
  <c r="P1962" i="1"/>
  <c r="N1962" i="1"/>
  <c r="Y1962" i="1" s="1"/>
  <c r="L1962" i="1"/>
  <c r="J1962" i="1"/>
  <c r="H1962" i="1"/>
  <c r="G1962" i="1"/>
  <c r="E1962" i="1"/>
  <c r="B1962" i="1"/>
  <c r="Y1961" i="1"/>
  <c r="X1961" i="1" a="1"/>
  <c r="X1961" i="1" s="1"/>
  <c r="T1961" i="1"/>
  <c r="Z1961" i="1" s="1"/>
  <c r="R1961" i="1"/>
  <c r="P1961" i="1"/>
  <c r="N1961" i="1"/>
  <c r="L1961" i="1"/>
  <c r="J1961" i="1"/>
  <c r="H1961" i="1"/>
  <c r="G1961" i="1"/>
  <c r="E1961" i="1"/>
  <c r="B1961" i="1"/>
  <c r="Y1960" i="1"/>
  <c r="U1960" i="1"/>
  <c r="R1960" i="1"/>
  <c r="P1960" i="1"/>
  <c r="T1960" i="1" s="1"/>
  <c r="N1960" i="1"/>
  <c r="L1960" i="1"/>
  <c r="J1960" i="1"/>
  <c r="H1960" i="1"/>
  <c r="G1960" i="1"/>
  <c r="E1960" i="1"/>
  <c r="B1960" i="1"/>
  <c r="Y1959" i="1"/>
  <c r="R1959" i="1"/>
  <c r="P1959" i="1"/>
  <c r="T1959" i="1" s="1"/>
  <c r="N1959" i="1"/>
  <c r="L1959" i="1"/>
  <c r="J1959" i="1"/>
  <c r="H1959" i="1"/>
  <c r="G1959" i="1"/>
  <c r="E1959" i="1"/>
  <c r="B1959" i="1"/>
  <c r="Y1958" i="1"/>
  <c r="W1958" i="1"/>
  <c r="V1958" i="1"/>
  <c r="U1958" i="1"/>
  <c r="T1958" i="1"/>
  <c r="X1958" i="1" s="1" a="1"/>
  <c r="X1958" i="1" s="1"/>
  <c r="R1958" i="1"/>
  <c r="P1958" i="1"/>
  <c r="N1958" i="1"/>
  <c r="L1958" i="1"/>
  <c r="J1958" i="1"/>
  <c r="H1958" i="1"/>
  <c r="G1958" i="1"/>
  <c r="E1958" i="1"/>
  <c r="B1958" i="1"/>
  <c r="Y1957" i="1"/>
  <c r="W1957" i="1"/>
  <c r="V1957" i="1"/>
  <c r="U1957" i="1"/>
  <c r="T1957" i="1"/>
  <c r="Z1957" i="1" s="1"/>
  <c r="R1957" i="1"/>
  <c r="P1957" i="1"/>
  <c r="N1957" i="1"/>
  <c r="L1957" i="1"/>
  <c r="J1957" i="1"/>
  <c r="H1957" i="1"/>
  <c r="G1957" i="1"/>
  <c r="E1957" i="1"/>
  <c r="B1957" i="1"/>
  <c r="X1956" i="1" a="1"/>
  <c r="X1956" i="1" s="1"/>
  <c r="W1956" i="1"/>
  <c r="V1956" i="1"/>
  <c r="U1956" i="1"/>
  <c r="T1956" i="1"/>
  <c r="Z1956" i="1" s="1"/>
  <c r="R1956" i="1"/>
  <c r="P1956" i="1"/>
  <c r="N1956" i="1"/>
  <c r="Y1956" i="1" s="1"/>
  <c r="L1956" i="1"/>
  <c r="J1956" i="1"/>
  <c r="H1956" i="1"/>
  <c r="G1956" i="1"/>
  <c r="E1956" i="1"/>
  <c r="B1956" i="1"/>
  <c r="X1955" i="1" a="1"/>
  <c r="X1955" i="1" s="1"/>
  <c r="W1955" i="1"/>
  <c r="V1955" i="1"/>
  <c r="U1955" i="1"/>
  <c r="R1955" i="1"/>
  <c r="P1955" i="1"/>
  <c r="T1955" i="1" s="1"/>
  <c r="Z1955" i="1" s="1"/>
  <c r="N1955" i="1"/>
  <c r="Y1955" i="1" s="1"/>
  <c r="L1955" i="1"/>
  <c r="J1955" i="1"/>
  <c r="H1955" i="1"/>
  <c r="G1955" i="1"/>
  <c r="E1955" i="1"/>
  <c r="B1955" i="1"/>
  <c r="Y1954" i="1"/>
  <c r="R1954" i="1"/>
  <c r="P1954" i="1"/>
  <c r="N1954" i="1"/>
  <c r="L1954" i="1"/>
  <c r="J1954" i="1"/>
  <c r="H1954" i="1"/>
  <c r="G1954" i="1"/>
  <c r="E1954" i="1"/>
  <c r="B1954" i="1"/>
  <c r="R1953" i="1"/>
  <c r="P1953" i="1"/>
  <c r="N1953" i="1"/>
  <c r="Y1953" i="1" s="1"/>
  <c r="L1953" i="1"/>
  <c r="J1953" i="1"/>
  <c r="H1953" i="1"/>
  <c r="G1953" i="1"/>
  <c r="E1953" i="1"/>
  <c r="B1953" i="1"/>
  <c r="R1952" i="1"/>
  <c r="T1952" i="1" s="1"/>
  <c r="P1952" i="1"/>
  <c r="N1952" i="1"/>
  <c r="Y1952" i="1" s="1"/>
  <c r="L1952" i="1"/>
  <c r="J1952" i="1"/>
  <c r="H1952" i="1"/>
  <c r="G1952" i="1"/>
  <c r="E1952" i="1"/>
  <c r="B1952" i="1"/>
  <c r="Y1951" i="1"/>
  <c r="U1951" i="1"/>
  <c r="T1951" i="1"/>
  <c r="X1951" i="1" s="1" a="1"/>
  <c r="X1951" i="1" s="1"/>
  <c r="R1951" i="1"/>
  <c r="P1951" i="1"/>
  <c r="N1951" i="1"/>
  <c r="L1951" i="1"/>
  <c r="J1951" i="1"/>
  <c r="H1951" i="1"/>
  <c r="G1951" i="1"/>
  <c r="E1951" i="1"/>
  <c r="B1951" i="1"/>
  <c r="W1951" i="1" s="1"/>
  <c r="Y1950" i="1"/>
  <c r="V1950" i="1"/>
  <c r="T1950" i="1"/>
  <c r="X1950" i="1" s="1" a="1"/>
  <c r="X1950" i="1" s="1"/>
  <c r="R1950" i="1"/>
  <c r="P1950" i="1"/>
  <c r="N1950" i="1"/>
  <c r="L1950" i="1"/>
  <c r="J1950" i="1"/>
  <c r="H1950" i="1"/>
  <c r="G1950" i="1"/>
  <c r="E1950" i="1"/>
  <c r="B1950" i="1"/>
  <c r="U1950" i="1" s="1"/>
  <c r="Y1949" i="1"/>
  <c r="X1949" i="1" a="1"/>
  <c r="X1949" i="1" s="1"/>
  <c r="W1949" i="1"/>
  <c r="V1949" i="1"/>
  <c r="U1949" i="1"/>
  <c r="T1949" i="1"/>
  <c r="Z1949" i="1" s="1"/>
  <c r="R1949" i="1"/>
  <c r="P1949" i="1"/>
  <c r="N1949" i="1"/>
  <c r="L1949" i="1"/>
  <c r="J1949" i="1"/>
  <c r="H1949" i="1"/>
  <c r="G1949" i="1"/>
  <c r="E1949" i="1"/>
  <c r="B1949" i="1"/>
  <c r="X1948" i="1"/>
  <c r="X1948" i="1" a="1"/>
  <c r="W1948" i="1"/>
  <c r="V1948" i="1"/>
  <c r="U1948" i="1"/>
  <c r="T1948" i="1"/>
  <c r="Z1948" i="1" s="1"/>
  <c r="R1948" i="1"/>
  <c r="P1948" i="1"/>
  <c r="N1948" i="1"/>
  <c r="Y1948" i="1" s="1"/>
  <c r="L1948" i="1"/>
  <c r="J1948" i="1"/>
  <c r="H1948" i="1"/>
  <c r="G1948" i="1"/>
  <c r="E1948" i="1"/>
  <c r="B1948" i="1"/>
  <c r="X1947" i="1"/>
  <c r="X1947" i="1" a="1"/>
  <c r="W1947" i="1"/>
  <c r="V1947" i="1"/>
  <c r="U1947" i="1"/>
  <c r="R1947" i="1"/>
  <c r="P1947" i="1"/>
  <c r="T1947" i="1" s="1"/>
  <c r="Z1947" i="1" s="1"/>
  <c r="N1947" i="1"/>
  <c r="Y1947" i="1" s="1"/>
  <c r="L1947" i="1"/>
  <c r="J1947" i="1"/>
  <c r="H1947" i="1"/>
  <c r="G1947" i="1"/>
  <c r="E1947" i="1"/>
  <c r="B1947" i="1"/>
  <c r="R1946" i="1"/>
  <c r="P1946" i="1"/>
  <c r="N1946" i="1"/>
  <c r="Y1946" i="1" s="1"/>
  <c r="L1946" i="1"/>
  <c r="J1946" i="1"/>
  <c r="H1946" i="1"/>
  <c r="G1946" i="1"/>
  <c r="E1946" i="1"/>
  <c r="B1946" i="1"/>
  <c r="Y1945" i="1"/>
  <c r="X1945" i="1" a="1"/>
  <c r="X1945" i="1" s="1"/>
  <c r="T1945" i="1"/>
  <c r="Z1945" i="1" s="1"/>
  <c r="R1945" i="1"/>
  <c r="P1945" i="1"/>
  <c r="N1945" i="1"/>
  <c r="L1945" i="1"/>
  <c r="J1945" i="1"/>
  <c r="H1945" i="1"/>
  <c r="G1945" i="1"/>
  <c r="E1945" i="1"/>
  <c r="B1945" i="1"/>
  <c r="Y1944" i="1"/>
  <c r="U1944" i="1"/>
  <c r="R1944" i="1"/>
  <c r="P1944" i="1"/>
  <c r="T1944" i="1" s="1"/>
  <c r="N1944" i="1"/>
  <c r="L1944" i="1"/>
  <c r="J1944" i="1"/>
  <c r="H1944" i="1"/>
  <c r="G1944" i="1"/>
  <c r="E1944" i="1"/>
  <c r="B1944" i="1"/>
  <c r="Y1943" i="1"/>
  <c r="R1943" i="1"/>
  <c r="P1943" i="1"/>
  <c r="N1943" i="1"/>
  <c r="L1943" i="1"/>
  <c r="J1943" i="1"/>
  <c r="H1943" i="1"/>
  <c r="G1943" i="1"/>
  <c r="E1943" i="1"/>
  <c r="B1943" i="1"/>
  <c r="Y1942" i="1"/>
  <c r="W1942" i="1"/>
  <c r="V1942" i="1"/>
  <c r="U1942" i="1"/>
  <c r="T1942" i="1"/>
  <c r="X1942" i="1" s="1" a="1"/>
  <c r="X1942" i="1" s="1"/>
  <c r="R1942" i="1"/>
  <c r="P1942" i="1"/>
  <c r="N1942" i="1"/>
  <c r="L1942" i="1"/>
  <c r="J1942" i="1"/>
  <c r="H1942" i="1"/>
  <c r="G1942" i="1"/>
  <c r="E1942" i="1"/>
  <c r="B1942" i="1"/>
  <c r="Y1941" i="1"/>
  <c r="W1941" i="1"/>
  <c r="V1941" i="1"/>
  <c r="U1941" i="1"/>
  <c r="T1941" i="1"/>
  <c r="Z1941" i="1" s="1"/>
  <c r="R1941" i="1"/>
  <c r="P1941" i="1"/>
  <c r="N1941" i="1"/>
  <c r="L1941" i="1"/>
  <c r="J1941" i="1"/>
  <c r="H1941" i="1"/>
  <c r="G1941" i="1"/>
  <c r="E1941" i="1"/>
  <c r="B1941" i="1"/>
  <c r="X1940" i="1" a="1"/>
  <c r="X1940" i="1" s="1"/>
  <c r="W1940" i="1"/>
  <c r="V1940" i="1"/>
  <c r="U1940" i="1"/>
  <c r="T1940" i="1"/>
  <c r="Z1940" i="1" s="1"/>
  <c r="R1940" i="1"/>
  <c r="P1940" i="1"/>
  <c r="N1940" i="1"/>
  <c r="Y1940" i="1" s="1"/>
  <c r="L1940" i="1"/>
  <c r="J1940" i="1"/>
  <c r="H1940" i="1"/>
  <c r="G1940" i="1"/>
  <c r="E1940" i="1"/>
  <c r="B1940" i="1"/>
  <c r="X1939" i="1" a="1"/>
  <c r="X1939" i="1" s="1"/>
  <c r="W1939" i="1"/>
  <c r="V1939" i="1"/>
  <c r="U1939" i="1"/>
  <c r="R1939" i="1"/>
  <c r="P1939" i="1"/>
  <c r="T1939" i="1" s="1"/>
  <c r="Z1939" i="1" s="1"/>
  <c r="N1939" i="1"/>
  <c r="Y1939" i="1" s="1"/>
  <c r="L1939" i="1"/>
  <c r="J1939" i="1"/>
  <c r="H1939" i="1"/>
  <c r="G1939" i="1"/>
  <c r="E1939" i="1"/>
  <c r="B1939" i="1"/>
  <c r="Y1938" i="1"/>
  <c r="R1938" i="1"/>
  <c r="P1938" i="1"/>
  <c r="N1938" i="1"/>
  <c r="L1938" i="1"/>
  <c r="J1938" i="1"/>
  <c r="H1938" i="1"/>
  <c r="G1938" i="1"/>
  <c r="E1938" i="1"/>
  <c r="B1938" i="1"/>
  <c r="R1937" i="1"/>
  <c r="P1937" i="1"/>
  <c r="N1937" i="1"/>
  <c r="Y1937" i="1" s="1"/>
  <c r="L1937" i="1"/>
  <c r="J1937" i="1"/>
  <c r="H1937" i="1"/>
  <c r="G1937" i="1"/>
  <c r="E1937" i="1"/>
  <c r="B1937" i="1"/>
  <c r="R1936" i="1"/>
  <c r="T1936" i="1" s="1"/>
  <c r="P1936" i="1"/>
  <c r="N1936" i="1"/>
  <c r="Y1936" i="1" s="1"/>
  <c r="L1936" i="1"/>
  <c r="J1936" i="1"/>
  <c r="H1936" i="1"/>
  <c r="G1936" i="1"/>
  <c r="E1936" i="1"/>
  <c r="B1936" i="1"/>
  <c r="Y1935" i="1"/>
  <c r="U1935" i="1"/>
  <c r="T1935" i="1"/>
  <c r="X1935" i="1" s="1" a="1"/>
  <c r="X1935" i="1" s="1"/>
  <c r="R1935" i="1"/>
  <c r="P1935" i="1"/>
  <c r="N1935" i="1"/>
  <c r="L1935" i="1"/>
  <c r="J1935" i="1"/>
  <c r="H1935" i="1"/>
  <c r="G1935" i="1"/>
  <c r="E1935" i="1"/>
  <c r="B1935" i="1"/>
  <c r="W1935" i="1" s="1"/>
  <c r="Y1934" i="1"/>
  <c r="V1934" i="1"/>
  <c r="T1934" i="1"/>
  <c r="X1934" i="1" s="1" a="1"/>
  <c r="X1934" i="1" s="1"/>
  <c r="R1934" i="1"/>
  <c r="P1934" i="1"/>
  <c r="N1934" i="1"/>
  <c r="L1934" i="1"/>
  <c r="J1934" i="1"/>
  <c r="H1934" i="1"/>
  <c r="G1934" i="1"/>
  <c r="E1934" i="1"/>
  <c r="B1934" i="1"/>
  <c r="U1934" i="1" s="1"/>
  <c r="Y1933" i="1"/>
  <c r="X1933" i="1" a="1"/>
  <c r="X1933" i="1" s="1"/>
  <c r="W1933" i="1"/>
  <c r="V1933" i="1"/>
  <c r="U1933" i="1"/>
  <c r="T1933" i="1"/>
  <c r="Z1933" i="1" s="1"/>
  <c r="R1933" i="1"/>
  <c r="P1933" i="1"/>
  <c r="N1933" i="1"/>
  <c r="L1933" i="1"/>
  <c r="J1933" i="1"/>
  <c r="H1933" i="1"/>
  <c r="G1933" i="1"/>
  <c r="E1933" i="1"/>
  <c r="B1933" i="1"/>
  <c r="X1932" i="1"/>
  <c r="X1932" i="1" a="1"/>
  <c r="W1932" i="1"/>
  <c r="V1932" i="1"/>
  <c r="U1932" i="1"/>
  <c r="T1932" i="1"/>
  <c r="Z1932" i="1" s="1"/>
  <c r="R1932" i="1"/>
  <c r="P1932" i="1"/>
  <c r="N1932" i="1"/>
  <c r="Y1932" i="1" s="1"/>
  <c r="L1932" i="1"/>
  <c r="J1932" i="1"/>
  <c r="H1932" i="1"/>
  <c r="G1932" i="1"/>
  <c r="E1932" i="1"/>
  <c r="B1932" i="1"/>
  <c r="X1931" i="1"/>
  <c r="X1931" i="1" a="1"/>
  <c r="W1931" i="1"/>
  <c r="V1931" i="1"/>
  <c r="U1931" i="1"/>
  <c r="R1931" i="1"/>
  <c r="P1931" i="1"/>
  <c r="T1931" i="1" s="1"/>
  <c r="Z1931" i="1" s="1"/>
  <c r="N1931" i="1"/>
  <c r="Y1931" i="1" s="1"/>
  <c r="L1931" i="1"/>
  <c r="J1931" i="1"/>
  <c r="H1931" i="1"/>
  <c r="G1931" i="1"/>
  <c r="E1931" i="1"/>
  <c r="B1931" i="1"/>
  <c r="R1930" i="1"/>
  <c r="P1930" i="1"/>
  <c r="N1930" i="1"/>
  <c r="Y1930" i="1" s="1"/>
  <c r="L1930" i="1"/>
  <c r="J1930" i="1"/>
  <c r="H1930" i="1"/>
  <c r="G1930" i="1"/>
  <c r="E1930" i="1"/>
  <c r="B1930" i="1"/>
  <c r="Y1929" i="1"/>
  <c r="X1929" i="1" a="1"/>
  <c r="X1929" i="1" s="1"/>
  <c r="T1929" i="1"/>
  <c r="Z1929" i="1" s="1"/>
  <c r="R1929" i="1"/>
  <c r="P1929" i="1"/>
  <c r="N1929" i="1"/>
  <c r="L1929" i="1"/>
  <c r="J1929" i="1"/>
  <c r="H1929" i="1"/>
  <c r="G1929" i="1"/>
  <c r="E1929" i="1"/>
  <c r="B1929" i="1"/>
  <c r="Y1928" i="1"/>
  <c r="U1928" i="1"/>
  <c r="R1928" i="1"/>
  <c r="P1928" i="1"/>
  <c r="T1928" i="1" s="1"/>
  <c r="N1928" i="1"/>
  <c r="L1928" i="1"/>
  <c r="J1928" i="1"/>
  <c r="H1928" i="1"/>
  <c r="G1928" i="1"/>
  <c r="E1928" i="1"/>
  <c r="B1928" i="1"/>
  <c r="Y1927" i="1"/>
  <c r="R1927" i="1"/>
  <c r="P1927" i="1"/>
  <c r="T1927" i="1" s="1"/>
  <c r="N1927" i="1"/>
  <c r="L1927" i="1"/>
  <c r="J1927" i="1"/>
  <c r="H1927" i="1"/>
  <c r="G1927" i="1"/>
  <c r="E1927" i="1"/>
  <c r="B1927" i="1"/>
  <c r="Y1926" i="1"/>
  <c r="W1926" i="1"/>
  <c r="V1926" i="1"/>
  <c r="U1926" i="1"/>
  <c r="T1926" i="1"/>
  <c r="X1926" i="1" s="1" a="1"/>
  <c r="X1926" i="1" s="1"/>
  <c r="R1926" i="1"/>
  <c r="P1926" i="1"/>
  <c r="N1926" i="1"/>
  <c r="L1926" i="1"/>
  <c r="J1926" i="1"/>
  <c r="H1926" i="1"/>
  <c r="G1926" i="1"/>
  <c r="E1926" i="1"/>
  <c r="B1926" i="1"/>
  <c r="X1925" i="1" a="1"/>
  <c r="X1925" i="1" s="1"/>
  <c r="W1925" i="1"/>
  <c r="V1925" i="1"/>
  <c r="U1925" i="1"/>
  <c r="T1925" i="1"/>
  <c r="Z1925" i="1" s="1"/>
  <c r="R1925" i="1"/>
  <c r="P1925" i="1"/>
  <c r="N1925" i="1"/>
  <c r="Y1925" i="1" s="1"/>
  <c r="L1925" i="1"/>
  <c r="J1925" i="1"/>
  <c r="H1925" i="1"/>
  <c r="G1925" i="1"/>
  <c r="E1925" i="1"/>
  <c r="B1925" i="1"/>
  <c r="X1924" i="1"/>
  <c r="X1924" i="1" a="1"/>
  <c r="W1924" i="1"/>
  <c r="V1924" i="1"/>
  <c r="U1924" i="1"/>
  <c r="T1924" i="1"/>
  <c r="Z1924" i="1" s="1"/>
  <c r="R1924" i="1"/>
  <c r="P1924" i="1"/>
  <c r="N1924" i="1"/>
  <c r="Y1924" i="1" s="1"/>
  <c r="L1924" i="1"/>
  <c r="J1924" i="1"/>
  <c r="H1924" i="1"/>
  <c r="G1924" i="1"/>
  <c r="E1924" i="1"/>
  <c r="B1924" i="1"/>
  <c r="W1923" i="1"/>
  <c r="V1923" i="1"/>
  <c r="U1923" i="1"/>
  <c r="R1923" i="1"/>
  <c r="P1923" i="1"/>
  <c r="T1923" i="1" s="1"/>
  <c r="Z1923" i="1" s="1"/>
  <c r="N1923" i="1"/>
  <c r="Y1923" i="1" s="1"/>
  <c r="L1923" i="1"/>
  <c r="J1923" i="1"/>
  <c r="H1923" i="1"/>
  <c r="G1923" i="1"/>
  <c r="E1923" i="1"/>
  <c r="B1923" i="1"/>
  <c r="W1922" i="1"/>
  <c r="R1922" i="1"/>
  <c r="P1922" i="1"/>
  <c r="T1922" i="1" s="1"/>
  <c r="Z1922" i="1" s="1"/>
  <c r="N1922" i="1"/>
  <c r="Y1922" i="1" s="1"/>
  <c r="L1922" i="1"/>
  <c r="J1922" i="1"/>
  <c r="H1922" i="1"/>
  <c r="G1922" i="1"/>
  <c r="E1922" i="1"/>
  <c r="B1922" i="1"/>
  <c r="Y1921" i="1"/>
  <c r="R1921" i="1"/>
  <c r="P1921" i="1"/>
  <c r="T1921" i="1" s="1"/>
  <c r="N1921" i="1"/>
  <c r="L1921" i="1"/>
  <c r="J1921" i="1"/>
  <c r="H1921" i="1"/>
  <c r="G1921" i="1"/>
  <c r="E1921" i="1"/>
  <c r="B1921" i="1"/>
  <c r="Z1920" i="1"/>
  <c r="R1920" i="1"/>
  <c r="T1920" i="1" s="1"/>
  <c r="X1920" i="1" s="1" a="1"/>
  <c r="X1920" i="1" s="1"/>
  <c r="P1920" i="1"/>
  <c r="N1920" i="1"/>
  <c r="Y1920" i="1" s="1"/>
  <c r="L1920" i="1"/>
  <c r="J1920" i="1"/>
  <c r="H1920" i="1"/>
  <c r="G1920" i="1"/>
  <c r="E1920" i="1"/>
  <c r="B1920" i="1"/>
  <c r="Y1919" i="1"/>
  <c r="V1919" i="1"/>
  <c r="U1919" i="1"/>
  <c r="R1919" i="1"/>
  <c r="P1919" i="1"/>
  <c r="T1919" i="1" s="1"/>
  <c r="N1919" i="1"/>
  <c r="L1919" i="1"/>
  <c r="J1919" i="1"/>
  <c r="H1919" i="1"/>
  <c r="G1919" i="1"/>
  <c r="E1919" i="1"/>
  <c r="B1919" i="1"/>
  <c r="W1919" i="1" s="1"/>
  <c r="Y1918" i="1"/>
  <c r="W1918" i="1"/>
  <c r="U1918" i="1"/>
  <c r="R1918" i="1"/>
  <c r="T1918" i="1" s="1"/>
  <c r="P1918" i="1"/>
  <c r="N1918" i="1"/>
  <c r="L1918" i="1"/>
  <c r="J1918" i="1"/>
  <c r="H1918" i="1"/>
  <c r="G1918" i="1"/>
  <c r="E1918" i="1"/>
  <c r="B1918" i="1"/>
  <c r="V1918" i="1" s="1"/>
  <c r="X1917" i="1" a="1"/>
  <c r="X1917" i="1" s="1"/>
  <c r="V1917" i="1"/>
  <c r="T1917" i="1"/>
  <c r="Z1917" i="1" s="1"/>
  <c r="R1917" i="1"/>
  <c r="P1917" i="1"/>
  <c r="N1917" i="1"/>
  <c r="Y1917" i="1" s="1"/>
  <c r="L1917" i="1"/>
  <c r="J1917" i="1"/>
  <c r="H1917" i="1"/>
  <c r="G1917" i="1"/>
  <c r="E1917" i="1"/>
  <c r="B1917" i="1"/>
  <c r="U1917" i="1" s="1"/>
  <c r="W1916" i="1"/>
  <c r="U1916" i="1"/>
  <c r="R1916" i="1"/>
  <c r="T1916" i="1" s="1"/>
  <c r="P1916" i="1"/>
  <c r="N1916" i="1"/>
  <c r="Y1916" i="1" s="1"/>
  <c r="L1916" i="1"/>
  <c r="J1916" i="1"/>
  <c r="H1916" i="1"/>
  <c r="G1916" i="1"/>
  <c r="E1916" i="1"/>
  <c r="B1916" i="1"/>
  <c r="V1916" i="1" s="1"/>
  <c r="Y1915" i="1"/>
  <c r="X1915" i="1" a="1"/>
  <c r="X1915" i="1" s="1"/>
  <c r="V1915" i="1"/>
  <c r="U1915" i="1"/>
  <c r="R1915" i="1"/>
  <c r="P1915" i="1"/>
  <c r="T1915" i="1" s="1"/>
  <c r="Z1915" i="1" s="1"/>
  <c r="N1915" i="1"/>
  <c r="L1915" i="1"/>
  <c r="J1915" i="1"/>
  <c r="H1915" i="1"/>
  <c r="G1915" i="1"/>
  <c r="E1915" i="1"/>
  <c r="B1915" i="1"/>
  <c r="W1915" i="1" s="1"/>
  <c r="R1914" i="1"/>
  <c r="T1914" i="1" s="1"/>
  <c r="P1914" i="1"/>
  <c r="N1914" i="1"/>
  <c r="Y1914" i="1" s="1"/>
  <c r="L1914" i="1"/>
  <c r="J1914" i="1"/>
  <c r="H1914" i="1"/>
  <c r="G1914" i="1"/>
  <c r="E1914" i="1"/>
  <c r="B1914" i="1"/>
  <c r="W1914" i="1" s="1"/>
  <c r="Y1913" i="1"/>
  <c r="W1913" i="1"/>
  <c r="V1913" i="1"/>
  <c r="U1913" i="1"/>
  <c r="R1913" i="1"/>
  <c r="P1913" i="1"/>
  <c r="T1913" i="1" s="1"/>
  <c r="N1913" i="1"/>
  <c r="L1913" i="1"/>
  <c r="J1913" i="1"/>
  <c r="H1913" i="1"/>
  <c r="G1913" i="1"/>
  <c r="E1913" i="1"/>
  <c r="B1913" i="1"/>
  <c r="R1912" i="1"/>
  <c r="P1912" i="1"/>
  <c r="T1912" i="1" s="1"/>
  <c r="X1912" i="1" s="1" a="1"/>
  <c r="X1912" i="1" s="1"/>
  <c r="N1912" i="1"/>
  <c r="Y1912" i="1" s="1"/>
  <c r="L1912" i="1"/>
  <c r="J1912" i="1"/>
  <c r="H1912" i="1"/>
  <c r="G1912" i="1"/>
  <c r="E1912" i="1"/>
  <c r="B1912" i="1"/>
  <c r="Y1911" i="1"/>
  <c r="V1911" i="1"/>
  <c r="T1911" i="1"/>
  <c r="R1911" i="1"/>
  <c r="P1911" i="1"/>
  <c r="N1911" i="1"/>
  <c r="L1911" i="1"/>
  <c r="J1911" i="1"/>
  <c r="H1911" i="1"/>
  <c r="G1911" i="1"/>
  <c r="E1911" i="1"/>
  <c r="B1911" i="1"/>
  <c r="W1911" i="1" s="1"/>
  <c r="W1910" i="1"/>
  <c r="U1910" i="1"/>
  <c r="R1910" i="1"/>
  <c r="P1910" i="1"/>
  <c r="T1910" i="1" s="1"/>
  <c r="N1910" i="1"/>
  <c r="Y1910" i="1" s="1"/>
  <c r="L1910" i="1"/>
  <c r="J1910" i="1"/>
  <c r="H1910" i="1"/>
  <c r="G1910" i="1"/>
  <c r="E1910" i="1"/>
  <c r="B1910" i="1"/>
  <c r="V1910" i="1" s="1"/>
  <c r="Y1909" i="1"/>
  <c r="X1909" i="1" a="1"/>
  <c r="X1909" i="1" s="1"/>
  <c r="V1909" i="1"/>
  <c r="T1909" i="1"/>
  <c r="Z1909" i="1" s="1"/>
  <c r="R1909" i="1"/>
  <c r="P1909" i="1"/>
  <c r="N1909" i="1"/>
  <c r="L1909" i="1"/>
  <c r="J1909" i="1"/>
  <c r="H1909" i="1"/>
  <c r="G1909" i="1"/>
  <c r="E1909" i="1"/>
  <c r="B1909" i="1"/>
  <c r="U1909" i="1" s="1"/>
  <c r="W1908" i="1"/>
  <c r="U1908" i="1"/>
  <c r="R1908" i="1"/>
  <c r="T1908" i="1" s="1"/>
  <c r="P1908" i="1"/>
  <c r="N1908" i="1"/>
  <c r="Y1908" i="1" s="1"/>
  <c r="L1908" i="1"/>
  <c r="J1908" i="1"/>
  <c r="H1908" i="1"/>
  <c r="G1908" i="1"/>
  <c r="E1908" i="1"/>
  <c r="B1908" i="1"/>
  <c r="V1908" i="1" s="1"/>
  <c r="Y1907" i="1"/>
  <c r="X1907" i="1" a="1"/>
  <c r="X1907" i="1" s="1"/>
  <c r="V1907" i="1"/>
  <c r="U1907" i="1"/>
  <c r="R1907" i="1"/>
  <c r="P1907" i="1"/>
  <c r="T1907" i="1" s="1"/>
  <c r="Z1907" i="1" s="1"/>
  <c r="N1907" i="1"/>
  <c r="L1907" i="1"/>
  <c r="J1907" i="1"/>
  <c r="H1907" i="1"/>
  <c r="G1907" i="1"/>
  <c r="E1907" i="1"/>
  <c r="B1907" i="1"/>
  <c r="W1907" i="1" s="1"/>
  <c r="R1906" i="1"/>
  <c r="T1906" i="1" s="1"/>
  <c r="P1906" i="1"/>
  <c r="N1906" i="1"/>
  <c r="Y1906" i="1" s="1"/>
  <c r="L1906" i="1"/>
  <c r="J1906" i="1"/>
  <c r="H1906" i="1"/>
  <c r="G1906" i="1"/>
  <c r="E1906" i="1"/>
  <c r="B1906" i="1"/>
  <c r="W1906" i="1" s="1"/>
  <c r="Y1905" i="1"/>
  <c r="W1905" i="1"/>
  <c r="V1905" i="1"/>
  <c r="U1905" i="1"/>
  <c r="R1905" i="1"/>
  <c r="P1905" i="1"/>
  <c r="T1905" i="1" s="1"/>
  <c r="N1905" i="1"/>
  <c r="L1905" i="1"/>
  <c r="J1905" i="1"/>
  <c r="H1905" i="1"/>
  <c r="G1905" i="1"/>
  <c r="E1905" i="1"/>
  <c r="B1905" i="1"/>
  <c r="R1904" i="1"/>
  <c r="P1904" i="1"/>
  <c r="N1904" i="1"/>
  <c r="Y1904" i="1" s="1"/>
  <c r="L1904" i="1"/>
  <c r="J1904" i="1"/>
  <c r="H1904" i="1"/>
  <c r="G1904" i="1"/>
  <c r="E1904" i="1"/>
  <c r="B1904" i="1"/>
  <c r="Y1903" i="1"/>
  <c r="V1903" i="1"/>
  <c r="T1903" i="1"/>
  <c r="R1903" i="1"/>
  <c r="P1903" i="1"/>
  <c r="N1903" i="1"/>
  <c r="L1903" i="1"/>
  <c r="J1903" i="1"/>
  <c r="H1903" i="1"/>
  <c r="G1903" i="1"/>
  <c r="E1903" i="1"/>
  <c r="B1903" i="1"/>
  <c r="W1903" i="1" s="1"/>
  <c r="W1902" i="1"/>
  <c r="U1902" i="1"/>
  <c r="R1902" i="1"/>
  <c r="P1902" i="1"/>
  <c r="T1902" i="1" s="1"/>
  <c r="N1902" i="1"/>
  <c r="Y1902" i="1" s="1"/>
  <c r="L1902" i="1"/>
  <c r="J1902" i="1"/>
  <c r="H1902" i="1"/>
  <c r="G1902" i="1"/>
  <c r="E1902" i="1"/>
  <c r="B1902" i="1"/>
  <c r="V1902" i="1" s="1"/>
  <c r="Y1901" i="1"/>
  <c r="X1901" i="1" a="1"/>
  <c r="X1901" i="1" s="1"/>
  <c r="V1901" i="1"/>
  <c r="T1901" i="1"/>
  <c r="Z1901" i="1" s="1"/>
  <c r="R1901" i="1"/>
  <c r="P1901" i="1"/>
  <c r="N1901" i="1"/>
  <c r="L1901" i="1"/>
  <c r="J1901" i="1"/>
  <c r="H1901" i="1"/>
  <c r="G1901" i="1"/>
  <c r="E1901" i="1"/>
  <c r="B1901" i="1"/>
  <c r="U1901" i="1" s="1"/>
  <c r="W1900" i="1"/>
  <c r="U1900" i="1"/>
  <c r="R1900" i="1"/>
  <c r="T1900" i="1" s="1"/>
  <c r="P1900" i="1"/>
  <c r="N1900" i="1"/>
  <c r="Y1900" i="1" s="1"/>
  <c r="L1900" i="1"/>
  <c r="J1900" i="1"/>
  <c r="H1900" i="1"/>
  <c r="G1900" i="1"/>
  <c r="E1900" i="1"/>
  <c r="B1900" i="1"/>
  <c r="V1900" i="1" s="1"/>
  <c r="Y1899" i="1"/>
  <c r="X1899" i="1" a="1"/>
  <c r="X1899" i="1" s="1"/>
  <c r="V1899" i="1"/>
  <c r="U1899" i="1"/>
  <c r="R1899" i="1"/>
  <c r="P1899" i="1"/>
  <c r="T1899" i="1" s="1"/>
  <c r="Z1899" i="1" s="1"/>
  <c r="N1899" i="1"/>
  <c r="L1899" i="1"/>
  <c r="J1899" i="1"/>
  <c r="H1899" i="1"/>
  <c r="G1899" i="1"/>
  <c r="E1899" i="1"/>
  <c r="B1899" i="1"/>
  <c r="W1899" i="1" s="1"/>
  <c r="Z1898" i="1"/>
  <c r="X1898" i="1"/>
  <c r="W1898" i="1"/>
  <c r="R1898" i="1"/>
  <c r="T1898" i="1" s="1"/>
  <c r="X1898" i="1" s="1" a="1"/>
  <c r="P1898" i="1"/>
  <c r="N1898" i="1"/>
  <c r="Y1898" i="1" s="1"/>
  <c r="L1898" i="1"/>
  <c r="J1898" i="1"/>
  <c r="H1898" i="1"/>
  <c r="G1898" i="1"/>
  <c r="E1898" i="1"/>
  <c r="B1898" i="1"/>
  <c r="Y1897" i="1"/>
  <c r="W1897" i="1"/>
  <c r="V1897" i="1"/>
  <c r="U1897" i="1"/>
  <c r="T1897" i="1"/>
  <c r="Z1897" i="1" s="1"/>
  <c r="R1897" i="1"/>
  <c r="P1897" i="1"/>
  <c r="N1897" i="1"/>
  <c r="L1897" i="1"/>
  <c r="J1897" i="1"/>
  <c r="H1897" i="1"/>
  <c r="G1897" i="1"/>
  <c r="E1897" i="1"/>
  <c r="B1897" i="1"/>
  <c r="R1896" i="1"/>
  <c r="P1896" i="1"/>
  <c r="N1896" i="1"/>
  <c r="Y1896" i="1" s="1"/>
  <c r="L1896" i="1"/>
  <c r="J1896" i="1"/>
  <c r="H1896" i="1"/>
  <c r="G1896" i="1"/>
  <c r="E1896" i="1"/>
  <c r="B1896" i="1"/>
  <c r="Y1895" i="1"/>
  <c r="V1895" i="1"/>
  <c r="T1895" i="1"/>
  <c r="R1895" i="1"/>
  <c r="P1895" i="1"/>
  <c r="N1895" i="1"/>
  <c r="L1895" i="1"/>
  <c r="J1895" i="1"/>
  <c r="H1895" i="1"/>
  <c r="G1895" i="1"/>
  <c r="E1895" i="1"/>
  <c r="B1895" i="1"/>
  <c r="W1895" i="1" s="1"/>
  <c r="R1894" i="1"/>
  <c r="P1894" i="1"/>
  <c r="N1894" i="1"/>
  <c r="Y1894" i="1" s="1"/>
  <c r="L1894" i="1"/>
  <c r="J1894" i="1"/>
  <c r="H1894" i="1"/>
  <c r="G1894" i="1"/>
  <c r="E1894" i="1"/>
  <c r="B1894" i="1"/>
  <c r="V1894" i="1" s="1"/>
  <c r="Y1893" i="1"/>
  <c r="X1893" i="1" a="1"/>
  <c r="X1893" i="1" s="1"/>
  <c r="V1893" i="1"/>
  <c r="T1893" i="1"/>
  <c r="Z1893" i="1" s="1"/>
  <c r="R1893" i="1"/>
  <c r="P1893" i="1"/>
  <c r="N1893" i="1"/>
  <c r="L1893" i="1"/>
  <c r="J1893" i="1"/>
  <c r="H1893" i="1"/>
  <c r="G1893" i="1"/>
  <c r="E1893" i="1"/>
  <c r="B1893" i="1"/>
  <c r="U1893" i="1" s="1"/>
  <c r="W1892" i="1"/>
  <c r="U1892" i="1"/>
  <c r="R1892" i="1"/>
  <c r="T1892" i="1" s="1"/>
  <c r="P1892" i="1"/>
  <c r="N1892" i="1"/>
  <c r="Y1892" i="1" s="1"/>
  <c r="L1892" i="1"/>
  <c r="J1892" i="1"/>
  <c r="H1892" i="1"/>
  <c r="G1892" i="1"/>
  <c r="E1892" i="1"/>
  <c r="B1892" i="1"/>
  <c r="V1892" i="1" s="1"/>
  <c r="Y1891" i="1"/>
  <c r="X1891" i="1" a="1"/>
  <c r="X1891" i="1" s="1"/>
  <c r="V1891" i="1"/>
  <c r="U1891" i="1"/>
  <c r="R1891" i="1"/>
  <c r="P1891" i="1"/>
  <c r="T1891" i="1" s="1"/>
  <c r="Z1891" i="1" s="1"/>
  <c r="N1891" i="1"/>
  <c r="L1891" i="1"/>
  <c r="J1891" i="1"/>
  <c r="H1891" i="1"/>
  <c r="G1891" i="1"/>
  <c r="E1891" i="1"/>
  <c r="B1891" i="1"/>
  <c r="W1891" i="1" s="1"/>
  <c r="X1890" i="1"/>
  <c r="R1890" i="1"/>
  <c r="T1890" i="1" s="1"/>
  <c r="X1890" i="1" s="1" a="1"/>
  <c r="P1890" i="1"/>
  <c r="N1890" i="1"/>
  <c r="Y1890" i="1" s="1"/>
  <c r="L1890" i="1"/>
  <c r="J1890" i="1"/>
  <c r="H1890" i="1"/>
  <c r="G1890" i="1"/>
  <c r="E1890" i="1"/>
  <c r="B1890" i="1"/>
  <c r="Y1889" i="1"/>
  <c r="W1889" i="1"/>
  <c r="V1889" i="1"/>
  <c r="U1889" i="1"/>
  <c r="T1889" i="1"/>
  <c r="R1889" i="1"/>
  <c r="P1889" i="1"/>
  <c r="N1889" i="1"/>
  <c r="L1889" i="1"/>
  <c r="J1889" i="1"/>
  <c r="H1889" i="1"/>
  <c r="G1889" i="1"/>
  <c r="E1889" i="1"/>
  <c r="B1889" i="1"/>
  <c r="R1888" i="1"/>
  <c r="P1888" i="1"/>
  <c r="N1888" i="1"/>
  <c r="Y1888" i="1" s="1"/>
  <c r="L1888" i="1"/>
  <c r="J1888" i="1"/>
  <c r="H1888" i="1"/>
  <c r="G1888" i="1"/>
  <c r="E1888" i="1"/>
  <c r="B1888" i="1"/>
  <c r="V1888" i="1" s="1"/>
  <c r="X1887" i="1" a="1"/>
  <c r="X1887" i="1" s="1"/>
  <c r="V1887" i="1"/>
  <c r="T1887" i="1"/>
  <c r="Z1887" i="1" s="1"/>
  <c r="R1887" i="1"/>
  <c r="P1887" i="1"/>
  <c r="N1887" i="1"/>
  <c r="Y1887" i="1" s="1"/>
  <c r="L1887" i="1"/>
  <c r="J1887" i="1"/>
  <c r="H1887" i="1"/>
  <c r="G1887" i="1"/>
  <c r="E1887" i="1"/>
  <c r="B1887" i="1"/>
  <c r="W1887" i="1" s="1"/>
  <c r="X1886" i="1"/>
  <c r="U1886" i="1"/>
  <c r="R1886" i="1"/>
  <c r="P1886" i="1"/>
  <c r="T1886" i="1" s="1"/>
  <c r="X1886" i="1" s="1" a="1"/>
  <c r="N1886" i="1"/>
  <c r="Y1886" i="1" s="1"/>
  <c r="L1886" i="1"/>
  <c r="J1886" i="1"/>
  <c r="H1886" i="1"/>
  <c r="G1886" i="1"/>
  <c r="E1886" i="1"/>
  <c r="B1886" i="1"/>
  <c r="V1886" i="1" s="1"/>
  <c r="Y1885" i="1"/>
  <c r="V1885" i="1"/>
  <c r="R1885" i="1"/>
  <c r="P1885" i="1"/>
  <c r="T1885" i="1" s="1"/>
  <c r="N1885" i="1"/>
  <c r="L1885" i="1"/>
  <c r="J1885" i="1"/>
  <c r="H1885" i="1"/>
  <c r="G1885" i="1"/>
  <c r="E1885" i="1"/>
  <c r="B1885" i="1"/>
  <c r="Z1884" i="1"/>
  <c r="X1884" i="1"/>
  <c r="W1884" i="1"/>
  <c r="U1884" i="1"/>
  <c r="T1884" i="1"/>
  <c r="X1884" i="1" s="1" a="1"/>
  <c r="R1884" i="1"/>
  <c r="P1884" i="1"/>
  <c r="N1884" i="1"/>
  <c r="Y1884" i="1" s="1"/>
  <c r="L1884" i="1"/>
  <c r="J1884" i="1"/>
  <c r="H1884" i="1"/>
  <c r="G1884" i="1"/>
  <c r="E1884" i="1"/>
  <c r="B1884" i="1"/>
  <c r="V1884" i="1" s="1"/>
  <c r="Y1883" i="1"/>
  <c r="V1883" i="1"/>
  <c r="U1883" i="1"/>
  <c r="T1883" i="1"/>
  <c r="Z1883" i="1" s="1"/>
  <c r="R1883" i="1"/>
  <c r="P1883" i="1"/>
  <c r="N1883" i="1"/>
  <c r="L1883" i="1"/>
  <c r="J1883" i="1"/>
  <c r="H1883" i="1"/>
  <c r="G1883" i="1"/>
  <c r="E1883" i="1"/>
  <c r="B1883" i="1"/>
  <c r="W1883" i="1" s="1"/>
  <c r="W1882" i="1"/>
  <c r="U1882" i="1"/>
  <c r="R1882" i="1"/>
  <c r="T1882" i="1" s="1"/>
  <c r="X1882" i="1" s="1" a="1"/>
  <c r="X1882" i="1" s="1"/>
  <c r="P1882" i="1"/>
  <c r="N1882" i="1"/>
  <c r="Y1882" i="1" s="1"/>
  <c r="L1882" i="1"/>
  <c r="J1882" i="1"/>
  <c r="H1882" i="1"/>
  <c r="G1882" i="1"/>
  <c r="E1882" i="1"/>
  <c r="B1882" i="1"/>
  <c r="V1882" i="1" s="1"/>
  <c r="Y1881" i="1"/>
  <c r="W1881" i="1"/>
  <c r="V1881" i="1"/>
  <c r="U1881" i="1"/>
  <c r="R1881" i="1"/>
  <c r="P1881" i="1"/>
  <c r="T1881" i="1" s="1"/>
  <c r="N1881" i="1"/>
  <c r="L1881" i="1"/>
  <c r="J1881" i="1"/>
  <c r="H1881" i="1"/>
  <c r="G1881" i="1"/>
  <c r="E1881" i="1"/>
  <c r="B1881" i="1"/>
  <c r="R1880" i="1"/>
  <c r="P1880" i="1"/>
  <c r="N1880" i="1"/>
  <c r="Y1880" i="1" s="1"/>
  <c r="L1880" i="1"/>
  <c r="J1880" i="1"/>
  <c r="H1880" i="1"/>
  <c r="G1880" i="1"/>
  <c r="E1880" i="1"/>
  <c r="B1880" i="1"/>
  <c r="V1880" i="1" s="1"/>
  <c r="X1879" i="1"/>
  <c r="X1879" i="1" a="1"/>
  <c r="V1879" i="1"/>
  <c r="T1879" i="1"/>
  <c r="Z1879" i="1" s="1"/>
  <c r="R1879" i="1"/>
  <c r="P1879" i="1"/>
  <c r="N1879" i="1"/>
  <c r="Y1879" i="1" s="1"/>
  <c r="L1879" i="1"/>
  <c r="J1879" i="1"/>
  <c r="H1879" i="1"/>
  <c r="G1879" i="1"/>
  <c r="E1879" i="1"/>
  <c r="B1879" i="1"/>
  <c r="W1879" i="1" s="1"/>
  <c r="Y1878" i="1"/>
  <c r="W1878" i="1"/>
  <c r="R1878" i="1"/>
  <c r="P1878" i="1"/>
  <c r="N1878" i="1"/>
  <c r="L1878" i="1"/>
  <c r="J1878" i="1"/>
  <c r="H1878" i="1"/>
  <c r="G1878" i="1"/>
  <c r="E1878" i="1"/>
  <c r="B1878" i="1"/>
  <c r="V1878" i="1" s="1"/>
  <c r="Y1877" i="1"/>
  <c r="R1877" i="1"/>
  <c r="P1877" i="1"/>
  <c r="N1877" i="1"/>
  <c r="L1877" i="1"/>
  <c r="J1877" i="1"/>
  <c r="H1877" i="1"/>
  <c r="G1877" i="1"/>
  <c r="E1877" i="1"/>
  <c r="B1877" i="1"/>
  <c r="R1876" i="1"/>
  <c r="T1876" i="1" s="1"/>
  <c r="P1876" i="1"/>
  <c r="N1876" i="1"/>
  <c r="Y1876" i="1" s="1"/>
  <c r="L1876" i="1"/>
  <c r="J1876" i="1"/>
  <c r="H1876" i="1"/>
  <c r="G1876" i="1"/>
  <c r="E1876" i="1"/>
  <c r="B1876" i="1"/>
  <c r="V1876" i="1" s="1"/>
  <c r="Y1875" i="1"/>
  <c r="X1875" i="1" a="1"/>
  <c r="X1875" i="1" s="1"/>
  <c r="V1875" i="1"/>
  <c r="U1875" i="1"/>
  <c r="T1875" i="1"/>
  <c r="Z1875" i="1" s="1"/>
  <c r="R1875" i="1"/>
  <c r="P1875" i="1"/>
  <c r="N1875" i="1"/>
  <c r="L1875" i="1"/>
  <c r="J1875" i="1"/>
  <c r="H1875" i="1"/>
  <c r="G1875" i="1"/>
  <c r="E1875" i="1"/>
  <c r="B1875" i="1"/>
  <c r="W1875" i="1" s="1"/>
  <c r="X1874" i="1"/>
  <c r="V1874" i="1"/>
  <c r="R1874" i="1"/>
  <c r="T1874" i="1" s="1"/>
  <c r="X1874" i="1" s="1" a="1"/>
  <c r="P1874" i="1"/>
  <c r="N1874" i="1"/>
  <c r="Y1874" i="1" s="1"/>
  <c r="L1874" i="1"/>
  <c r="J1874" i="1"/>
  <c r="H1874" i="1"/>
  <c r="G1874" i="1"/>
  <c r="E1874" i="1"/>
  <c r="B1874" i="1"/>
  <c r="U1874" i="1" s="1"/>
  <c r="Y1873" i="1"/>
  <c r="W1873" i="1"/>
  <c r="V1873" i="1"/>
  <c r="U1873" i="1"/>
  <c r="T1873" i="1"/>
  <c r="R1873" i="1"/>
  <c r="P1873" i="1"/>
  <c r="N1873" i="1"/>
  <c r="L1873" i="1"/>
  <c r="J1873" i="1"/>
  <c r="H1873" i="1"/>
  <c r="G1873" i="1"/>
  <c r="E1873" i="1"/>
  <c r="B1873" i="1"/>
  <c r="W1872" i="1"/>
  <c r="U1872" i="1"/>
  <c r="R1872" i="1"/>
  <c r="P1872" i="1"/>
  <c r="T1872" i="1" s="1"/>
  <c r="N1872" i="1"/>
  <c r="Y1872" i="1" s="1"/>
  <c r="L1872" i="1"/>
  <c r="J1872" i="1"/>
  <c r="H1872" i="1"/>
  <c r="G1872" i="1"/>
  <c r="E1872" i="1"/>
  <c r="B1872" i="1"/>
  <c r="V1872" i="1" s="1"/>
  <c r="Y1871" i="1"/>
  <c r="V1871" i="1"/>
  <c r="R1871" i="1"/>
  <c r="P1871" i="1"/>
  <c r="T1871" i="1" s="1"/>
  <c r="N1871" i="1"/>
  <c r="L1871" i="1"/>
  <c r="J1871" i="1"/>
  <c r="H1871" i="1"/>
  <c r="G1871" i="1"/>
  <c r="E1871" i="1"/>
  <c r="B1871" i="1"/>
  <c r="W1871" i="1" s="1"/>
  <c r="W1870" i="1"/>
  <c r="U1870" i="1"/>
  <c r="R1870" i="1"/>
  <c r="P1870" i="1"/>
  <c r="N1870" i="1"/>
  <c r="Y1870" i="1" s="1"/>
  <c r="L1870" i="1"/>
  <c r="J1870" i="1"/>
  <c r="H1870" i="1"/>
  <c r="G1870" i="1"/>
  <c r="E1870" i="1"/>
  <c r="B1870" i="1"/>
  <c r="V1870" i="1" s="1"/>
  <c r="Y1869" i="1"/>
  <c r="T1869" i="1"/>
  <c r="R1869" i="1"/>
  <c r="P1869" i="1"/>
  <c r="N1869" i="1"/>
  <c r="L1869" i="1"/>
  <c r="J1869" i="1"/>
  <c r="H1869" i="1"/>
  <c r="G1869" i="1"/>
  <c r="E1869" i="1"/>
  <c r="B1869" i="1"/>
  <c r="V1869" i="1" s="1"/>
  <c r="W1868" i="1"/>
  <c r="U1868" i="1"/>
  <c r="T1868" i="1"/>
  <c r="X1868" i="1" s="1" a="1"/>
  <c r="X1868" i="1" s="1"/>
  <c r="R1868" i="1"/>
  <c r="P1868" i="1"/>
  <c r="N1868" i="1"/>
  <c r="Y1868" i="1" s="1"/>
  <c r="L1868" i="1"/>
  <c r="J1868" i="1"/>
  <c r="H1868" i="1"/>
  <c r="G1868" i="1"/>
  <c r="E1868" i="1"/>
  <c r="B1868" i="1"/>
  <c r="V1868" i="1" s="1"/>
  <c r="Y1867" i="1"/>
  <c r="V1867" i="1"/>
  <c r="U1867" i="1"/>
  <c r="R1867" i="1"/>
  <c r="P1867" i="1"/>
  <c r="T1867" i="1" s="1"/>
  <c r="N1867" i="1"/>
  <c r="L1867" i="1"/>
  <c r="J1867" i="1"/>
  <c r="H1867" i="1"/>
  <c r="G1867" i="1"/>
  <c r="E1867" i="1"/>
  <c r="B1867" i="1"/>
  <c r="W1867" i="1" s="1"/>
  <c r="Z1866" i="1"/>
  <c r="W1866" i="1"/>
  <c r="V1866" i="1"/>
  <c r="U1866" i="1"/>
  <c r="R1866" i="1"/>
  <c r="T1866" i="1" s="1"/>
  <c r="X1866" i="1" s="1" a="1"/>
  <c r="X1866" i="1" s="1"/>
  <c r="P1866" i="1"/>
  <c r="N1866" i="1"/>
  <c r="Y1866" i="1" s="1"/>
  <c r="L1866" i="1"/>
  <c r="J1866" i="1"/>
  <c r="H1866" i="1"/>
  <c r="G1866" i="1"/>
  <c r="E1866" i="1"/>
  <c r="B1866" i="1"/>
  <c r="W1865" i="1"/>
  <c r="V1865" i="1"/>
  <c r="U1865" i="1"/>
  <c r="T1865" i="1"/>
  <c r="Z1865" i="1" s="1"/>
  <c r="R1865" i="1"/>
  <c r="P1865" i="1"/>
  <c r="N1865" i="1"/>
  <c r="Y1865" i="1" s="1"/>
  <c r="L1865" i="1"/>
  <c r="J1865" i="1"/>
  <c r="H1865" i="1"/>
  <c r="G1865" i="1"/>
  <c r="E1865" i="1"/>
  <c r="B1865" i="1"/>
  <c r="V1864" i="1"/>
  <c r="R1864" i="1"/>
  <c r="P1864" i="1"/>
  <c r="N1864" i="1"/>
  <c r="Y1864" i="1" s="1"/>
  <c r="L1864" i="1"/>
  <c r="J1864" i="1"/>
  <c r="H1864" i="1"/>
  <c r="G1864" i="1"/>
  <c r="E1864" i="1"/>
  <c r="B1864" i="1"/>
  <c r="U1864" i="1" s="1"/>
  <c r="V1863" i="1"/>
  <c r="R1863" i="1"/>
  <c r="T1863" i="1" s="1"/>
  <c r="P1863" i="1"/>
  <c r="N1863" i="1"/>
  <c r="Y1863" i="1" s="1"/>
  <c r="L1863" i="1"/>
  <c r="J1863" i="1"/>
  <c r="H1863" i="1"/>
  <c r="G1863" i="1"/>
  <c r="E1863" i="1"/>
  <c r="B1863" i="1"/>
  <c r="U1863" i="1" s="1"/>
  <c r="U1862" i="1"/>
  <c r="R1862" i="1"/>
  <c r="T1862" i="1" s="1"/>
  <c r="P1862" i="1"/>
  <c r="N1862" i="1"/>
  <c r="Y1862" i="1" s="1"/>
  <c r="L1862" i="1"/>
  <c r="J1862" i="1"/>
  <c r="H1862" i="1"/>
  <c r="G1862" i="1"/>
  <c r="E1862" i="1"/>
  <c r="B1862" i="1"/>
  <c r="V1862" i="1" s="1"/>
  <c r="U1861" i="1"/>
  <c r="R1861" i="1"/>
  <c r="T1861" i="1" s="1"/>
  <c r="P1861" i="1"/>
  <c r="N1861" i="1"/>
  <c r="Y1861" i="1" s="1"/>
  <c r="L1861" i="1"/>
  <c r="J1861" i="1"/>
  <c r="H1861" i="1"/>
  <c r="G1861" i="1"/>
  <c r="E1861" i="1"/>
  <c r="B1861" i="1"/>
  <c r="W1861" i="1" s="1"/>
  <c r="U1860" i="1"/>
  <c r="R1860" i="1"/>
  <c r="T1860" i="1" s="1"/>
  <c r="P1860" i="1"/>
  <c r="N1860" i="1"/>
  <c r="Y1860" i="1" s="1"/>
  <c r="L1860" i="1"/>
  <c r="J1860" i="1"/>
  <c r="H1860" i="1"/>
  <c r="G1860" i="1"/>
  <c r="E1860" i="1"/>
  <c r="B1860" i="1"/>
  <c r="W1860" i="1" s="1"/>
  <c r="Y1859" i="1"/>
  <c r="U1859" i="1"/>
  <c r="R1859" i="1"/>
  <c r="T1859" i="1" s="1"/>
  <c r="P1859" i="1"/>
  <c r="N1859" i="1"/>
  <c r="L1859" i="1"/>
  <c r="J1859" i="1"/>
  <c r="H1859" i="1"/>
  <c r="G1859" i="1"/>
  <c r="E1859" i="1"/>
  <c r="B1859" i="1"/>
  <c r="W1859" i="1" s="1"/>
  <c r="U1858" i="1"/>
  <c r="R1858" i="1"/>
  <c r="T1858" i="1" s="1"/>
  <c r="P1858" i="1"/>
  <c r="N1858" i="1"/>
  <c r="Y1858" i="1" s="1"/>
  <c r="L1858" i="1"/>
  <c r="J1858" i="1"/>
  <c r="H1858" i="1"/>
  <c r="G1858" i="1"/>
  <c r="E1858" i="1"/>
  <c r="B1858" i="1"/>
  <c r="W1858" i="1" s="1"/>
  <c r="Y1857" i="1"/>
  <c r="W1857" i="1"/>
  <c r="V1857" i="1"/>
  <c r="U1857" i="1"/>
  <c r="T1857" i="1"/>
  <c r="Z1857" i="1" s="1"/>
  <c r="R1857" i="1"/>
  <c r="P1857" i="1"/>
  <c r="N1857" i="1"/>
  <c r="L1857" i="1"/>
  <c r="J1857" i="1"/>
  <c r="H1857" i="1"/>
  <c r="G1857" i="1"/>
  <c r="E1857" i="1"/>
  <c r="B1857" i="1"/>
  <c r="V1856" i="1"/>
  <c r="R1856" i="1"/>
  <c r="P1856" i="1"/>
  <c r="N1856" i="1"/>
  <c r="Y1856" i="1" s="1"/>
  <c r="L1856" i="1"/>
  <c r="J1856" i="1"/>
  <c r="H1856" i="1"/>
  <c r="G1856" i="1"/>
  <c r="E1856" i="1"/>
  <c r="B1856" i="1"/>
  <c r="U1856" i="1" s="1"/>
  <c r="V1855" i="1"/>
  <c r="R1855" i="1"/>
  <c r="T1855" i="1" s="1"/>
  <c r="P1855" i="1"/>
  <c r="N1855" i="1"/>
  <c r="Y1855" i="1" s="1"/>
  <c r="L1855" i="1"/>
  <c r="J1855" i="1"/>
  <c r="H1855" i="1"/>
  <c r="G1855" i="1"/>
  <c r="E1855" i="1"/>
  <c r="B1855" i="1"/>
  <c r="U1855" i="1" s="1"/>
  <c r="U1854" i="1"/>
  <c r="R1854" i="1"/>
  <c r="T1854" i="1" s="1"/>
  <c r="P1854" i="1"/>
  <c r="N1854" i="1"/>
  <c r="Y1854" i="1" s="1"/>
  <c r="L1854" i="1"/>
  <c r="J1854" i="1"/>
  <c r="H1854" i="1"/>
  <c r="G1854" i="1"/>
  <c r="E1854" i="1"/>
  <c r="B1854" i="1"/>
  <c r="V1854" i="1" s="1"/>
  <c r="U1853" i="1"/>
  <c r="R1853" i="1"/>
  <c r="T1853" i="1" s="1"/>
  <c r="P1853" i="1"/>
  <c r="N1853" i="1"/>
  <c r="Y1853" i="1" s="1"/>
  <c r="L1853" i="1"/>
  <c r="J1853" i="1"/>
  <c r="H1853" i="1"/>
  <c r="G1853" i="1"/>
  <c r="E1853" i="1"/>
  <c r="B1853" i="1"/>
  <c r="W1853" i="1" s="1"/>
  <c r="U1852" i="1"/>
  <c r="R1852" i="1"/>
  <c r="T1852" i="1" s="1"/>
  <c r="P1852" i="1"/>
  <c r="N1852" i="1"/>
  <c r="Y1852" i="1" s="1"/>
  <c r="L1852" i="1"/>
  <c r="J1852" i="1"/>
  <c r="H1852" i="1"/>
  <c r="G1852" i="1"/>
  <c r="E1852" i="1"/>
  <c r="B1852" i="1"/>
  <c r="W1852" i="1" s="1"/>
  <c r="Y1851" i="1"/>
  <c r="V1851" i="1"/>
  <c r="U1851" i="1"/>
  <c r="T1851" i="1"/>
  <c r="Z1851" i="1" s="1"/>
  <c r="R1851" i="1"/>
  <c r="P1851" i="1"/>
  <c r="N1851" i="1"/>
  <c r="L1851" i="1"/>
  <c r="J1851" i="1"/>
  <c r="H1851" i="1"/>
  <c r="G1851" i="1"/>
  <c r="E1851" i="1"/>
  <c r="B1851" i="1"/>
  <c r="W1851" i="1" s="1"/>
  <c r="W1850" i="1"/>
  <c r="V1850" i="1"/>
  <c r="U1850" i="1"/>
  <c r="T1850" i="1"/>
  <c r="Z1850" i="1" s="1"/>
  <c r="R1850" i="1"/>
  <c r="P1850" i="1"/>
  <c r="N1850" i="1"/>
  <c r="Y1850" i="1" s="1"/>
  <c r="L1850" i="1"/>
  <c r="J1850" i="1"/>
  <c r="H1850" i="1"/>
  <c r="G1850" i="1"/>
  <c r="E1850" i="1"/>
  <c r="B1850" i="1"/>
  <c r="Y1849" i="1"/>
  <c r="X1849" i="1" a="1"/>
  <c r="X1849" i="1" s="1"/>
  <c r="W1849" i="1"/>
  <c r="V1849" i="1"/>
  <c r="U1849" i="1"/>
  <c r="R1849" i="1"/>
  <c r="P1849" i="1"/>
  <c r="T1849" i="1" s="1"/>
  <c r="Z1849" i="1" s="1"/>
  <c r="N1849" i="1"/>
  <c r="L1849" i="1"/>
  <c r="J1849" i="1"/>
  <c r="H1849" i="1"/>
  <c r="G1849" i="1"/>
  <c r="E1849" i="1"/>
  <c r="B1849" i="1"/>
  <c r="W1848" i="1"/>
  <c r="R1848" i="1"/>
  <c r="T1848" i="1" s="1"/>
  <c r="P1848" i="1"/>
  <c r="N1848" i="1"/>
  <c r="Y1848" i="1" s="1"/>
  <c r="L1848" i="1"/>
  <c r="J1848" i="1"/>
  <c r="H1848" i="1"/>
  <c r="G1848" i="1"/>
  <c r="E1848" i="1"/>
  <c r="B1848" i="1"/>
  <c r="V1848" i="1" s="1"/>
  <c r="Y1847" i="1"/>
  <c r="W1847" i="1"/>
  <c r="V1847" i="1"/>
  <c r="U1847" i="1"/>
  <c r="R1847" i="1"/>
  <c r="P1847" i="1"/>
  <c r="T1847" i="1" s="1"/>
  <c r="N1847" i="1"/>
  <c r="L1847" i="1"/>
  <c r="J1847" i="1"/>
  <c r="H1847" i="1"/>
  <c r="G1847" i="1"/>
  <c r="E1847" i="1"/>
  <c r="B1847" i="1"/>
  <c r="R1846" i="1"/>
  <c r="P1846" i="1"/>
  <c r="N1846" i="1"/>
  <c r="Y1846" i="1" s="1"/>
  <c r="L1846" i="1"/>
  <c r="J1846" i="1"/>
  <c r="H1846" i="1"/>
  <c r="G1846" i="1"/>
  <c r="E1846" i="1"/>
  <c r="B1846" i="1"/>
  <c r="Y1845" i="1"/>
  <c r="V1845" i="1"/>
  <c r="T1845" i="1"/>
  <c r="R1845" i="1"/>
  <c r="P1845" i="1"/>
  <c r="N1845" i="1"/>
  <c r="L1845" i="1"/>
  <c r="J1845" i="1"/>
  <c r="H1845" i="1"/>
  <c r="G1845" i="1"/>
  <c r="E1845" i="1"/>
  <c r="B1845" i="1"/>
  <c r="W1845" i="1" s="1"/>
  <c r="Y1844" i="1"/>
  <c r="U1844" i="1"/>
  <c r="R1844" i="1"/>
  <c r="T1844" i="1" s="1"/>
  <c r="P1844" i="1"/>
  <c r="N1844" i="1"/>
  <c r="L1844" i="1"/>
  <c r="J1844" i="1"/>
  <c r="H1844" i="1"/>
  <c r="G1844" i="1"/>
  <c r="E1844" i="1"/>
  <c r="B1844" i="1"/>
  <c r="W1844" i="1" s="1"/>
  <c r="Y1843" i="1"/>
  <c r="V1843" i="1"/>
  <c r="U1843" i="1"/>
  <c r="T1843" i="1"/>
  <c r="Z1843" i="1" s="1"/>
  <c r="R1843" i="1"/>
  <c r="P1843" i="1"/>
  <c r="N1843" i="1"/>
  <c r="L1843" i="1"/>
  <c r="J1843" i="1"/>
  <c r="H1843" i="1"/>
  <c r="G1843" i="1"/>
  <c r="E1843" i="1"/>
  <c r="B1843" i="1"/>
  <c r="W1843" i="1" s="1"/>
  <c r="W1842" i="1"/>
  <c r="V1842" i="1"/>
  <c r="U1842" i="1"/>
  <c r="T1842" i="1"/>
  <c r="Z1842" i="1" s="1"/>
  <c r="R1842" i="1"/>
  <c r="P1842" i="1"/>
  <c r="N1842" i="1"/>
  <c r="Y1842" i="1" s="1"/>
  <c r="L1842" i="1"/>
  <c r="J1842" i="1"/>
  <c r="H1842" i="1"/>
  <c r="G1842" i="1"/>
  <c r="E1842" i="1"/>
  <c r="B1842" i="1"/>
  <c r="Y1841" i="1"/>
  <c r="W1841" i="1"/>
  <c r="V1841" i="1"/>
  <c r="U1841" i="1"/>
  <c r="R1841" i="1"/>
  <c r="P1841" i="1"/>
  <c r="T1841" i="1" s="1"/>
  <c r="Z1841" i="1" s="1"/>
  <c r="N1841" i="1"/>
  <c r="L1841" i="1"/>
  <c r="J1841" i="1"/>
  <c r="H1841" i="1"/>
  <c r="G1841" i="1"/>
  <c r="E1841" i="1"/>
  <c r="B1841" i="1"/>
  <c r="W1840" i="1"/>
  <c r="R1840" i="1"/>
  <c r="T1840" i="1" s="1"/>
  <c r="P1840" i="1"/>
  <c r="N1840" i="1"/>
  <c r="Y1840" i="1" s="1"/>
  <c r="L1840" i="1"/>
  <c r="J1840" i="1"/>
  <c r="H1840" i="1"/>
  <c r="G1840" i="1"/>
  <c r="E1840" i="1"/>
  <c r="B1840" i="1"/>
  <c r="V1840" i="1" s="1"/>
  <c r="Y1839" i="1"/>
  <c r="W1839" i="1"/>
  <c r="V1839" i="1"/>
  <c r="U1839" i="1"/>
  <c r="R1839" i="1"/>
  <c r="P1839" i="1"/>
  <c r="T1839" i="1" s="1"/>
  <c r="N1839" i="1"/>
  <c r="L1839" i="1"/>
  <c r="J1839" i="1"/>
  <c r="H1839" i="1"/>
  <c r="G1839" i="1"/>
  <c r="E1839" i="1"/>
  <c r="B1839" i="1"/>
  <c r="R1838" i="1"/>
  <c r="P1838" i="1"/>
  <c r="N1838" i="1"/>
  <c r="Y1838" i="1" s="1"/>
  <c r="L1838" i="1"/>
  <c r="J1838" i="1"/>
  <c r="H1838" i="1"/>
  <c r="G1838" i="1"/>
  <c r="E1838" i="1"/>
  <c r="B1838" i="1"/>
  <c r="Y1837" i="1"/>
  <c r="V1837" i="1"/>
  <c r="R1837" i="1"/>
  <c r="P1837" i="1"/>
  <c r="T1837" i="1" s="1"/>
  <c r="N1837" i="1"/>
  <c r="L1837" i="1"/>
  <c r="J1837" i="1"/>
  <c r="H1837" i="1"/>
  <c r="G1837" i="1"/>
  <c r="E1837" i="1"/>
  <c r="B1837" i="1"/>
  <c r="W1837" i="1" s="1"/>
  <c r="Y1836" i="1"/>
  <c r="R1836" i="1"/>
  <c r="T1836" i="1" s="1"/>
  <c r="X1836" i="1" s="1" a="1"/>
  <c r="X1836" i="1" s="1"/>
  <c r="P1836" i="1"/>
  <c r="N1836" i="1"/>
  <c r="L1836" i="1"/>
  <c r="J1836" i="1"/>
  <c r="H1836" i="1"/>
  <c r="G1836" i="1"/>
  <c r="E1836" i="1"/>
  <c r="B1836" i="1"/>
  <c r="U1836" i="1" s="1"/>
  <c r="Y1835" i="1"/>
  <c r="V1835" i="1"/>
  <c r="U1835" i="1"/>
  <c r="T1835" i="1"/>
  <c r="R1835" i="1"/>
  <c r="P1835" i="1"/>
  <c r="N1835" i="1"/>
  <c r="L1835" i="1"/>
  <c r="J1835" i="1"/>
  <c r="H1835" i="1"/>
  <c r="G1835" i="1"/>
  <c r="E1835" i="1"/>
  <c r="B1835" i="1"/>
  <c r="W1835" i="1" s="1"/>
  <c r="W1834" i="1"/>
  <c r="V1834" i="1"/>
  <c r="U1834" i="1"/>
  <c r="T1834" i="1"/>
  <c r="Z1834" i="1" s="1"/>
  <c r="R1834" i="1"/>
  <c r="P1834" i="1"/>
  <c r="N1834" i="1"/>
  <c r="Y1834" i="1" s="1"/>
  <c r="L1834" i="1"/>
  <c r="J1834" i="1"/>
  <c r="H1834" i="1"/>
  <c r="G1834" i="1"/>
  <c r="E1834" i="1"/>
  <c r="B1834" i="1"/>
  <c r="Y1833" i="1"/>
  <c r="X1833" i="1" a="1"/>
  <c r="X1833" i="1" s="1"/>
  <c r="W1833" i="1"/>
  <c r="V1833" i="1"/>
  <c r="U1833" i="1"/>
  <c r="R1833" i="1"/>
  <c r="P1833" i="1"/>
  <c r="T1833" i="1" s="1"/>
  <c r="Z1833" i="1" s="1"/>
  <c r="N1833" i="1"/>
  <c r="L1833" i="1"/>
  <c r="J1833" i="1"/>
  <c r="H1833" i="1"/>
  <c r="G1833" i="1"/>
  <c r="E1833" i="1"/>
  <c r="B1833" i="1"/>
  <c r="W1832" i="1"/>
  <c r="R1832" i="1"/>
  <c r="T1832" i="1" s="1"/>
  <c r="P1832" i="1"/>
  <c r="N1832" i="1"/>
  <c r="Y1832" i="1" s="1"/>
  <c r="L1832" i="1"/>
  <c r="J1832" i="1"/>
  <c r="H1832" i="1"/>
  <c r="G1832" i="1"/>
  <c r="E1832" i="1"/>
  <c r="B1832" i="1"/>
  <c r="V1832" i="1" s="1"/>
  <c r="Y1831" i="1"/>
  <c r="W1831" i="1"/>
  <c r="V1831" i="1"/>
  <c r="U1831" i="1"/>
  <c r="R1831" i="1"/>
  <c r="P1831" i="1"/>
  <c r="T1831" i="1" s="1"/>
  <c r="Z1831" i="1" s="1"/>
  <c r="N1831" i="1"/>
  <c r="L1831" i="1"/>
  <c r="J1831" i="1"/>
  <c r="H1831" i="1"/>
  <c r="G1831" i="1"/>
  <c r="E1831" i="1"/>
  <c r="B1831" i="1"/>
  <c r="R1830" i="1"/>
  <c r="P1830" i="1"/>
  <c r="N1830" i="1"/>
  <c r="Y1830" i="1" s="1"/>
  <c r="L1830" i="1"/>
  <c r="J1830" i="1"/>
  <c r="H1830" i="1"/>
  <c r="G1830" i="1"/>
  <c r="E1830" i="1"/>
  <c r="B1830" i="1"/>
  <c r="Y1829" i="1"/>
  <c r="V1829" i="1"/>
  <c r="R1829" i="1"/>
  <c r="P1829" i="1"/>
  <c r="T1829" i="1" s="1"/>
  <c r="N1829" i="1"/>
  <c r="L1829" i="1"/>
  <c r="J1829" i="1"/>
  <c r="H1829" i="1"/>
  <c r="G1829" i="1"/>
  <c r="E1829" i="1"/>
  <c r="B1829" i="1"/>
  <c r="W1829" i="1" s="1"/>
  <c r="Y1828" i="1"/>
  <c r="R1828" i="1"/>
  <c r="T1828" i="1" s="1"/>
  <c r="X1828" i="1" s="1" a="1"/>
  <c r="X1828" i="1" s="1"/>
  <c r="P1828" i="1"/>
  <c r="N1828" i="1"/>
  <c r="L1828" i="1"/>
  <c r="J1828" i="1"/>
  <c r="H1828" i="1"/>
  <c r="G1828" i="1"/>
  <c r="E1828" i="1"/>
  <c r="B1828" i="1"/>
  <c r="Y1827" i="1"/>
  <c r="V1827" i="1"/>
  <c r="U1827" i="1"/>
  <c r="T1827" i="1"/>
  <c r="R1827" i="1"/>
  <c r="P1827" i="1"/>
  <c r="N1827" i="1"/>
  <c r="L1827" i="1"/>
  <c r="J1827" i="1"/>
  <c r="H1827" i="1"/>
  <c r="G1827" i="1"/>
  <c r="E1827" i="1"/>
  <c r="B1827" i="1"/>
  <c r="W1827" i="1" s="1"/>
  <c r="W1826" i="1"/>
  <c r="V1826" i="1"/>
  <c r="U1826" i="1"/>
  <c r="T1826" i="1"/>
  <c r="Z1826" i="1" s="1"/>
  <c r="R1826" i="1"/>
  <c r="P1826" i="1"/>
  <c r="N1826" i="1"/>
  <c r="Y1826" i="1" s="1"/>
  <c r="L1826" i="1"/>
  <c r="J1826" i="1"/>
  <c r="H1826" i="1"/>
  <c r="G1826" i="1"/>
  <c r="E1826" i="1"/>
  <c r="B1826" i="1"/>
  <c r="Y1825" i="1"/>
  <c r="X1825" i="1" a="1"/>
  <c r="X1825" i="1" s="1"/>
  <c r="W1825" i="1"/>
  <c r="V1825" i="1"/>
  <c r="U1825" i="1"/>
  <c r="R1825" i="1"/>
  <c r="P1825" i="1"/>
  <c r="T1825" i="1" s="1"/>
  <c r="Z1825" i="1" s="1"/>
  <c r="N1825" i="1"/>
  <c r="L1825" i="1"/>
  <c r="J1825" i="1"/>
  <c r="H1825" i="1"/>
  <c r="G1825" i="1"/>
  <c r="E1825" i="1"/>
  <c r="B1825" i="1"/>
  <c r="R1824" i="1"/>
  <c r="T1824" i="1" s="1"/>
  <c r="X1824" i="1" s="1" a="1"/>
  <c r="X1824" i="1" s="1"/>
  <c r="P1824" i="1"/>
  <c r="N1824" i="1"/>
  <c r="Y1824" i="1" s="1"/>
  <c r="L1824" i="1"/>
  <c r="J1824" i="1"/>
  <c r="H1824" i="1"/>
  <c r="G1824" i="1"/>
  <c r="E1824" i="1"/>
  <c r="B1824" i="1"/>
  <c r="W1824" i="1" s="1"/>
  <c r="W1823" i="1"/>
  <c r="V1823" i="1"/>
  <c r="U1823" i="1"/>
  <c r="R1823" i="1"/>
  <c r="P1823" i="1"/>
  <c r="T1823" i="1" s="1"/>
  <c r="N1823" i="1"/>
  <c r="Y1823" i="1" s="1"/>
  <c r="L1823" i="1"/>
  <c r="J1823" i="1"/>
  <c r="H1823" i="1"/>
  <c r="G1823" i="1"/>
  <c r="E1823" i="1"/>
  <c r="B1823" i="1"/>
  <c r="Y1822" i="1"/>
  <c r="U1822" i="1"/>
  <c r="R1822" i="1"/>
  <c r="P1822" i="1"/>
  <c r="T1822" i="1" s="1"/>
  <c r="X1822" i="1" s="1" a="1"/>
  <c r="X1822" i="1" s="1"/>
  <c r="N1822" i="1"/>
  <c r="L1822" i="1"/>
  <c r="J1822" i="1"/>
  <c r="H1822" i="1"/>
  <c r="G1822" i="1"/>
  <c r="E1822" i="1"/>
  <c r="B1822" i="1"/>
  <c r="Y1821" i="1"/>
  <c r="V1821" i="1"/>
  <c r="R1821" i="1"/>
  <c r="T1821" i="1" s="1"/>
  <c r="P1821" i="1"/>
  <c r="N1821" i="1"/>
  <c r="L1821" i="1"/>
  <c r="J1821" i="1"/>
  <c r="H1821" i="1"/>
  <c r="G1821" i="1"/>
  <c r="E1821" i="1"/>
  <c r="B1821" i="1"/>
  <c r="Y1820" i="1"/>
  <c r="R1820" i="1"/>
  <c r="T1820" i="1" s="1"/>
  <c r="P1820" i="1"/>
  <c r="N1820" i="1"/>
  <c r="L1820" i="1"/>
  <c r="J1820" i="1"/>
  <c r="H1820" i="1"/>
  <c r="G1820" i="1"/>
  <c r="E1820" i="1"/>
  <c r="B1820" i="1"/>
  <c r="V1820" i="1" s="1"/>
  <c r="Y1819" i="1"/>
  <c r="X1819" i="1" a="1"/>
  <c r="X1819" i="1" s="1"/>
  <c r="V1819" i="1"/>
  <c r="U1819" i="1"/>
  <c r="T1819" i="1"/>
  <c r="Z1819" i="1" s="1"/>
  <c r="R1819" i="1"/>
  <c r="P1819" i="1"/>
  <c r="N1819" i="1"/>
  <c r="L1819" i="1"/>
  <c r="J1819" i="1"/>
  <c r="H1819" i="1"/>
  <c r="G1819" i="1"/>
  <c r="E1819" i="1"/>
  <c r="B1819" i="1"/>
  <c r="W1819" i="1" s="1"/>
  <c r="W1818" i="1"/>
  <c r="V1818" i="1"/>
  <c r="U1818" i="1"/>
  <c r="T1818" i="1"/>
  <c r="Z1818" i="1" s="1"/>
  <c r="R1818" i="1"/>
  <c r="P1818" i="1"/>
  <c r="N1818" i="1"/>
  <c r="Y1818" i="1" s="1"/>
  <c r="L1818" i="1"/>
  <c r="J1818" i="1"/>
  <c r="H1818" i="1"/>
  <c r="G1818" i="1"/>
  <c r="E1818" i="1"/>
  <c r="B1818" i="1"/>
  <c r="Y1817" i="1"/>
  <c r="X1817" i="1" a="1"/>
  <c r="X1817" i="1" s="1"/>
  <c r="W1817" i="1"/>
  <c r="V1817" i="1"/>
  <c r="U1817" i="1"/>
  <c r="R1817" i="1"/>
  <c r="P1817" i="1"/>
  <c r="T1817" i="1" s="1"/>
  <c r="Z1817" i="1" s="1"/>
  <c r="N1817" i="1"/>
  <c r="L1817" i="1"/>
  <c r="J1817" i="1"/>
  <c r="H1817" i="1"/>
  <c r="G1817" i="1"/>
  <c r="E1817" i="1"/>
  <c r="B1817" i="1"/>
  <c r="X1816" i="1"/>
  <c r="X1816" i="1" a="1"/>
  <c r="W1816" i="1"/>
  <c r="R1816" i="1"/>
  <c r="T1816" i="1" s="1"/>
  <c r="Z1816" i="1" s="1"/>
  <c r="P1816" i="1"/>
  <c r="N1816" i="1"/>
  <c r="Y1816" i="1" s="1"/>
  <c r="L1816" i="1"/>
  <c r="J1816" i="1"/>
  <c r="H1816" i="1"/>
  <c r="G1816" i="1"/>
  <c r="E1816" i="1"/>
  <c r="B1816" i="1"/>
  <c r="Y1815" i="1"/>
  <c r="W1815" i="1"/>
  <c r="V1815" i="1"/>
  <c r="U1815" i="1"/>
  <c r="R1815" i="1"/>
  <c r="P1815" i="1"/>
  <c r="T1815" i="1" s="1"/>
  <c r="N1815" i="1"/>
  <c r="L1815" i="1"/>
  <c r="J1815" i="1"/>
  <c r="H1815" i="1"/>
  <c r="G1815" i="1"/>
  <c r="E1815" i="1"/>
  <c r="B1815" i="1"/>
  <c r="Z1814" i="1"/>
  <c r="Y1814" i="1"/>
  <c r="U1814" i="1"/>
  <c r="R1814" i="1"/>
  <c r="P1814" i="1"/>
  <c r="T1814" i="1" s="1"/>
  <c r="X1814" i="1" s="1" a="1"/>
  <c r="X1814" i="1" s="1"/>
  <c r="N1814" i="1"/>
  <c r="L1814" i="1"/>
  <c r="J1814" i="1"/>
  <c r="H1814" i="1"/>
  <c r="G1814" i="1"/>
  <c r="E1814" i="1"/>
  <c r="B1814" i="1"/>
  <c r="Z1813" i="1"/>
  <c r="X1813" i="1"/>
  <c r="V1813" i="1"/>
  <c r="T1813" i="1"/>
  <c r="X1813" i="1" s="1" a="1"/>
  <c r="R1813" i="1"/>
  <c r="P1813" i="1"/>
  <c r="N1813" i="1"/>
  <c r="Y1813" i="1" s="1"/>
  <c r="L1813" i="1"/>
  <c r="J1813" i="1"/>
  <c r="H1813" i="1"/>
  <c r="G1813" i="1"/>
  <c r="E1813" i="1"/>
  <c r="B1813" i="1"/>
  <c r="Y1812" i="1"/>
  <c r="W1812" i="1"/>
  <c r="T1812" i="1"/>
  <c r="X1812" i="1" s="1" a="1"/>
  <c r="X1812" i="1" s="1"/>
  <c r="R1812" i="1"/>
  <c r="P1812" i="1"/>
  <c r="N1812" i="1"/>
  <c r="L1812" i="1"/>
  <c r="J1812" i="1"/>
  <c r="H1812" i="1"/>
  <c r="G1812" i="1"/>
  <c r="E1812" i="1"/>
  <c r="B1812" i="1"/>
  <c r="V1812" i="1" s="1"/>
  <c r="Y1811" i="1"/>
  <c r="R1811" i="1"/>
  <c r="T1811" i="1" s="1"/>
  <c r="P1811" i="1"/>
  <c r="N1811" i="1"/>
  <c r="L1811" i="1"/>
  <c r="J1811" i="1"/>
  <c r="H1811" i="1"/>
  <c r="G1811" i="1"/>
  <c r="E1811" i="1"/>
  <c r="B1811" i="1"/>
  <c r="W1811" i="1" s="1"/>
  <c r="W1810" i="1"/>
  <c r="V1810" i="1"/>
  <c r="U1810" i="1"/>
  <c r="T1810" i="1"/>
  <c r="R1810" i="1"/>
  <c r="P1810" i="1"/>
  <c r="N1810" i="1"/>
  <c r="Y1810" i="1" s="1"/>
  <c r="L1810" i="1"/>
  <c r="J1810" i="1"/>
  <c r="H1810" i="1"/>
  <c r="G1810" i="1"/>
  <c r="E1810" i="1"/>
  <c r="B1810" i="1"/>
  <c r="Y1809" i="1"/>
  <c r="X1809" i="1" a="1"/>
  <c r="X1809" i="1" s="1"/>
  <c r="W1809" i="1"/>
  <c r="V1809" i="1"/>
  <c r="U1809" i="1"/>
  <c r="R1809" i="1"/>
  <c r="P1809" i="1"/>
  <c r="T1809" i="1" s="1"/>
  <c r="Z1809" i="1" s="1"/>
  <c r="N1809" i="1"/>
  <c r="L1809" i="1"/>
  <c r="J1809" i="1"/>
  <c r="H1809" i="1"/>
  <c r="G1809" i="1"/>
  <c r="E1809" i="1"/>
  <c r="B1809" i="1"/>
  <c r="W1808" i="1"/>
  <c r="R1808" i="1"/>
  <c r="T1808" i="1" s="1"/>
  <c r="Z1808" i="1" s="1"/>
  <c r="P1808" i="1"/>
  <c r="N1808" i="1"/>
  <c r="Y1808" i="1" s="1"/>
  <c r="L1808" i="1"/>
  <c r="J1808" i="1"/>
  <c r="H1808" i="1"/>
  <c r="G1808" i="1"/>
  <c r="E1808" i="1"/>
  <c r="B1808" i="1"/>
  <c r="U1808" i="1" s="1"/>
  <c r="X1807" i="1"/>
  <c r="X1807" i="1" a="1"/>
  <c r="W1807" i="1"/>
  <c r="V1807" i="1"/>
  <c r="U1807" i="1"/>
  <c r="T1807" i="1"/>
  <c r="Z1807" i="1" s="1"/>
  <c r="R1807" i="1"/>
  <c r="P1807" i="1"/>
  <c r="N1807" i="1"/>
  <c r="Y1807" i="1" s="1"/>
  <c r="L1807" i="1"/>
  <c r="J1807" i="1"/>
  <c r="H1807" i="1"/>
  <c r="G1807" i="1"/>
  <c r="E1807" i="1"/>
  <c r="B1807" i="1"/>
  <c r="R1806" i="1"/>
  <c r="P1806" i="1"/>
  <c r="N1806" i="1"/>
  <c r="Y1806" i="1" s="1"/>
  <c r="L1806" i="1"/>
  <c r="J1806" i="1"/>
  <c r="H1806" i="1"/>
  <c r="G1806" i="1"/>
  <c r="E1806" i="1"/>
  <c r="B1806" i="1"/>
  <c r="U1806" i="1" s="1"/>
  <c r="R1805" i="1"/>
  <c r="T1805" i="1" s="1"/>
  <c r="P1805" i="1"/>
  <c r="N1805" i="1"/>
  <c r="Y1805" i="1" s="1"/>
  <c r="L1805" i="1"/>
  <c r="J1805" i="1"/>
  <c r="H1805" i="1"/>
  <c r="G1805" i="1"/>
  <c r="E1805" i="1"/>
  <c r="B1805" i="1"/>
  <c r="Y1804" i="1"/>
  <c r="U1804" i="1"/>
  <c r="R1804" i="1"/>
  <c r="P1804" i="1"/>
  <c r="T1804" i="1" s="1"/>
  <c r="N1804" i="1"/>
  <c r="L1804" i="1"/>
  <c r="J1804" i="1"/>
  <c r="H1804" i="1"/>
  <c r="G1804" i="1"/>
  <c r="E1804" i="1"/>
  <c r="B1804" i="1"/>
  <c r="V1804" i="1" s="1"/>
  <c r="Y1803" i="1"/>
  <c r="V1803" i="1"/>
  <c r="U1803" i="1"/>
  <c r="T1803" i="1"/>
  <c r="Z1803" i="1" s="1"/>
  <c r="R1803" i="1"/>
  <c r="P1803" i="1"/>
  <c r="N1803" i="1"/>
  <c r="L1803" i="1"/>
  <c r="J1803" i="1"/>
  <c r="H1803" i="1"/>
  <c r="G1803" i="1"/>
  <c r="E1803" i="1"/>
  <c r="B1803" i="1"/>
  <c r="W1803" i="1" s="1"/>
  <c r="W1802" i="1"/>
  <c r="V1802" i="1"/>
  <c r="U1802" i="1"/>
  <c r="T1802" i="1"/>
  <c r="R1802" i="1"/>
  <c r="P1802" i="1"/>
  <c r="N1802" i="1"/>
  <c r="Y1802" i="1" s="1"/>
  <c r="L1802" i="1"/>
  <c r="J1802" i="1"/>
  <c r="H1802" i="1"/>
  <c r="G1802" i="1"/>
  <c r="E1802" i="1"/>
  <c r="B1802" i="1"/>
  <c r="Y1801" i="1"/>
  <c r="W1801" i="1"/>
  <c r="V1801" i="1"/>
  <c r="U1801" i="1"/>
  <c r="R1801" i="1"/>
  <c r="P1801" i="1"/>
  <c r="T1801" i="1" s="1"/>
  <c r="Z1801" i="1" s="1"/>
  <c r="N1801" i="1"/>
  <c r="L1801" i="1"/>
  <c r="J1801" i="1"/>
  <c r="H1801" i="1"/>
  <c r="G1801" i="1"/>
  <c r="E1801" i="1"/>
  <c r="B1801" i="1"/>
  <c r="Z1800" i="1"/>
  <c r="X1800" i="1" a="1"/>
  <c r="X1800" i="1" s="1"/>
  <c r="V1800" i="1"/>
  <c r="R1800" i="1"/>
  <c r="T1800" i="1" s="1"/>
  <c r="P1800" i="1"/>
  <c r="N1800" i="1"/>
  <c r="Y1800" i="1" s="1"/>
  <c r="L1800" i="1"/>
  <c r="J1800" i="1"/>
  <c r="H1800" i="1"/>
  <c r="G1800" i="1"/>
  <c r="E1800" i="1"/>
  <c r="B1800" i="1"/>
  <c r="U1800" i="1" s="1"/>
  <c r="Y1799" i="1"/>
  <c r="W1799" i="1"/>
  <c r="V1799" i="1"/>
  <c r="U1799" i="1"/>
  <c r="R1799" i="1"/>
  <c r="P1799" i="1"/>
  <c r="T1799" i="1" s="1"/>
  <c r="Z1799" i="1" s="1"/>
  <c r="N1799" i="1"/>
  <c r="L1799" i="1"/>
  <c r="J1799" i="1"/>
  <c r="H1799" i="1"/>
  <c r="G1799" i="1"/>
  <c r="E1799" i="1"/>
  <c r="B1799" i="1"/>
  <c r="Z1798" i="1"/>
  <c r="U1798" i="1"/>
  <c r="R1798" i="1"/>
  <c r="P1798" i="1"/>
  <c r="T1798" i="1" s="1"/>
  <c r="X1798" i="1" s="1" a="1"/>
  <c r="X1798" i="1" s="1"/>
  <c r="N1798" i="1"/>
  <c r="Y1798" i="1" s="1"/>
  <c r="L1798" i="1"/>
  <c r="J1798" i="1"/>
  <c r="H1798" i="1"/>
  <c r="G1798" i="1"/>
  <c r="E1798" i="1"/>
  <c r="B1798" i="1"/>
  <c r="V1797" i="1"/>
  <c r="R1797" i="1"/>
  <c r="T1797" i="1" s="1"/>
  <c r="P1797" i="1"/>
  <c r="N1797" i="1"/>
  <c r="Y1797" i="1" s="1"/>
  <c r="L1797" i="1"/>
  <c r="J1797" i="1"/>
  <c r="H1797" i="1"/>
  <c r="G1797" i="1"/>
  <c r="E1797" i="1"/>
  <c r="B1797" i="1"/>
  <c r="Y1796" i="1"/>
  <c r="W1796" i="1"/>
  <c r="T1796" i="1"/>
  <c r="R1796" i="1"/>
  <c r="P1796" i="1"/>
  <c r="N1796" i="1"/>
  <c r="L1796" i="1"/>
  <c r="J1796" i="1"/>
  <c r="H1796" i="1"/>
  <c r="G1796" i="1"/>
  <c r="E1796" i="1"/>
  <c r="B1796" i="1"/>
  <c r="V1796" i="1" s="1"/>
  <c r="Y1795" i="1"/>
  <c r="R1795" i="1"/>
  <c r="P1795" i="1"/>
  <c r="T1795" i="1" s="1"/>
  <c r="N1795" i="1"/>
  <c r="L1795" i="1"/>
  <c r="J1795" i="1"/>
  <c r="H1795" i="1"/>
  <c r="G1795" i="1"/>
  <c r="E1795" i="1"/>
  <c r="B1795" i="1"/>
  <c r="W1794" i="1"/>
  <c r="V1794" i="1"/>
  <c r="U1794" i="1"/>
  <c r="T1794" i="1"/>
  <c r="X1794" i="1" s="1" a="1"/>
  <c r="X1794" i="1" s="1"/>
  <c r="R1794" i="1"/>
  <c r="P1794" i="1"/>
  <c r="N1794" i="1"/>
  <c r="Y1794" i="1" s="1"/>
  <c r="L1794" i="1"/>
  <c r="J1794" i="1"/>
  <c r="H1794" i="1"/>
  <c r="G1794" i="1"/>
  <c r="E1794" i="1"/>
  <c r="B1794" i="1"/>
  <c r="Y1793" i="1"/>
  <c r="W1793" i="1"/>
  <c r="V1793" i="1"/>
  <c r="U1793" i="1"/>
  <c r="T1793" i="1"/>
  <c r="Z1793" i="1" s="1"/>
  <c r="R1793" i="1"/>
  <c r="P1793" i="1"/>
  <c r="N1793" i="1"/>
  <c r="L1793" i="1"/>
  <c r="J1793" i="1"/>
  <c r="H1793" i="1"/>
  <c r="G1793" i="1"/>
  <c r="E1793" i="1"/>
  <c r="B1793" i="1"/>
  <c r="W1792" i="1"/>
  <c r="U1792" i="1"/>
  <c r="R1792" i="1"/>
  <c r="T1792" i="1" s="1"/>
  <c r="X1792" i="1" s="1" a="1"/>
  <c r="X1792" i="1" s="1"/>
  <c r="P1792" i="1"/>
  <c r="N1792" i="1"/>
  <c r="Y1792" i="1" s="1"/>
  <c r="L1792" i="1"/>
  <c r="J1792" i="1"/>
  <c r="H1792" i="1"/>
  <c r="G1792" i="1"/>
  <c r="E1792" i="1"/>
  <c r="B1792" i="1"/>
  <c r="V1792" i="1" s="1"/>
  <c r="Y1791" i="1"/>
  <c r="X1791" i="1" a="1"/>
  <c r="X1791" i="1" s="1"/>
  <c r="W1791" i="1"/>
  <c r="V1791" i="1"/>
  <c r="U1791" i="1"/>
  <c r="R1791" i="1"/>
  <c r="P1791" i="1"/>
  <c r="T1791" i="1" s="1"/>
  <c r="Z1791" i="1" s="1"/>
  <c r="N1791" i="1"/>
  <c r="L1791" i="1"/>
  <c r="J1791" i="1"/>
  <c r="H1791" i="1"/>
  <c r="G1791" i="1"/>
  <c r="E1791" i="1"/>
  <c r="B1791" i="1"/>
  <c r="W1790" i="1"/>
  <c r="R1790" i="1"/>
  <c r="P1790" i="1"/>
  <c r="N1790" i="1"/>
  <c r="Y1790" i="1" s="1"/>
  <c r="L1790" i="1"/>
  <c r="J1790" i="1"/>
  <c r="H1790" i="1"/>
  <c r="G1790" i="1"/>
  <c r="E1790" i="1"/>
  <c r="B1790" i="1"/>
  <c r="V1790" i="1" s="1"/>
  <c r="Y1789" i="1"/>
  <c r="X1789" i="1" a="1"/>
  <c r="X1789" i="1" s="1"/>
  <c r="V1789" i="1"/>
  <c r="T1789" i="1"/>
  <c r="Z1789" i="1" s="1"/>
  <c r="R1789" i="1"/>
  <c r="P1789" i="1"/>
  <c r="N1789" i="1"/>
  <c r="L1789" i="1"/>
  <c r="J1789" i="1"/>
  <c r="H1789" i="1"/>
  <c r="G1789" i="1"/>
  <c r="E1789" i="1"/>
  <c r="B1789" i="1"/>
  <c r="U1788" i="1"/>
  <c r="R1788" i="1"/>
  <c r="T1788" i="1" s="1"/>
  <c r="P1788" i="1"/>
  <c r="N1788" i="1"/>
  <c r="Y1788" i="1" s="1"/>
  <c r="L1788" i="1"/>
  <c r="J1788" i="1"/>
  <c r="H1788" i="1"/>
  <c r="G1788" i="1"/>
  <c r="E1788" i="1"/>
  <c r="B1788" i="1"/>
  <c r="V1788" i="1" s="1"/>
  <c r="Y1787" i="1"/>
  <c r="V1787" i="1"/>
  <c r="T1787" i="1"/>
  <c r="R1787" i="1"/>
  <c r="P1787" i="1"/>
  <c r="N1787" i="1"/>
  <c r="L1787" i="1"/>
  <c r="J1787" i="1"/>
  <c r="H1787" i="1"/>
  <c r="G1787" i="1"/>
  <c r="E1787" i="1"/>
  <c r="B1787" i="1"/>
  <c r="W1787" i="1" s="1"/>
  <c r="R1786" i="1"/>
  <c r="P1786" i="1"/>
  <c r="T1786" i="1" s="1"/>
  <c r="N1786" i="1"/>
  <c r="Y1786" i="1" s="1"/>
  <c r="L1786" i="1"/>
  <c r="J1786" i="1"/>
  <c r="H1786" i="1"/>
  <c r="G1786" i="1"/>
  <c r="E1786" i="1"/>
  <c r="B1786" i="1"/>
  <c r="Y1785" i="1"/>
  <c r="R1785" i="1"/>
  <c r="P1785" i="1"/>
  <c r="T1785" i="1" s="1"/>
  <c r="N1785" i="1"/>
  <c r="L1785" i="1"/>
  <c r="J1785" i="1"/>
  <c r="H1785" i="1"/>
  <c r="G1785" i="1"/>
  <c r="E1785" i="1"/>
  <c r="B1785" i="1"/>
  <c r="R1784" i="1"/>
  <c r="T1784" i="1" s="1"/>
  <c r="P1784" i="1"/>
  <c r="N1784" i="1"/>
  <c r="Y1784" i="1" s="1"/>
  <c r="L1784" i="1"/>
  <c r="J1784" i="1"/>
  <c r="H1784" i="1"/>
  <c r="G1784" i="1"/>
  <c r="E1784" i="1"/>
  <c r="B1784" i="1"/>
  <c r="Y1783" i="1"/>
  <c r="V1783" i="1"/>
  <c r="R1783" i="1"/>
  <c r="P1783" i="1"/>
  <c r="T1783" i="1" s="1"/>
  <c r="N1783" i="1"/>
  <c r="L1783" i="1"/>
  <c r="J1783" i="1"/>
  <c r="H1783" i="1"/>
  <c r="G1783" i="1"/>
  <c r="E1783" i="1"/>
  <c r="B1783" i="1"/>
  <c r="W1783" i="1" s="1"/>
  <c r="Z1782" i="1"/>
  <c r="W1782" i="1"/>
  <c r="U1782" i="1"/>
  <c r="R1782" i="1"/>
  <c r="T1782" i="1" s="1"/>
  <c r="X1782" i="1" s="1" a="1"/>
  <c r="X1782" i="1" s="1"/>
  <c r="P1782" i="1"/>
  <c r="N1782" i="1"/>
  <c r="Y1782" i="1" s="1"/>
  <c r="L1782" i="1"/>
  <c r="J1782" i="1"/>
  <c r="H1782" i="1"/>
  <c r="G1782" i="1"/>
  <c r="E1782" i="1"/>
  <c r="B1782" i="1"/>
  <c r="V1782" i="1" s="1"/>
  <c r="Y1781" i="1"/>
  <c r="X1781" i="1" a="1"/>
  <c r="X1781" i="1" s="1"/>
  <c r="V1781" i="1"/>
  <c r="U1781" i="1"/>
  <c r="T1781" i="1"/>
  <c r="Z1781" i="1" s="1"/>
  <c r="R1781" i="1"/>
  <c r="P1781" i="1"/>
  <c r="N1781" i="1"/>
  <c r="L1781" i="1"/>
  <c r="J1781" i="1"/>
  <c r="H1781" i="1"/>
  <c r="G1781" i="1"/>
  <c r="E1781" i="1"/>
  <c r="B1781" i="1"/>
  <c r="W1781" i="1" s="1"/>
  <c r="W1780" i="1"/>
  <c r="U1780" i="1"/>
  <c r="R1780" i="1"/>
  <c r="P1780" i="1"/>
  <c r="T1780" i="1" s="1"/>
  <c r="N1780" i="1"/>
  <c r="Y1780" i="1" s="1"/>
  <c r="L1780" i="1"/>
  <c r="J1780" i="1"/>
  <c r="H1780" i="1"/>
  <c r="G1780" i="1"/>
  <c r="E1780" i="1"/>
  <c r="B1780" i="1"/>
  <c r="V1780" i="1" s="1"/>
  <c r="Y1779" i="1"/>
  <c r="V1779" i="1"/>
  <c r="T1779" i="1"/>
  <c r="Z1779" i="1" s="1"/>
  <c r="R1779" i="1"/>
  <c r="P1779" i="1"/>
  <c r="N1779" i="1"/>
  <c r="L1779" i="1"/>
  <c r="J1779" i="1"/>
  <c r="H1779" i="1"/>
  <c r="G1779" i="1"/>
  <c r="E1779" i="1"/>
  <c r="B1779" i="1"/>
  <c r="W1779" i="1" s="1"/>
  <c r="Z1778" i="1"/>
  <c r="X1778" i="1"/>
  <c r="W1778" i="1"/>
  <c r="U1778" i="1"/>
  <c r="R1778" i="1"/>
  <c r="T1778" i="1" s="1"/>
  <c r="X1778" i="1" s="1" a="1"/>
  <c r="P1778" i="1"/>
  <c r="N1778" i="1"/>
  <c r="Y1778" i="1" s="1"/>
  <c r="L1778" i="1"/>
  <c r="J1778" i="1"/>
  <c r="H1778" i="1"/>
  <c r="G1778" i="1"/>
  <c r="E1778" i="1"/>
  <c r="B1778" i="1"/>
  <c r="V1778" i="1" s="1"/>
  <c r="Y1777" i="1"/>
  <c r="W1777" i="1"/>
  <c r="V1777" i="1"/>
  <c r="U1777" i="1"/>
  <c r="T1777" i="1"/>
  <c r="Z1777" i="1" s="1"/>
  <c r="R1777" i="1"/>
  <c r="P1777" i="1"/>
  <c r="N1777" i="1"/>
  <c r="L1777" i="1"/>
  <c r="J1777" i="1"/>
  <c r="H1777" i="1"/>
  <c r="G1777" i="1"/>
  <c r="E1777" i="1"/>
  <c r="B1777" i="1"/>
  <c r="W1776" i="1"/>
  <c r="U1776" i="1"/>
  <c r="R1776" i="1"/>
  <c r="P1776" i="1"/>
  <c r="T1776" i="1" s="1"/>
  <c r="X1776" i="1" s="1" a="1"/>
  <c r="X1776" i="1" s="1"/>
  <c r="N1776" i="1"/>
  <c r="Y1776" i="1" s="1"/>
  <c r="L1776" i="1"/>
  <c r="J1776" i="1"/>
  <c r="H1776" i="1"/>
  <c r="G1776" i="1"/>
  <c r="E1776" i="1"/>
  <c r="B1776" i="1"/>
  <c r="V1776" i="1" s="1"/>
  <c r="Y1775" i="1"/>
  <c r="V1775" i="1"/>
  <c r="R1775" i="1"/>
  <c r="P1775" i="1"/>
  <c r="T1775" i="1" s="1"/>
  <c r="N1775" i="1"/>
  <c r="L1775" i="1"/>
  <c r="J1775" i="1"/>
  <c r="H1775" i="1"/>
  <c r="G1775" i="1"/>
  <c r="E1775" i="1"/>
  <c r="B1775" i="1"/>
  <c r="W1775" i="1" s="1"/>
  <c r="R1774" i="1"/>
  <c r="T1774" i="1" s="1"/>
  <c r="X1774" i="1" s="1" a="1"/>
  <c r="X1774" i="1" s="1"/>
  <c r="P1774" i="1"/>
  <c r="N1774" i="1"/>
  <c r="Y1774" i="1" s="1"/>
  <c r="L1774" i="1"/>
  <c r="J1774" i="1"/>
  <c r="H1774" i="1"/>
  <c r="G1774" i="1"/>
  <c r="E1774" i="1"/>
  <c r="B1774" i="1"/>
  <c r="V1774" i="1" s="1"/>
  <c r="Y1773" i="1"/>
  <c r="V1773" i="1"/>
  <c r="U1773" i="1"/>
  <c r="R1773" i="1"/>
  <c r="P1773" i="1"/>
  <c r="T1773" i="1" s="1"/>
  <c r="N1773" i="1"/>
  <c r="L1773" i="1"/>
  <c r="J1773" i="1"/>
  <c r="H1773" i="1"/>
  <c r="G1773" i="1"/>
  <c r="E1773" i="1"/>
  <c r="B1773" i="1"/>
  <c r="W1773" i="1" s="1"/>
  <c r="X1772" i="1"/>
  <c r="R1772" i="1"/>
  <c r="P1772" i="1"/>
  <c r="T1772" i="1" s="1"/>
  <c r="X1772" i="1" s="1" a="1"/>
  <c r="N1772" i="1"/>
  <c r="Y1772" i="1" s="1"/>
  <c r="L1772" i="1"/>
  <c r="J1772" i="1"/>
  <c r="H1772" i="1"/>
  <c r="G1772" i="1"/>
  <c r="E1772" i="1"/>
  <c r="B1772" i="1"/>
  <c r="V1772" i="1" s="1"/>
  <c r="Y1771" i="1"/>
  <c r="W1771" i="1"/>
  <c r="V1771" i="1"/>
  <c r="R1771" i="1"/>
  <c r="P1771" i="1"/>
  <c r="T1771" i="1" s="1"/>
  <c r="N1771" i="1"/>
  <c r="L1771" i="1"/>
  <c r="J1771" i="1"/>
  <c r="H1771" i="1"/>
  <c r="G1771" i="1"/>
  <c r="E1771" i="1"/>
  <c r="B1771" i="1"/>
  <c r="U1771" i="1" s="1"/>
  <c r="U1770" i="1"/>
  <c r="T1770" i="1"/>
  <c r="Z1770" i="1" s="1"/>
  <c r="R1770" i="1"/>
  <c r="P1770" i="1"/>
  <c r="N1770" i="1"/>
  <c r="Y1770" i="1" s="1"/>
  <c r="L1770" i="1"/>
  <c r="J1770" i="1"/>
  <c r="H1770" i="1"/>
  <c r="G1770" i="1"/>
  <c r="E1770" i="1"/>
  <c r="B1770" i="1"/>
  <c r="V1770" i="1" s="1"/>
  <c r="W1769" i="1"/>
  <c r="V1769" i="1"/>
  <c r="U1769" i="1"/>
  <c r="T1769" i="1"/>
  <c r="Z1769" i="1" s="1"/>
  <c r="R1769" i="1"/>
  <c r="P1769" i="1"/>
  <c r="N1769" i="1"/>
  <c r="Y1769" i="1" s="1"/>
  <c r="L1769" i="1"/>
  <c r="J1769" i="1"/>
  <c r="H1769" i="1"/>
  <c r="G1769" i="1"/>
  <c r="E1769" i="1"/>
  <c r="B1769" i="1"/>
  <c r="Y1768" i="1"/>
  <c r="R1768" i="1"/>
  <c r="P1768" i="1"/>
  <c r="N1768" i="1"/>
  <c r="L1768" i="1"/>
  <c r="J1768" i="1"/>
  <c r="H1768" i="1"/>
  <c r="G1768" i="1"/>
  <c r="E1768" i="1"/>
  <c r="B1768" i="1"/>
  <c r="U1768" i="1" s="1"/>
  <c r="Y1767" i="1"/>
  <c r="R1767" i="1"/>
  <c r="P1767" i="1"/>
  <c r="T1767" i="1" s="1"/>
  <c r="N1767" i="1"/>
  <c r="L1767" i="1"/>
  <c r="J1767" i="1"/>
  <c r="H1767" i="1"/>
  <c r="G1767" i="1"/>
  <c r="E1767" i="1"/>
  <c r="B1767" i="1"/>
  <c r="U1767" i="1" s="1"/>
  <c r="Z1766" i="1"/>
  <c r="W1766" i="1"/>
  <c r="U1766" i="1"/>
  <c r="T1766" i="1"/>
  <c r="X1766" i="1" s="1" a="1"/>
  <c r="X1766" i="1" s="1"/>
  <c r="R1766" i="1"/>
  <c r="P1766" i="1"/>
  <c r="N1766" i="1"/>
  <c r="Y1766" i="1" s="1"/>
  <c r="L1766" i="1"/>
  <c r="J1766" i="1"/>
  <c r="H1766" i="1"/>
  <c r="G1766" i="1"/>
  <c r="E1766" i="1"/>
  <c r="B1766" i="1"/>
  <c r="V1766" i="1" s="1"/>
  <c r="V1765" i="1"/>
  <c r="U1765" i="1"/>
  <c r="T1765" i="1"/>
  <c r="Z1765" i="1" s="1"/>
  <c r="R1765" i="1"/>
  <c r="P1765" i="1"/>
  <c r="N1765" i="1"/>
  <c r="Y1765" i="1" s="1"/>
  <c r="L1765" i="1"/>
  <c r="J1765" i="1"/>
  <c r="H1765" i="1"/>
  <c r="G1765" i="1"/>
  <c r="E1765" i="1"/>
  <c r="B1765" i="1"/>
  <c r="W1765" i="1" s="1"/>
  <c r="Y1764" i="1"/>
  <c r="R1764" i="1"/>
  <c r="P1764" i="1"/>
  <c r="N1764" i="1"/>
  <c r="L1764" i="1"/>
  <c r="J1764" i="1"/>
  <c r="H1764" i="1"/>
  <c r="G1764" i="1"/>
  <c r="E1764" i="1"/>
  <c r="B1764" i="1"/>
  <c r="W1764" i="1" s="1"/>
  <c r="Y1763" i="1"/>
  <c r="W1763" i="1"/>
  <c r="R1763" i="1"/>
  <c r="P1763" i="1"/>
  <c r="T1763" i="1" s="1"/>
  <c r="N1763" i="1"/>
  <c r="L1763" i="1"/>
  <c r="J1763" i="1"/>
  <c r="H1763" i="1"/>
  <c r="G1763" i="1"/>
  <c r="E1763" i="1"/>
  <c r="B1763" i="1"/>
  <c r="U1763" i="1" s="1"/>
  <c r="Z1762" i="1"/>
  <c r="W1762" i="1"/>
  <c r="U1762" i="1"/>
  <c r="T1762" i="1"/>
  <c r="X1762" i="1" s="1" a="1"/>
  <c r="X1762" i="1" s="1"/>
  <c r="R1762" i="1"/>
  <c r="P1762" i="1"/>
  <c r="N1762" i="1"/>
  <c r="Y1762" i="1" s="1"/>
  <c r="L1762" i="1"/>
  <c r="J1762" i="1"/>
  <c r="H1762" i="1"/>
  <c r="G1762" i="1"/>
  <c r="E1762" i="1"/>
  <c r="B1762" i="1"/>
  <c r="V1762" i="1" s="1"/>
  <c r="W1761" i="1"/>
  <c r="V1761" i="1"/>
  <c r="U1761" i="1"/>
  <c r="R1761" i="1"/>
  <c r="P1761" i="1"/>
  <c r="T1761" i="1" s="1"/>
  <c r="N1761" i="1"/>
  <c r="Y1761" i="1" s="1"/>
  <c r="L1761" i="1"/>
  <c r="J1761" i="1"/>
  <c r="H1761" i="1"/>
  <c r="G1761" i="1"/>
  <c r="E1761" i="1"/>
  <c r="B1761" i="1"/>
  <c r="Y1760" i="1"/>
  <c r="V1760" i="1"/>
  <c r="U1760" i="1"/>
  <c r="R1760" i="1"/>
  <c r="P1760" i="1"/>
  <c r="N1760" i="1"/>
  <c r="L1760" i="1"/>
  <c r="J1760" i="1"/>
  <c r="H1760" i="1"/>
  <c r="G1760" i="1"/>
  <c r="E1760" i="1"/>
  <c r="B1760" i="1"/>
  <c r="W1760" i="1" s="1"/>
  <c r="Y1759" i="1"/>
  <c r="R1759" i="1"/>
  <c r="T1759" i="1" s="1"/>
  <c r="P1759" i="1"/>
  <c r="N1759" i="1"/>
  <c r="L1759" i="1"/>
  <c r="J1759" i="1"/>
  <c r="H1759" i="1"/>
  <c r="G1759" i="1"/>
  <c r="E1759" i="1"/>
  <c r="B1759" i="1"/>
  <c r="U1759" i="1" s="1"/>
  <c r="R1758" i="1"/>
  <c r="T1758" i="1" s="1"/>
  <c r="P1758" i="1"/>
  <c r="N1758" i="1"/>
  <c r="Y1758" i="1" s="1"/>
  <c r="L1758" i="1"/>
  <c r="J1758" i="1"/>
  <c r="H1758" i="1"/>
  <c r="G1758" i="1"/>
  <c r="E1758" i="1"/>
  <c r="B1758" i="1"/>
  <c r="V1758" i="1" s="1"/>
  <c r="V1757" i="1"/>
  <c r="U1757" i="1"/>
  <c r="R1757" i="1"/>
  <c r="P1757" i="1"/>
  <c r="T1757" i="1" s="1"/>
  <c r="N1757" i="1"/>
  <c r="Y1757" i="1" s="1"/>
  <c r="L1757" i="1"/>
  <c r="J1757" i="1"/>
  <c r="H1757" i="1"/>
  <c r="G1757" i="1"/>
  <c r="E1757" i="1"/>
  <c r="B1757" i="1"/>
  <c r="W1757" i="1" s="1"/>
  <c r="Y1756" i="1"/>
  <c r="V1756" i="1"/>
  <c r="U1756" i="1"/>
  <c r="R1756" i="1"/>
  <c r="P1756" i="1"/>
  <c r="N1756" i="1"/>
  <c r="L1756" i="1"/>
  <c r="J1756" i="1"/>
  <c r="H1756" i="1"/>
  <c r="G1756" i="1"/>
  <c r="E1756" i="1"/>
  <c r="B1756" i="1"/>
  <c r="W1756" i="1" s="1"/>
  <c r="Y1755" i="1"/>
  <c r="X1755" i="1" a="1"/>
  <c r="X1755" i="1" s="1"/>
  <c r="T1755" i="1"/>
  <c r="Z1755" i="1" s="1"/>
  <c r="R1755" i="1"/>
  <c r="P1755" i="1"/>
  <c r="N1755" i="1"/>
  <c r="L1755" i="1"/>
  <c r="J1755" i="1"/>
  <c r="H1755" i="1"/>
  <c r="G1755" i="1"/>
  <c r="E1755" i="1"/>
  <c r="B1755" i="1"/>
  <c r="U1755" i="1" s="1"/>
  <c r="W1754" i="1"/>
  <c r="R1754" i="1"/>
  <c r="T1754" i="1" s="1"/>
  <c r="P1754" i="1"/>
  <c r="N1754" i="1"/>
  <c r="Y1754" i="1" s="1"/>
  <c r="L1754" i="1"/>
  <c r="J1754" i="1"/>
  <c r="H1754" i="1"/>
  <c r="G1754" i="1"/>
  <c r="E1754" i="1"/>
  <c r="B1754" i="1"/>
  <c r="V1754" i="1" s="1"/>
  <c r="Y1753" i="1"/>
  <c r="W1753" i="1"/>
  <c r="V1753" i="1"/>
  <c r="U1753" i="1"/>
  <c r="R1753" i="1"/>
  <c r="P1753" i="1"/>
  <c r="T1753" i="1" s="1"/>
  <c r="N1753" i="1"/>
  <c r="L1753" i="1"/>
  <c r="J1753" i="1"/>
  <c r="H1753" i="1"/>
  <c r="G1753" i="1"/>
  <c r="E1753" i="1"/>
  <c r="B1753" i="1"/>
  <c r="W1752" i="1"/>
  <c r="V1752" i="1"/>
  <c r="U1752" i="1"/>
  <c r="R1752" i="1"/>
  <c r="P1752" i="1"/>
  <c r="T1752" i="1" s="1"/>
  <c r="X1752" i="1" s="1" a="1"/>
  <c r="X1752" i="1" s="1"/>
  <c r="N1752" i="1"/>
  <c r="Y1752" i="1" s="1"/>
  <c r="L1752" i="1"/>
  <c r="J1752" i="1"/>
  <c r="H1752" i="1"/>
  <c r="G1752" i="1"/>
  <c r="E1752" i="1"/>
  <c r="B1752" i="1"/>
  <c r="Y1751" i="1"/>
  <c r="V1751" i="1"/>
  <c r="T1751" i="1"/>
  <c r="Z1751" i="1" s="1"/>
  <c r="R1751" i="1"/>
  <c r="P1751" i="1"/>
  <c r="N1751" i="1"/>
  <c r="L1751" i="1"/>
  <c r="J1751" i="1"/>
  <c r="H1751" i="1"/>
  <c r="G1751" i="1"/>
  <c r="E1751" i="1"/>
  <c r="B1751" i="1"/>
  <c r="U1751" i="1" s="1"/>
  <c r="R1750" i="1"/>
  <c r="T1750" i="1" s="1"/>
  <c r="P1750" i="1"/>
  <c r="N1750" i="1"/>
  <c r="Y1750" i="1" s="1"/>
  <c r="L1750" i="1"/>
  <c r="J1750" i="1"/>
  <c r="H1750" i="1"/>
  <c r="G1750" i="1"/>
  <c r="E1750" i="1"/>
  <c r="B1750" i="1"/>
  <c r="V1750" i="1" s="1"/>
  <c r="V1749" i="1"/>
  <c r="U1749" i="1"/>
  <c r="R1749" i="1"/>
  <c r="P1749" i="1"/>
  <c r="T1749" i="1" s="1"/>
  <c r="N1749" i="1"/>
  <c r="Y1749" i="1" s="1"/>
  <c r="L1749" i="1"/>
  <c r="J1749" i="1"/>
  <c r="H1749" i="1"/>
  <c r="G1749" i="1"/>
  <c r="E1749" i="1"/>
  <c r="B1749" i="1"/>
  <c r="W1749" i="1" s="1"/>
  <c r="Z1748" i="1"/>
  <c r="W1748" i="1"/>
  <c r="V1748" i="1"/>
  <c r="U1748" i="1"/>
  <c r="R1748" i="1"/>
  <c r="P1748" i="1"/>
  <c r="T1748" i="1" s="1"/>
  <c r="X1748" i="1" s="1" a="1"/>
  <c r="X1748" i="1" s="1"/>
  <c r="N1748" i="1"/>
  <c r="Y1748" i="1" s="1"/>
  <c r="L1748" i="1"/>
  <c r="J1748" i="1"/>
  <c r="H1748" i="1"/>
  <c r="G1748" i="1"/>
  <c r="E1748" i="1"/>
  <c r="B1748" i="1"/>
  <c r="Z1747" i="1"/>
  <c r="Y1747" i="1"/>
  <c r="V1747" i="1"/>
  <c r="T1747" i="1"/>
  <c r="X1747" i="1" s="1" a="1"/>
  <c r="X1747" i="1" s="1"/>
  <c r="R1747" i="1"/>
  <c r="P1747" i="1"/>
  <c r="N1747" i="1"/>
  <c r="L1747" i="1"/>
  <c r="J1747" i="1"/>
  <c r="H1747" i="1"/>
  <c r="G1747" i="1"/>
  <c r="E1747" i="1"/>
  <c r="B1747" i="1"/>
  <c r="U1747" i="1" s="1"/>
  <c r="R1746" i="1"/>
  <c r="T1746" i="1" s="1"/>
  <c r="P1746" i="1"/>
  <c r="N1746" i="1"/>
  <c r="Y1746" i="1" s="1"/>
  <c r="L1746" i="1"/>
  <c r="J1746" i="1"/>
  <c r="H1746" i="1"/>
  <c r="G1746" i="1"/>
  <c r="E1746" i="1"/>
  <c r="B1746" i="1"/>
  <c r="V1746" i="1" s="1"/>
  <c r="Y1745" i="1"/>
  <c r="W1745" i="1"/>
  <c r="V1745" i="1"/>
  <c r="U1745" i="1"/>
  <c r="T1745" i="1"/>
  <c r="Z1745" i="1" s="1"/>
  <c r="R1745" i="1"/>
  <c r="P1745" i="1"/>
  <c r="N1745" i="1"/>
  <c r="L1745" i="1"/>
  <c r="J1745" i="1"/>
  <c r="H1745" i="1"/>
  <c r="G1745" i="1"/>
  <c r="E1745" i="1"/>
  <c r="B1745" i="1"/>
  <c r="W1744" i="1"/>
  <c r="R1744" i="1"/>
  <c r="P1744" i="1"/>
  <c r="T1744" i="1" s="1"/>
  <c r="X1744" i="1" s="1" a="1"/>
  <c r="X1744" i="1" s="1"/>
  <c r="N1744" i="1"/>
  <c r="Y1744" i="1" s="1"/>
  <c r="L1744" i="1"/>
  <c r="J1744" i="1"/>
  <c r="H1744" i="1"/>
  <c r="G1744" i="1"/>
  <c r="E1744" i="1"/>
  <c r="B1744" i="1"/>
  <c r="V1744" i="1" s="1"/>
  <c r="Y1743" i="1"/>
  <c r="W1743" i="1"/>
  <c r="V1743" i="1"/>
  <c r="R1743" i="1"/>
  <c r="P1743" i="1"/>
  <c r="T1743" i="1" s="1"/>
  <c r="N1743" i="1"/>
  <c r="L1743" i="1"/>
  <c r="J1743" i="1"/>
  <c r="H1743" i="1"/>
  <c r="G1743" i="1"/>
  <c r="E1743" i="1"/>
  <c r="B1743" i="1"/>
  <c r="U1743" i="1" s="1"/>
  <c r="U1742" i="1"/>
  <c r="T1742" i="1"/>
  <c r="Z1742" i="1" s="1"/>
  <c r="R1742" i="1"/>
  <c r="P1742" i="1"/>
  <c r="N1742" i="1"/>
  <c r="Y1742" i="1" s="1"/>
  <c r="L1742" i="1"/>
  <c r="J1742" i="1"/>
  <c r="H1742" i="1"/>
  <c r="G1742" i="1"/>
  <c r="E1742" i="1"/>
  <c r="B1742" i="1"/>
  <c r="V1742" i="1" s="1"/>
  <c r="X1741" i="1" a="1"/>
  <c r="X1741" i="1" s="1"/>
  <c r="V1741" i="1"/>
  <c r="U1741" i="1"/>
  <c r="T1741" i="1"/>
  <c r="Z1741" i="1" s="1"/>
  <c r="R1741" i="1"/>
  <c r="P1741" i="1"/>
  <c r="N1741" i="1"/>
  <c r="Y1741" i="1" s="1"/>
  <c r="L1741" i="1"/>
  <c r="J1741" i="1"/>
  <c r="H1741" i="1"/>
  <c r="G1741" i="1"/>
  <c r="E1741" i="1"/>
  <c r="B1741" i="1"/>
  <c r="W1741" i="1" s="1"/>
  <c r="R1740" i="1"/>
  <c r="P1740" i="1"/>
  <c r="T1740" i="1" s="1"/>
  <c r="X1740" i="1" s="1" a="1"/>
  <c r="X1740" i="1" s="1"/>
  <c r="N1740" i="1"/>
  <c r="Y1740" i="1" s="1"/>
  <c r="L1740" i="1"/>
  <c r="J1740" i="1"/>
  <c r="H1740" i="1"/>
  <c r="G1740" i="1"/>
  <c r="E1740" i="1"/>
  <c r="B1740" i="1"/>
  <c r="W1740" i="1" s="1"/>
  <c r="Y1739" i="1"/>
  <c r="W1739" i="1"/>
  <c r="V1739" i="1"/>
  <c r="R1739" i="1"/>
  <c r="P1739" i="1"/>
  <c r="T1739" i="1" s="1"/>
  <c r="N1739" i="1"/>
  <c r="L1739" i="1"/>
  <c r="J1739" i="1"/>
  <c r="H1739" i="1"/>
  <c r="G1739" i="1"/>
  <c r="E1739" i="1"/>
  <c r="B1739" i="1"/>
  <c r="U1739" i="1" s="1"/>
  <c r="U1738" i="1"/>
  <c r="T1738" i="1"/>
  <c r="Z1738" i="1" s="1"/>
  <c r="R1738" i="1"/>
  <c r="P1738" i="1"/>
  <c r="N1738" i="1"/>
  <c r="Y1738" i="1" s="1"/>
  <c r="L1738" i="1"/>
  <c r="J1738" i="1"/>
  <c r="H1738" i="1"/>
  <c r="G1738" i="1"/>
  <c r="E1738" i="1"/>
  <c r="B1738" i="1"/>
  <c r="V1738" i="1" s="1"/>
  <c r="X1737" i="1" a="1"/>
  <c r="X1737" i="1" s="1"/>
  <c r="V1737" i="1"/>
  <c r="U1737" i="1"/>
  <c r="T1737" i="1"/>
  <c r="Z1737" i="1" s="1"/>
  <c r="R1737" i="1"/>
  <c r="P1737" i="1"/>
  <c r="N1737" i="1"/>
  <c r="Y1737" i="1" s="1"/>
  <c r="L1737" i="1"/>
  <c r="J1737" i="1"/>
  <c r="H1737" i="1"/>
  <c r="G1737" i="1"/>
  <c r="E1737" i="1"/>
  <c r="B1737" i="1"/>
  <c r="W1737" i="1" s="1"/>
  <c r="W1736" i="1"/>
  <c r="R1736" i="1"/>
  <c r="P1736" i="1"/>
  <c r="T1736" i="1" s="1"/>
  <c r="X1736" i="1" s="1" a="1"/>
  <c r="X1736" i="1" s="1"/>
  <c r="N1736" i="1"/>
  <c r="Y1736" i="1" s="1"/>
  <c r="L1736" i="1"/>
  <c r="J1736" i="1"/>
  <c r="H1736" i="1"/>
  <c r="G1736" i="1"/>
  <c r="E1736" i="1"/>
  <c r="B1736" i="1"/>
  <c r="V1736" i="1" s="1"/>
  <c r="Y1735" i="1"/>
  <c r="W1735" i="1"/>
  <c r="V1735" i="1"/>
  <c r="R1735" i="1"/>
  <c r="P1735" i="1"/>
  <c r="T1735" i="1" s="1"/>
  <c r="N1735" i="1"/>
  <c r="L1735" i="1"/>
  <c r="J1735" i="1"/>
  <c r="H1735" i="1"/>
  <c r="G1735" i="1"/>
  <c r="E1735" i="1"/>
  <c r="B1735" i="1"/>
  <c r="U1735" i="1" s="1"/>
  <c r="U1734" i="1"/>
  <c r="T1734" i="1"/>
  <c r="Z1734" i="1" s="1"/>
  <c r="R1734" i="1"/>
  <c r="P1734" i="1"/>
  <c r="N1734" i="1"/>
  <c r="Y1734" i="1" s="1"/>
  <c r="L1734" i="1"/>
  <c r="J1734" i="1"/>
  <c r="H1734" i="1"/>
  <c r="G1734" i="1"/>
  <c r="E1734" i="1"/>
  <c r="B1734" i="1"/>
  <c r="V1734" i="1" s="1"/>
  <c r="X1733" i="1" a="1"/>
  <c r="X1733" i="1" s="1"/>
  <c r="V1733" i="1"/>
  <c r="U1733" i="1"/>
  <c r="T1733" i="1"/>
  <c r="Z1733" i="1" s="1"/>
  <c r="R1733" i="1"/>
  <c r="P1733" i="1"/>
  <c r="N1733" i="1"/>
  <c r="Y1733" i="1" s="1"/>
  <c r="L1733" i="1"/>
  <c r="J1733" i="1"/>
  <c r="H1733" i="1"/>
  <c r="G1733" i="1"/>
  <c r="E1733" i="1"/>
  <c r="B1733" i="1"/>
  <c r="W1733" i="1" s="1"/>
  <c r="R1732" i="1"/>
  <c r="P1732" i="1"/>
  <c r="T1732" i="1" s="1"/>
  <c r="X1732" i="1" s="1" a="1"/>
  <c r="X1732" i="1" s="1"/>
  <c r="N1732" i="1"/>
  <c r="Y1732" i="1" s="1"/>
  <c r="L1732" i="1"/>
  <c r="J1732" i="1"/>
  <c r="H1732" i="1"/>
  <c r="G1732" i="1"/>
  <c r="E1732" i="1"/>
  <c r="B1732" i="1"/>
  <c r="W1732" i="1" s="1"/>
  <c r="Y1731" i="1"/>
  <c r="W1731" i="1"/>
  <c r="V1731" i="1"/>
  <c r="R1731" i="1"/>
  <c r="P1731" i="1"/>
  <c r="T1731" i="1" s="1"/>
  <c r="N1731" i="1"/>
  <c r="L1731" i="1"/>
  <c r="J1731" i="1"/>
  <c r="H1731" i="1"/>
  <c r="G1731" i="1"/>
  <c r="E1731" i="1"/>
  <c r="B1731" i="1"/>
  <c r="U1731" i="1" s="1"/>
  <c r="U1730" i="1"/>
  <c r="T1730" i="1"/>
  <c r="Z1730" i="1" s="1"/>
  <c r="R1730" i="1"/>
  <c r="P1730" i="1"/>
  <c r="N1730" i="1"/>
  <c r="Y1730" i="1" s="1"/>
  <c r="L1730" i="1"/>
  <c r="J1730" i="1"/>
  <c r="H1730" i="1"/>
  <c r="G1730" i="1"/>
  <c r="E1730" i="1"/>
  <c r="B1730" i="1"/>
  <c r="V1730" i="1" s="1"/>
  <c r="V1729" i="1"/>
  <c r="U1729" i="1"/>
  <c r="R1729" i="1"/>
  <c r="P1729" i="1"/>
  <c r="T1729" i="1" s="1"/>
  <c r="N1729" i="1"/>
  <c r="Y1729" i="1" s="1"/>
  <c r="L1729" i="1"/>
  <c r="J1729" i="1"/>
  <c r="H1729" i="1"/>
  <c r="G1729" i="1"/>
  <c r="E1729" i="1"/>
  <c r="B1729" i="1"/>
  <c r="W1729" i="1" s="1"/>
  <c r="Y1728" i="1"/>
  <c r="R1728" i="1"/>
  <c r="P1728" i="1"/>
  <c r="T1728" i="1" s="1"/>
  <c r="N1728" i="1"/>
  <c r="L1728" i="1"/>
  <c r="J1728" i="1"/>
  <c r="H1728" i="1"/>
  <c r="G1728" i="1"/>
  <c r="E1728" i="1"/>
  <c r="B1728" i="1"/>
  <c r="W1728" i="1" s="1"/>
  <c r="Y1727" i="1"/>
  <c r="R1727" i="1"/>
  <c r="T1727" i="1" s="1"/>
  <c r="P1727" i="1"/>
  <c r="N1727" i="1"/>
  <c r="L1727" i="1"/>
  <c r="J1727" i="1"/>
  <c r="H1727" i="1"/>
  <c r="G1727" i="1"/>
  <c r="E1727" i="1"/>
  <c r="B1727" i="1"/>
  <c r="W1727" i="1" s="1"/>
  <c r="U1726" i="1"/>
  <c r="T1726" i="1"/>
  <c r="Z1726" i="1" s="1"/>
  <c r="R1726" i="1"/>
  <c r="P1726" i="1"/>
  <c r="N1726" i="1"/>
  <c r="Y1726" i="1" s="1"/>
  <c r="L1726" i="1"/>
  <c r="J1726" i="1"/>
  <c r="H1726" i="1"/>
  <c r="G1726" i="1"/>
  <c r="E1726" i="1"/>
  <c r="B1726" i="1"/>
  <c r="W1726" i="1" s="1"/>
  <c r="W1725" i="1"/>
  <c r="V1725" i="1"/>
  <c r="U1725" i="1"/>
  <c r="R1725" i="1"/>
  <c r="P1725" i="1"/>
  <c r="T1725" i="1" s="1"/>
  <c r="N1725" i="1"/>
  <c r="Y1725" i="1" s="1"/>
  <c r="L1725" i="1"/>
  <c r="J1725" i="1"/>
  <c r="H1725" i="1"/>
  <c r="G1725" i="1"/>
  <c r="E1725" i="1"/>
  <c r="B1725" i="1"/>
  <c r="Y1724" i="1"/>
  <c r="W1724" i="1"/>
  <c r="V1724" i="1"/>
  <c r="R1724" i="1"/>
  <c r="P1724" i="1"/>
  <c r="T1724" i="1" s="1"/>
  <c r="N1724" i="1"/>
  <c r="L1724" i="1"/>
  <c r="J1724" i="1"/>
  <c r="H1724" i="1"/>
  <c r="G1724" i="1"/>
  <c r="E1724" i="1"/>
  <c r="B1724" i="1"/>
  <c r="U1724" i="1" s="1"/>
  <c r="Y1723" i="1"/>
  <c r="X1723" i="1" a="1"/>
  <c r="X1723" i="1" s="1"/>
  <c r="W1723" i="1"/>
  <c r="T1723" i="1"/>
  <c r="Z1723" i="1" s="1"/>
  <c r="R1723" i="1"/>
  <c r="P1723" i="1"/>
  <c r="N1723" i="1"/>
  <c r="L1723" i="1"/>
  <c r="J1723" i="1"/>
  <c r="H1723" i="1"/>
  <c r="G1723" i="1"/>
  <c r="E1723" i="1"/>
  <c r="B1723" i="1"/>
  <c r="V1723" i="1" s="1"/>
  <c r="X1722" i="1" a="1"/>
  <c r="X1722" i="1" s="1"/>
  <c r="U1722" i="1"/>
  <c r="T1722" i="1"/>
  <c r="Z1722" i="1" s="1"/>
  <c r="R1722" i="1"/>
  <c r="P1722" i="1"/>
  <c r="N1722" i="1"/>
  <c r="Y1722" i="1" s="1"/>
  <c r="L1722" i="1"/>
  <c r="J1722" i="1"/>
  <c r="H1722" i="1"/>
  <c r="G1722" i="1"/>
  <c r="E1722" i="1"/>
  <c r="B1722" i="1"/>
  <c r="W1722" i="1" s="1"/>
  <c r="V1721" i="1"/>
  <c r="U1721" i="1"/>
  <c r="R1721" i="1"/>
  <c r="P1721" i="1"/>
  <c r="T1721" i="1" s="1"/>
  <c r="N1721" i="1"/>
  <c r="Y1721" i="1" s="1"/>
  <c r="L1721" i="1"/>
  <c r="J1721" i="1"/>
  <c r="H1721" i="1"/>
  <c r="G1721" i="1"/>
  <c r="E1721" i="1"/>
  <c r="B1721" i="1"/>
  <c r="W1721" i="1" s="1"/>
  <c r="Y1720" i="1"/>
  <c r="W1720" i="1"/>
  <c r="R1720" i="1"/>
  <c r="P1720" i="1"/>
  <c r="T1720" i="1" s="1"/>
  <c r="N1720" i="1"/>
  <c r="L1720" i="1"/>
  <c r="J1720" i="1"/>
  <c r="H1720" i="1"/>
  <c r="G1720" i="1"/>
  <c r="E1720" i="1"/>
  <c r="B1720" i="1"/>
  <c r="Y1719" i="1"/>
  <c r="R1719" i="1"/>
  <c r="T1719" i="1" s="1"/>
  <c r="P1719" i="1"/>
  <c r="N1719" i="1"/>
  <c r="L1719" i="1"/>
  <c r="J1719" i="1"/>
  <c r="H1719" i="1"/>
  <c r="G1719" i="1"/>
  <c r="E1719" i="1"/>
  <c r="B1719" i="1"/>
  <c r="U1718" i="1"/>
  <c r="T1718" i="1"/>
  <c r="Z1718" i="1" s="1"/>
  <c r="R1718" i="1"/>
  <c r="P1718" i="1"/>
  <c r="N1718" i="1"/>
  <c r="Y1718" i="1" s="1"/>
  <c r="L1718" i="1"/>
  <c r="J1718" i="1"/>
  <c r="H1718" i="1"/>
  <c r="G1718" i="1"/>
  <c r="E1718" i="1"/>
  <c r="B1718" i="1"/>
  <c r="W1718" i="1" s="1"/>
  <c r="W1717" i="1"/>
  <c r="V1717" i="1"/>
  <c r="U1717" i="1"/>
  <c r="R1717" i="1"/>
  <c r="P1717" i="1"/>
  <c r="T1717" i="1" s="1"/>
  <c r="N1717" i="1"/>
  <c r="Y1717" i="1" s="1"/>
  <c r="L1717" i="1"/>
  <c r="J1717" i="1"/>
  <c r="H1717" i="1"/>
  <c r="G1717" i="1"/>
  <c r="E1717" i="1"/>
  <c r="B1717" i="1"/>
  <c r="Y1716" i="1"/>
  <c r="R1716" i="1"/>
  <c r="P1716" i="1"/>
  <c r="T1716" i="1" s="1"/>
  <c r="X1716" i="1" s="1" a="1"/>
  <c r="X1716" i="1" s="1"/>
  <c r="N1716" i="1"/>
  <c r="L1716" i="1"/>
  <c r="J1716" i="1"/>
  <c r="H1716" i="1"/>
  <c r="G1716" i="1"/>
  <c r="E1716" i="1"/>
  <c r="B1716" i="1"/>
  <c r="U1716" i="1" s="1"/>
  <c r="Z1715" i="1"/>
  <c r="Y1715" i="1"/>
  <c r="W1715" i="1"/>
  <c r="T1715" i="1"/>
  <c r="X1715" i="1" s="1" a="1"/>
  <c r="X1715" i="1" s="1"/>
  <c r="R1715" i="1"/>
  <c r="P1715" i="1"/>
  <c r="N1715" i="1"/>
  <c r="L1715" i="1"/>
  <c r="J1715" i="1"/>
  <c r="H1715" i="1"/>
  <c r="G1715" i="1"/>
  <c r="E1715" i="1"/>
  <c r="B1715" i="1"/>
  <c r="X1714" i="1" a="1"/>
  <c r="X1714" i="1" s="1"/>
  <c r="U1714" i="1"/>
  <c r="T1714" i="1"/>
  <c r="Z1714" i="1" s="1"/>
  <c r="R1714" i="1"/>
  <c r="P1714" i="1"/>
  <c r="N1714" i="1"/>
  <c r="Y1714" i="1" s="1"/>
  <c r="L1714" i="1"/>
  <c r="J1714" i="1"/>
  <c r="H1714" i="1"/>
  <c r="G1714" i="1"/>
  <c r="E1714" i="1"/>
  <c r="B1714" i="1"/>
  <c r="W1714" i="1" s="1"/>
  <c r="Y1713" i="1"/>
  <c r="V1713" i="1"/>
  <c r="U1713" i="1"/>
  <c r="R1713" i="1"/>
  <c r="P1713" i="1"/>
  <c r="T1713" i="1" s="1"/>
  <c r="N1713" i="1"/>
  <c r="L1713" i="1"/>
  <c r="J1713" i="1"/>
  <c r="H1713" i="1"/>
  <c r="G1713" i="1"/>
  <c r="E1713" i="1"/>
  <c r="B1713" i="1"/>
  <c r="W1713" i="1" s="1"/>
  <c r="Z1712" i="1"/>
  <c r="W1712" i="1"/>
  <c r="V1712" i="1"/>
  <c r="U1712" i="1"/>
  <c r="R1712" i="1"/>
  <c r="P1712" i="1"/>
  <c r="T1712" i="1" s="1"/>
  <c r="X1712" i="1" s="1" a="1"/>
  <c r="X1712" i="1" s="1"/>
  <c r="N1712" i="1"/>
  <c r="Y1712" i="1" s="1"/>
  <c r="L1712" i="1"/>
  <c r="J1712" i="1"/>
  <c r="H1712" i="1"/>
  <c r="G1712" i="1"/>
  <c r="E1712" i="1"/>
  <c r="B1712" i="1"/>
  <c r="Y1711" i="1"/>
  <c r="R1711" i="1"/>
  <c r="T1711" i="1" s="1"/>
  <c r="P1711" i="1"/>
  <c r="N1711" i="1"/>
  <c r="L1711" i="1"/>
  <c r="J1711" i="1"/>
  <c r="H1711" i="1"/>
  <c r="G1711" i="1"/>
  <c r="E1711" i="1"/>
  <c r="B1711" i="1"/>
  <c r="U1711" i="1" s="1"/>
  <c r="R1710" i="1"/>
  <c r="T1710" i="1" s="1"/>
  <c r="P1710" i="1"/>
  <c r="N1710" i="1"/>
  <c r="Y1710" i="1" s="1"/>
  <c r="L1710" i="1"/>
  <c r="J1710" i="1"/>
  <c r="H1710" i="1"/>
  <c r="G1710" i="1"/>
  <c r="E1710" i="1"/>
  <c r="B1710" i="1"/>
  <c r="V1710" i="1" s="1"/>
  <c r="Y1709" i="1"/>
  <c r="W1709" i="1"/>
  <c r="V1709" i="1"/>
  <c r="U1709" i="1"/>
  <c r="R1709" i="1"/>
  <c r="P1709" i="1"/>
  <c r="T1709" i="1" s="1"/>
  <c r="N1709" i="1"/>
  <c r="L1709" i="1"/>
  <c r="J1709" i="1"/>
  <c r="H1709" i="1"/>
  <c r="G1709" i="1"/>
  <c r="E1709" i="1"/>
  <c r="B1709" i="1"/>
  <c r="R1708" i="1"/>
  <c r="P1708" i="1"/>
  <c r="T1708" i="1" s="1"/>
  <c r="X1708" i="1" s="1" a="1"/>
  <c r="X1708" i="1" s="1"/>
  <c r="N1708" i="1"/>
  <c r="Y1708" i="1" s="1"/>
  <c r="L1708" i="1"/>
  <c r="J1708" i="1"/>
  <c r="H1708" i="1"/>
  <c r="G1708" i="1"/>
  <c r="E1708" i="1"/>
  <c r="B1708" i="1"/>
  <c r="W1708" i="1" s="1"/>
  <c r="Y1707" i="1"/>
  <c r="W1707" i="1"/>
  <c r="V1707" i="1"/>
  <c r="R1707" i="1"/>
  <c r="P1707" i="1"/>
  <c r="T1707" i="1" s="1"/>
  <c r="N1707" i="1"/>
  <c r="L1707" i="1"/>
  <c r="J1707" i="1"/>
  <c r="H1707" i="1"/>
  <c r="G1707" i="1"/>
  <c r="E1707" i="1"/>
  <c r="B1707" i="1"/>
  <c r="U1707" i="1" s="1"/>
  <c r="U1706" i="1"/>
  <c r="T1706" i="1"/>
  <c r="Z1706" i="1" s="1"/>
  <c r="R1706" i="1"/>
  <c r="P1706" i="1"/>
  <c r="N1706" i="1"/>
  <c r="Y1706" i="1" s="1"/>
  <c r="L1706" i="1"/>
  <c r="J1706" i="1"/>
  <c r="H1706" i="1"/>
  <c r="G1706" i="1"/>
  <c r="E1706" i="1"/>
  <c r="B1706" i="1"/>
  <c r="V1706" i="1" s="1"/>
  <c r="X1705" i="1" a="1"/>
  <c r="X1705" i="1" s="1"/>
  <c r="V1705" i="1"/>
  <c r="U1705" i="1"/>
  <c r="T1705" i="1"/>
  <c r="Z1705" i="1" s="1"/>
  <c r="R1705" i="1"/>
  <c r="P1705" i="1"/>
  <c r="N1705" i="1"/>
  <c r="Y1705" i="1" s="1"/>
  <c r="L1705" i="1"/>
  <c r="J1705" i="1"/>
  <c r="H1705" i="1"/>
  <c r="G1705" i="1"/>
  <c r="E1705" i="1"/>
  <c r="B1705" i="1"/>
  <c r="W1705" i="1" s="1"/>
  <c r="W1704" i="1"/>
  <c r="R1704" i="1"/>
  <c r="P1704" i="1"/>
  <c r="T1704" i="1" s="1"/>
  <c r="X1704" i="1" s="1" a="1"/>
  <c r="X1704" i="1" s="1"/>
  <c r="N1704" i="1"/>
  <c r="Y1704" i="1" s="1"/>
  <c r="L1704" i="1"/>
  <c r="J1704" i="1"/>
  <c r="H1704" i="1"/>
  <c r="G1704" i="1"/>
  <c r="E1704" i="1"/>
  <c r="B1704" i="1"/>
  <c r="V1704" i="1" s="1"/>
  <c r="Y1703" i="1"/>
  <c r="W1703" i="1"/>
  <c r="V1703" i="1"/>
  <c r="T1703" i="1"/>
  <c r="Z1703" i="1" s="1"/>
  <c r="R1703" i="1"/>
  <c r="P1703" i="1"/>
  <c r="N1703" i="1"/>
  <c r="L1703" i="1"/>
  <c r="J1703" i="1"/>
  <c r="H1703" i="1"/>
  <c r="G1703" i="1"/>
  <c r="E1703" i="1"/>
  <c r="B1703" i="1"/>
  <c r="U1703" i="1" s="1"/>
  <c r="T1702" i="1"/>
  <c r="Z1702" i="1" s="1"/>
  <c r="R1702" i="1"/>
  <c r="P1702" i="1"/>
  <c r="N1702" i="1"/>
  <c r="Y1702" i="1" s="1"/>
  <c r="L1702" i="1"/>
  <c r="J1702" i="1"/>
  <c r="H1702" i="1"/>
  <c r="G1702" i="1"/>
  <c r="E1702" i="1"/>
  <c r="B1702" i="1"/>
  <c r="V1702" i="1" s="1"/>
  <c r="W1701" i="1"/>
  <c r="V1701" i="1"/>
  <c r="U1701" i="1"/>
  <c r="T1701" i="1"/>
  <c r="Z1701" i="1" s="1"/>
  <c r="R1701" i="1"/>
  <c r="P1701" i="1"/>
  <c r="N1701" i="1"/>
  <c r="Y1701" i="1" s="1"/>
  <c r="L1701" i="1"/>
  <c r="J1701" i="1"/>
  <c r="H1701" i="1"/>
  <c r="G1701" i="1"/>
  <c r="E1701" i="1"/>
  <c r="B1701" i="1"/>
  <c r="Y1700" i="1"/>
  <c r="R1700" i="1"/>
  <c r="P1700" i="1"/>
  <c r="N1700" i="1"/>
  <c r="L1700" i="1"/>
  <c r="J1700" i="1"/>
  <c r="H1700" i="1"/>
  <c r="G1700" i="1"/>
  <c r="E1700" i="1"/>
  <c r="B1700" i="1"/>
  <c r="U1700" i="1" s="1"/>
  <c r="Y1699" i="1"/>
  <c r="R1699" i="1"/>
  <c r="P1699" i="1"/>
  <c r="T1699" i="1" s="1"/>
  <c r="N1699" i="1"/>
  <c r="L1699" i="1"/>
  <c r="J1699" i="1"/>
  <c r="H1699" i="1"/>
  <c r="G1699" i="1"/>
  <c r="E1699" i="1"/>
  <c r="B1699" i="1"/>
  <c r="U1699" i="1" s="1"/>
  <c r="Z1698" i="1"/>
  <c r="W1698" i="1"/>
  <c r="U1698" i="1"/>
  <c r="T1698" i="1"/>
  <c r="X1698" i="1" s="1" a="1"/>
  <c r="X1698" i="1" s="1"/>
  <c r="R1698" i="1"/>
  <c r="P1698" i="1"/>
  <c r="N1698" i="1"/>
  <c r="Y1698" i="1" s="1"/>
  <c r="L1698" i="1"/>
  <c r="J1698" i="1"/>
  <c r="H1698" i="1"/>
  <c r="G1698" i="1"/>
  <c r="E1698" i="1"/>
  <c r="B1698" i="1"/>
  <c r="V1698" i="1" s="1"/>
  <c r="X1697" i="1"/>
  <c r="X1697" i="1" a="1"/>
  <c r="V1697" i="1"/>
  <c r="U1697" i="1"/>
  <c r="T1697" i="1"/>
  <c r="Z1697" i="1" s="1"/>
  <c r="R1697" i="1"/>
  <c r="P1697" i="1"/>
  <c r="N1697" i="1"/>
  <c r="Y1697" i="1" s="1"/>
  <c r="L1697" i="1"/>
  <c r="J1697" i="1"/>
  <c r="H1697" i="1"/>
  <c r="G1697" i="1"/>
  <c r="E1697" i="1"/>
  <c r="B1697" i="1"/>
  <c r="W1697" i="1" s="1"/>
  <c r="Y1696" i="1"/>
  <c r="R1696" i="1"/>
  <c r="P1696" i="1"/>
  <c r="N1696" i="1"/>
  <c r="L1696" i="1"/>
  <c r="J1696" i="1"/>
  <c r="H1696" i="1"/>
  <c r="G1696" i="1"/>
  <c r="E1696" i="1"/>
  <c r="B1696" i="1"/>
  <c r="W1696" i="1" s="1"/>
  <c r="Y1695" i="1"/>
  <c r="W1695" i="1"/>
  <c r="V1695" i="1"/>
  <c r="R1695" i="1"/>
  <c r="P1695" i="1"/>
  <c r="T1695" i="1" s="1"/>
  <c r="N1695" i="1"/>
  <c r="L1695" i="1"/>
  <c r="J1695" i="1"/>
  <c r="H1695" i="1"/>
  <c r="G1695" i="1"/>
  <c r="E1695" i="1"/>
  <c r="B1695" i="1"/>
  <c r="U1695" i="1" s="1"/>
  <c r="W1694" i="1"/>
  <c r="U1694" i="1"/>
  <c r="T1694" i="1"/>
  <c r="Z1694" i="1" s="1"/>
  <c r="R1694" i="1"/>
  <c r="P1694" i="1"/>
  <c r="N1694" i="1"/>
  <c r="Y1694" i="1" s="1"/>
  <c r="L1694" i="1"/>
  <c r="J1694" i="1"/>
  <c r="H1694" i="1"/>
  <c r="G1694" i="1"/>
  <c r="E1694" i="1"/>
  <c r="B1694" i="1"/>
  <c r="V1694" i="1" s="1"/>
  <c r="W1693" i="1"/>
  <c r="V1693" i="1"/>
  <c r="U1693" i="1"/>
  <c r="T1693" i="1"/>
  <c r="Z1693" i="1" s="1"/>
  <c r="R1693" i="1"/>
  <c r="P1693" i="1"/>
  <c r="N1693" i="1"/>
  <c r="Y1693" i="1" s="1"/>
  <c r="L1693" i="1"/>
  <c r="J1693" i="1"/>
  <c r="H1693" i="1"/>
  <c r="G1693" i="1"/>
  <c r="E1693" i="1"/>
  <c r="B1693" i="1"/>
  <c r="Y1692" i="1"/>
  <c r="U1692" i="1"/>
  <c r="R1692" i="1"/>
  <c r="P1692" i="1"/>
  <c r="N1692" i="1"/>
  <c r="L1692" i="1"/>
  <c r="J1692" i="1"/>
  <c r="H1692" i="1"/>
  <c r="G1692" i="1"/>
  <c r="E1692" i="1"/>
  <c r="B1692" i="1"/>
  <c r="V1692" i="1" s="1"/>
  <c r="Y1691" i="1"/>
  <c r="R1691" i="1"/>
  <c r="P1691" i="1"/>
  <c r="T1691" i="1" s="1"/>
  <c r="N1691" i="1"/>
  <c r="L1691" i="1"/>
  <c r="J1691" i="1"/>
  <c r="H1691" i="1"/>
  <c r="G1691" i="1"/>
  <c r="E1691" i="1"/>
  <c r="B1691" i="1"/>
  <c r="U1691" i="1" s="1"/>
  <c r="R1690" i="1"/>
  <c r="T1690" i="1" s="1"/>
  <c r="P1690" i="1"/>
  <c r="N1690" i="1"/>
  <c r="Y1690" i="1" s="1"/>
  <c r="L1690" i="1"/>
  <c r="J1690" i="1"/>
  <c r="H1690" i="1"/>
  <c r="G1690" i="1"/>
  <c r="E1690" i="1"/>
  <c r="B1690" i="1"/>
  <c r="V1690" i="1" s="1"/>
  <c r="V1689" i="1"/>
  <c r="U1689" i="1"/>
  <c r="R1689" i="1"/>
  <c r="P1689" i="1"/>
  <c r="T1689" i="1" s="1"/>
  <c r="N1689" i="1"/>
  <c r="Y1689" i="1" s="1"/>
  <c r="L1689" i="1"/>
  <c r="J1689" i="1"/>
  <c r="H1689" i="1"/>
  <c r="G1689" i="1"/>
  <c r="E1689" i="1"/>
  <c r="B1689" i="1"/>
  <c r="W1689" i="1" s="1"/>
  <c r="Y1688" i="1"/>
  <c r="V1688" i="1"/>
  <c r="U1688" i="1"/>
  <c r="R1688" i="1"/>
  <c r="P1688" i="1"/>
  <c r="N1688" i="1"/>
  <c r="L1688" i="1"/>
  <c r="J1688" i="1"/>
  <c r="H1688" i="1"/>
  <c r="G1688" i="1"/>
  <c r="E1688" i="1"/>
  <c r="B1688" i="1"/>
  <c r="W1688" i="1" s="1"/>
  <c r="Y1687" i="1"/>
  <c r="X1687" i="1" a="1"/>
  <c r="X1687" i="1" s="1"/>
  <c r="W1687" i="1"/>
  <c r="T1687" i="1"/>
  <c r="Z1687" i="1" s="1"/>
  <c r="R1687" i="1"/>
  <c r="P1687" i="1"/>
  <c r="N1687" i="1"/>
  <c r="L1687" i="1"/>
  <c r="J1687" i="1"/>
  <c r="H1687" i="1"/>
  <c r="G1687" i="1"/>
  <c r="E1687" i="1"/>
  <c r="B1687" i="1"/>
  <c r="U1687" i="1" s="1"/>
  <c r="W1686" i="1"/>
  <c r="R1686" i="1"/>
  <c r="T1686" i="1" s="1"/>
  <c r="P1686" i="1"/>
  <c r="N1686" i="1"/>
  <c r="Y1686" i="1" s="1"/>
  <c r="L1686" i="1"/>
  <c r="J1686" i="1"/>
  <c r="H1686" i="1"/>
  <c r="G1686" i="1"/>
  <c r="E1686" i="1"/>
  <c r="B1686" i="1"/>
  <c r="V1686" i="1" s="1"/>
  <c r="Y1685" i="1"/>
  <c r="W1685" i="1"/>
  <c r="V1685" i="1"/>
  <c r="U1685" i="1"/>
  <c r="R1685" i="1"/>
  <c r="P1685" i="1"/>
  <c r="T1685" i="1" s="1"/>
  <c r="N1685" i="1"/>
  <c r="L1685" i="1"/>
  <c r="J1685" i="1"/>
  <c r="H1685" i="1"/>
  <c r="G1685" i="1"/>
  <c r="E1685" i="1"/>
  <c r="B1685" i="1"/>
  <c r="W1684" i="1"/>
  <c r="V1684" i="1"/>
  <c r="U1684" i="1"/>
  <c r="R1684" i="1"/>
  <c r="P1684" i="1"/>
  <c r="T1684" i="1" s="1"/>
  <c r="X1684" i="1" s="1" a="1"/>
  <c r="X1684" i="1" s="1"/>
  <c r="N1684" i="1"/>
  <c r="Y1684" i="1" s="1"/>
  <c r="L1684" i="1"/>
  <c r="J1684" i="1"/>
  <c r="H1684" i="1"/>
  <c r="G1684" i="1"/>
  <c r="E1684" i="1"/>
  <c r="B1684" i="1"/>
  <c r="W1683" i="1"/>
  <c r="V1683" i="1"/>
  <c r="R1683" i="1"/>
  <c r="P1683" i="1"/>
  <c r="T1683" i="1" s="1"/>
  <c r="N1683" i="1"/>
  <c r="Y1683" i="1" s="1"/>
  <c r="L1683" i="1"/>
  <c r="J1683" i="1"/>
  <c r="H1683" i="1"/>
  <c r="G1683" i="1"/>
  <c r="E1683" i="1"/>
  <c r="B1683" i="1"/>
  <c r="U1683" i="1" s="1"/>
  <c r="W1682" i="1"/>
  <c r="U1682" i="1"/>
  <c r="R1682" i="1"/>
  <c r="P1682" i="1"/>
  <c r="T1682" i="1" s="1"/>
  <c r="N1682" i="1"/>
  <c r="Y1682" i="1" s="1"/>
  <c r="L1682" i="1"/>
  <c r="J1682" i="1"/>
  <c r="H1682" i="1"/>
  <c r="G1682" i="1"/>
  <c r="E1682" i="1"/>
  <c r="B1682" i="1"/>
  <c r="V1682" i="1" s="1"/>
  <c r="V1681" i="1"/>
  <c r="U1681" i="1"/>
  <c r="R1681" i="1"/>
  <c r="P1681" i="1"/>
  <c r="T1681" i="1" s="1"/>
  <c r="N1681" i="1"/>
  <c r="Y1681" i="1" s="1"/>
  <c r="L1681" i="1"/>
  <c r="J1681" i="1"/>
  <c r="H1681" i="1"/>
  <c r="G1681" i="1"/>
  <c r="E1681" i="1"/>
  <c r="B1681" i="1"/>
  <c r="W1681" i="1" s="1"/>
  <c r="V1680" i="1"/>
  <c r="U1680" i="1"/>
  <c r="R1680" i="1"/>
  <c r="P1680" i="1"/>
  <c r="T1680" i="1" s="1"/>
  <c r="N1680" i="1"/>
  <c r="Y1680" i="1" s="1"/>
  <c r="L1680" i="1"/>
  <c r="J1680" i="1"/>
  <c r="H1680" i="1"/>
  <c r="G1680" i="1"/>
  <c r="E1680" i="1"/>
  <c r="B1680" i="1"/>
  <c r="W1680" i="1" s="1"/>
  <c r="Y1679" i="1"/>
  <c r="V1679" i="1"/>
  <c r="R1679" i="1"/>
  <c r="P1679" i="1"/>
  <c r="T1679" i="1" s="1"/>
  <c r="N1679" i="1"/>
  <c r="L1679" i="1"/>
  <c r="J1679" i="1"/>
  <c r="H1679" i="1"/>
  <c r="G1679" i="1"/>
  <c r="E1679" i="1"/>
  <c r="B1679" i="1"/>
  <c r="W1679" i="1" s="1"/>
  <c r="Y1678" i="1"/>
  <c r="X1678" i="1" a="1"/>
  <c r="X1678" i="1" s="1"/>
  <c r="W1678" i="1"/>
  <c r="V1678" i="1"/>
  <c r="T1678" i="1"/>
  <c r="Z1678" i="1" s="1"/>
  <c r="R1678" i="1"/>
  <c r="P1678" i="1"/>
  <c r="N1678" i="1"/>
  <c r="L1678" i="1"/>
  <c r="J1678" i="1"/>
  <c r="H1678" i="1"/>
  <c r="G1678" i="1"/>
  <c r="E1678" i="1"/>
  <c r="B1678" i="1"/>
  <c r="U1678" i="1" s="1"/>
  <c r="X1677" i="1" a="1"/>
  <c r="X1677" i="1" s="1"/>
  <c r="W1677" i="1"/>
  <c r="U1677" i="1"/>
  <c r="T1677" i="1"/>
  <c r="Z1677" i="1" s="1"/>
  <c r="R1677" i="1"/>
  <c r="P1677" i="1"/>
  <c r="N1677" i="1"/>
  <c r="Y1677" i="1" s="1"/>
  <c r="L1677" i="1"/>
  <c r="J1677" i="1"/>
  <c r="H1677" i="1"/>
  <c r="G1677" i="1"/>
  <c r="E1677" i="1"/>
  <c r="B1677" i="1"/>
  <c r="V1677" i="1" s="1"/>
  <c r="W1676" i="1"/>
  <c r="V1676" i="1"/>
  <c r="U1676" i="1"/>
  <c r="R1676" i="1"/>
  <c r="P1676" i="1"/>
  <c r="T1676" i="1" s="1"/>
  <c r="N1676" i="1"/>
  <c r="Y1676" i="1" s="1"/>
  <c r="L1676" i="1"/>
  <c r="J1676" i="1"/>
  <c r="H1676" i="1"/>
  <c r="G1676" i="1"/>
  <c r="E1676" i="1"/>
  <c r="B1676" i="1"/>
  <c r="Y1675" i="1"/>
  <c r="R1675" i="1"/>
  <c r="P1675" i="1"/>
  <c r="T1675" i="1" s="1"/>
  <c r="N1675" i="1"/>
  <c r="L1675" i="1"/>
  <c r="J1675" i="1"/>
  <c r="H1675" i="1"/>
  <c r="G1675" i="1"/>
  <c r="E1675" i="1"/>
  <c r="B1675" i="1"/>
  <c r="W1675" i="1" s="1"/>
  <c r="Y1674" i="1"/>
  <c r="R1674" i="1"/>
  <c r="T1674" i="1" s="1"/>
  <c r="P1674" i="1"/>
  <c r="N1674" i="1"/>
  <c r="L1674" i="1"/>
  <c r="J1674" i="1"/>
  <c r="H1674" i="1"/>
  <c r="G1674" i="1"/>
  <c r="E1674" i="1"/>
  <c r="B1674" i="1"/>
  <c r="W1674" i="1" s="1"/>
  <c r="U1673" i="1"/>
  <c r="T1673" i="1"/>
  <c r="Z1673" i="1" s="1"/>
  <c r="R1673" i="1"/>
  <c r="P1673" i="1"/>
  <c r="N1673" i="1"/>
  <c r="Y1673" i="1" s="1"/>
  <c r="L1673" i="1"/>
  <c r="J1673" i="1"/>
  <c r="H1673" i="1"/>
  <c r="G1673" i="1"/>
  <c r="E1673" i="1"/>
  <c r="B1673" i="1"/>
  <c r="W1673" i="1" s="1"/>
  <c r="Y1672" i="1"/>
  <c r="V1672" i="1"/>
  <c r="U1672" i="1"/>
  <c r="R1672" i="1"/>
  <c r="P1672" i="1"/>
  <c r="T1672" i="1" s="1"/>
  <c r="N1672" i="1"/>
  <c r="L1672" i="1"/>
  <c r="J1672" i="1"/>
  <c r="H1672" i="1"/>
  <c r="G1672" i="1"/>
  <c r="E1672" i="1"/>
  <c r="B1672" i="1"/>
  <c r="W1672" i="1" s="1"/>
  <c r="Y1671" i="1"/>
  <c r="W1671" i="1"/>
  <c r="V1671" i="1"/>
  <c r="R1671" i="1"/>
  <c r="P1671" i="1"/>
  <c r="T1671" i="1" s="1"/>
  <c r="N1671" i="1"/>
  <c r="L1671" i="1"/>
  <c r="J1671" i="1"/>
  <c r="H1671" i="1"/>
  <c r="G1671" i="1"/>
  <c r="E1671" i="1"/>
  <c r="B1671" i="1"/>
  <c r="U1671" i="1" s="1"/>
  <c r="Y1670" i="1"/>
  <c r="X1670" i="1" a="1"/>
  <c r="X1670" i="1" s="1"/>
  <c r="W1670" i="1"/>
  <c r="V1670" i="1"/>
  <c r="T1670" i="1"/>
  <c r="Z1670" i="1" s="1"/>
  <c r="R1670" i="1"/>
  <c r="P1670" i="1"/>
  <c r="N1670" i="1"/>
  <c r="L1670" i="1"/>
  <c r="J1670" i="1"/>
  <c r="H1670" i="1"/>
  <c r="G1670" i="1"/>
  <c r="E1670" i="1"/>
  <c r="B1670" i="1"/>
  <c r="U1670" i="1" s="1"/>
  <c r="X1669" i="1" a="1"/>
  <c r="X1669" i="1" s="1"/>
  <c r="W1669" i="1"/>
  <c r="U1669" i="1"/>
  <c r="T1669" i="1"/>
  <c r="Z1669" i="1" s="1"/>
  <c r="R1669" i="1"/>
  <c r="P1669" i="1"/>
  <c r="N1669" i="1"/>
  <c r="Y1669" i="1" s="1"/>
  <c r="L1669" i="1"/>
  <c r="J1669" i="1"/>
  <c r="H1669" i="1"/>
  <c r="G1669" i="1"/>
  <c r="E1669" i="1"/>
  <c r="B1669" i="1"/>
  <c r="V1669" i="1" s="1"/>
  <c r="W1668" i="1"/>
  <c r="V1668" i="1"/>
  <c r="U1668" i="1"/>
  <c r="R1668" i="1"/>
  <c r="P1668" i="1"/>
  <c r="T1668" i="1" s="1"/>
  <c r="N1668" i="1"/>
  <c r="Y1668" i="1" s="1"/>
  <c r="L1668" i="1"/>
  <c r="J1668" i="1"/>
  <c r="H1668" i="1"/>
  <c r="G1668" i="1"/>
  <c r="E1668" i="1"/>
  <c r="B1668" i="1"/>
  <c r="Y1667" i="1"/>
  <c r="R1667" i="1"/>
  <c r="P1667" i="1"/>
  <c r="T1667" i="1" s="1"/>
  <c r="N1667" i="1"/>
  <c r="L1667" i="1"/>
  <c r="J1667" i="1"/>
  <c r="H1667" i="1"/>
  <c r="G1667" i="1"/>
  <c r="E1667" i="1"/>
  <c r="B1667" i="1"/>
  <c r="W1667" i="1" s="1"/>
  <c r="Y1666" i="1"/>
  <c r="R1666" i="1"/>
  <c r="T1666" i="1" s="1"/>
  <c r="P1666" i="1"/>
  <c r="N1666" i="1"/>
  <c r="L1666" i="1"/>
  <c r="J1666" i="1"/>
  <c r="H1666" i="1"/>
  <c r="G1666" i="1"/>
  <c r="E1666" i="1"/>
  <c r="B1666" i="1"/>
  <c r="W1666" i="1" s="1"/>
  <c r="U1665" i="1"/>
  <c r="T1665" i="1"/>
  <c r="Z1665" i="1" s="1"/>
  <c r="R1665" i="1"/>
  <c r="P1665" i="1"/>
  <c r="N1665" i="1"/>
  <c r="Y1665" i="1" s="1"/>
  <c r="L1665" i="1"/>
  <c r="J1665" i="1"/>
  <c r="H1665" i="1"/>
  <c r="G1665" i="1"/>
  <c r="E1665" i="1"/>
  <c r="B1665" i="1"/>
  <c r="W1665" i="1" s="1"/>
  <c r="Y1664" i="1"/>
  <c r="V1664" i="1"/>
  <c r="U1664" i="1"/>
  <c r="R1664" i="1"/>
  <c r="P1664" i="1"/>
  <c r="T1664" i="1" s="1"/>
  <c r="N1664" i="1"/>
  <c r="L1664" i="1"/>
  <c r="J1664" i="1"/>
  <c r="H1664" i="1"/>
  <c r="G1664" i="1"/>
  <c r="E1664" i="1"/>
  <c r="B1664" i="1"/>
  <c r="W1664" i="1" s="1"/>
  <c r="Y1663" i="1"/>
  <c r="W1663" i="1"/>
  <c r="V1663" i="1"/>
  <c r="R1663" i="1"/>
  <c r="P1663" i="1"/>
  <c r="T1663" i="1" s="1"/>
  <c r="N1663" i="1"/>
  <c r="L1663" i="1"/>
  <c r="J1663" i="1"/>
  <c r="H1663" i="1"/>
  <c r="G1663" i="1"/>
  <c r="E1663" i="1"/>
  <c r="B1663" i="1"/>
  <c r="U1663" i="1" s="1"/>
  <c r="Y1662" i="1"/>
  <c r="X1662" i="1" a="1"/>
  <c r="X1662" i="1" s="1"/>
  <c r="W1662" i="1"/>
  <c r="V1662" i="1"/>
  <c r="T1662" i="1"/>
  <c r="Z1662" i="1" s="1"/>
  <c r="R1662" i="1"/>
  <c r="P1662" i="1"/>
  <c r="N1662" i="1"/>
  <c r="L1662" i="1"/>
  <c r="J1662" i="1"/>
  <c r="H1662" i="1"/>
  <c r="G1662" i="1"/>
  <c r="E1662" i="1"/>
  <c r="B1662" i="1"/>
  <c r="U1662" i="1" s="1"/>
  <c r="X1661" i="1" a="1"/>
  <c r="X1661" i="1" s="1"/>
  <c r="W1661" i="1"/>
  <c r="U1661" i="1"/>
  <c r="T1661" i="1"/>
  <c r="Z1661" i="1" s="1"/>
  <c r="R1661" i="1"/>
  <c r="P1661" i="1"/>
  <c r="N1661" i="1"/>
  <c r="Y1661" i="1" s="1"/>
  <c r="L1661" i="1"/>
  <c r="J1661" i="1"/>
  <c r="H1661" i="1"/>
  <c r="G1661" i="1"/>
  <c r="E1661" i="1"/>
  <c r="B1661" i="1"/>
  <c r="V1661" i="1" s="1"/>
  <c r="W1660" i="1"/>
  <c r="V1660" i="1"/>
  <c r="U1660" i="1"/>
  <c r="R1660" i="1"/>
  <c r="P1660" i="1"/>
  <c r="T1660" i="1" s="1"/>
  <c r="N1660" i="1"/>
  <c r="Y1660" i="1" s="1"/>
  <c r="L1660" i="1"/>
  <c r="J1660" i="1"/>
  <c r="H1660" i="1"/>
  <c r="G1660" i="1"/>
  <c r="E1660" i="1"/>
  <c r="B1660" i="1"/>
  <c r="Y1659" i="1"/>
  <c r="R1659" i="1"/>
  <c r="P1659" i="1"/>
  <c r="T1659" i="1" s="1"/>
  <c r="N1659" i="1"/>
  <c r="L1659" i="1"/>
  <c r="J1659" i="1"/>
  <c r="H1659" i="1"/>
  <c r="G1659" i="1"/>
  <c r="E1659" i="1"/>
  <c r="B1659" i="1"/>
  <c r="W1659" i="1" s="1"/>
  <c r="Y1658" i="1"/>
  <c r="R1658" i="1"/>
  <c r="T1658" i="1" s="1"/>
  <c r="P1658" i="1"/>
  <c r="N1658" i="1"/>
  <c r="L1658" i="1"/>
  <c r="J1658" i="1"/>
  <c r="H1658" i="1"/>
  <c r="G1658" i="1"/>
  <c r="E1658" i="1"/>
  <c r="B1658" i="1"/>
  <c r="W1658" i="1" s="1"/>
  <c r="U1657" i="1"/>
  <c r="T1657" i="1"/>
  <c r="Z1657" i="1" s="1"/>
  <c r="R1657" i="1"/>
  <c r="P1657" i="1"/>
  <c r="N1657" i="1"/>
  <c r="Y1657" i="1" s="1"/>
  <c r="L1657" i="1"/>
  <c r="J1657" i="1"/>
  <c r="H1657" i="1"/>
  <c r="G1657" i="1"/>
  <c r="E1657" i="1"/>
  <c r="B1657" i="1"/>
  <c r="W1657" i="1" s="1"/>
  <c r="Y1656" i="1"/>
  <c r="V1656" i="1"/>
  <c r="U1656" i="1"/>
  <c r="R1656" i="1"/>
  <c r="P1656" i="1"/>
  <c r="T1656" i="1" s="1"/>
  <c r="N1656" i="1"/>
  <c r="L1656" i="1"/>
  <c r="J1656" i="1"/>
  <c r="H1656" i="1"/>
  <c r="G1656" i="1"/>
  <c r="E1656" i="1"/>
  <c r="B1656" i="1"/>
  <c r="W1656" i="1" s="1"/>
  <c r="Y1655" i="1"/>
  <c r="W1655" i="1"/>
  <c r="V1655" i="1"/>
  <c r="R1655" i="1"/>
  <c r="P1655" i="1"/>
  <c r="T1655" i="1" s="1"/>
  <c r="N1655" i="1"/>
  <c r="L1655" i="1"/>
  <c r="J1655" i="1"/>
  <c r="H1655" i="1"/>
  <c r="G1655" i="1"/>
  <c r="E1655" i="1"/>
  <c r="B1655" i="1"/>
  <c r="U1655" i="1" s="1"/>
  <c r="Y1654" i="1"/>
  <c r="X1654" i="1" a="1"/>
  <c r="X1654" i="1" s="1"/>
  <c r="W1654" i="1"/>
  <c r="V1654" i="1"/>
  <c r="T1654" i="1"/>
  <c r="Z1654" i="1" s="1"/>
  <c r="R1654" i="1"/>
  <c r="P1654" i="1"/>
  <c r="N1654" i="1"/>
  <c r="L1654" i="1"/>
  <c r="J1654" i="1"/>
  <c r="H1654" i="1"/>
  <c r="G1654" i="1"/>
  <c r="E1654" i="1"/>
  <c r="B1654" i="1"/>
  <c r="U1654" i="1" s="1"/>
  <c r="X1653" i="1" a="1"/>
  <c r="X1653" i="1" s="1"/>
  <c r="W1653" i="1"/>
  <c r="U1653" i="1"/>
  <c r="T1653" i="1"/>
  <c r="Z1653" i="1" s="1"/>
  <c r="R1653" i="1"/>
  <c r="P1653" i="1"/>
  <c r="N1653" i="1"/>
  <c r="Y1653" i="1" s="1"/>
  <c r="L1653" i="1"/>
  <c r="J1653" i="1"/>
  <c r="H1653" i="1"/>
  <c r="G1653" i="1"/>
  <c r="E1653" i="1"/>
  <c r="B1653" i="1"/>
  <c r="V1653" i="1" s="1"/>
  <c r="W1652" i="1"/>
  <c r="V1652" i="1"/>
  <c r="U1652" i="1"/>
  <c r="R1652" i="1"/>
  <c r="P1652" i="1"/>
  <c r="T1652" i="1" s="1"/>
  <c r="N1652" i="1"/>
  <c r="Y1652" i="1" s="1"/>
  <c r="L1652" i="1"/>
  <c r="J1652" i="1"/>
  <c r="H1652" i="1"/>
  <c r="G1652" i="1"/>
  <c r="E1652" i="1"/>
  <c r="B1652" i="1"/>
  <c r="Y1651" i="1"/>
  <c r="R1651" i="1"/>
  <c r="P1651" i="1"/>
  <c r="T1651" i="1" s="1"/>
  <c r="N1651" i="1"/>
  <c r="L1651" i="1"/>
  <c r="J1651" i="1"/>
  <c r="H1651" i="1"/>
  <c r="G1651" i="1"/>
  <c r="E1651" i="1"/>
  <c r="B1651" i="1"/>
  <c r="W1651" i="1" s="1"/>
  <c r="Y1650" i="1"/>
  <c r="R1650" i="1"/>
  <c r="T1650" i="1" s="1"/>
  <c r="P1650" i="1"/>
  <c r="N1650" i="1"/>
  <c r="L1650" i="1"/>
  <c r="J1650" i="1"/>
  <c r="H1650" i="1"/>
  <c r="G1650" i="1"/>
  <c r="E1650" i="1"/>
  <c r="B1650" i="1"/>
  <c r="W1650" i="1" s="1"/>
  <c r="U1649" i="1"/>
  <c r="T1649" i="1"/>
  <c r="Z1649" i="1" s="1"/>
  <c r="R1649" i="1"/>
  <c r="P1649" i="1"/>
  <c r="N1649" i="1"/>
  <c r="Y1649" i="1" s="1"/>
  <c r="L1649" i="1"/>
  <c r="J1649" i="1"/>
  <c r="H1649" i="1"/>
  <c r="G1649" i="1"/>
  <c r="E1649" i="1"/>
  <c r="B1649" i="1"/>
  <c r="W1649" i="1" s="1"/>
  <c r="Y1648" i="1"/>
  <c r="V1648" i="1"/>
  <c r="U1648" i="1"/>
  <c r="R1648" i="1"/>
  <c r="P1648" i="1"/>
  <c r="T1648" i="1" s="1"/>
  <c r="N1648" i="1"/>
  <c r="L1648" i="1"/>
  <c r="J1648" i="1"/>
  <c r="H1648" i="1"/>
  <c r="G1648" i="1"/>
  <c r="E1648" i="1"/>
  <c r="B1648" i="1"/>
  <c r="W1648" i="1" s="1"/>
  <c r="Y1647" i="1"/>
  <c r="W1647" i="1"/>
  <c r="V1647" i="1"/>
  <c r="R1647" i="1"/>
  <c r="P1647" i="1"/>
  <c r="T1647" i="1" s="1"/>
  <c r="N1647" i="1"/>
  <c r="L1647" i="1"/>
  <c r="J1647" i="1"/>
  <c r="H1647" i="1"/>
  <c r="G1647" i="1"/>
  <c r="E1647" i="1"/>
  <c r="B1647" i="1"/>
  <c r="U1647" i="1" s="1"/>
  <c r="Y1646" i="1"/>
  <c r="X1646" i="1" a="1"/>
  <c r="X1646" i="1" s="1"/>
  <c r="W1646" i="1"/>
  <c r="V1646" i="1"/>
  <c r="T1646" i="1"/>
  <c r="Z1646" i="1" s="1"/>
  <c r="R1646" i="1"/>
  <c r="P1646" i="1"/>
  <c r="N1646" i="1"/>
  <c r="L1646" i="1"/>
  <c r="J1646" i="1"/>
  <c r="H1646" i="1"/>
  <c r="G1646" i="1"/>
  <c r="E1646" i="1"/>
  <c r="B1646" i="1"/>
  <c r="U1646" i="1" s="1"/>
  <c r="X1645" i="1" a="1"/>
  <c r="X1645" i="1" s="1"/>
  <c r="W1645" i="1"/>
  <c r="U1645" i="1"/>
  <c r="T1645" i="1"/>
  <c r="Z1645" i="1" s="1"/>
  <c r="R1645" i="1"/>
  <c r="P1645" i="1"/>
  <c r="N1645" i="1"/>
  <c r="Y1645" i="1" s="1"/>
  <c r="L1645" i="1"/>
  <c r="J1645" i="1"/>
  <c r="H1645" i="1"/>
  <c r="G1645" i="1"/>
  <c r="E1645" i="1"/>
  <c r="B1645" i="1"/>
  <c r="V1645" i="1" s="1"/>
  <c r="W1644" i="1"/>
  <c r="V1644" i="1"/>
  <c r="U1644" i="1"/>
  <c r="R1644" i="1"/>
  <c r="P1644" i="1"/>
  <c r="T1644" i="1" s="1"/>
  <c r="N1644" i="1"/>
  <c r="Y1644" i="1" s="1"/>
  <c r="L1644" i="1"/>
  <c r="J1644" i="1"/>
  <c r="H1644" i="1"/>
  <c r="G1644" i="1"/>
  <c r="E1644" i="1"/>
  <c r="B1644" i="1"/>
  <c r="Y1643" i="1"/>
  <c r="R1643" i="1"/>
  <c r="P1643" i="1"/>
  <c r="T1643" i="1" s="1"/>
  <c r="N1643" i="1"/>
  <c r="L1643" i="1"/>
  <c r="J1643" i="1"/>
  <c r="H1643" i="1"/>
  <c r="G1643" i="1"/>
  <c r="E1643" i="1"/>
  <c r="B1643" i="1"/>
  <c r="W1643" i="1" s="1"/>
  <c r="Y1642" i="1"/>
  <c r="R1642" i="1"/>
  <c r="T1642" i="1" s="1"/>
  <c r="P1642" i="1"/>
  <c r="N1642" i="1"/>
  <c r="L1642" i="1"/>
  <c r="J1642" i="1"/>
  <c r="H1642" i="1"/>
  <c r="G1642" i="1"/>
  <c r="E1642" i="1"/>
  <c r="B1642" i="1"/>
  <c r="W1642" i="1" s="1"/>
  <c r="U1641" i="1"/>
  <c r="T1641" i="1"/>
  <c r="Z1641" i="1" s="1"/>
  <c r="R1641" i="1"/>
  <c r="P1641" i="1"/>
  <c r="N1641" i="1"/>
  <c r="Y1641" i="1" s="1"/>
  <c r="L1641" i="1"/>
  <c r="J1641" i="1"/>
  <c r="H1641" i="1"/>
  <c r="G1641" i="1"/>
  <c r="E1641" i="1"/>
  <c r="B1641" i="1"/>
  <c r="W1641" i="1" s="1"/>
  <c r="Y1640" i="1"/>
  <c r="V1640" i="1"/>
  <c r="U1640" i="1"/>
  <c r="R1640" i="1"/>
  <c r="P1640" i="1"/>
  <c r="T1640" i="1" s="1"/>
  <c r="N1640" i="1"/>
  <c r="L1640" i="1"/>
  <c r="J1640" i="1"/>
  <c r="H1640" i="1"/>
  <c r="G1640" i="1"/>
  <c r="E1640" i="1"/>
  <c r="B1640" i="1"/>
  <c r="W1640" i="1" s="1"/>
  <c r="Y1639" i="1"/>
  <c r="W1639" i="1"/>
  <c r="V1639" i="1"/>
  <c r="R1639" i="1"/>
  <c r="P1639" i="1"/>
  <c r="T1639" i="1" s="1"/>
  <c r="N1639" i="1"/>
  <c r="L1639" i="1"/>
  <c r="J1639" i="1"/>
  <c r="H1639" i="1"/>
  <c r="G1639" i="1"/>
  <c r="E1639" i="1"/>
  <c r="B1639" i="1"/>
  <c r="U1639" i="1" s="1"/>
  <c r="Y1638" i="1"/>
  <c r="X1638" i="1" a="1"/>
  <c r="X1638" i="1" s="1"/>
  <c r="W1638" i="1"/>
  <c r="V1638" i="1"/>
  <c r="T1638" i="1"/>
  <c r="Z1638" i="1" s="1"/>
  <c r="R1638" i="1"/>
  <c r="P1638" i="1"/>
  <c r="N1638" i="1"/>
  <c r="L1638" i="1"/>
  <c r="J1638" i="1"/>
  <c r="H1638" i="1"/>
  <c r="G1638" i="1"/>
  <c r="E1638" i="1"/>
  <c r="B1638" i="1"/>
  <c r="U1638" i="1" s="1"/>
  <c r="X1637" i="1" a="1"/>
  <c r="X1637" i="1" s="1"/>
  <c r="W1637" i="1"/>
  <c r="U1637" i="1"/>
  <c r="T1637" i="1"/>
  <c r="Z1637" i="1" s="1"/>
  <c r="R1637" i="1"/>
  <c r="P1637" i="1"/>
  <c r="N1637" i="1"/>
  <c r="Y1637" i="1" s="1"/>
  <c r="L1637" i="1"/>
  <c r="J1637" i="1"/>
  <c r="H1637" i="1"/>
  <c r="G1637" i="1"/>
  <c r="E1637" i="1"/>
  <c r="B1637" i="1"/>
  <c r="V1637" i="1" s="1"/>
  <c r="W1636" i="1"/>
  <c r="V1636" i="1"/>
  <c r="U1636" i="1"/>
  <c r="R1636" i="1"/>
  <c r="P1636" i="1"/>
  <c r="T1636" i="1" s="1"/>
  <c r="N1636" i="1"/>
  <c r="Y1636" i="1" s="1"/>
  <c r="L1636" i="1"/>
  <c r="J1636" i="1"/>
  <c r="H1636" i="1"/>
  <c r="G1636" i="1"/>
  <c r="E1636" i="1"/>
  <c r="B1636" i="1"/>
  <c r="Y1635" i="1"/>
  <c r="R1635" i="1"/>
  <c r="P1635" i="1"/>
  <c r="T1635" i="1" s="1"/>
  <c r="N1635" i="1"/>
  <c r="L1635" i="1"/>
  <c r="J1635" i="1"/>
  <c r="H1635" i="1"/>
  <c r="G1635" i="1"/>
  <c r="E1635" i="1"/>
  <c r="B1635" i="1"/>
  <c r="W1635" i="1" s="1"/>
  <c r="Y1634" i="1"/>
  <c r="R1634" i="1"/>
  <c r="T1634" i="1" s="1"/>
  <c r="P1634" i="1"/>
  <c r="N1634" i="1"/>
  <c r="L1634" i="1"/>
  <c r="J1634" i="1"/>
  <c r="H1634" i="1"/>
  <c r="G1634" i="1"/>
  <c r="E1634" i="1"/>
  <c r="B1634" i="1"/>
  <c r="W1634" i="1" s="1"/>
  <c r="U1633" i="1"/>
  <c r="T1633" i="1"/>
  <c r="Z1633" i="1" s="1"/>
  <c r="R1633" i="1"/>
  <c r="P1633" i="1"/>
  <c r="N1633" i="1"/>
  <c r="Y1633" i="1" s="1"/>
  <c r="L1633" i="1"/>
  <c r="J1633" i="1"/>
  <c r="H1633" i="1"/>
  <c r="G1633" i="1"/>
  <c r="E1633" i="1"/>
  <c r="B1633" i="1"/>
  <c r="W1633" i="1" s="1"/>
  <c r="Y1632" i="1"/>
  <c r="V1632" i="1"/>
  <c r="U1632" i="1"/>
  <c r="R1632" i="1"/>
  <c r="P1632" i="1"/>
  <c r="T1632" i="1" s="1"/>
  <c r="N1632" i="1"/>
  <c r="L1632" i="1"/>
  <c r="J1632" i="1"/>
  <c r="H1632" i="1"/>
  <c r="G1632" i="1"/>
  <c r="E1632" i="1"/>
  <c r="B1632" i="1"/>
  <c r="W1632" i="1" s="1"/>
  <c r="Y1631" i="1"/>
  <c r="W1631" i="1"/>
  <c r="V1631" i="1"/>
  <c r="R1631" i="1"/>
  <c r="P1631" i="1"/>
  <c r="T1631" i="1" s="1"/>
  <c r="N1631" i="1"/>
  <c r="L1631" i="1"/>
  <c r="J1631" i="1"/>
  <c r="H1631" i="1"/>
  <c r="G1631" i="1"/>
  <c r="E1631" i="1"/>
  <c r="B1631" i="1"/>
  <c r="U1631" i="1" s="1"/>
  <c r="Y1630" i="1"/>
  <c r="X1630" i="1" a="1"/>
  <c r="X1630" i="1" s="1"/>
  <c r="W1630" i="1"/>
  <c r="V1630" i="1"/>
  <c r="T1630" i="1"/>
  <c r="Z1630" i="1" s="1"/>
  <c r="R1630" i="1"/>
  <c r="P1630" i="1"/>
  <c r="N1630" i="1"/>
  <c r="L1630" i="1"/>
  <c r="J1630" i="1"/>
  <c r="H1630" i="1"/>
  <c r="G1630" i="1"/>
  <c r="E1630" i="1"/>
  <c r="B1630" i="1"/>
  <c r="U1630" i="1" s="1"/>
  <c r="X1629" i="1" a="1"/>
  <c r="X1629" i="1" s="1"/>
  <c r="W1629" i="1"/>
  <c r="U1629" i="1"/>
  <c r="T1629" i="1"/>
  <c r="Z1629" i="1" s="1"/>
  <c r="R1629" i="1"/>
  <c r="P1629" i="1"/>
  <c r="N1629" i="1"/>
  <c r="Y1629" i="1" s="1"/>
  <c r="L1629" i="1"/>
  <c r="J1629" i="1"/>
  <c r="H1629" i="1"/>
  <c r="G1629" i="1"/>
  <c r="E1629" i="1"/>
  <c r="B1629" i="1"/>
  <c r="V1629" i="1" s="1"/>
  <c r="W1628" i="1"/>
  <c r="V1628" i="1"/>
  <c r="U1628" i="1"/>
  <c r="R1628" i="1"/>
  <c r="P1628" i="1"/>
  <c r="T1628" i="1" s="1"/>
  <c r="N1628" i="1"/>
  <c r="Y1628" i="1" s="1"/>
  <c r="L1628" i="1"/>
  <c r="J1628" i="1"/>
  <c r="H1628" i="1"/>
  <c r="G1628" i="1"/>
  <c r="E1628" i="1"/>
  <c r="B1628" i="1"/>
  <c r="Y1627" i="1"/>
  <c r="R1627" i="1"/>
  <c r="P1627" i="1"/>
  <c r="T1627" i="1" s="1"/>
  <c r="N1627" i="1"/>
  <c r="L1627" i="1"/>
  <c r="J1627" i="1"/>
  <c r="H1627" i="1"/>
  <c r="G1627" i="1"/>
  <c r="E1627" i="1"/>
  <c r="B1627" i="1"/>
  <c r="W1627" i="1" s="1"/>
  <c r="Y1626" i="1"/>
  <c r="R1626" i="1"/>
  <c r="T1626" i="1" s="1"/>
  <c r="P1626" i="1"/>
  <c r="N1626" i="1"/>
  <c r="L1626" i="1"/>
  <c r="J1626" i="1"/>
  <c r="H1626" i="1"/>
  <c r="G1626" i="1"/>
  <c r="E1626" i="1"/>
  <c r="B1626" i="1"/>
  <c r="W1626" i="1" s="1"/>
  <c r="U1625" i="1"/>
  <c r="T1625" i="1"/>
  <c r="Z1625" i="1" s="1"/>
  <c r="R1625" i="1"/>
  <c r="P1625" i="1"/>
  <c r="N1625" i="1"/>
  <c r="Y1625" i="1" s="1"/>
  <c r="L1625" i="1"/>
  <c r="J1625" i="1"/>
  <c r="H1625" i="1"/>
  <c r="G1625" i="1"/>
  <c r="E1625" i="1"/>
  <c r="B1625" i="1"/>
  <c r="W1625" i="1" s="1"/>
  <c r="Y1624" i="1"/>
  <c r="V1624" i="1"/>
  <c r="U1624" i="1"/>
  <c r="R1624" i="1"/>
  <c r="P1624" i="1"/>
  <c r="T1624" i="1" s="1"/>
  <c r="N1624" i="1"/>
  <c r="L1624" i="1"/>
  <c r="J1624" i="1"/>
  <c r="H1624" i="1"/>
  <c r="G1624" i="1"/>
  <c r="E1624" i="1"/>
  <c r="B1624" i="1"/>
  <c r="W1624" i="1" s="1"/>
  <c r="Y1623" i="1"/>
  <c r="W1623" i="1"/>
  <c r="V1623" i="1"/>
  <c r="R1623" i="1"/>
  <c r="P1623" i="1"/>
  <c r="T1623" i="1" s="1"/>
  <c r="N1623" i="1"/>
  <c r="L1623" i="1"/>
  <c r="J1623" i="1"/>
  <c r="H1623" i="1"/>
  <c r="G1623" i="1"/>
  <c r="E1623" i="1"/>
  <c r="B1623" i="1"/>
  <c r="U1623" i="1" s="1"/>
  <c r="Y1622" i="1"/>
  <c r="X1622" i="1" a="1"/>
  <c r="X1622" i="1" s="1"/>
  <c r="W1622" i="1"/>
  <c r="V1622" i="1"/>
  <c r="T1622" i="1"/>
  <c r="Z1622" i="1" s="1"/>
  <c r="R1622" i="1"/>
  <c r="P1622" i="1"/>
  <c r="N1622" i="1"/>
  <c r="L1622" i="1"/>
  <c r="J1622" i="1"/>
  <c r="H1622" i="1"/>
  <c r="G1622" i="1"/>
  <c r="E1622" i="1"/>
  <c r="B1622" i="1"/>
  <c r="U1622" i="1" s="1"/>
  <c r="X1621" i="1" a="1"/>
  <c r="X1621" i="1" s="1"/>
  <c r="W1621" i="1"/>
  <c r="U1621" i="1"/>
  <c r="T1621" i="1"/>
  <c r="Z1621" i="1" s="1"/>
  <c r="R1621" i="1"/>
  <c r="P1621" i="1"/>
  <c r="N1621" i="1"/>
  <c r="Y1621" i="1" s="1"/>
  <c r="L1621" i="1"/>
  <c r="J1621" i="1"/>
  <c r="H1621" i="1"/>
  <c r="G1621" i="1"/>
  <c r="E1621" i="1"/>
  <c r="B1621" i="1"/>
  <c r="V1621" i="1" s="1"/>
  <c r="W1620" i="1"/>
  <c r="V1620" i="1"/>
  <c r="U1620" i="1"/>
  <c r="R1620" i="1"/>
  <c r="P1620" i="1"/>
  <c r="T1620" i="1" s="1"/>
  <c r="N1620" i="1"/>
  <c r="Y1620" i="1" s="1"/>
  <c r="L1620" i="1"/>
  <c r="J1620" i="1"/>
  <c r="H1620" i="1"/>
  <c r="G1620" i="1"/>
  <c r="E1620" i="1"/>
  <c r="B1620" i="1"/>
  <c r="Y1619" i="1"/>
  <c r="R1619" i="1"/>
  <c r="P1619" i="1"/>
  <c r="T1619" i="1" s="1"/>
  <c r="N1619" i="1"/>
  <c r="L1619" i="1"/>
  <c r="J1619" i="1"/>
  <c r="H1619" i="1"/>
  <c r="G1619" i="1"/>
  <c r="E1619" i="1"/>
  <c r="B1619" i="1"/>
  <c r="W1619" i="1" s="1"/>
  <c r="Y1618" i="1"/>
  <c r="R1618" i="1"/>
  <c r="T1618" i="1" s="1"/>
  <c r="P1618" i="1"/>
  <c r="N1618" i="1"/>
  <c r="L1618" i="1"/>
  <c r="J1618" i="1"/>
  <c r="H1618" i="1"/>
  <c r="G1618" i="1"/>
  <c r="E1618" i="1"/>
  <c r="B1618" i="1"/>
  <c r="W1618" i="1" s="1"/>
  <c r="U1617" i="1"/>
  <c r="T1617" i="1"/>
  <c r="Z1617" i="1" s="1"/>
  <c r="R1617" i="1"/>
  <c r="P1617" i="1"/>
  <c r="N1617" i="1"/>
  <c r="Y1617" i="1" s="1"/>
  <c r="L1617" i="1"/>
  <c r="J1617" i="1"/>
  <c r="H1617" i="1"/>
  <c r="G1617" i="1"/>
  <c r="E1617" i="1"/>
  <c r="B1617" i="1"/>
  <c r="W1617" i="1" s="1"/>
  <c r="Y1616" i="1"/>
  <c r="V1616" i="1"/>
  <c r="U1616" i="1"/>
  <c r="R1616" i="1"/>
  <c r="P1616" i="1"/>
  <c r="T1616" i="1" s="1"/>
  <c r="N1616" i="1"/>
  <c r="L1616" i="1"/>
  <c r="J1616" i="1"/>
  <c r="H1616" i="1"/>
  <c r="G1616" i="1"/>
  <c r="E1616" i="1"/>
  <c r="B1616" i="1"/>
  <c r="W1616" i="1" s="1"/>
  <c r="Y1615" i="1"/>
  <c r="W1615" i="1"/>
  <c r="V1615" i="1"/>
  <c r="R1615" i="1"/>
  <c r="P1615" i="1"/>
  <c r="T1615" i="1" s="1"/>
  <c r="N1615" i="1"/>
  <c r="L1615" i="1"/>
  <c r="J1615" i="1"/>
  <c r="H1615" i="1"/>
  <c r="G1615" i="1"/>
  <c r="E1615" i="1"/>
  <c r="B1615" i="1"/>
  <c r="U1615" i="1" s="1"/>
  <c r="Y1614" i="1"/>
  <c r="X1614" i="1" a="1"/>
  <c r="X1614" i="1" s="1"/>
  <c r="W1614" i="1"/>
  <c r="V1614" i="1"/>
  <c r="T1614" i="1"/>
  <c r="Z1614" i="1" s="1"/>
  <c r="R1614" i="1"/>
  <c r="P1614" i="1"/>
  <c r="N1614" i="1"/>
  <c r="L1614" i="1"/>
  <c r="J1614" i="1"/>
  <c r="H1614" i="1"/>
  <c r="G1614" i="1"/>
  <c r="E1614" i="1"/>
  <c r="B1614" i="1"/>
  <c r="U1614" i="1" s="1"/>
  <c r="X1613" i="1" a="1"/>
  <c r="X1613" i="1" s="1"/>
  <c r="W1613" i="1"/>
  <c r="U1613" i="1"/>
  <c r="T1613" i="1"/>
  <c r="Z1613" i="1" s="1"/>
  <c r="R1613" i="1"/>
  <c r="P1613" i="1"/>
  <c r="N1613" i="1"/>
  <c r="Y1613" i="1" s="1"/>
  <c r="L1613" i="1"/>
  <c r="J1613" i="1"/>
  <c r="H1613" i="1"/>
  <c r="G1613" i="1"/>
  <c r="E1613" i="1"/>
  <c r="B1613" i="1"/>
  <c r="V1613" i="1" s="1"/>
  <c r="W1612" i="1"/>
  <c r="V1612" i="1"/>
  <c r="U1612" i="1"/>
  <c r="R1612" i="1"/>
  <c r="P1612" i="1"/>
  <c r="T1612" i="1" s="1"/>
  <c r="N1612" i="1"/>
  <c r="Y1612" i="1" s="1"/>
  <c r="L1612" i="1"/>
  <c r="J1612" i="1"/>
  <c r="H1612" i="1"/>
  <c r="G1612" i="1"/>
  <c r="E1612" i="1"/>
  <c r="B1612" i="1"/>
  <c r="Y1611" i="1"/>
  <c r="R1611" i="1"/>
  <c r="P1611" i="1"/>
  <c r="T1611" i="1" s="1"/>
  <c r="N1611" i="1"/>
  <c r="L1611" i="1"/>
  <c r="J1611" i="1"/>
  <c r="H1611" i="1"/>
  <c r="G1611" i="1"/>
  <c r="E1611" i="1"/>
  <c r="B1611" i="1"/>
  <c r="W1611" i="1" s="1"/>
  <c r="Y1610" i="1"/>
  <c r="R1610" i="1"/>
  <c r="T1610" i="1" s="1"/>
  <c r="P1610" i="1"/>
  <c r="N1610" i="1"/>
  <c r="L1610" i="1"/>
  <c r="J1610" i="1"/>
  <c r="H1610" i="1"/>
  <c r="G1610" i="1"/>
  <c r="E1610" i="1"/>
  <c r="B1610" i="1"/>
  <c r="U1609" i="1"/>
  <c r="T1609" i="1"/>
  <c r="R1609" i="1"/>
  <c r="P1609" i="1"/>
  <c r="N1609" i="1"/>
  <c r="Y1609" i="1" s="1"/>
  <c r="L1609" i="1"/>
  <c r="J1609" i="1"/>
  <c r="H1609" i="1"/>
  <c r="G1609" i="1"/>
  <c r="E1609" i="1"/>
  <c r="B1609" i="1"/>
  <c r="W1609" i="1" s="1"/>
  <c r="Y1608" i="1"/>
  <c r="V1608" i="1"/>
  <c r="U1608" i="1"/>
  <c r="R1608" i="1"/>
  <c r="P1608" i="1"/>
  <c r="T1608" i="1" s="1"/>
  <c r="N1608" i="1"/>
  <c r="L1608" i="1"/>
  <c r="J1608" i="1"/>
  <c r="H1608" i="1"/>
  <c r="G1608" i="1"/>
  <c r="E1608" i="1"/>
  <c r="B1608" i="1"/>
  <c r="W1608" i="1" s="1"/>
  <c r="Y1607" i="1"/>
  <c r="W1607" i="1"/>
  <c r="V1607" i="1"/>
  <c r="R1607" i="1"/>
  <c r="P1607" i="1"/>
  <c r="T1607" i="1" s="1"/>
  <c r="N1607" i="1"/>
  <c r="L1607" i="1"/>
  <c r="J1607" i="1"/>
  <c r="H1607" i="1"/>
  <c r="G1607" i="1"/>
  <c r="E1607" i="1"/>
  <c r="B1607" i="1"/>
  <c r="U1607" i="1" s="1"/>
  <c r="Y1606" i="1"/>
  <c r="X1606" i="1" a="1"/>
  <c r="X1606" i="1" s="1"/>
  <c r="W1606" i="1"/>
  <c r="V1606" i="1"/>
  <c r="T1606" i="1"/>
  <c r="Z1606" i="1" s="1"/>
  <c r="R1606" i="1"/>
  <c r="P1606" i="1"/>
  <c r="N1606" i="1"/>
  <c r="L1606" i="1"/>
  <c r="J1606" i="1"/>
  <c r="H1606" i="1"/>
  <c r="G1606" i="1"/>
  <c r="E1606" i="1"/>
  <c r="B1606" i="1"/>
  <c r="U1606" i="1" s="1"/>
  <c r="X1605" i="1"/>
  <c r="X1605" i="1" a="1"/>
  <c r="W1605" i="1"/>
  <c r="U1605" i="1"/>
  <c r="T1605" i="1"/>
  <c r="Z1605" i="1" s="1"/>
  <c r="R1605" i="1"/>
  <c r="P1605" i="1"/>
  <c r="N1605" i="1"/>
  <c r="Y1605" i="1" s="1"/>
  <c r="L1605" i="1"/>
  <c r="J1605" i="1"/>
  <c r="H1605" i="1"/>
  <c r="G1605" i="1"/>
  <c r="E1605" i="1"/>
  <c r="B1605" i="1"/>
  <c r="V1605" i="1" s="1"/>
  <c r="Y1604" i="1"/>
  <c r="W1604" i="1"/>
  <c r="V1604" i="1"/>
  <c r="U1604" i="1"/>
  <c r="R1604" i="1"/>
  <c r="P1604" i="1"/>
  <c r="T1604" i="1" s="1"/>
  <c r="N1604" i="1"/>
  <c r="L1604" i="1"/>
  <c r="J1604" i="1"/>
  <c r="H1604" i="1"/>
  <c r="G1604" i="1"/>
  <c r="E1604" i="1"/>
  <c r="B1604" i="1"/>
  <c r="Y1603" i="1"/>
  <c r="R1603" i="1"/>
  <c r="P1603" i="1"/>
  <c r="N1603" i="1"/>
  <c r="L1603" i="1"/>
  <c r="J1603" i="1"/>
  <c r="H1603" i="1"/>
  <c r="G1603" i="1"/>
  <c r="E1603" i="1"/>
  <c r="B1603" i="1"/>
  <c r="Y1602" i="1"/>
  <c r="R1602" i="1"/>
  <c r="T1602" i="1" s="1"/>
  <c r="P1602" i="1"/>
  <c r="N1602" i="1"/>
  <c r="L1602" i="1"/>
  <c r="J1602" i="1"/>
  <c r="H1602" i="1"/>
  <c r="G1602" i="1"/>
  <c r="E1602" i="1"/>
  <c r="B1602" i="1"/>
  <c r="U1601" i="1"/>
  <c r="T1601" i="1"/>
  <c r="R1601" i="1"/>
  <c r="P1601" i="1"/>
  <c r="N1601" i="1"/>
  <c r="Y1601" i="1" s="1"/>
  <c r="L1601" i="1"/>
  <c r="J1601" i="1"/>
  <c r="H1601" i="1"/>
  <c r="G1601" i="1"/>
  <c r="E1601" i="1"/>
  <c r="B1601" i="1"/>
  <c r="W1601" i="1" s="1"/>
  <c r="Y1600" i="1"/>
  <c r="V1600" i="1"/>
  <c r="U1600" i="1"/>
  <c r="R1600" i="1"/>
  <c r="P1600" i="1"/>
  <c r="T1600" i="1" s="1"/>
  <c r="N1600" i="1"/>
  <c r="L1600" i="1"/>
  <c r="J1600" i="1"/>
  <c r="H1600" i="1"/>
  <c r="G1600" i="1"/>
  <c r="E1600" i="1"/>
  <c r="B1600" i="1"/>
  <c r="W1600" i="1" s="1"/>
  <c r="Y1599" i="1"/>
  <c r="R1599" i="1"/>
  <c r="P1599" i="1"/>
  <c r="N1599" i="1"/>
  <c r="L1599" i="1"/>
  <c r="J1599" i="1"/>
  <c r="H1599" i="1"/>
  <c r="G1599" i="1"/>
  <c r="E1599" i="1"/>
  <c r="B1599" i="1"/>
  <c r="U1599" i="1" s="1"/>
  <c r="Y1598" i="1"/>
  <c r="X1598" i="1" a="1"/>
  <c r="X1598" i="1" s="1"/>
  <c r="W1598" i="1"/>
  <c r="V1598" i="1"/>
  <c r="T1598" i="1"/>
  <c r="Z1598" i="1" s="1"/>
  <c r="R1598" i="1"/>
  <c r="P1598" i="1"/>
  <c r="N1598" i="1"/>
  <c r="L1598" i="1"/>
  <c r="J1598" i="1"/>
  <c r="H1598" i="1"/>
  <c r="G1598" i="1"/>
  <c r="E1598" i="1"/>
  <c r="B1598" i="1"/>
  <c r="U1598" i="1" s="1"/>
  <c r="X1597" i="1" a="1"/>
  <c r="X1597" i="1" s="1"/>
  <c r="W1597" i="1"/>
  <c r="U1597" i="1"/>
  <c r="T1597" i="1"/>
  <c r="Z1597" i="1" s="1"/>
  <c r="R1597" i="1"/>
  <c r="P1597" i="1"/>
  <c r="N1597" i="1"/>
  <c r="Y1597" i="1" s="1"/>
  <c r="L1597" i="1"/>
  <c r="J1597" i="1"/>
  <c r="H1597" i="1"/>
  <c r="G1597" i="1"/>
  <c r="E1597" i="1"/>
  <c r="B1597" i="1"/>
  <c r="V1597" i="1" s="1"/>
  <c r="W1596" i="1"/>
  <c r="V1596" i="1"/>
  <c r="U1596" i="1"/>
  <c r="R1596" i="1"/>
  <c r="P1596" i="1"/>
  <c r="T1596" i="1" s="1"/>
  <c r="Z1596" i="1" s="1"/>
  <c r="N1596" i="1"/>
  <c r="Y1596" i="1" s="1"/>
  <c r="L1596" i="1"/>
  <c r="J1596" i="1"/>
  <c r="H1596" i="1"/>
  <c r="G1596" i="1"/>
  <c r="E1596" i="1"/>
  <c r="B1596" i="1"/>
  <c r="R1595" i="1"/>
  <c r="P1595" i="1"/>
  <c r="N1595" i="1"/>
  <c r="Y1595" i="1" s="1"/>
  <c r="L1595" i="1"/>
  <c r="J1595" i="1"/>
  <c r="H1595" i="1"/>
  <c r="G1595" i="1"/>
  <c r="E1595" i="1"/>
  <c r="B1595" i="1"/>
  <c r="Y1594" i="1"/>
  <c r="T1594" i="1"/>
  <c r="Z1594" i="1" s="1"/>
  <c r="R1594" i="1"/>
  <c r="P1594" i="1"/>
  <c r="N1594" i="1"/>
  <c r="L1594" i="1"/>
  <c r="J1594" i="1"/>
  <c r="H1594" i="1"/>
  <c r="G1594" i="1"/>
  <c r="E1594" i="1"/>
  <c r="B1594" i="1"/>
  <c r="U1593" i="1"/>
  <c r="R1593" i="1"/>
  <c r="T1593" i="1" s="1"/>
  <c r="P1593" i="1"/>
  <c r="N1593" i="1"/>
  <c r="Y1593" i="1" s="1"/>
  <c r="L1593" i="1"/>
  <c r="J1593" i="1"/>
  <c r="H1593" i="1"/>
  <c r="G1593" i="1"/>
  <c r="E1593" i="1"/>
  <c r="B1593" i="1"/>
  <c r="Y1592" i="1"/>
  <c r="V1592" i="1"/>
  <c r="U1592" i="1"/>
  <c r="R1592" i="1"/>
  <c r="P1592" i="1"/>
  <c r="T1592" i="1" s="1"/>
  <c r="N1592" i="1"/>
  <c r="L1592" i="1"/>
  <c r="J1592" i="1"/>
  <c r="H1592" i="1"/>
  <c r="G1592" i="1"/>
  <c r="E1592" i="1"/>
  <c r="B1592" i="1"/>
  <c r="W1592" i="1" s="1"/>
  <c r="Z1591" i="1"/>
  <c r="Y1591" i="1"/>
  <c r="W1591" i="1"/>
  <c r="V1591" i="1"/>
  <c r="U1591" i="1"/>
  <c r="R1591" i="1"/>
  <c r="P1591" i="1"/>
  <c r="T1591" i="1" s="1"/>
  <c r="X1591" i="1" s="1" a="1"/>
  <c r="X1591" i="1" s="1"/>
  <c r="N1591" i="1"/>
  <c r="L1591" i="1"/>
  <c r="J1591" i="1"/>
  <c r="H1591" i="1"/>
  <c r="G1591" i="1"/>
  <c r="E1591" i="1"/>
  <c r="B1591" i="1"/>
  <c r="Y1590" i="1"/>
  <c r="W1590" i="1"/>
  <c r="V1590" i="1"/>
  <c r="T1590" i="1"/>
  <c r="Z1590" i="1" s="1"/>
  <c r="R1590" i="1"/>
  <c r="P1590" i="1"/>
  <c r="N1590" i="1"/>
  <c r="L1590" i="1"/>
  <c r="J1590" i="1"/>
  <c r="H1590" i="1"/>
  <c r="G1590" i="1"/>
  <c r="E1590" i="1"/>
  <c r="B1590" i="1"/>
  <c r="U1590" i="1" s="1"/>
  <c r="X1589" i="1"/>
  <c r="X1589" i="1" a="1"/>
  <c r="W1589" i="1"/>
  <c r="U1589" i="1"/>
  <c r="T1589" i="1"/>
  <c r="Z1589" i="1" s="1"/>
  <c r="R1589" i="1"/>
  <c r="P1589" i="1"/>
  <c r="N1589" i="1"/>
  <c r="Y1589" i="1" s="1"/>
  <c r="L1589" i="1"/>
  <c r="J1589" i="1"/>
  <c r="H1589" i="1"/>
  <c r="G1589" i="1"/>
  <c r="E1589" i="1"/>
  <c r="B1589" i="1"/>
  <c r="V1589" i="1" s="1"/>
  <c r="X1588" i="1" a="1"/>
  <c r="X1588" i="1" s="1"/>
  <c r="W1588" i="1"/>
  <c r="V1588" i="1"/>
  <c r="U1588" i="1"/>
  <c r="R1588" i="1"/>
  <c r="P1588" i="1"/>
  <c r="T1588" i="1" s="1"/>
  <c r="Z1588" i="1" s="1"/>
  <c r="N1588" i="1"/>
  <c r="Y1588" i="1" s="1"/>
  <c r="L1588" i="1"/>
  <c r="J1588" i="1"/>
  <c r="H1588" i="1"/>
  <c r="G1588" i="1"/>
  <c r="E1588" i="1"/>
  <c r="B1588" i="1"/>
  <c r="Y1587" i="1"/>
  <c r="W1587" i="1"/>
  <c r="R1587" i="1"/>
  <c r="P1587" i="1"/>
  <c r="T1587" i="1" s="1"/>
  <c r="X1587" i="1" s="1" a="1"/>
  <c r="X1587" i="1" s="1"/>
  <c r="N1587" i="1"/>
  <c r="L1587" i="1"/>
  <c r="J1587" i="1"/>
  <c r="H1587" i="1"/>
  <c r="G1587" i="1"/>
  <c r="E1587" i="1"/>
  <c r="B1587" i="1"/>
  <c r="Y1586" i="1"/>
  <c r="R1586" i="1"/>
  <c r="P1586" i="1"/>
  <c r="T1586" i="1" s="1"/>
  <c r="N1586" i="1"/>
  <c r="L1586" i="1"/>
  <c r="J1586" i="1"/>
  <c r="H1586" i="1"/>
  <c r="G1586" i="1"/>
  <c r="E1586" i="1"/>
  <c r="B1586" i="1"/>
  <c r="T1585" i="1"/>
  <c r="X1585" i="1" s="1" a="1"/>
  <c r="X1585" i="1" s="1"/>
  <c r="R1585" i="1"/>
  <c r="P1585" i="1"/>
  <c r="N1585" i="1"/>
  <c r="Y1585" i="1" s="1"/>
  <c r="L1585" i="1"/>
  <c r="J1585" i="1"/>
  <c r="H1585" i="1"/>
  <c r="G1585" i="1"/>
  <c r="E1585" i="1"/>
  <c r="B1585" i="1"/>
  <c r="U1585" i="1" s="1"/>
  <c r="Y1584" i="1"/>
  <c r="V1584" i="1"/>
  <c r="U1584" i="1"/>
  <c r="T1584" i="1"/>
  <c r="R1584" i="1"/>
  <c r="P1584" i="1"/>
  <c r="N1584" i="1"/>
  <c r="L1584" i="1"/>
  <c r="J1584" i="1"/>
  <c r="H1584" i="1"/>
  <c r="G1584" i="1"/>
  <c r="E1584" i="1"/>
  <c r="B1584" i="1"/>
  <c r="W1584" i="1" s="1"/>
  <c r="Y1583" i="1"/>
  <c r="V1583" i="1"/>
  <c r="R1583" i="1"/>
  <c r="P1583" i="1"/>
  <c r="N1583" i="1"/>
  <c r="L1583" i="1"/>
  <c r="J1583" i="1"/>
  <c r="H1583" i="1"/>
  <c r="G1583" i="1"/>
  <c r="E1583" i="1"/>
  <c r="B1583" i="1"/>
  <c r="W1583" i="1" s="1"/>
  <c r="Y1582" i="1"/>
  <c r="X1582" i="1" a="1"/>
  <c r="X1582" i="1" s="1"/>
  <c r="W1582" i="1"/>
  <c r="V1582" i="1"/>
  <c r="T1582" i="1"/>
  <c r="Z1582" i="1" s="1"/>
  <c r="R1582" i="1"/>
  <c r="P1582" i="1"/>
  <c r="N1582" i="1"/>
  <c r="L1582" i="1"/>
  <c r="J1582" i="1"/>
  <c r="H1582" i="1"/>
  <c r="G1582" i="1"/>
  <c r="E1582" i="1"/>
  <c r="B1582" i="1"/>
  <c r="U1582" i="1" s="1"/>
  <c r="X1581" i="1" a="1"/>
  <c r="X1581" i="1" s="1"/>
  <c r="W1581" i="1"/>
  <c r="U1581" i="1"/>
  <c r="T1581" i="1"/>
  <c r="Z1581" i="1" s="1"/>
  <c r="R1581" i="1"/>
  <c r="P1581" i="1"/>
  <c r="N1581" i="1"/>
  <c r="Y1581" i="1" s="1"/>
  <c r="L1581" i="1"/>
  <c r="J1581" i="1"/>
  <c r="H1581" i="1"/>
  <c r="G1581" i="1"/>
  <c r="E1581" i="1"/>
  <c r="B1581" i="1"/>
  <c r="V1581" i="1" s="1"/>
  <c r="W1580" i="1"/>
  <c r="V1580" i="1"/>
  <c r="U1580" i="1"/>
  <c r="R1580" i="1"/>
  <c r="P1580" i="1"/>
  <c r="T1580" i="1" s="1"/>
  <c r="N1580" i="1"/>
  <c r="Y1580" i="1" s="1"/>
  <c r="L1580" i="1"/>
  <c r="J1580" i="1"/>
  <c r="H1580" i="1"/>
  <c r="G1580" i="1"/>
  <c r="E1580" i="1"/>
  <c r="B1580" i="1"/>
  <c r="Y1579" i="1"/>
  <c r="W1579" i="1"/>
  <c r="V1579" i="1"/>
  <c r="U1579" i="1"/>
  <c r="R1579" i="1"/>
  <c r="P1579" i="1"/>
  <c r="T1579" i="1" s="1"/>
  <c r="X1579" i="1" s="1" a="1"/>
  <c r="X1579" i="1" s="1"/>
  <c r="N1579" i="1"/>
  <c r="L1579" i="1"/>
  <c r="J1579" i="1"/>
  <c r="H1579" i="1"/>
  <c r="G1579" i="1"/>
  <c r="E1579" i="1"/>
  <c r="B1579" i="1"/>
  <c r="Y1578" i="1"/>
  <c r="V1578" i="1"/>
  <c r="R1578" i="1"/>
  <c r="T1578" i="1" s="1"/>
  <c r="P1578" i="1"/>
  <c r="N1578" i="1"/>
  <c r="L1578" i="1"/>
  <c r="J1578" i="1"/>
  <c r="H1578" i="1"/>
  <c r="G1578" i="1"/>
  <c r="E1578" i="1"/>
  <c r="B1578" i="1"/>
  <c r="U1578" i="1" s="1"/>
  <c r="W1577" i="1"/>
  <c r="T1577" i="1"/>
  <c r="X1577" i="1" s="1" a="1"/>
  <c r="X1577" i="1" s="1"/>
  <c r="R1577" i="1"/>
  <c r="P1577" i="1"/>
  <c r="N1577" i="1"/>
  <c r="Y1577" i="1" s="1"/>
  <c r="L1577" i="1"/>
  <c r="J1577" i="1"/>
  <c r="H1577" i="1"/>
  <c r="G1577" i="1"/>
  <c r="E1577" i="1"/>
  <c r="B1577" i="1"/>
  <c r="V1577" i="1" s="1"/>
  <c r="V1576" i="1"/>
  <c r="U1576" i="1"/>
  <c r="R1576" i="1"/>
  <c r="P1576" i="1"/>
  <c r="T1576" i="1" s="1"/>
  <c r="N1576" i="1"/>
  <c r="Y1576" i="1" s="1"/>
  <c r="L1576" i="1"/>
  <c r="J1576" i="1"/>
  <c r="H1576" i="1"/>
  <c r="G1576" i="1"/>
  <c r="E1576" i="1"/>
  <c r="B1576" i="1"/>
  <c r="W1576" i="1" s="1"/>
  <c r="Y1575" i="1"/>
  <c r="W1575" i="1"/>
  <c r="V1575" i="1"/>
  <c r="U1575" i="1"/>
  <c r="R1575" i="1"/>
  <c r="P1575" i="1"/>
  <c r="T1575" i="1" s="1"/>
  <c r="X1575" i="1" s="1" a="1"/>
  <c r="X1575" i="1" s="1"/>
  <c r="N1575" i="1"/>
  <c r="L1575" i="1"/>
  <c r="J1575" i="1"/>
  <c r="H1575" i="1"/>
  <c r="G1575" i="1"/>
  <c r="E1575" i="1"/>
  <c r="B1575" i="1"/>
  <c r="Y1574" i="1"/>
  <c r="R1574" i="1"/>
  <c r="T1574" i="1" s="1"/>
  <c r="P1574" i="1"/>
  <c r="N1574" i="1"/>
  <c r="L1574" i="1"/>
  <c r="J1574" i="1"/>
  <c r="H1574" i="1"/>
  <c r="G1574" i="1"/>
  <c r="E1574" i="1"/>
  <c r="B1574" i="1"/>
  <c r="U1574" i="1" s="1"/>
  <c r="W1573" i="1"/>
  <c r="T1573" i="1"/>
  <c r="Z1573" i="1" s="1"/>
  <c r="R1573" i="1"/>
  <c r="P1573" i="1"/>
  <c r="N1573" i="1"/>
  <c r="Y1573" i="1" s="1"/>
  <c r="L1573" i="1"/>
  <c r="J1573" i="1"/>
  <c r="H1573" i="1"/>
  <c r="G1573" i="1"/>
  <c r="E1573" i="1"/>
  <c r="B1573" i="1"/>
  <c r="V1573" i="1" s="1"/>
  <c r="Y1572" i="1"/>
  <c r="W1572" i="1"/>
  <c r="V1572" i="1"/>
  <c r="U1572" i="1"/>
  <c r="R1572" i="1"/>
  <c r="P1572" i="1"/>
  <c r="T1572" i="1" s="1"/>
  <c r="N1572" i="1"/>
  <c r="L1572" i="1"/>
  <c r="J1572" i="1"/>
  <c r="H1572" i="1"/>
  <c r="G1572" i="1"/>
  <c r="E1572" i="1"/>
  <c r="B1572" i="1"/>
  <c r="R1571" i="1"/>
  <c r="P1571" i="1"/>
  <c r="N1571" i="1"/>
  <c r="Y1571" i="1" s="1"/>
  <c r="L1571" i="1"/>
  <c r="J1571" i="1"/>
  <c r="H1571" i="1"/>
  <c r="G1571" i="1"/>
  <c r="E1571" i="1"/>
  <c r="B1571" i="1"/>
  <c r="W1571" i="1" s="1"/>
  <c r="Y1570" i="1"/>
  <c r="W1570" i="1"/>
  <c r="V1570" i="1"/>
  <c r="R1570" i="1"/>
  <c r="P1570" i="1"/>
  <c r="T1570" i="1" s="1"/>
  <c r="N1570" i="1"/>
  <c r="L1570" i="1"/>
  <c r="J1570" i="1"/>
  <c r="H1570" i="1"/>
  <c r="G1570" i="1"/>
  <c r="E1570" i="1"/>
  <c r="B1570" i="1"/>
  <c r="U1570" i="1" s="1"/>
  <c r="R1569" i="1"/>
  <c r="T1569" i="1" s="1"/>
  <c r="P1569" i="1"/>
  <c r="N1569" i="1"/>
  <c r="Y1569" i="1" s="1"/>
  <c r="L1569" i="1"/>
  <c r="J1569" i="1"/>
  <c r="H1569" i="1"/>
  <c r="G1569" i="1"/>
  <c r="E1569" i="1"/>
  <c r="B1569" i="1"/>
  <c r="V1569" i="1" s="1"/>
  <c r="V1568" i="1"/>
  <c r="U1568" i="1"/>
  <c r="R1568" i="1"/>
  <c r="P1568" i="1"/>
  <c r="T1568" i="1" s="1"/>
  <c r="N1568" i="1"/>
  <c r="Y1568" i="1" s="1"/>
  <c r="L1568" i="1"/>
  <c r="J1568" i="1"/>
  <c r="H1568" i="1"/>
  <c r="G1568" i="1"/>
  <c r="E1568" i="1"/>
  <c r="B1568" i="1"/>
  <c r="W1568" i="1" s="1"/>
  <c r="V1567" i="1"/>
  <c r="R1567" i="1"/>
  <c r="P1567" i="1"/>
  <c r="N1567" i="1"/>
  <c r="Y1567" i="1" s="1"/>
  <c r="L1567" i="1"/>
  <c r="J1567" i="1"/>
  <c r="H1567" i="1"/>
  <c r="G1567" i="1"/>
  <c r="E1567" i="1"/>
  <c r="B1567" i="1"/>
  <c r="W1567" i="1" s="1"/>
  <c r="Y1566" i="1"/>
  <c r="W1566" i="1"/>
  <c r="V1566" i="1"/>
  <c r="T1566" i="1"/>
  <c r="Z1566" i="1" s="1"/>
  <c r="R1566" i="1"/>
  <c r="P1566" i="1"/>
  <c r="N1566" i="1"/>
  <c r="L1566" i="1"/>
  <c r="J1566" i="1"/>
  <c r="H1566" i="1"/>
  <c r="G1566" i="1"/>
  <c r="E1566" i="1"/>
  <c r="B1566" i="1"/>
  <c r="U1566" i="1" s="1"/>
  <c r="R1565" i="1"/>
  <c r="T1565" i="1" s="1"/>
  <c r="P1565" i="1"/>
  <c r="N1565" i="1"/>
  <c r="Y1565" i="1" s="1"/>
  <c r="L1565" i="1"/>
  <c r="J1565" i="1"/>
  <c r="H1565" i="1"/>
  <c r="G1565" i="1"/>
  <c r="E1565" i="1"/>
  <c r="B1565" i="1"/>
  <c r="V1565" i="1" s="1"/>
  <c r="W1564" i="1"/>
  <c r="V1564" i="1"/>
  <c r="U1564" i="1"/>
  <c r="T1564" i="1"/>
  <c r="Z1564" i="1" s="1"/>
  <c r="R1564" i="1"/>
  <c r="P1564" i="1"/>
  <c r="N1564" i="1"/>
  <c r="Y1564" i="1" s="1"/>
  <c r="L1564" i="1"/>
  <c r="J1564" i="1"/>
  <c r="H1564" i="1"/>
  <c r="G1564" i="1"/>
  <c r="E1564" i="1"/>
  <c r="B1564" i="1"/>
  <c r="Y1563" i="1"/>
  <c r="W1563" i="1"/>
  <c r="U1563" i="1"/>
  <c r="R1563" i="1"/>
  <c r="P1563" i="1"/>
  <c r="T1563" i="1" s="1"/>
  <c r="X1563" i="1" s="1" a="1"/>
  <c r="X1563" i="1" s="1"/>
  <c r="N1563" i="1"/>
  <c r="L1563" i="1"/>
  <c r="J1563" i="1"/>
  <c r="H1563" i="1"/>
  <c r="G1563" i="1"/>
  <c r="E1563" i="1"/>
  <c r="B1563" i="1"/>
  <c r="V1563" i="1" s="1"/>
  <c r="Y1562" i="1"/>
  <c r="R1562" i="1"/>
  <c r="P1562" i="1"/>
  <c r="T1562" i="1" s="1"/>
  <c r="N1562" i="1"/>
  <c r="L1562" i="1"/>
  <c r="J1562" i="1"/>
  <c r="H1562" i="1"/>
  <c r="G1562" i="1"/>
  <c r="E1562" i="1"/>
  <c r="B1562" i="1"/>
  <c r="U1562" i="1" s="1"/>
  <c r="W1561" i="1"/>
  <c r="U1561" i="1"/>
  <c r="T1561" i="1"/>
  <c r="Z1561" i="1" s="1"/>
  <c r="R1561" i="1"/>
  <c r="P1561" i="1"/>
  <c r="N1561" i="1"/>
  <c r="Y1561" i="1" s="1"/>
  <c r="L1561" i="1"/>
  <c r="J1561" i="1"/>
  <c r="H1561" i="1"/>
  <c r="G1561" i="1"/>
  <c r="E1561" i="1"/>
  <c r="B1561" i="1"/>
  <c r="V1561" i="1" s="1"/>
  <c r="X1560" i="1" a="1"/>
  <c r="X1560" i="1" s="1"/>
  <c r="V1560" i="1"/>
  <c r="U1560" i="1"/>
  <c r="T1560" i="1"/>
  <c r="Z1560" i="1" s="1"/>
  <c r="R1560" i="1"/>
  <c r="P1560" i="1"/>
  <c r="N1560" i="1"/>
  <c r="Y1560" i="1" s="1"/>
  <c r="L1560" i="1"/>
  <c r="J1560" i="1"/>
  <c r="H1560" i="1"/>
  <c r="G1560" i="1"/>
  <c r="E1560" i="1"/>
  <c r="B1560" i="1"/>
  <c r="W1560" i="1" s="1"/>
  <c r="Y1559" i="1"/>
  <c r="W1559" i="1"/>
  <c r="U1559" i="1"/>
  <c r="R1559" i="1"/>
  <c r="P1559" i="1"/>
  <c r="T1559" i="1" s="1"/>
  <c r="X1559" i="1" s="1" a="1"/>
  <c r="X1559" i="1" s="1"/>
  <c r="N1559" i="1"/>
  <c r="L1559" i="1"/>
  <c r="J1559" i="1"/>
  <c r="H1559" i="1"/>
  <c r="G1559" i="1"/>
  <c r="E1559" i="1"/>
  <c r="B1559" i="1"/>
  <c r="V1559" i="1" s="1"/>
  <c r="Y1558" i="1"/>
  <c r="V1558" i="1"/>
  <c r="R1558" i="1"/>
  <c r="P1558" i="1"/>
  <c r="T1558" i="1" s="1"/>
  <c r="N1558" i="1"/>
  <c r="L1558" i="1"/>
  <c r="J1558" i="1"/>
  <c r="H1558" i="1"/>
  <c r="G1558" i="1"/>
  <c r="E1558" i="1"/>
  <c r="B1558" i="1"/>
  <c r="U1558" i="1" s="1"/>
  <c r="W1557" i="1"/>
  <c r="U1557" i="1"/>
  <c r="T1557" i="1"/>
  <c r="Z1557" i="1" s="1"/>
  <c r="R1557" i="1"/>
  <c r="P1557" i="1"/>
  <c r="N1557" i="1"/>
  <c r="Y1557" i="1" s="1"/>
  <c r="L1557" i="1"/>
  <c r="J1557" i="1"/>
  <c r="H1557" i="1"/>
  <c r="G1557" i="1"/>
  <c r="E1557" i="1"/>
  <c r="B1557" i="1"/>
  <c r="V1557" i="1" s="1"/>
  <c r="Y1556" i="1"/>
  <c r="W1556" i="1"/>
  <c r="V1556" i="1"/>
  <c r="U1556" i="1"/>
  <c r="T1556" i="1"/>
  <c r="Z1556" i="1" s="1"/>
  <c r="R1556" i="1"/>
  <c r="P1556" i="1"/>
  <c r="N1556" i="1"/>
  <c r="L1556" i="1"/>
  <c r="J1556" i="1"/>
  <c r="H1556" i="1"/>
  <c r="G1556" i="1"/>
  <c r="E1556" i="1"/>
  <c r="B1556" i="1"/>
  <c r="R1555" i="1"/>
  <c r="P1555" i="1"/>
  <c r="N1555" i="1"/>
  <c r="Y1555" i="1" s="1"/>
  <c r="L1555" i="1"/>
  <c r="J1555" i="1"/>
  <c r="H1555" i="1"/>
  <c r="G1555" i="1"/>
  <c r="E1555" i="1"/>
  <c r="B1555" i="1"/>
  <c r="V1555" i="1" s="1"/>
  <c r="Y1554" i="1"/>
  <c r="W1554" i="1"/>
  <c r="R1554" i="1"/>
  <c r="P1554" i="1"/>
  <c r="T1554" i="1" s="1"/>
  <c r="N1554" i="1"/>
  <c r="L1554" i="1"/>
  <c r="J1554" i="1"/>
  <c r="H1554" i="1"/>
  <c r="G1554" i="1"/>
  <c r="E1554" i="1"/>
  <c r="B1554" i="1"/>
  <c r="U1554" i="1" s="1"/>
  <c r="R1553" i="1"/>
  <c r="T1553" i="1" s="1"/>
  <c r="P1553" i="1"/>
  <c r="N1553" i="1"/>
  <c r="Y1553" i="1" s="1"/>
  <c r="L1553" i="1"/>
  <c r="J1553" i="1"/>
  <c r="H1553" i="1"/>
  <c r="G1553" i="1"/>
  <c r="E1553" i="1"/>
  <c r="B1553" i="1"/>
  <c r="V1553" i="1" s="1"/>
  <c r="V1552" i="1"/>
  <c r="U1552" i="1"/>
  <c r="R1552" i="1"/>
  <c r="P1552" i="1"/>
  <c r="T1552" i="1" s="1"/>
  <c r="N1552" i="1"/>
  <c r="Y1552" i="1" s="1"/>
  <c r="L1552" i="1"/>
  <c r="J1552" i="1"/>
  <c r="H1552" i="1"/>
  <c r="G1552" i="1"/>
  <c r="E1552" i="1"/>
  <c r="B1552" i="1"/>
  <c r="W1552" i="1" s="1"/>
  <c r="R1551" i="1"/>
  <c r="P1551" i="1"/>
  <c r="N1551" i="1"/>
  <c r="Y1551" i="1" s="1"/>
  <c r="L1551" i="1"/>
  <c r="J1551" i="1"/>
  <c r="H1551" i="1"/>
  <c r="G1551" i="1"/>
  <c r="E1551" i="1"/>
  <c r="B1551" i="1"/>
  <c r="W1551" i="1" s="1"/>
  <c r="Y1550" i="1"/>
  <c r="W1550" i="1"/>
  <c r="T1550" i="1"/>
  <c r="X1550" i="1" s="1" a="1"/>
  <c r="X1550" i="1" s="1"/>
  <c r="R1550" i="1"/>
  <c r="P1550" i="1"/>
  <c r="N1550" i="1"/>
  <c r="L1550" i="1"/>
  <c r="J1550" i="1"/>
  <c r="H1550" i="1"/>
  <c r="G1550" i="1"/>
  <c r="E1550" i="1"/>
  <c r="B1550" i="1"/>
  <c r="U1550" i="1" s="1"/>
  <c r="U1549" i="1"/>
  <c r="R1549" i="1"/>
  <c r="T1549" i="1" s="1"/>
  <c r="P1549" i="1"/>
  <c r="N1549" i="1"/>
  <c r="Y1549" i="1" s="1"/>
  <c r="L1549" i="1"/>
  <c r="J1549" i="1"/>
  <c r="H1549" i="1"/>
  <c r="G1549" i="1"/>
  <c r="E1549" i="1"/>
  <c r="B1549" i="1"/>
  <c r="V1549" i="1" s="1"/>
  <c r="W1548" i="1"/>
  <c r="V1548" i="1"/>
  <c r="U1548" i="1"/>
  <c r="R1548" i="1"/>
  <c r="P1548" i="1"/>
  <c r="T1548" i="1" s="1"/>
  <c r="N1548" i="1"/>
  <c r="Y1548" i="1" s="1"/>
  <c r="L1548" i="1"/>
  <c r="J1548" i="1"/>
  <c r="H1548" i="1"/>
  <c r="G1548" i="1"/>
  <c r="E1548" i="1"/>
  <c r="B1548" i="1"/>
  <c r="Y1547" i="1"/>
  <c r="W1547" i="1"/>
  <c r="V1547" i="1"/>
  <c r="U1547" i="1"/>
  <c r="R1547" i="1"/>
  <c r="P1547" i="1"/>
  <c r="T1547" i="1" s="1"/>
  <c r="X1547" i="1" s="1" a="1"/>
  <c r="X1547" i="1" s="1"/>
  <c r="N1547" i="1"/>
  <c r="L1547" i="1"/>
  <c r="J1547" i="1"/>
  <c r="H1547" i="1"/>
  <c r="G1547" i="1"/>
  <c r="E1547" i="1"/>
  <c r="B1547" i="1"/>
  <c r="Y1546" i="1"/>
  <c r="R1546" i="1"/>
  <c r="T1546" i="1" s="1"/>
  <c r="P1546" i="1"/>
  <c r="N1546" i="1"/>
  <c r="L1546" i="1"/>
  <c r="J1546" i="1"/>
  <c r="H1546" i="1"/>
  <c r="G1546" i="1"/>
  <c r="E1546" i="1"/>
  <c r="B1546" i="1"/>
  <c r="U1546" i="1" s="1"/>
  <c r="W1545" i="1"/>
  <c r="T1545" i="1"/>
  <c r="Z1545" i="1" s="1"/>
  <c r="R1545" i="1"/>
  <c r="P1545" i="1"/>
  <c r="N1545" i="1"/>
  <c r="Y1545" i="1" s="1"/>
  <c r="L1545" i="1"/>
  <c r="J1545" i="1"/>
  <c r="H1545" i="1"/>
  <c r="G1545" i="1"/>
  <c r="E1545" i="1"/>
  <c r="B1545" i="1"/>
  <c r="V1545" i="1" s="1"/>
  <c r="V1544" i="1"/>
  <c r="U1544" i="1"/>
  <c r="R1544" i="1"/>
  <c r="P1544" i="1"/>
  <c r="T1544" i="1" s="1"/>
  <c r="N1544" i="1"/>
  <c r="Y1544" i="1" s="1"/>
  <c r="L1544" i="1"/>
  <c r="J1544" i="1"/>
  <c r="H1544" i="1"/>
  <c r="G1544" i="1"/>
  <c r="E1544" i="1"/>
  <c r="B1544" i="1"/>
  <c r="W1544" i="1" s="1"/>
  <c r="Y1543" i="1"/>
  <c r="W1543" i="1"/>
  <c r="V1543" i="1"/>
  <c r="U1543" i="1"/>
  <c r="R1543" i="1"/>
  <c r="P1543" i="1"/>
  <c r="T1543" i="1" s="1"/>
  <c r="X1543" i="1" s="1" a="1"/>
  <c r="X1543" i="1" s="1"/>
  <c r="N1543" i="1"/>
  <c r="L1543" i="1"/>
  <c r="J1543" i="1"/>
  <c r="H1543" i="1"/>
  <c r="G1543" i="1"/>
  <c r="E1543" i="1"/>
  <c r="B1543" i="1"/>
  <c r="Y1542" i="1"/>
  <c r="V1542" i="1"/>
  <c r="R1542" i="1"/>
  <c r="T1542" i="1" s="1"/>
  <c r="P1542" i="1"/>
  <c r="N1542" i="1"/>
  <c r="L1542" i="1"/>
  <c r="J1542" i="1"/>
  <c r="H1542" i="1"/>
  <c r="G1542" i="1"/>
  <c r="E1542" i="1"/>
  <c r="B1542" i="1"/>
  <c r="U1542" i="1" s="1"/>
  <c r="W1541" i="1"/>
  <c r="U1541" i="1"/>
  <c r="R1541" i="1"/>
  <c r="T1541" i="1" s="1"/>
  <c r="P1541" i="1"/>
  <c r="N1541" i="1"/>
  <c r="Y1541" i="1" s="1"/>
  <c r="L1541" i="1"/>
  <c r="J1541" i="1"/>
  <c r="H1541" i="1"/>
  <c r="G1541" i="1"/>
  <c r="E1541" i="1"/>
  <c r="B1541" i="1"/>
  <c r="V1541" i="1" s="1"/>
  <c r="X1540" i="1"/>
  <c r="X1540" i="1" a="1"/>
  <c r="W1540" i="1"/>
  <c r="V1540" i="1"/>
  <c r="U1540" i="1"/>
  <c r="T1540" i="1"/>
  <c r="Z1540" i="1" s="1"/>
  <c r="R1540" i="1"/>
  <c r="P1540" i="1"/>
  <c r="N1540" i="1"/>
  <c r="Y1540" i="1" s="1"/>
  <c r="L1540" i="1"/>
  <c r="J1540" i="1"/>
  <c r="H1540" i="1"/>
  <c r="G1540" i="1"/>
  <c r="E1540" i="1"/>
  <c r="B1540" i="1"/>
  <c r="V1539" i="1"/>
  <c r="R1539" i="1"/>
  <c r="P1539" i="1"/>
  <c r="N1539" i="1"/>
  <c r="Y1539" i="1" s="1"/>
  <c r="L1539" i="1"/>
  <c r="J1539" i="1"/>
  <c r="H1539" i="1"/>
  <c r="G1539" i="1"/>
  <c r="E1539" i="1"/>
  <c r="B1539" i="1"/>
  <c r="W1539" i="1" s="1"/>
  <c r="V1538" i="1"/>
  <c r="R1538" i="1"/>
  <c r="T1538" i="1" s="1"/>
  <c r="P1538" i="1"/>
  <c r="N1538" i="1"/>
  <c r="Y1538" i="1" s="1"/>
  <c r="L1538" i="1"/>
  <c r="J1538" i="1"/>
  <c r="H1538" i="1"/>
  <c r="G1538" i="1"/>
  <c r="E1538" i="1"/>
  <c r="B1538" i="1"/>
  <c r="U1538" i="1" s="1"/>
  <c r="Y1537" i="1"/>
  <c r="X1537" i="1" a="1"/>
  <c r="X1537" i="1" s="1"/>
  <c r="W1537" i="1"/>
  <c r="V1537" i="1"/>
  <c r="U1537" i="1"/>
  <c r="T1537" i="1"/>
  <c r="Z1537" i="1" s="1"/>
  <c r="R1537" i="1"/>
  <c r="P1537" i="1"/>
  <c r="N1537" i="1"/>
  <c r="L1537" i="1"/>
  <c r="J1537" i="1"/>
  <c r="H1537" i="1"/>
  <c r="G1537" i="1"/>
  <c r="E1537" i="1"/>
  <c r="B1537" i="1"/>
  <c r="W1536" i="1"/>
  <c r="R1536" i="1"/>
  <c r="P1536" i="1"/>
  <c r="T1536" i="1" s="1"/>
  <c r="N1536" i="1"/>
  <c r="Y1536" i="1" s="1"/>
  <c r="L1536" i="1"/>
  <c r="J1536" i="1"/>
  <c r="H1536" i="1"/>
  <c r="G1536" i="1"/>
  <c r="E1536" i="1"/>
  <c r="B1536" i="1"/>
  <c r="V1536" i="1" s="1"/>
  <c r="Y1535" i="1"/>
  <c r="V1535" i="1"/>
  <c r="R1535" i="1"/>
  <c r="P1535" i="1"/>
  <c r="T1535" i="1" s="1"/>
  <c r="N1535" i="1"/>
  <c r="L1535" i="1"/>
  <c r="J1535" i="1"/>
  <c r="H1535" i="1"/>
  <c r="G1535" i="1"/>
  <c r="E1535" i="1"/>
  <c r="B1535" i="1"/>
  <c r="W1535" i="1" s="1"/>
  <c r="R1534" i="1"/>
  <c r="T1534" i="1" s="1"/>
  <c r="P1534" i="1"/>
  <c r="N1534" i="1"/>
  <c r="Y1534" i="1" s="1"/>
  <c r="L1534" i="1"/>
  <c r="J1534" i="1"/>
  <c r="H1534" i="1"/>
  <c r="G1534" i="1"/>
  <c r="E1534" i="1"/>
  <c r="B1534" i="1"/>
  <c r="U1534" i="1" s="1"/>
  <c r="Y1533" i="1"/>
  <c r="V1533" i="1"/>
  <c r="U1533" i="1"/>
  <c r="R1533" i="1"/>
  <c r="P1533" i="1"/>
  <c r="T1533" i="1" s="1"/>
  <c r="N1533" i="1"/>
  <c r="L1533" i="1"/>
  <c r="J1533" i="1"/>
  <c r="H1533" i="1"/>
  <c r="G1533" i="1"/>
  <c r="E1533" i="1"/>
  <c r="B1533" i="1"/>
  <c r="W1533" i="1" s="1"/>
  <c r="R1532" i="1"/>
  <c r="P1532" i="1"/>
  <c r="T1532" i="1" s="1"/>
  <c r="N1532" i="1"/>
  <c r="Y1532" i="1" s="1"/>
  <c r="L1532" i="1"/>
  <c r="J1532" i="1"/>
  <c r="H1532" i="1"/>
  <c r="G1532" i="1"/>
  <c r="E1532" i="1"/>
  <c r="B1532" i="1"/>
  <c r="W1532" i="1" s="1"/>
  <c r="Y1531" i="1"/>
  <c r="W1531" i="1"/>
  <c r="V1531" i="1"/>
  <c r="T1531" i="1"/>
  <c r="X1531" i="1" s="1" a="1"/>
  <c r="X1531" i="1" s="1"/>
  <c r="R1531" i="1"/>
  <c r="P1531" i="1"/>
  <c r="N1531" i="1"/>
  <c r="L1531" i="1"/>
  <c r="J1531" i="1"/>
  <c r="H1531" i="1"/>
  <c r="G1531" i="1"/>
  <c r="E1531" i="1"/>
  <c r="B1531" i="1"/>
  <c r="U1531" i="1" s="1"/>
  <c r="W1530" i="1"/>
  <c r="U1530" i="1"/>
  <c r="R1530" i="1"/>
  <c r="T1530" i="1" s="1"/>
  <c r="P1530" i="1"/>
  <c r="N1530" i="1"/>
  <c r="Y1530" i="1" s="1"/>
  <c r="L1530" i="1"/>
  <c r="J1530" i="1"/>
  <c r="H1530" i="1"/>
  <c r="G1530" i="1"/>
  <c r="E1530" i="1"/>
  <c r="B1530" i="1"/>
  <c r="V1530" i="1" s="1"/>
  <c r="Y1529" i="1"/>
  <c r="X1529" i="1" a="1"/>
  <c r="X1529" i="1" s="1"/>
  <c r="W1529" i="1"/>
  <c r="V1529" i="1"/>
  <c r="U1529" i="1"/>
  <c r="T1529" i="1"/>
  <c r="Z1529" i="1" s="1"/>
  <c r="R1529" i="1"/>
  <c r="P1529" i="1"/>
  <c r="N1529" i="1"/>
  <c r="L1529" i="1"/>
  <c r="J1529" i="1"/>
  <c r="H1529" i="1"/>
  <c r="G1529" i="1"/>
  <c r="E1529" i="1"/>
  <c r="B1529" i="1"/>
  <c r="W1528" i="1"/>
  <c r="R1528" i="1"/>
  <c r="P1528" i="1"/>
  <c r="T1528" i="1" s="1"/>
  <c r="N1528" i="1"/>
  <c r="Y1528" i="1" s="1"/>
  <c r="L1528" i="1"/>
  <c r="J1528" i="1"/>
  <c r="H1528" i="1"/>
  <c r="G1528" i="1"/>
  <c r="E1528" i="1"/>
  <c r="B1528" i="1"/>
  <c r="V1528" i="1" s="1"/>
  <c r="Y1527" i="1"/>
  <c r="V1527" i="1"/>
  <c r="R1527" i="1"/>
  <c r="P1527" i="1"/>
  <c r="T1527" i="1" s="1"/>
  <c r="N1527" i="1"/>
  <c r="L1527" i="1"/>
  <c r="J1527" i="1"/>
  <c r="H1527" i="1"/>
  <c r="G1527" i="1"/>
  <c r="E1527" i="1"/>
  <c r="B1527" i="1"/>
  <c r="W1527" i="1" s="1"/>
  <c r="R1526" i="1"/>
  <c r="T1526" i="1" s="1"/>
  <c r="P1526" i="1"/>
  <c r="N1526" i="1"/>
  <c r="Y1526" i="1" s="1"/>
  <c r="L1526" i="1"/>
  <c r="J1526" i="1"/>
  <c r="H1526" i="1"/>
  <c r="G1526" i="1"/>
  <c r="E1526" i="1"/>
  <c r="B1526" i="1"/>
  <c r="U1526" i="1" s="1"/>
  <c r="Y1525" i="1"/>
  <c r="V1525" i="1"/>
  <c r="U1525" i="1"/>
  <c r="T1525" i="1"/>
  <c r="Z1525" i="1" s="1"/>
  <c r="R1525" i="1"/>
  <c r="P1525" i="1"/>
  <c r="N1525" i="1"/>
  <c r="L1525" i="1"/>
  <c r="J1525" i="1"/>
  <c r="H1525" i="1"/>
  <c r="G1525" i="1"/>
  <c r="E1525" i="1"/>
  <c r="B1525" i="1"/>
  <c r="W1525" i="1" s="1"/>
  <c r="R1524" i="1"/>
  <c r="P1524" i="1"/>
  <c r="T1524" i="1" s="1"/>
  <c r="N1524" i="1"/>
  <c r="Y1524" i="1" s="1"/>
  <c r="L1524" i="1"/>
  <c r="J1524" i="1"/>
  <c r="H1524" i="1"/>
  <c r="G1524" i="1"/>
  <c r="E1524" i="1"/>
  <c r="B1524" i="1"/>
  <c r="W1524" i="1" s="1"/>
  <c r="Y1523" i="1"/>
  <c r="W1523" i="1"/>
  <c r="V1523" i="1"/>
  <c r="T1523" i="1"/>
  <c r="X1523" i="1" s="1" a="1"/>
  <c r="X1523" i="1" s="1"/>
  <c r="R1523" i="1"/>
  <c r="P1523" i="1"/>
  <c r="N1523" i="1"/>
  <c r="L1523" i="1"/>
  <c r="J1523" i="1"/>
  <c r="H1523" i="1"/>
  <c r="G1523" i="1"/>
  <c r="E1523" i="1"/>
  <c r="B1523" i="1"/>
  <c r="U1523" i="1" s="1"/>
  <c r="W1522" i="1"/>
  <c r="U1522" i="1"/>
  <c r="R1522" i="1"/>
  <c r="T1522" i="1" s="1"/>
  <c r="P1522" i="1"/>
  <c r="N1522" i="1"/>
  <c r="Y1522" i="1" s="1"/>
  <c r="L1522" i="1"/>
  <c r="J1522" i="1"/>
  <c r="H1522" i="1"/>
  <c r="G1522" i="1"/>
  <c r="E1522" i="1"/>
  <c r="B1522" i="1"/>
  <c r="V1522" i="1" s="1"/>
  <c r="Y1521" i="1"/>
  <c r="X1521" i="1" a="1"/>
  <c r="X1521" i="1" s="1"/>
  <c r="W1521" i="1"/>
  <c r="V1521" i="1"/>
  <c r="U1521" i="1"/>
  <c r="T1521" i="1"/>
  <c r="Z1521" i="1" s="1"/>
  <c r="R1521" i="1"/>
  <c r="P1521" i="1"/>
  <c r="N1521" i="1"/>
  <c r="L1521" i="1"/>
  <c r="J1521" i="1"/>
  <c r="H1521" i="1"/>
  <c r="G1521" i="1"/>
  <c r="E1521" i="1"/>
  <c r="B1521" i="1"/>
  <c r="W1520" i="1"/>
  <c r="R1520" i="1"/>
  <c r="P1520" i="1"/>
  <c r="T1520" i="1" s="1"/>
  <c r="N1520" i="1"/>
  <c r="Y1520" i="1" s="1"/>
  <c r="L1520" i="1"/>
  <c r="J1520" i="1"/>
  <c r="H1520" i="1"/>
  <c r="G1520" i="1"/>
  <c r="E1520" i="1"/>
  <c r="B1520" i="1"/>
  <c r="V1520" i="1" s="1"/>
  <c r="Y1519" i="1"/>
  <c r="V1519" i="1"/>
  <c r="R1519" i="1"/>
  <c r="P1519" i="1"/>
  <c r="T1519" i="1" s="1"/>
  <c r="N1519" i="1"/>
  <c r="L1519" i="1"/>
  <c r="J1519" i="1"/>
  <c r="H1519" i="1"/>
  <c r="G1519" i="1"/>
  <c r="E1519" i="1"/>
  <c r="B1519" i="1"/>
  <c r="W1519" i="1" s="1"/>
  <c r="R1518" i="1"/>
  <c r="T1518" i="1" s="1"/>
  <c r="P1518" i="1"/>
  <c r="N1518" i="1"/>
  <c r="Y1518" i="1" s="1"/>
  <c r="L1518" i="1"/>
  <c r="J1518" i="1"/>
  <c r="H1518" i="1"/>
  <c r="G1518" i="1"/>
  <c r="E1518" i="1"/>
  <c r="B1518" i="1"/>
  <c r="U1518" i="1" s="1"/>
  <c r="Y1517" i="1"/>
  <c r="V1517" i="1"/>
  <c r="U1517" i="1"/>
  <c r="T1517" i="1"/>
  <c r="Z1517" i="1" s="1"/>
  <c r="R1517" i="1"/>
  <c r="P1517" i="1"/>
  <c r="N1517" i="1"/>
  <c r="L1517" i="1"/>
  <c r="J1517" i="1"/>
  <c r="H1517" i="1"/>
  <c r="G1517" i="1"/>
  <c r="E1517" i="1"/>
  <c r="B1517" i="1"/>
  <c r="W1517" i="1" s="1"/>
  <c r="U1516" i="1"/>
  <c r="R1516" i="1"/>
  <c r="P1516" i="1"/>
  <c r="T1516" i="1" s="1"/>
  <c r="N1516" i="1"/>
  <c r="Y1516" i="1" s="1"/>
  <c r="L1516" i="1"/>
  <c r="J1516" i="1"/>
  <c r="H1516" i="1"/>
  <c r="G1516" i="1"/>
  <c r="E1516" i="1"/>
  <c r="B1516" i="1"/>
  <c r="W1516" i="1" s="1"/>
  <c r="Y1515" i="1"/>
  <c r="W1515" i="1"/>
  <c r="V1515" i="1"/>
  <c r="T1515" i="1"/>
  <c r="X1515" i="1" s="1" a="1"/>
  <c r="X1515" i="1" s="1"/>
  <c r="R1515" i="1"/>
  <c r="P1515" i="1"/>
  <c r="N1515" i="1"/>
  <c r="L1515" i="1"/>
  <c r="J1515" i="1"/>
  <c r="H1515" i="1"/>
  <c r="G1515" i="1"/>
  <c r="E1515" i="1"/>
  <c r="B1515" i="1"/>
  <c r="U1515" i="1" s="1"/>
  <c r="W1514" i="1"/>
  <c r="U1514" i="1"/>
  <c r="R1514" i="1"/>
  <c r="T1514" i="1" s="1"/>
  <c r="P1514" i="1"/>
  <c r="N1514" i="1"/>
  <c r="Y1514" i="1" s="1"/>
  <c r="L1514" i="1"/>
  <c r="J1514" i="1"/>
  <c r="H1514" i="1"/>
  <c r="G1514" i="1"/>
  <c r="E1514" i="1"/>
  <c r="B1514" i="1"/>
  <c r="V1514" i="1" s="1"/>
  <c r="Y1513" i="1"/>
  <c r="X1513" i="1" a="1"/>
  <c r="X1513" i="1" s="1"/>
  <c r="W1513" i="1"/>
  <c r="V1513" i="1"/>
  <c r="U1513" i="1"/>
  <c r="T1513" i="1"/>
  <c r="Z1513" i="1" s="1"/>
  <c r="R1513" i="1"/>
  <c r="P1513" i="1"/>
  <c r="N1513" i="1"/>
  <c r="L1513" i="1"/>
  <c r="J1513" i="1"/>
  <c r="H1513" i="1"/>
  <c r="G1513" i="1"/>
  <c r="E1513" i="1"/>
  <c r="B1513" i="1"/>
  <c r="W1512" i="1"/>
  <c r="R1512" i="1"/>
  <c r="P1512" i="1"/>
  <c r="T1512" i="1" s="1"/>
  <c r="N1512" i="1"/>
  <c r="Y1512" i="1" s="1"/>
  <c r="L1512" i="1"/>
  <c r="J1512" i="1"/>
  <c r="H1512" i="1"/>
  <c r="G1512" i="1"/>
  <c r="E1512" i="1"/>
  <c r="B1512" i="1"/>
  <c r="V1512" i="1" s="1"/>
  <c r="Y1511" i="1"/>
  <c r="V1511" i="1"/>
  <c r="R1511" i="1"/>
  <c r="P1511" i="1"/>
  <c r="T1511" i="1" s="1"/>
  <c r="N1511" i="1"/>
  <c r="L1511" i="1"/>
  <c r="J1511" i="1"/>
  <c r="H1511" i="1"/>
  <c r="G1511" i="1"/>
  <c r="E1511" i="1"/>
  <c r="B1511" i="1"/>
  <c r="W1511" i="1" s="1"/>
  <c r="R1510" i="1"/>
  <c r="T1510" i="1" s="1"/>
  <c r="P1510" i="1"/>
  <c r="N1510" i="1"/>
  <c r="Y1510" i="1" s="1"/>
  <c r="L1510" i="1"/>
  <c r="J1510" i="1"/>
  <c r="H1510" i="1"/>
  <c r="G1510" i="1"/>
  <c r="E1510" i="1"/>
  <c r="B1510" i="1"/>
  <c r="U1510" i="1" s="1"/>
  <c r="Y1509" i="1"/>
  <c r="V1509" i="1"/>
  <c r="U1509" i="1"/>
  <c r="T1509" i="1"/>
  <c r="Z1509" i="1" s="1"/>
  <c r="R1509" i="1"/>
  <c r="P1509" i="1"/>
  <c r="N1509" i="1"/>
  <c r="L1509" i="1"/>
  <c r="J1509" i="1"/>
  <c r="H1509" i="1"/>
  <c r="G1509" i="1"/>
  <c r="E1509" i="1"/>
  <c r="B1509" i="1"/>
  <c r="W1509" i="1" s="1"/>
  <c r="U1508" i="1"/>
  <c r="R1508" i="1"/>
  <c r="P1508" i="1"/>
  <c r="T1508" i="1" s="1"/>
  <c r="N1508" i="1"/>
  <c r="Y1508" i="1" s="1"/>
  <c r="L1508" i="1"/>
  <c r="J1508" i="1"/>
  <c r="H1508" i="1"/>
  <c r="G1508" i="1"/>
  <c r="E1508" i="1"/>
  <c r="B1508" i="1"/>
  <c r="W1508" i="1" s="1"/>
  <c r="Y1507" i="1"/>
  <c r="W1507" i="1"/>
  <c r="V1507" i="1"/>
  <c r="T1507" i="1"/>
  <c r="X1507" i="1" s="1" a="1"/>
  <c r="X1507" i="1" s="1"/>
  <c r="R1507" i="1"/>
  <c r="P1507" i="1"/>
  <c r="N1507" i="1"/>
  <c r="L1507" i="1"/>
  <c r="J1507" i="1"/>
  <c r="H1507" i="1"/>
  <c r="G1507" i="1"/>
  <c r="E1507" i="1"/>
  <c r="B1507" i="1"/>
  <c r="U1507" i="1" s="1"/>
  <c r="W1506" i="1"/>
  <c r="U1506" i="1"/>
  <c r="R1506" i="1"/>
  <c r="T1506" i="1" s="1"/>
  <c r="P1506" i="1"/>
  <c r="N1506" i="1"/>
  <c r="Y1506" i="1" s="1"/>
  <c r="L1506" i="1"/>
  <c r="J1506" i="1"/>
  <c r="H1506" i="1"/>
  <c r="G1506" i="1"/>
  <c r="E1506" i="1"/>
  <c r="B1506" i="1"/>
  <c r="V1506" i="1" s="1"/>
  <c r="Y1505" i="1"/>
  <c r="X1505" i="1" a="1"/>
  <c r="X1505" i="1" s="1"/>
  <c r="V1505" i="1"/>
  <c r="U1505" i="1"/>
  <c r="T1505" i="1"/>
  <c r="Z1505" i="1" s="1"/>
  <c r="R1505" i="1"/>
  <c r="P1505" i="1"/>
  <c r="N1505" i="1"/>
  <c r="L1505" i="1"/>
  <c r="J1505" i="1"/>
  <c r="H1505" i="1"/>
  <c r="G1505" i="1"/>
  <c r="E1505" i="1"/>
  <c r="B1505" i="1"/>
  <c r="W1505" i="1" s="1"/>
  <c r="W1504" i="1"/>
  <c r="R1504" i="1"/>
  <c r="P1504" i="1"/>
  <c r="T1504" i="1" s="1"/>
  <c r="N1504" i="1"/>
  <c r="Y1504" i="1" s="1"/>
  <c r="L1504" i="1"/>
  <c r="J1504" i="1"/>
  <c r="H1504" i="1"/>
  <c r="G1504" i="1"/>
  <c r="E1504" i="1"/>
  <c r="B1504" i="1"/>
  <c r="V1504" i="1" s="1"/>
  <c r="Y1503" i="1"/>
  <c r="V1503" i="1"/>
  <c r="R1503" i="1"/>
  <c r="P1503" i="1"/>
  <c r="T1503" i="1" s="1"/>
  <c r="N1503" i="1"/>
  <c r="L1503" i="1"/>
  <c r="J1503" i="1"/>
  <c r="H1503" i="1"/>
  <c r="G1503" i="1"/>
  <c r="E1503" i="1"/>
  <c r="B1503" i="1"/>
  <c r="W1503" i="1" s="1"/>
  <c r="R1502" i="1"/>
  <c r="T1502" i="1" s="1"/>
  <c r="P1502" i="1"/>
  <c r="N1502" i="1"/>
  <c r="Y1502" i="1" s="1"/>
  <c r="L1502" i="1"/>
  <c r="J1502" i="1"/>
  <c r="H1502" i="1"/>
  <c r="G1502" i="1"/>
  <c r="E1502" i="1"/>
  <c r="B1502" i="1"/>
  <c r="Y1501" i="1"/>
  <c r="V1501" i="1"/>
  <c r="U1501" i="1"/>
  <c r="T1501" i="1"/>
  <c r="R1501" i="1"/>
  <c r="P1501" i="1"/>
  <c r="N1501" i="1"/>
  <c r="L1501" i="1"/>
  <c r="J1501" i="1"/>
  <c r="H1501" i="1"/>
  <c r="G1501" i="1"/>
  <c r="E1501" i="1"/>
  <c r="B1501" i="1"/>
  <c r="W1501" i="1" s="1"/>
  <c r="U1500" i="1"/>
  <c r="R1500" i="1"/>
  <c r="P1500" i="1"/>
  <c r="T1500" i="1" s="1"/>
  <c r="N1500" i="1"/>
  <c r="Y1500" i="1" s="1"/>
  <c r="L1500" i="1"/>
  <c r="J1500" i="1"/>
  <c r="H1500" i="1"/>
  <c r="G1500" i="1"/>
  <c r="E1500" i="1"/>
  <c r="B1500" i="1"/>
  <c r="W1500" i="1" s="1"/>
  <c r="Y1499" i="1"/>
  <c r="W1499" i="1"/>
  <c r="V1499" i="1"/>
  <c r="T1499" i="1"/>
  <c r="X1499" i="1" s="1" a="1"/>
  <c r="X1499" i="1" s="1"/>
  <c r="R1499" i="1"/>
  <c r="P1499" i="1"/>
  <c r="N1499" i="1"/>
  <c r="L1499" i="1"/>
  <c r="J1499" i="1"/>
  <c r="H1499" i="1"/>
  <c r="G1499" i="1"/>
  <c r="E1499" i="1"/>
  <c r="B1499" i="1"/>
  <c r="U1499" i="1" s="1"/>
  <c r="W1498" i="1"/>
  <c r="U1498" i="1"/>
  <c r="R1498" i="1"/>
  <c r="T1498" i="1" s="1"/>
  <c r="P1498" i="1"/>
  <c r="N1498" i="1"/>
  <c r="Y1498" i="1" s="1"/>
  <c r="L1498" i="1"/>
  <c r="J1498" i="1"/>
  <c r="H1498" i="1"/>
  <c r="G1498" i="1"/>
  <c r="E1498" i="1"/>
  <c r="B1498" i="1"/>
  <c r="V1498" i="1" s="1"/>
  <c r="Y1497" i="1"/>
  <c r="X1497" i="1" a="1"/>
  <c r="X1497" i="1" s="1"/>
  <c r="V1497" i="1"/>
  <c r="U1497" i="1"/>
  <c r="T1497" i="1"/>
  <c r="Z1497" i="1" s="1"/>
  <c r="R1497" i="1"/>
  <c r="P1497" i="1"/>
  <c r="N1497" i="1"/>
  <c r="L1497" i="1"/>
  <c r="J1497" i="1"/>
  <c r="H1497" i="1"/>
  <c r="G1497" i="1"/>
  <c r="E1497" i="1"/>
  <c r="B1497" i="1"/>
  <c r="W1497" i="1" s="1"/>
  <c r="W1496" i="1"/>
  <c r="U1496" i="1"/>
  <c r="R1496" i="1"/>
  <c r="P1496" i="1"/>
  <c r="T1496" i="1" s="1"/>
  <c r="N1496" i="1"/>
  <c r="Y1496" i="1" s="1"/>
  <c r="L1496" i="1"/>
  <c r="J1496" i="1"/>
  <c r="H1496" i="1"/>
  <c r="G1496" i="1"/>
  <c r="E1496" i="1"/>
  <c r="B1496" i="1"/>
  <c r="V1496" i="1" s="1"/>
  <c r="Y1495" i="1"/>
  <c r="V1495" i="1"/>
  <c r="R1495" i="1"/>
  <c r="P1495" i="1"/>
  <c r="T1495" i="1" s="1"/>
  <c r="Z1495" i="1" s="1"/>
  <c r="N1495" i="1"/>
  <c r="L1495" i="1"/>
  <c r="J1495" i="1"/>
  <c r="H1495" i="1"/>
  <c r="G1495" i="1"/>
  <c r="E1495" i="1"/>
  <c r="B1495" i="1"/>
  <c r="W1495" i="1" s="1"/>
  <c r="Z1494" i="1"/>
  <c r="X1494" i="1"/>
  <c r="W1494" i="1"/>
  <c r="R1494" i="1"/>
  <c r="T1494" i="1" s="1"/>
  <c r="X1494" i="1" s="1" a="1"/>
  <c r="P1494" i="1"/>
  <c r="N1494" i="1"/>
  <c r="Y1494" i="1" s="1"/>
  <c r="L1494" i="1"/>
  <c r="J1494" i="1"/>
  <c r="H1494" i="1"/>
  <c r="G1494" i="1"/>
  <c r="E1494" i="1"/>
  <c r="B1494" i="1"/>
  <c r="Y1493" i="1"/>
  <c r="V1493" i="1"/>
  <c r="U1493" i="1"/>
  <c r="R1493" i="1"/>
  <c r="P1493" i="1"/>
  <c r="T1493" i="1" s="1"/>
  <c r="N1493" i="1"/>
  <c r="L1493" i="1"/>
  <c r="J1493" i="1"/>
  <c r="H1493" i="1"/>
  <c r="G1493" i="1"/>
  <c r="E1493" i="1"/>
  <c r="B1493" i="1"/>
  <c r="W1493" i="1" s="1"/>
  <c r="R1492" i="1"/>
  <c r="P1492" i="1"/>
  <c r="N1492" i="1"/>
  <c r="Y1492" i="1" s="1"/>
  <c r="L1492" i="1"/>
  <c r="J1492" i="1"/>
  <c r="H1492" i="1"/>
  <c r="G1492" i="1"/>
  <c r="E1492" i="1"/>
  <c r="B1492" i="1"/>
  <c r="V1492" i="1" s="1"/>
  <c r="Y1491" i="1"/>
  <c r="W1491" i="1"/>
  <c r="V1491" i="1"/>
  <c r="R1491" i="1"/>
  <c r="P1491" i="1"/>
  <c r="T1491" i="1" s="1"/>
  <c r="N1491" i="1"/>
  <c r="L1491" i="1"/>
  <c r="J1491" i="1"/>
  <c r="H1491" i="1"/>
  <c r="G1491" i="1"/>
  <c r="E1491" i="1"/>
  <c r="B1491" i="1"/>
  <c r="U1491" i="1" s="1"/>
  <c r="X1490" i="1"/>
  <c r="R1490" i="1"/>
  <c r="T1490" i="1" s="1"/>
  <c r="X1490" i="1" s="1" a="1"/>
  <c r="P1490" i="1"/>
  <c r="N1490" i="1"/>
  <c r="Y1490" i="1" s="1"/>
  <c r="L1490" i="1"/>
  <c r="J1490" i="1"/>
  <c r="H1490" i="1"/>
  <c r="G1490" i="1"/>
  <c r="E1490" i="1"/>
  <c r="B1490" i="1"/>
  <c r="V1490" i="1" s="1"/>
  <c r="Y1489" i="1"/>
  <c r="V1489" i="1"/>
  <c r="U1489" i="1"/>
  <c r="T1489" i="1"/>
  <c r="Z1489" i="1" s="1"/>
  <c r="R1489" i="1"/>
  <c r="P1489" i="1"/>
  <c r="N1489" i="1"/>
  <c r="L1489" i="1"/>
  <c r="J1489" i="1"/>
  <c r="H1489" i="1"/>
  <c r="G1489" i="1"/>
  <c r="E1489" i="1"/>
  <c r="B1489" i="1"/>
  <c r="W1489" i="1" s="1"/>
  <c r="R1488" i="1"/>
  <c r="P1488" i="1"/>
  <c r="N1488" i="1"/>
  <c r="Y1488" i="1" s="1"/>
  <c r="L1488" i="1"/>
  <c r="J1488" i="1"/>
  <c r="H1488" i="1"/>
  <c r="G1488" i="1"/>
  <c r="E1488" i="1"/>
  <c r="B1488" i="1"/>
  <c r="V1488" i="1" s="1"/>
  <c r="Y1487" i="1"/>
  <c r="V1487" i="1"/>
  <c r="R1487" i="1"/>
  <c r="P1487" i="1"/>
  <c r="T1487" i="1" s="1"/>
  <c r="N1487" i="1"/>
  <c r="L1487" i="1"/>
  <c r="J1487" i="1"/>
  <c r="H1487" i="1"/>
  <c r="G1487" i="1"/>
  <c r="E1487" i="1"/>
  <c r="B1487" i="1"/>
  <c r="W1487" i="1" s="1"/>
  <c r="R1486" i="1"/>
  <c r="T1486" i="1" s="1"/>
  <c r="X1486" i="1" s="1" a="1"/>
  <c r="X1486" i="1" s="1"/>
  <c r="P1486" i="1"/>
  <c r="N1486" i="1"/>
  <c r="Y1486" i="1" s="1"/>
  <c r="L1486" i="1"/>
  <c r="J1486" i="1"/>
  <c r="H1486" i="1"/>
  <c r="G1486" i="1"/>
  <c r="E1486" i="1"/>
  <c r="B1486" i="1"/>
  <c r="V1486" i="1" s="1"/>
  <c r="Y1485" i="1"/>
  <c r="V1485" i="1"/>
  <c r="U1485" i="1"/>
  <c r="R1485" i="1"/>
  <c r="P1485" i="1"/>
  <c r="T1485" i="1" s="1"/>
  <c r="N1485" i="1"/>
  <c r="L1485" i="1"/>
  <c r="J1485" i="1"/>
  <c r="H1485" i="1"/>
  <c r="G1485" i="1"/>
  <c r="E1485" i="1"/>
  <c r="B1485" i="1"/>
  <c r="W1485" i="1" s="1"/>
  <c r="X1484" i="1"/>
  <c r="R1484" i="1"/>
  <c r="P1484" i="1"/>
  <c r="T1484" i="1" s="1"/>
  <c r="X1484" i="1" s="1" a="1"/>
  <c r="N1484" i="1"/>
  <c r="Y1484" i="1" s="1"/>
  <c r="L1484" i="1"/>
  <c r="J1484" i="1"/>
  <c r="H1484" i="1"/>
  <c r="G1484" i="1"/>
  <c r="E1484" i="1"/>
  <c r="B1484" i="1"/>
  <c r="V1484" i="1" s="1"/>
  <c r="Y1483" i="1"/>
  <c r="W1483" i="1"/>
  <c r="V1483" i="1"/>
  <c r="T1483" i="1"/>
  <c r="Z1483" i="1" s="1"/>
  <c r="R1483" i="1"/>
  <c r="P1483" i="1"/>
  <c r="N1483" i="1"/>
  <c r="L1483" i="1"/>
  <c r="J1483" i="1"/>
  <c r="H1483" i="1"/>
  <c r="G1483" i="1"/>
  <c r="E1483" i="1"/>
  <c r="B1483" i="1"/>
  <c r="U1483" i="1" s="1"/>
  <c r="R1482" i="1"/>
  <c r="T1482" i="1" s="1"/>
  <c r="X1482" i="1" s="1" a="1"/>
  <c r="X1482" i="1" s="1"/>
  <c r="P1482" i="1"/>
  <c r="N1482" i="1"/>
  <c r="Y1482" i="1" s="1"/>
  <c r="L1482" i="1"/>
  <c r="J1482" i="1"/>
  <c r="H1482" i="1"/>
  <c r="G1482" i="1"/>
  <c r="E1482" i="1"/>
  <c r="B1482" i="1"/>
  <c r="V1482" i="1" s="1"/>
  <c r="Y1481" i="1"/>
  <c r="X1481" i="1" a="1"/>
  <c r="X1481" i="1" s="1"/>
  <c r="V1481" i="1"/>
  <c r="U1481" i="1"/>
  <c r="T1481" i="1"/>
  <c r="Z1481" i="1" s="1"/>
  <c r="R1481" i="1"/>
  <c r="P1481" i="1"/>
  <c r="N1481" i="1"/>
  <c r="L1481" i="1"/>
  <c r="J1481" i="1"/>
  <c r="H1481" i="1"/>
  <c r="G1481" i="1"/>
  <c r="E1481" i="1"/>
  <c r="B1481" i="1"/>
  <c r="W1481" i="1" s="1"/>
  <c r="Y1480" i="1"/>
  <c r="W1480" i="1"/>
  <c r="R1480" i="1"/>
  <c r="P1480" i="1"/>
  <c r="T1480" i="1" s="1"/>
  <c r="X1480" i="1" s="1" a="1"/>
  <c r="X1480" i="1" s="1"/>
  <c r="N1480" i="1"/>
  <c r="L1480" i="1"/>
  <c r="J1480" i="1"/>
  <c r="H1480" i="1"/>
  <c r="G1480" i="1"/>
  <c r="E1480" i="1"/>
  <c r="B1480" i="1"/>
  <c r="V1480" i="1" s="1"/>
  <c r="Y1479" i="1"/>
  <c r="R1479" i="1"/>
  <c r="T1479" i="1" s="1"/>
  <c r="P1479" i="1"/>
  <c r="N1479" i="1"/>
  <c r="L1479" i="1"/>
  <c r="J1479" i="1"/>
  <c r="H1479" i="1"/>
  <c r="G1479" i="1"/>
  <c r="E1479" i="1"/>
  <c r="B1479" i="1"/>
  <c r="R1478" i="1"/>
  <c r="T1478" i="1" s="1"/>
  <c r="P1478" i="1"/>
  <c r="N1478" i="1"/>
  <c r="Y1478" i="1" s="1"/>
  <c r="L1478" i="1"/>
  <c r="J1478" i="1"/>
  <c r="H1478" i="1"/>
  <c r="G1478" i="1"/>
  <c r="E1478" i="1"/>
  <c r="B1478" i="1"/>
  <c r="V1478" i="1" s="1"/>
  <c r="V1477" i="1"/>
  <c r="U1477" i="1"/>
  <c r="R1477" i="1"/>
  <c r="P1477" i="1"/>
  <c r="T1477" i="1" s="1"/>
  <c r="N1477" i="1"/>
  <c r="Y1477" i="1" s="1"/>
  <c r="L1477" i="1"/>
  <c r="J1477" i="1"/>
  <c r="H1477" i="1"/>
  <c r="G1477" i="1"/>
  <c r="E1477" i="1"/>
  <c r="B1477" i="1"/>
  <c r="W1477" i="1" s="1"/>
  <c r="R1476" i="1"/>
  <c r="P1476" i="1"/>
  <c r="N1476" i="1"/>
  <c r="Y1476" i="1" s="1"/>
  <c r="L1476" i="1"/>
  <c r="J1476" i="1"/>
  <c r="H1476" i="1"/>
  <c r="G1476" i="1"/>
  <c r="E1476" i="1"/>
  <c r="B1476" i="1"/>
  <c r="V1476" i="1" s="1"/>
  <c r="Y1475" i="1"/>
  <c r="W1475" i="1"/>
  <c r="R1475" i="1"/>
  <c r="P1475" i="1"/>
  <c r="T1475" i="1" s="1"/>
  <c r="N1475" i="1"/>
  <c r="L1475" i="1"/>
  <c r="J1475" i="1"/>
  <c r="H1475" i="1"/>
  <c r="G1475" i="1"/>
  <c r="E1475" i="1"/>
  <c r="B1475" i="1"/>
  <c r="U1475" i="1" s="1"/>
  <c r="U1474" i="1"/>
  <c r="R1474" i="1"/>
  <c r="T1474" i="1" s="1"/>
  <c r="P1474" i="1"/>
  <c r="N1474" i="1"/>
  <c r="Y1474" i="1" s="1"/>
  <c r="L1474" i="1"/>
  <c r="J1474" i="1"/>
  <c r="H1474" i="1"/>
  <c r="G1474" i="1"/>
  <c r="E1474" i="1"/>
  <c r="B1474" i="1"/>
  <c r="V1474" i="1" s="1"/>
  <c r="V1473" i="1"/>
  <c r="U1473" i="1"/>
  <c r="T1473" i="1"/>
  <c r="Z1473" i="1" s="1"/>
  <c r="R1473" i="1"/>
  <c r="P1473" i="1"/>
  <c r="N1473" i="1"/>
  <c r="Y1473" i="1" s="1"/>
  <c r="L1473" i="1"/>
  <c r="J1473" i="1"/>
  <c r="H1473" i="1"/>
  <c r="G1473" i="1"/>
  <c r="E1473" i="1"/>
  <c r="B1473" i="1"/>
  <c r="W1473" i="1" s="1"/>
  <c r="Y1472" i="1"/>
  <c r="V1472" i="1"/>
  <c r="R1472" i="1"/>
  <c r="P1472" i="1"/>
  <c r="N1472" i="1"/>
  <c r="L1472" i="1"/>
  <c r="J1472" i="1"/>
  <c r="H1472" i="1"/>
  <c r="G1472" i="1"/>
  <c r="E1472" i="1"/>
  <c r="B1472" i="1"/>
  <c r="W1472" i="1" s="1"/>
  <c r="Y1471" i="1"/>
  <c r="W1471" i="1"/>
  <c r="T1471" i="1"/>
  <c r="X1471" i="1" s="1" a="1"/>
  <c r="X1471" i="1" s="1"/>
  <c r="R1471" i="1"/>
  <c r="P1471" i="1"/>
  <c r="N1471" i="1"/>
  <c r="L1471" i="1"/>
  <c r="J1471" i="1"/>
  <c r="H1471" i="1"/>
  <c r="G1471" i="1"/>
  <c r="E1471" i="1"/>
  <c r="B1471" i="1"/>
  <c r="U1471" i="1" s="1"/>
  <c r="R1470" i="1"/>
  <c r="T1470" i="1" s="1"/>
  <c r="P1470" i="1"/>
  <c r="N1470" i="1"/>
  <c r="Y1470" i="1" s="1"/>
  <c r="L1470" i="1"/>
  <c r="J1470" i="1"/>
  <c r="H1470" i="1"/>
  <c r="G1470" i="1"/>
  <c r="E1470" i="1"/>
  <c r="B1470" i="1"/>
  <c r="V1470" i="1" s="1"/>
  <c r="V1469" i="1"/>
  <c r="U1469" i="1"/>
  <c r="R1469" i="1"/>
  <c r="P1469" i="1"/>
  <c r="T1469" i="1" s="1"/>
  <c r="N1469" i="1"/>
  <c r="Y1469" i="1" s="1"/>
  <c r="L1469" i="1"/>
  <c r="J1469" i="1"/>
  <c r="H1469" i="1"/>
  <c r="G1469" i="1"/>
  <c r="E1469" i="1"/>
  <c r="B1469" i="1"/>
  <c r="W1469" i="1" s="1"/>
  <c r="R1468" i="1"/>
  <c r="P1468" i="1"/>
  <c r="N1468" i="1"/>
  <c r="Y1468" i="1" s="1"/>
  <c r="L1468" i="1"/>
  <c r="J1468" i="1"/>
  <c r="H1468" i="1"/>
  <c r="G1468" i="1"/>
  <c r="E1468" i="1"/>
  <c r="B1468" i="1"/>
  <c r="V1468" i="1" s="1"/>
  <c r="Y1467" i="1"/>
  <c r="W1467" i="1"/>
  <c r="R1467" i="1"/>
  <c r="P1467" i="1"/>
  <c r="T1467" i="1" s="1"/>
  <c r="N1467" i="1"/>
  <c r="L1467" i="1"/>
  <c r="J1467" i="1"/>
  <c r="H1467" i="1"/>
  <c r="G1467" i="1"/>
  <c r="E1467" i="1"/>
  <c r="B1467" i="1"/>
  <c r="U1467" i="1" s="1"/>
  <c r="U1466" i="1"/>
  <c r="R1466" i="1"/>
  <c r="T1466" i="1" s="1"/>
  <c r="P1466" i="1"/>
  <c r="N1466" i="1"/>
  <c r="Y1466" i="1" s="1"/>
  <c r="L1466" i="1"/>
  <c r="J1466" i="1"/>
  <c r="H1466" i="1"/>
  <c r="G1466" i="1"/>
  <c r="E1466" i="1"/>
  <c r="B1466" i="1"/>
  <c r="V1466" i="1" s="1"/>
  <c r="V1465" i="1"/>
  <c r="U1465" i="1"/>
  <c r="T1465" i="1"/>
  <c r="Z1465" i="1" s="1"/>
  <c r="R1465" i="1"/>
  <c r="P1465" i="1"/>
  <c r="N1465" i="1"/>
  <c r="Y1465" i="1" s="1"/>
  <c r="L1465" i="1"/>
  <c r="J1465" i="1"/>
  <c r="H1465" i="1"/>
  <c r="G1465" i="1"/>
  <c r="E1465" i="1"/>
  <c r="B1465" i="1"/>
  <c r="W1465" i="1" s="1"/>
  <c r="V1464" i="1"/>
  <c r="R1464" i="1"/>
  <c r="P1464" i="1"/>
  <c r="N1464" i="1"/>
  <c r="Y1464" i="1" s="1"/>
  <c r="L1464" i="1"/>
  <c r="J1464" i="1"/>
  <c r="H1464" i="1"/>
  <c r="G1464" i="1"/>
  <c r="E1464" i="1"/>
  <c r="B1464" i="1"/>
  <c r="W1464" i="1" s="1"/>
  <c r="Y1463" i="1"/>
  <c r="W1463" i="1"/>
  <c r="T1463" i="1"/>
  <c r="X1463" i="1" s="1" a="1"/>
  <c r="X1463" i="1" s="1"/>
  <c r="R1463" i="1"/>
  <c r="P1463" i="1"/>
  <c r="N1463" i="1"/>
  <c r="L1463" i="1"/>
  <c r="J1463" i="1"/>
  <c r="H1463" i="1"/>
  <c r="G1463" i="1"/>
  <c r="E1463" i="1"/>
  <c r="B1463" i="1"/>
  <c r="U1463" i="1" s="1"/>
  <c r="R1462" i="1"/>
  <c r="T1462" i="1" s="1"/>
  <c r="P1462" i="1"/>
  <c r="N1462" i="1"/>
  <c r="Y1462" i="1" s="1"/>
  <c r="L1462" i="1"/>
  <c r="J1462" i="1"/>
  <c r="H1462" i="1"/>
  <c r="G1462" i="1"/>
  <c r="E1462" i="1"/>
  <c r="B1462" i="1"/>
  <c r="V1462" i="1" s="1"/>
  <c r="V1461" i="1"/>
  <c r="U1461" i="1"/>
  <c r="R1461" i="1"/>
  <c r="P1461" i="1"/>
  <c r="T1461" i="1" s="1"/>
  <c r="N1461" i="1"/>
  <c r="Y1461" i="1" s="1"/>
  <c r="L1461" i="1"/>
  <c r="J1461" i="1"/>
  <c r="H1461" i="1"/>
  <c r="G1461" i="1"/>
  <c r="E1461" i="1"/>
  <c r="B1461" i="1"/>
  <c r="W1461" i="1" s="1"/>
  <c r="R1460" i="1"/>
  <c r="P1460" i="1"/>
  <c r="N1460" i="1"/>
  <c r="Y1460" i="1" s="1"/>
  <c r="L1460" i="1"/>
  <c r="J1460" i="1"/>
  <c r="H1460" i="1"/>
  <c r="G1460" i="1"/>
  <c r="E1460" i="1"/>
  <c r="B1460" i="1"/>
  <c r="V1460" i="1" s="1"/>
  <c r="Y1459" i="1"/>
  <c r="W1459" i="1"/>
  <c r="R1459" i="1"/>
  <c r="P1459" i="1"/>
  <c r="T1459" i="1" s="1"/>
  <c r="N1459" i="1"/>
  <c r="L1459" i="1"/>
  <c r="J1459" i="1"/>
  <c r="H1459" i="1"/>
  <c r="G1459" i="1"/>
  <c r="E1459" i="1"/>
  <c r="B1459" i="1"/>
  <c r="U1459" i="1" s="1"/>
  <c r="U1458" i="1"/>
  <c r="R1458" i="1"/>
  <c r="T1458" i="1" s="1"/>
  <c r="P1458" i="1"/>
  <c r="N1458" i="1"/>
  <c r="Y1458" i="1" s="1"/>
  <c r="L1458" i="1"/>
  <c r="J1458" i="1"/>
  <c r="H1458" i="1"/>
  <c r="G1458" i="1"/>
  <c r="E1458" i="1"/>
  <c r="B1458" i="1"/>
  <c r="V1458" i="1" s="1"/>
  <c r="V1457" i="1"/>
  <c r="U1457" i="1"/>
  <c r="T1457" i="1"/>
  <c r="Z1457" i="1" s="1"/>
  <c r="R1457" i="1"/>
  <c r="P1457" i="1"/>
  <c r="N1457" i="1"/>
  <c r="Y1457" i="1" s="1"/>
  <c r="L1457" i="1"/>
  <c r="J1457" i="1"/>
  <c r="H1457" i="1"/>
  <c r="G1457" i="1"/>
  <c r="E1457" i="1"/>
  <c r="B1457" i="1"/>
  <c r="W1457" i="1" s="1"/>
  <c r="V1456" i="1"/>
  <c r="R1456" i="1"/>
  <c r="P1456" i="1"/>
  <c r="N1456" i="1"/>
  <c r="Y1456" i="1" s="1"/>
  <c r="L1456" i="1"/>
  <c r="J1456" i="1"/>
  <c r="H1456" i="1"/>
  <c r="G1456" i="1"/>
  <c r="E1456" i="1"/>
  <c r="B1456" i="1"/>
  <c r="W1456" i="1" s="1"/>
  <c r="Y1455" i="1"/>
  <c r="W1455" i="1"/>
  <c r="T1455" i="1"/>
  <c r="X1455" i="1" s="1" a="1"/>
  <c r="X1455" i="1" s="1"/>
  <c r="R1455" i="1"/>
  <c r="P1455" i="1"/>
  <c r="N1455" i="1"/>
  <c r="L1455" i="1"/>
  <c r="J1455" i="1"/>
  <c r="H1455" i="1"/>
  <c r="G1455" i="1"/>
  <c r="E1455" i="1"/>
  <c r="B1455" i="1"/>
  <c r="U1455" i="1" s="1"/>
  <c r="R1454" i="1"/>
  <c r="T1454" i="1" s="1"/>
  <c r="P1454" i="1"/>
  <c r="N1454" i="1"/>
  <c r="Y1454" i="1" s="1"/>
  <c r="L1454" i="1"/>
  <c r="J1454" i="1"/>
  <c r="H1454" i="1"/>
  <c r="G1454" i="1"/>
  <c r="E1454" i="1"/>
  <c r="B1454" i="1"/>
  <c r="V1454" i="1" s="1"/>
  <c r="V1453" i="1"/>
  <c r="U1453" i="1"/>
  <c r="R1453" i="1"/>
  <c r="P1453" i="1"/>
  <c r="T1453" i="1" s="1"/>
  <c r="N1453" i="1"/>
  <c r="Y1453" i="1" s="1"/>
  <c r="L1453" i="1"/>
  <c r="J1453" i="1"/>
  <c r="H1453" i="1"/>
  <c r="G1453" i="1"/>
  <c r="E1453" i="1"/>
  <c r="B1453" i="1"/>
  <c r="W1453" i="1" s="1"/>
  <c r="R1452" i="1"/>
  <c r="P1452" i="1"/>
  <c r="N1452" i="1"/>
  <c r="Y1452" i="1" s="1"/>
  <c r="L1452" i="1"/>
  <c r="J1452" i="1"/>
  <c r="H1452" i="1"/>
  <c r="G1452" i="1"/>
  <c r="E1452" i="1"/>
  <c r="B1452" i="1"/>
  <c r="V1452" i="1" s="1"/>
  <c r="Y1451" i="1"/>
  <c r="W1451" i="1"/>
  <c r="T1451" i="1"/>
  <c r="Z1451" i="1" s="1"/>
  <c r="R1451" i="1"/>
  <c r="P1451" i="1"/>
  <c r="N1451" i="1"/>
  <c r="L1451" i="1"/>
  <c r="J1451" i="1"/>
  <c r="H1451" i="1"/>
  <c r="G1451" i="1"/>
  <c r="E1451" i="1"/>
  <c r="B1451" i="1"/>
  <c r="U1451" i="1" s="1"/>
  <c r="U1450" i="1"/>
  <c r="R1450" i="1"/>
  <c r="T1450" i="1" s="1"/>
  <c r="P1450" i="1"/>
  <c r="N1450" i="1"/>
  <c r="Y1450" i="1" s="1"/>
  <c r="L1450" i="1"/>
  <c r="J1450" i="1"/>
  <c r="H1450" i="1"/>
  <c r="G1450" i="1"/>
  <c r="E1450" i="1"/>
  <c r="B1450" i="1"/>
  <c r="V1450" i="1" s="1"/>
  <c r="V1449" i="1"/>
  <c r="U1449" i="1"/>
  <c r="T1449" i="1"/>
  <c r="Z1449" i="1" s="1"/>
  <c r="R1449" i="1"/>
  <c r="P1449" i="1"/>
  <c r="N1449" i="1"/>
  <c r="Y1449" i="1" s="1"/>
  <c r="L1449" i="1"/>
  <c r="J1449" i="1"/>
  <c r="H1449" i="1"/>
  <c r="G1449" i="1"/>
  <c r="E1449" i="1"/>
  <c r="B1449" i="1"/>
  <c r="W1449" i="1" s="1"/>
  <c r="V1448" i="1"/>
  <c r="R1448" i="1"/>
  <c r="P1448" i="1"/>
  <c r="N1448" i="1"/>
  <c r="Y1448" i="1" s="1"/>
  <c r="L1448" i="1"/>
  <c r="J1448" i="1"/>
  <c r="H1448" i="1"/>
  <c r="G1448" i="1"/>
  <c r="E1448" i="1"/>
  <c r="B1448" i="1"/>
  <c r="W1448" i="1" s="1"/>
  <c r="Y1447" i="1"/>
  <c r="W1447" i="1"/>
  <c r="T1447" i="1"/>
  <c r="X1447" i="1" s="1" a="1"/>
  <c r="X1447" i="1" s="1"/>
  <c r="R1447" i="1"/>
  <c r="P1447" i="1"/>
  <c r="N1447" i="1"/>
  <c r="L1447" i="1"/>
  <c r="J1447" i="1"/>
  <c r="H1447" i="1"/>
  <c r="G1447" i="1"/>
  <c r="E1447" i="1"/>
  <c r="B1447" i="1"/>
  <c r="U1447" i="1" s="1"/>
  <c r="R1446" i="1"/>
  <c r="T1446" i="1" s="1"/>
  <c r="P1446" i="1"/>
  <c r="N1446" i="1"/>
  <c r="Y1446" i="1" s="1"/>
  <c r="L1446" i="1"/>
  <c r="J1446" i="1"/>
  <c r="H1446" i="1"/>
  <c r="G1446" i="1"/>
  <c r="E1446" i="1"/>
  <c r="B1446" i="1"/>
  <c r="V1446" i="1" s="1"/>
  <c r="V1445" i="1"/>
  <c r="U1445" i="1"/>
  <c r="R1445" i="1"/>
  <c r="P1445" i="1"/>
  <c r="T1445" i="1" s="1"/>
  <c r="N1445" i="1"/>
  <c r="Y1445" i="1" s="1"/>
  <c r="L1445" i="1"/>
  <c r="J1445" i="1"/>
  <c r="H1445" i="1"/>
  <c r="G1445" i="1"/>
  <c r="E1445" i="1"/>
  <c r="B1445" i="1"/>
  <c r="W1445" i="1" s="1"/>
  <c r="V1444" i="1"/>
  <c r="R1444" i="1"/>
  <c r="P1444" i="1"/>
  <c r="N1444" i="1"/>
  <c r="Y1444" i="1" s="1"/>
  <c r="L1444" i="1"/>
  <c r="J1444" i="1"/>
  <c r="H1444" i="1"/>
  <c r="G1444" i="1"/>
  <c r="E1444" i="1"/>
  <c r="B1444" i="1"/>
  <c r="U1444" i="1" s="1"/>
  <c r="Y1443" i="1"/>
  <c r="W1443" i="1"/>
  <c r="T1443" i="1"/>
  <c r="Z1443" i="1" s="1"/>
  <c r="R1443" i="1"/>
  <c r="P1443" i="1"/>
  <c r="N1443" i="1"/>
  <c r="L1443" i="1"/>
  <c r="J1443" i="1"/>
  <c r="H1443" i="1"/>
  <c r="G1443" i="1"/>
  <c r="E1443" i="1"/>
  <c r="B1443" i="1"/>
  <c r="U1443" i="1" s="1"/>
  <c r="R1442" i="1"/>
  <c r="T1442" i="1" s="1"/>
  <c r="P1442" i="1"/>
  <c r="N1442" i="1"/>
  <c r="Y1442" i="1" s="1"/>
  <c r="L1442" i="1"/>
  <c r="J1442" i="1"/>
  <c r="H1442" i="1"/>
  <c r="G1442" i="1"/>
  <c r="E1442" i="1"/>
  <c r="B1442" i="1"/>
  <c r="V1442" i="1" s="1"/>
  <c r="V1441" i="1"/>
  <c r="U1441" i="1"/>
  <c r="R1441" i="1"/>
  <c r="P1441" i="1"/>
  <c r="T1441" i="1" s="1"/>
  <c r="N1441" i="1"/>
  <c r="Y1441" i="1" s="1"/>
  <c r="L1441" i="1"/>
  <c r="J1441" i="1"/>
  <c r="H1441" i="1"/>
  <c r="G1441" i="1"/>
  <c r="E1441" i="1"/>
  <c r="B1441" i="1"/>
  <c r="W1441" i="1" s="1"/>
  <c r="V1440" i="1"/>
  <c r="R1440" i="1"/>
  <c r="P1440" i="1"/>
  <c r="N1440" i="1"/>
  <c r="Y1440" i="1" s="1"/>
  <c r="L1440" i="1"/>
  <c r="J1440" i="1"/>
  <c r="H1440" i="1"/>
  <c r="G1440" i="1"/>
  <c r="E1440" i="1"/>
  <c r="B1440" i="1"/>
  <c r="W1440" i="1" s="1"/>
  <c r="Y1439" i="1"/>
  <c r="W1439" i="1"/>
  <c r="T1439" i="1"/>
  <c r="X1439" i="1" s="1" a="1"/>
  <c r="X1439" i="1" s="1"/>
  <c r="R1439" i="1"/>
  <c r="P1439" i="1"/>
  <c r="N1439" i="1"/>
  <c r="L1439" i="1"/>
  <c r="J1439" i="1"/>
  <c r="H1439" i="1"/>
  <c r="G1439" i="1"/>
  <c r="E1439" i="1"/>
  <c r="B1439" i="1"/>
  <c r="U1439" i="1" s="1"/>
  <c r="W1438" i="1"/>
  <c r="V1438" i="1"/>
  <c r="T1438" i="1"/>
  <c r="X1438" i="1" s="1" a="1"/>
  <c r="X1438" i="1" s="1"/>
  <c r="R1438" i="1"/>
  <c r="P1438" i="1"/>
  <c r="N1438" i="1"/>
  <c r="Y1438" i="1" s="1"/>
  <c r="L1438" i="1"/>
  <c r="J1438" i="1"/>
  <c r="H1438" i="1"/>
  <c r="G1438" i="1"/>
  <c r="E1438" i="1"/>
  <c r="B1438" i="1"/>
  <c r="U1438" i="1" s="1"/>
  <c r="U1437" i="1"/>
  <c r="R1437" i="1"/>
  <c r="T1437" i="1" s="1"/>
  <c r="P1437" i="1"/>
  <c r="N1437" i="1"/>
  <c r="Y1437" i="1" s="1"/>
  <c r="L1437" i="1"/>
  <c r="J1437" i="1"/>
  <c r="H1437" i="1"/>
  <c r="G1437" i="1"/>
  <c r="E1437" i="1"/>
  <c r="B1437" i="1"/>
  <c r="W1437" i="1" s="1"/>
  <c r="Y1436" i="1"/>
  <c r="V1436" i="1"/>
  <c r="U1436" i="1"/>
  <c r="R1436" i="1"/>
  <c r="P1436" i="1"/>
  <c r="T1436" i="1" s="1"/>
  <c r="N1436" i="1"/>
  <c r="L1436" i="1"/>
  <c r="J1436" i="1"/>
  <c r="H1436" i="1"/>
  <c r="G1436" i="1"/>
  <c r="E1436" i="1"/>
  <c r="B1436" i="1"/>
  <c r="W1436" i="1" s="1"/>
  <c r="W1435" i="1"/>
  <c r="R1435" i="1"/>
  <c r="P1435" i="1"/>
  <c r="T1435" i="1" s="1"/>
  <c r="N1435" i="1"/>
  <c r="Y1435" i="1" s="1"/>
  <c r="L1435" i="1"/>
  <c r="J1435" i="1"/>
  <c r="H1435" i="1"/>
  <c r="G1435" i="1"/>
  <c r="E1435" i="1"/>
  <c r="B1435" i="1"/>
  <c r="V1435" i="1" s="1"/>
  <c r="Y1434" i="1"/>
  <c r="X1434" i="1" a="1"/>
  <c r="X1434" i="1" s="1"/>
  <c r="V1434" i="1"/>
  <c r="T1434" i="1"/>
  <c r="Z1434" i="1" s="1"/>
  <c r="R1434" i="1"/>
  <c r="P1434" i="1"/>
  <c r="N1434" i="1"/>
  <c r="L1434" i="1"/>
  <c r="J1434" i="1"/>
  <c r="H1434" i="1"/>
  <c r="G1434" i="1"/>
  <c r="E1434" i="1"/>
  <c r="B1434" i="1"/>
  <c r="W1434" i="1" s="1"/>
  <c r="W1433" i="1"/>
  <c r="U1433" i="1"/>
  <c r="R1433" i="1"/>
  <c r="T1433" i="1" s="1"/>
  <c r="P1433" i="1"/>
  <c r="N1433" i="1"/>
  <c r="Y1433" i="1" s="1"/>
  <c r="L1433" i="1"/>
  <c r="J1433" i="1"/>
  <c r="H1433" i="1"/>
  <c r="G1433" i="1"/>
  <c r="E1433" i="1"/>
  <c r="B1433" i="1"/>
  <c r="V1433" i="1" s="1"/>
  <c r="Y1432" i="1"/>
  <c r="W1432" i="1"/>
  <c r="V1432" i="1"/>
  <c r="U1432" i="1"/>
  <c r="R1432" i="1"/>
  <c r="P1432" i="1"/>
  <c r="T1432" i="1" s="1"/>
  <c r="N1432" i="1"/>
  <c r="L1432" i="1"/>
  <c r="J1432" i="1"/>
  <c r="H1432" i="1"/>
  <c r="G1432" i="1"/>
  <c r="E1432" i="1"/>
  <c r="B1432" i="1"/>
  <c r="R1431" i="1"/>
  <c r="P1431" i="1"/>
  <c r="T1431" i="1" s="1"/>
  <c r="N1431" i="1"/>
  <c r="Y1431" i="1" s="1"/>
  <c r="L1431" i="1"/>
  <c r="J1431" i="1"/>
  <c r="H1431" i="1"/>
  <c r="G1431" i="1"/>
  <c r="E1431" i="1"/>
  <c r="B1431" i="1"/>
  <c r="W1431" i="1" s="1"/>
  <c r="Y1430" i="1"/>
  <c r="W1430" i="1"/>
  <c r="V1430" i="1"/>
  <c r="T1430" i="1"/>
  <c r="X1430" i="1" s="1" a="1"/>
  <c r="X1430" i="1" s="1"/>
  <c r="R1430" i="1"/>
  <c r="P1430" i="1"/>
  <c r="N1430" i="1"/>
  <c r="L1430" i="1"/>
  <c r="J1430" i="1"/>
  <c r="H1430" i="1"/>
  <c r="G1430" i="1"/>
  <c r="E1430" i="1"/>
  <c r="B1430" i="1"/>
  <c r="U1430" i="1" s="1"/>
  <c r="U1429" i="1"/>
  <c r="R1429" i="1"/>
  <c r="T1429" i="1" s="1"/>
  <c r="P1429" i="1"/>
  <c r="N1429" i="1"/>
  <c r="Y1429" i="1" s="1"/>
  <c r="L1429" i="1"/>
  <c r="J1429" i="1"/>
  <c r="H1429" i="1"/>
  <c r="G1429" i="1"/>
  <c r="E1429" i="1"/>
  <c r="B1429" i="1"/>
  <c r="W1429" i="1" s="1"/>
  <c r="Y1428" i="1"/>
  <c r="V1428" i="1"/>
  <c r="U1428" i="1"/>
  <c r="R1428" i="1"/>
  <c r="P1428" i="1"/>
  <c r="T1428" i="1" s="1"/>
  <c r="N1428" i="1"/>
  <c r="L1428" i="1"/>
  <c r="J1428" i="1"/>
  <c r="H1428" i="1"/>
  <c r="G1428" i="1"/>
  <c r="E1428" i="1"/>
  <c r="B1428" i="1"/>
  <c r="W1428" i="1" s="1"/>
  <c r="W1427" i="1"/>
  <c r="R1427" i="1"/>
  <c r="P1427" i="1"/>
  <c r="T1427" i="1" s="1"/>
  <c r="N1427" i="1"/>
  <c r="Y1427" i="1" s="1"/>
  <c r="L1427" i="1"/>
  <c r="J1427" i="1"/>
  <c r="H1427" i="1"/>
  <c r="G1427" i="1"/>
  <c r="E1427" i="1"/>
  <c r="B1427" i="1"/>
  <c r="V1427" i="1" s="1"/>
  <c r="Y1426" i="1"/>
  <c r="X1426" i="1" a="1"/>
  <c r="X1426" i="1" s="1"/>
  <c r="V1426" i="1"/>
  <c r="T1426" i="1"/>
  <c r="Z1426" i="1" s="1"/>
  <c r="R1426" i="1"/>
  <c r="P1426" i="1"/>
  <c r="N1426" i="1"/>
  <c r="L1426" i="1"/>
  <c r="J1426" i="1"/>
  <c r="H1426" i="1"/>
  <c r="G1426" i="1"/>
  <c r="E1426" i="1"/>
  <c r="B1426" i="1"/>
  <c r="W1426" i="1" s="1"/>
  <c r="W1425" i="1"/>
  <c r="U1425" i="1"/>
  <c r="R1425" i="1"/>
  <c r="T1425" i="1" s="1"/>
  <c r="P1425" i="1"/>
  <c r="N1425" i="1"/>
  <c r="Y1425" i="1" s="1"/>
  <c r="L1425" i="1"/>
  <c r="J1425" i="1"/>
  <c r="H1425" i="1"/>
  <c r="G1425" i="1"/>
  <c r="E1425" i="1"/>
  <c r="B1425" i="1"/>
  <c r="V1425" i="1" s="1"/>
  <c r="Y1424" i="1"/>
  <c r="V1424" i="1"/>
  <c r="U1424" i="1"/>
  <c r="R1424" i="1"/>
  <c r="P1424" i="1"/>
  <c r="T1424" i="1" s="1"/>
  <c r="N1424" i="1"/>
  <c r="L1424" i="1"/>
  <c r="J1424" i="1"/>
  <c r="H1424" i="1"/>
  <c r="G1424" i="1"/>
  <c r="E1424" i="1"/>
  <c r="B1424" i="1"/>
  <c r="W1424" i="1" s="1"/>
  <c r="R1423" i="1"/>
  <c r="P1423" i="1"/>
  <c r="T1423" i="1" s="1"/>
  <c r="N1423" i="1"/>
  <c r="Y1423" i="1" s="1"/>
  <c r="L1423" i="1"/>
  <c r="J1423" i="1"/>
  <c r="H1423" i="1"/>
  <c r="G1423" i="1"/>
  <c r="E1423" i="1"/>
  <c r="B1423" i="1"/>
  <c r="W1423" i="1" s="1"/>
  <c r="Y1422" i="1"/>
  <c r="W1422" i="1"/>
  <c r="V1422" i="1"/>
  <c r="T1422" i="1"/>
  <c r="X1422" i="1" s="1" a="1"/>
  <c r="X1422" i="1" s="1"/>
  <c r="R1422" i="1"/>
  <c r="P1422" i="1"/>
  <c r="N1422" i="1"/>
  <c r="L1422" i="1"/>
  <c r="J1422" i="1"/>
  <c r="H1422" i="1"/>
  <c r="G1422" i="1"/>
  <c r="E1422" i="1"/>
  <c r="B1422" i="1"/>
  <c r="U1422" i="1" s="1"/>
  <c r="U1421" i="1"/>
  <c r="R1421" i="1"/>
  <c r="T1421" i="1" s="1"/>
  <c r="P1421" i="1"/>
  <c r="N1421" i="1"/>
  <c r="Y1421" i="1" s="1"/>
  <c r="L1421" i="1"/>
  <c r="J1421" i="1"/>
  <c r="H1421" i="1"/>
  <c r="G1421" i="1"/>
  <c r="E1421" i="1"/>
  <c r="B1421" i="1"/>
  <c r="W1421" i="1" s="1"/>
  <c r="Y1420" i="1"/>
  <c r="V1420" i="1"/>
  <c r="U1420" i="1"/>
  <c r="R1420" i="1"/>
  <c r="P1420" i="1"/>
  <c r="T1420" i="1" s="1"/>
  <c r="N1420" i="1"/>
  <c r="L1420" i="1"/>
  <c r="J1420" i="1"/>
  <c r="H1420" i="1"/>
  <c r="G1420" i="1"/>
  <c r="E1420" i="1"/>
  <c r="B1420" i="1"/>
  <c r="W1420" i="1" s="1"/>
  <c r="W1419" i="1"/>
  <c r="R1419" i="1"/>
  <c r="P1419" i="1"/>
  <c r="T1419" i="1" s="1"/>
  <c r="N1419" i="1"/>
  <c r="Y1419" i="1" s="1"/>
  <c r="L1419" i="1"/>
  <c r="J1419" i="1"/>
  <c r="H1419" i="1"/>
  <c r="G1419" i="1"/>
  <c r="E1419" i="1"/>
  <c r="B1419" i="1"/>
  <c r="V1419" i="1" s="1"/>
  <c r="Y1418" i="1"/>
  <c r="X1418" i="1" a="1"/>
  <c r="X1418" i="1" s="1"/>
  <c r="V1418" i="1"/>
  <c r="T1418" i="1"/>
  <c r="Z1418" i="1" s="1"/>
  <c r="R1418" i="1"/>
  <c r="P1418" i="1"/>
  <c r="N1418" i="1"/>
  <c r="L1418" i="1"/>
  <c r="J1418" i="1"/>
  <c r="H1418" i="1"/>
  <c r="G1418" i="1"/>
  <c r="E1418" i="1"/>
  <c r="B1418" i="1"/>
  <c r="W1418" i="1" s="1"/>
  <c r="W1417" i="1"/>
  <c r="U1417" i="1"/>
  <c r="R1417" i="1"/>
  <c r="T1417" i="1" s="1"/>
  <c r="P1417" i="1"/>
  <c r="N1417" i="1"/>
  <c r="Y1417" i="1" s="1"/>
  <c r="L1417" i="1"/>
  <c r="J1417" i="1"/>
  <c r="H1417" i="1"/>
  <c r="G1417" i="1"/>
  <c r="E1417" i="1"/>
  <c r="B1417" i="1"/>
  <c r="V1417" i="1" s="1"/>
  <c r="Y1416" i="1"/>
  <c r="V1416" i="1"/>
  <c r="U1416" i="1"/>
  <c r="R1416" i="1"/>
  <c r="P1416" i="1"/>
  <c r="T1416" i="1" s="1"/>
  <c r="N1416" i="1"/>
  <c r="L1416" i="1"/>
  <c r="J1416" i="1"/>
  <c r="H1416" i="1"/>
  <c r="G1416" i="1"/>
  <c r="E1416" i="1"/>
  <c r="B1416" i="1"/>
  <c r="W1416" i="1" s="1"/>
  <c r="R1415" i="1"/>
  <c r="P1415" i="1"/>
  <c r="T1415" i="1" s="1"/>
  <c r="N1415" i="1"/>
  <c r="Y1415" i="1" s="1"/>
  <c r="L1415" i="1"/>
  <c r="J1415" i="1"/>
  <c r="H1415" i="1"/>
  <c r="G1415" i="1"/>
  <c r="E1415" i="1"/>
  <c r="B1415" i="1"/>
  <c r="W1415" i="1" s="1"/>
  <c r="Y1414" i="1"/>
  <c r="W1414" i="1"/>
  <c r="V1414" i="1"/>
  <c r="T1414" i="1"/>
  <c r="X1414" i="1" s="1" a="1"/>
  <c r="X1414" i="1" s="1"/>
  <c r="R1414" i="1"/>
  <c r="P1414" i="1"/>
  <c r="N1414" i="1"/>
  <c r="L1414" i="1"/>
  <c r="J1414" i="1"/>
  <c r="H1414" i="1"/>
  <c r="G1414" i="1"/>
  <c r="E1414" i="1"/>
  <c r="B1414" i="1"/>
  <c r="U1414" i="1" s="1"/>
  <c r="U1413" i="1"/>
  <c r="R1413" i="1"/>
  <c r="T1413" i="1" s="1"/>
  <c r="P1413" i="1"/>
  <c r="N1413" i="1"/>
  <c r="Y1413" i="1" s="1"/>
  <c r="L1413" i="1"/>
  <c r="J1413" i="1"/>
  <c r="H1413" i="1"/>
  <c r="G1413" i="1"/>
  <c r="E1413" i="1"/>
  <c r="B1413" i="1"/>
  <c r="W1413" i="1" s="1"/>
  <c r="Y1412" i="1"/>
  <c r="V1412" i="1"/>
  <c r="U1412" i="1"/>
  <c r="R1412" i="1"/>
  <c r="P1412" i="1"/>
  <c r="T1412" i="1" s="1"/>
  <c r="N1412" i="1"/>
  <c r="L1412" i="1"/>
  <c r="J1412" i="1"/>
  <c r="H1412" i="1"/>
  <c r="G1412" i="1"/>
  <c r="E1412" i="1"/>
  <c r="B1412" i="1"/>
  <c r="W1412" i="1" s="1"/>
  <c r="W1411" i="1"/>
  <c r="R1411" i="1"/>
  <c r="P1411" i="1"/>
  <c r="T1411" i="1" s="1"/>
  <c r="N1411" i="1"/>
  <c r="Y1411" i="1" s="1"/>
  <c r="L1411" i="1"/>
  <c r="J1411" i="1"/>
  <c r="H1411" i="1"/>
  <c r="G1411" i="1"/>
  <c r="E1411" i="1"/>
  <c r="B1411" i="1"/>
  <c r="V1411" i="1" s="1"/>
  <c r="Y1410" i="1"/>
  <c r="X1410" i="1" a="1"/>
  <c r="X1410" i="1" s="1"/>
  <c r="V1410" i="1"/>
  <c r="T1410" i="1"/>
  <c r="Z1410" i="1" s="1"/>
  <c r="R1410" i="1"/>
  <c r="P1410" i="1"/>
  <c r="N1410" i="1"/>
  <c r="L1410" i="1"/>
  <c r="J1410" i="1"/>
  <c r="H1410" i="1"/>
  <c r="G1410" i="1"/>
  <c r="E1410" i="1"/>
  <c r="B1410" i="1"/>
  <c r="W1410" i="1" s="1"/>
  <c r="W1409" i="1"/>
  <c r="U1409" i="1"/>
  <c r="R1409" i="1"/>
  <c r="T1409" i="1" s="1"/>
  <c r="P1409" i="1"/>
  <c r="N1409" i="1"/>
  <c r="Y1409" i="1" s="1"/>
  <c r="L1409" i="1"/>
  <c r="J1409" i="1"/>
  <c r="H1409" i="1"/>
  <c r="G1409" i="1"/>
  <c r="E1409" i="1"/>
  <c r="B1409" i="1"/>
  <c r="V1409" i="1" s="1"/>
  <c r="Y1408" i="1"/>
  <c r="V1408" i="1"/>
  <c r="U1408" i="1"/>
  <c r="R1408" i="1"/>
  <c r="P1408" i="1"/>
  <c r="T1408" i="1" s="1"/>
  <c r="N1408" i="1"/>
  <c r="L1408" i="1"/>
  <c r="J1408" i="1"/>
  <c r="H1408" i="1"/>
  <c r="G1408" i="1"/>
  <c r="E1408" i="1"/>
  <c r="B1408" i="1"/>
  <c r="W1408" i="1" s="1"/>
  <c r="R1407" i="1"/>
  <c r="P1407" i="1"/>
  <c r="T1407" i="1" s="1"/>
  <c r="X1407" i="1" s="1" a="1"/>
  <c r="X1407" i="1" s="1"/>
  <c r="N1407" i="1"/>
  <c r="Y1407" i="1" s="1"/>
  <c r="L1407" i="1"/>
  <c r="J1407" i="1"/>
  <c r="H1407" i="1"/>
  <c r="G1407" i="1"/>
  <c r="E1407" i="1"/>
  <c r="B1407" i="1"/>
  <c r="Y1406" i="1"/>
  <c r="W1406" i="1"/>
  <c r="V1406" i="1"/>
  <c r="T1406" i="1"/>
  <c r="R1406" i="1"/>
  <c r="P1406" i="1"/>
  <c r="N1406" i="1"/>
  <c r="L1406" i="1"/>
  <c r="J1406" i="1"/>
  <c r="H1406" i="1"/>
  <c r="G1406" i="1"/>
  <c r="E1406" i="1"/>
  <c r="B1406" i="1"/>
  <c r="U1406" i="1" s="1"/>
  <c r="U1405" i="1"/>
  <c r="R1405" i="1"/>
  <c r="T1405" i="1" s="1"/>
  <c r="P1405" i="1"/>
  <c r="N1405" i="1"/>
  <c r="Y1405" i="1" s="1"/>
  <c r="L1405" i="1"/>
  <c r="J1405" i="1"/>
  <c r="H1405" i="1"/>
  <c r="G1405" i="1"/>
  <c r="E1405" i="1"/>
  <c r="B1405" i="1"/>
  <c r="W1405" i="1" s="1"/>
  <c r="Y1404" i="1"/>
  <c r="V1404" i="1"/>
  <c r="U1404" i="1"/>
  <c r="R1404" i="1"/>
  <c r="P1404" i="1"/>
  <c r="T1404" i="1" s="1"/>
  <c r="N1404" i="1"/>
  <c r="L1404" i="1"/>
  <c r="J1404" i="1"/>
  <c r="H1404" i="1"/>
  <c r="G1404" i="1"/>
  <c r="E1404" i="1"/>
  <c r="B1404" i="1"/>
  <c r="W1404" i="1" s="1"/>
  <c r="W1403" i="1"/>
  <c r="R1403" i="1"/>
  <c r="P1403" i="1"/>
  <c r="T1403" i="1" s="1"/>
  <c r="N1403" i="1"/>
  <c r="Y1403" i="1" s="1"/>
  <c r="L1403" i="1"/>
  <c r="J1403" i="1"/>
  <c r="H1403" i="1"/>
  <c r="G1403" i="1"/>
  <c r="E1403" i="1"/>
  <c r="B1403" i="1"/>
  <c r="V1403" i="1" s="1"/>
  <c r="Y1402" i="1"/>
  <c r="X1402" i="1" a="1"/>
  <c r="X1402" i="1" s="1"/>
  <c r="V1402" i="1"/>
  <c r="T1402" i="1"/>
  <c r="Z1402" i="1" s="1"/>
  <c r="R1402" i="1"/>
  <c r="P1402" i="1"/>
  <c r="N1402" i="1"/>
  <c r="L1402" i="1"/>
  <c r="J1402" i="1"/>
  <c r="H1402" i="1"/>
  <c r="G1402" i="1"/>
  <c r="E1402" i="1"/>
  <c r="B1402" i="1"/>
  <c r="W1402" i="1" s="1"/>
  <c r="W1401" i="1"/>
  <c r="U1401" i="1"/>
  <c r="R1401" i="1"/>
  <c r="T1401" i="1" s="1"/>
  <c r="P1401" i="1"/>
  <c r="N1401" i="1"/>
  <c r="Y1401" i="1" s="1"/>
  <c r="L1401" i="1"/>
  <c r="J1401" i="1"/>
  <c r="H1401" i="1"/>
  <c r="G1401" i="1"/>
  <c r="E1401" i="1"/>
  <c r="B1401" i="1"/>
  <c r="V1401" i="1" s="1"/>
  <c r="Y1400" i="1"/>
  <c r="V1400" i="1"/>
  <c r="U1400" i="1"/>
  <c r="R1400" i="1"/>
  <c r="P1400" i="1"/>
  <c r="T1400" i="1" s="1"/>
  <c r="N1400" i="1"/>
  <c r="L1400" i="1"/>
  <c r="J1400" i="1"/>
  <c r="H1400" i="1"/>
  <c r="G1400" i="1"/>
  <c r="E1400" i="1"/>
  <c r="B1400" i="1"/>
  <c r="W1400" i="1" s="1"/>
  <c r="R1399" i="1"/>
  <c r="P1399" i="1"/>
  <c r="T1399" i="1" s="1"/>
  <c r="X1399" i="1" s="1" a="1"/>
  <c r="X1399" i="1" s="1"/>
  <c r="N1399" i="1"/>
  <c r="Y1399" i="1" s="1"/>
  <c r="L1399" i="1"/>
  <c r="J1399" i="1"/>
  <c r="H1399" i="1"/>
  <c r="G1399" i="1"/>
  <c r="E1399" i="1"/>
  <c r="B1399" i="1"/>
  <c r="Y1398" i="1"/>
  <c r="W1398" i="1"/>
  <c r="V1398" i="1"/>
  <c r="T1398" i="1"/>
  <c r="R1398" i="1"/>
  <c r="P1398" i="1"/>
  <c r="N1398" i="1"/>
  <c r="L1398" i="1"/>
  <c r="J1398" i="1"/>
  <c r="H1398" i="1"/>
  <c r="G1398" i="1"/>
  <c r="E1398" i="1"/>
  <c r="B1398" i="1"/>
  <c r="U1398" i="1" s="1"/>
  <c r="R1397" i="1"/>
  <c r="T1397" i="1" s="1"/>
  <c r="P1397" i="1"/>
  <c r="N1397" i="1"/>
  <c r="Y1397" i="1" s="1"/>
  <c r="L1397" i="1"/>
  <c r="J1397" i="1"/>
  <c r="H1397" i="1"/>
  <c r="G1397" i="1"/>
  <c r="E1397" i="1"/>
  <c r="B1397" i="1"/>
  <c r="U1397" i="1" s="1"/>
  <c r="Y1396" i="1"/>
  <c r="V1396" i="1"/>
  <c r="U1396" i="1"/>
  <c r="R1396" i="1"/>
  <c r="P1396" i="1"/>
  <c r="T1396" i="1" s="1"/>
  <c r="N1396" i="1"/>
  <c r="L1396" i="1"/>
  <c r="J1396" i="1"/>
  <c r="H1396" i="1"/>
  <c r="G1396" i="1"/>
  <c r="E1396" i="1"/>
  <c r="B1396" i="1"/>
  <c r="W1396" i="1" s="1"/>
  <c r="R1395" i="1"/>
  <c r="P1395" i="1"/>
  <c r="T1395" i="1" s="1"/>
  <c r="X1395" i="1" s="1" a="1"/>
  <c r="X1395" i="1" s="1"/>
  <c r="N1395" i="1"/>
  <c r="Y1395" i="1" s="1"/>
  <c r="L1395" i="1"/>
  <c r="J1395" i="1"/>
  <c r="H1395" i="1"/>
  <c r="G1395" i="1"/>
  <c r="E1395" i="1"/>
  <c r="B1395" i="1"/>
  <c r="V1395" i="1" s="1"/>
  <c r="Y1394" i="1"/>
  <c r="V1394" i="1"/>
  <c r="T1394" i="1"/>
  <c r="Z1394" i="1" s="1"/>
  <c r="R1394" i="1"/>
  <c r="P1394" i="1"/>
  <c r="N1394" i="1"/>
  <c r="L1394" i="1"/>
  <c r="J1394" i="1"/>
  <c r="H1394" i="1"/>
  <c r="G1394" i="1"/>
  <c r="E1394" i="1"/>
  <c r="B1394" i="1"/>
  <c r="W1394" i="1" s="1"/>
  <c r="W1393" i="1"/>
  <c r="U1393" i="1"/>
  <c r="R1393" i="1"/>
  <c r="T1393" i="1" s="1"/>
  <c r="P1393" i="1"/>
  <c r="N1393" i="1"/>
  <c r="Y1393" i="1" s="1"/>
  <c r="L1393" i="1"/>
  <c r="J1393" i="1"/>
  <c r="H1393" i="1"/>
  <c r="G1393" i="1"/>
  <c r="E1393" i="1"/>
  <c r="B1393" i="1"/>
  <c r="V1393" i="1" s="1"/>
  <c r="Y1392" i="1"/>
  <c r="X1392" i="1" a="1"/>
  <c r="X1392" i="1" s="1"/>
  <c r="V1392" i="1"/>
  <c r="U1392" i="1"/>
  <c r="R1392" i="1"/>
  <c r="P1392" i="1"/>
  <c r="T1392" i="1" s="1"/>
  <c r="Z1392" i="1" s="1"/>
  <c r="N1392" i="1"/>
  <c r="L1392" i="1"/>
  <c r="J1392" i="1"/>
  <c r="H1392" i="1"/>
  <c r="G1392" i="1"/>
  <c r="E1392" i="1"/>
  <c r="B1392" i="1"/>
  <c r="W1392" i="1" s="1"/>
  <c r="W1391" i="1"/>
  <c r="R1391" i="1"/>
  <c r="P1391" i="1"/>
  <c r="T1391" i="1" s="1"/>
  <c r="X1391" i="1" s="1" a="1"/>
  <c r="X1391" i="1" s="1"/>
  <c r="N1391" i="1"/>
  <c r="Y1391" i="1" s="1"/>
  <c r="L1391" i="1"/>
  <c r="J1391" i="1"/>
  <c r="H1391" i="1"/>
  <c r="G1391" i="1"/>
  <c r="E1391" i="1"/>
  <c r="B1391" i="1"/>
  <c r="Y1390" i="1"/>
  <c r="W1390" i="1"/>
  <c r="V1390" i="1"/>
  <c r="R1390" i="1"/>
  <c r="P1390" i="1"/>
  <c r="T1390" i="1" s="1"/>
  <c r="N1390" i="1"/>
  <c r="L1390" i="1"/>
  <c r="J1390" i="1"/>
  <c r="H1390" i="1"/>
  <c r="G1390" i="1"/>
  <c r="E1390" i="1"/>
  <c r="B1390" i="1"/>
  <c r="U1390" i="1" s="1"/>
  <c r="Z1389" i="1"/>
  <c r="R1389" i="1"/>
  <c r="T1389" i="1" s="1"/>
  <c r="X1389" i="1" s="1" a="1"/>
  <c r="X1389" i="1" s="1"/>
  <c r="P1389" i="1"/>
  <c r="N1389" i="1"/>
  <c r="Y1389" i="1" s="1"/>
  <c r="L1389" i="1"/>
  <c r="J1389" i="1"/>
  <c r="H1389" i="1"/>
  <c r="G1389" i="1"/>
  <c r="E1389" i="1"/>
  <c r="B1389" i="1"/>
  <c r="V1389" i="1" s="1"/>
  <c r="Y1388" i="1"/>
  <c r="V1388" i="1"/>
  <c r="U1388" i="1"/>
  <c r="R1388" i="1"/>
  <c r="P1388" i="1"/>
  <c r="T1388" i="1" s="1"/>
  <c r="N1388" i="1"/>
  <c r="L1388" i="1"/>
  <c r="J1388" i="1"/>
  <c r="H1388" i="1"/>
  <c r="G1388" i="1"/>
  <c r="E1388" i="1"/>
  <c r="B1388" i="1"/>
  <c r="W1388" i="1" s="1"/>
  <c r="R1387" i="1"/>
  <c r="P1387" i="1"/>
  <c r="N1387" i="1"/>
  <c r="Y1387" i="1" s="1"/>
  <c r="L1387" i="1"/>
  <c r="J1387" i="1"/>
  <c r="H1387" i="1"/>
  <c r="G1387" i="1"/>
  <c r="E1387" i="1"/>
  <c r="B1387" i="1"/>
  <c r="V1387" i="1" s="1"/>
  <c r="Y1386" i="1"/>
  <c r="V1386" i="1"/>
  <c r="T1386" i="1"/>
  <c r="Z1386" i="1" s="1"/>
  <c r="R1386" i="1"/>
  <c r="P1386" i="1"/>
  <c r="N1386" i="1"/>
  <c r="L1386" i="1"/>
  <c r="J1386" i="1"/>
  <c r="H1386" i="1"/>
  <c r="G1386" i="1"/>
  <c r="E1386" i="1"/>
  <c r="B1386" i="1"/>
  <c r="W1386" i="1" s="1"/>
  <c r="X1385" i="1"/>
  <c r="W1385" i="1"/>
  <c r="U1385" i="1"/>
  <c r="R1385" i="1"/>
  <c r="T1385" i="1" s="1"/>
  <c r="X1385" i="1" s="1" a="1"/>
  <c r="P1385" i="1"/>
  <c r="N1385" i="1"/>
  <c r="Y1385" i="1" s="1"/>
  <c r="L1385" i="1"/>
  <c r="J1385" i="1"/>
  <c r="H1385" i="1"/>
  <c r="G1385" i="1"/>
  <c r="E1385" i="1"/>
  <c r="B1385" i="1"/>
  <c r="V1385" i="1" s="1"/>
  <c r="Y1384" i="1"/>
  <c r="V1384" i="1"/>
  <c r="U1384" i="1"/>
  <c r="R1384" i="1"/>
  <c r="P1384" i="1"/>
  <c r="T1384" i="1" s="1"/>
  <c r="N1384" i="1"/>
  <c r="L1384" i="1"/>
  <c r="J1384" i="1"/>
  <c r="H1384" i="1"/>
  <c r="G1384" i="1"/>
  <c r="E1384" i="1"/>
  <c r="B1384" i="1"/>
  <c r="W1384" i="1" s="1"/>
  <c r="R1383" i="1"/>
  <c r="P1383" i="1"/>
  <c r="N1383" i="1"/>
  <c r="Y1383" i="1" s="1"/>
  <c r="L1383" i="1"/>
  <c r="J1383" i="1"/>
  <c r="H1383" i="1"/>
  <c r="G1383" i="1"/>
  <c r="E1383" i="1"/>
  <c r="B1383" i="1"/>
  <c r="V1383" i="1" s="1"/>
  <c r="Y1382" i="1"/>
  <c r="W1382" i="1"/>
  <c r="V1382" i="1"/>
  <c r="R1382" i="1"/>
  <c r="P1382" i="1"/>
  <c r="T1382" i="1" s="1"/>
  <c r="N1382" i="1"/>
  <c r="L1382" i="1"/>
  <c r="J1382" i="1"/>
  <c r="H1382" i="1"/>
  <c r="G1382" i="1"/>
  <c r="E1382" i="1"/>
  <c r="B1382" i="1"/>
  <c r="U1382" i="1" s="1"/>
  <c r="X1381" i="1"/>
  <c r="R1381" i="1"/>
  <c r="T1381" i="1" s="1"/>
  <c r="X1381" i="1" s="1" a="1"/>
  <c r="P1381" i="1"/>
  <c r="N1381" i="1"/>
  <c r="Y1381" i="1" s="1"/>
  <c r="L1381" i="1"/>
  <c r="J1381" i="1"/>
  <c r="H1381" i="1"/>
  <c r="G1381" i="1"/>
  <c r="E1381" i="1"/>
  <c r="B1381" i="1"/>
  <c r="V1381" i="1" s="1"/>
  <c r="Y1380" i="1"/>
  <c r="V1380" i="1"/>
  <c r="U1380" i="1"/>
  <c r="T1380" i="1"/>
  <c r="Z1380" i="1" s="1"/>
  <c r="R1380" i="1"/>
  <c r="P1380" i="1"/>
  <c r="N1380" i="1"/>
  <c r="L1380" i="1"/>
  <c r="J1380" i="1"/>
  <c r="H1380" i="1"/>
  <c r="G1380" i="1"/>
  <c r="E1380" i="1"/>
  <c r="B1380" i="1"/>
  <c r="W1380" i="1" s="1"/>
  <c r="R1379" i="1"/>
  <c r="P1379" i="1"/>
  <c r="N1379" i="1"/>
  <c r="Y1379" i="1" s="1"/>
  <c r="L1379" i="1"/>
  <c r="J1379" i="1"/>
  <c r="H1379" i="1"/>
  <c r="G1379" i="1"/>
  <c r="E1379" i="1"/>
  <c r="B1379" i="1"/>
  <c r="V1379" i="1" s="1"/>
  <c r="Y1378" i="1"/>
  <c r="V1378" i="1"/>
  <c r="R1378" i="1"/>
  <c r="P1378" i="1"/>
  <c r="T1378" i="1" s="1"/>
  <c r="N1378" i="1"/>
  <c r="L1378" i="1"/>
  <c r="J1378" i="1"/>
  <c r="H1378" i="1"/>
  <c r="G1378" i="1"/>
  <c r="E1378" i="1"/>
  <c r="B1378" i="1"/>
  <c r="W1378" i="1" s="1"/>
  <c r="R1377" i="1"/>
  <c r="T1377" i="1" s="1"/>
  <c r="X1377" i="1" s="1" a="1"/>
  <c r="X1377" i="1" s="1"/>
  <c r="P1377" i="1"/>
  <c r="N1377" i="1"/>
  <c r="Y1377" i="1" s="1"/>
  <c r="L1377" i="1"/>
  <c r="J1377" i="1"/>
  <c r="H1377" i="1"/>
  <c r="G1377" i="1"/>
  <c r="E1377" i="1"/>
  <c r="B1377" i="1"/>
  <c r="V1377" i="1" s="1"/>
  <c r="Y1376" i="1"/>
  <c r="V1376" i="1"/>
  <c r="U1376" i="1"/>
  <c r="R1376" i="1"/>
  <c r="P1376" i="1"/>
  <c r="T1376" i="1" s="1"/>
  <c r="N1376" i="1"/>
  <c r="L1376" i="1"/>
  <c r="J1376" i="1"/>
  <c r="H1376" i="1"/>
  <c r="G1376" i="1"/>
  <c r="E1376" i="1"/>
  <c r="B1376" i="1"/>
  <c r="W1376" i="1" s="1"/>
  <c r="R1375" i="1"/>
  <c r="P1375" i="1"/>
  <c r="N1375" i="1"/>
  <c r="Y1375" i="1" s="1"/>
  <c r="L1375" i="1"/>
  <c r="J1375" i="1"/>
  <c r="H1375" i="1"/>
  <c r="G1375" i="1"/>
  <c r="E1375" i="1"/>
  <c r="B1375" i="1"/>
  <c r="V1375" i="1" s="1"/>
  <c r="Y1374" i="1"/>
  <c r="W1374" i="1"/>
  <c r="V1374" i="1"/>
  <c r="T1374" i="1"/>
  <c r="Z1374" i="1" s="1"/>
  <c r="R1374" i="1"/>
  <c r="P1374" i="1"/>
  <c r="N1374" i="1"/>
  <c r="L1374" i="1"/>
  <c r="J1374" i="1"/>
  <c r="H1374" i="1"/>
  <c r="G1374" i="1"/>
  <c r="E1374" i="1"/>
  <c r="B1374" i="1"/>
  <c r="U1374" i="1" s="1"/>
  <c r="X1373" i="1"/>
  <c r="R1373" i="1"/>
  <c r="T1373" i="1" s="1"/>
  <c r="X1373" i="1" s="1" a="1"/>
  <c r="P1373" i="1"/>
  <c r="N1373" i="1"/>
  <c r="Y1373" i="1" s="1"/>
  <c r="L1373" i="1"/>
  <c r="J1373" i="1"/>
  <c r="H1373" i="1"/>
  <c r="G1373" i="1"/>
  <c r="E1373" i="1"/>
  <c r="B1373" i="1"/>
  <c r="V1373" i="1" s="1"/>
  <c r="Y1372" i="1"/>
  <c r="X1372" i="1" a="1"/>
  <c r="X1372" i="1" s="1"/>
  <c r="V1372" i="1"/>
  <c r="U1372" i="1"/>
  <c r="T1372" i="1"/>
  <c r="Z1372" i="1" s="1"/>
  <c r="R1372" i="1"/>
  <c r="P1372" i="1"/>
  <c r="N1372" i="1"/>
  <c r="L1372" i="1"/>
  <c r="J1372" i="1"/>
  <c r="H1372" i="1"/>
  <c r="G1372" i="1"/>
  <c r="E1372" i="1"/>
  <c r="B1372" i="1"/>
  <c r="W1372" i="1" s="1"/>
  <c r="X1371" i="1"/>
  <c r="W1371" i="1"/>
  <c r="U1371" i="1"/>
  <c r="R1371" i="1"/>
  <c r="P1371" i="1"/>
  <c r="T1371" i="1" s="1"/>
  <c r="X1371" i="1" s="1" a="1"/>
  <c r="N1371" i="1"/>
  <c r="Y1371" i="1" s="1"/>
  <c r="L1371" i="1"/>
  <c r="J1371" i="1"/>
  <c r="H1371" i="1"/>
  <c r="G1371" i="1"/>
  <c r="E1371" i="1"/>
  <c r="B1371" i="1"/>
  <c r="V1371" i="1" s="1"/>
  <c r="Y1370" i="1"/>
  <c r="V1370" i="1"/>
  <c r="R1370" i="1"/>
  <c r="P1370" i="1"/>
  <c r="T1370" i="1" s="1"/>
  <c r="N1370" i="1"/>
  <c r="L1370" i="1"/>
  <c r="J1370" i="1"/>
  <c r="H1370" i="1"/>
  <c r="G1370" i="1"/>
  <c r="E1370" i="1"/>
  <c r="B1370" i="1"/>
  <c r="W1370" i="1" s="1"/>
  <c r="R1369" i="1"/>
  <c r="T1369" i="1" s="1"/>
  <c r="X1369" i="1" s="1" a="1"/>
  <c r="X1369" i="1" s="1"/>
  <c r="P1369" i="1"/>
  <c r="N1369" i="1"/>
  <c r="Y1369" i="1" s="1"/>
  <c r="L1369" i="1"/>
  <c r="J1369" i="1"/>
  <c r="H1369" i="1"/>
  <c r="G1369" i="1"/>
  <c r="E1369" i="1"/>
  <c r="B1369" i="1"/>
  <c r="V1369" i="1" s="1"/>
  <c r="Y1368" i="1"/>
  <c r="V1368" i="1"/>
  <c r="U1368" i="1"/>
  <c r="T1368" i="1"/>
  <c r="Z1368" i="1" s="1"/>
  <c r="R1368" i="1"/>
  <c r="P1368" i="1"/>
  <c r="N1368" i="1"/>
  <c r="L1368" i="1"/>
  <c r="J1368" i="1"/>
  <c r="H1368" i="1"/>
  <c r="G1368" i="1"/>
  <c r="E1368" i="1"/>
  <c r="B1368" i="1"/>
  <c r="W1368" i="1" s="1"/>
  <c r="X1367" i="1"/>
  <c r="W1367" i="1"/>
  <c r="U1367" i="1"/>
  <c r="R1367" i="1"/>
  <c r="P1367" i="1"/>
  <c r="T1367" i="1" s="1"/>
  <c r="X1367" i="1" s="1" a="1"/>
  <c r="N1367" i="1"/>
  <c r="Y1367" i="1" s="1"/>
  <c r="L1367" i="1"/>
  <c r="J1367" i="1"/>
  <c r="H1367" i="1"/>
  <c r="G1367" i="1"/>
  <c r="E1367" i="1"/>
  <c r="B1367" i="1"/>
  <c r="V1367" i="1" s="1"/>
  <c r="Y1366" i="1"/>
  <c r="W1366" i="1"/>
  <c r="V1366" i="1"/>
  <c r="R1366" i="1"/>
  <c r="P1366" i="1"/>
  <c r="T1366" i="1" s="1"/>
  <c r="N1366" i="1"/>
  <c r="L1366" i="1"/>
  <c r="J1366" i="1"/>
  <c r="H1366" i="1"/>
  <c r="G1366" i="1"/>
  <c r="E1366" i="1"/>
  <c r="B1366" i="1"/>
  <c r="U1366" i="1" s="1"/>
  <c r="R1365" i="1"/>
  <c r="T1365" i="1" s="1"/>
  <c r="Z1365" i="1" s="1"/>
  <c r="P1365" i="1"/>
  <c r="N1365" i="1"/>
  <c r="Y1365" i="1" s="1"/>
  <c r="L1365" i="1"/>
  <c r="J1365" i="1"/>
  <c r="H1365" i="1"/>
  <c r="G1365" i="1"/>
  <c r="E1365" i="1"/>
  <c r="B1365" i="1"/>
  <c r="V1365" i="1" s="1"/>
  <c r="V1364" i="1"/>
  <c r="U1364" i="1"/>
  <c r="R1364" i="1"/>
  <c r="P1364" i="1"/>
  <c r="T1364" i="1" s="1"/>
  <c r="N1364" i="1"/>
  <c r="Y1364" i="1" s="1"/>
  <c r="L1364" i="1"/>
  <c r="J1364" i="1"/>
  <c r="H1364" i="1"/>
  <c r="G1364" i="1"/>
  <c r="E1364" i="1"/>
  <c r="B1364" i="1"/>
  <c r="W1364" i="1" s="1"/>
  <c r="Y1363" i="1"/>
  <c r="R1363" i="1"/>
  <c r="P1363" i="1"/>
  <c r="N1363" i="1"/>
  <c r="L1363" i="1"/>
  <c r="J1363" i="1"/>
  <c r="H1363" i="1"/>
  <c r="G1363" i="1"/>
  <c r="E1363" i="1"/>
  <c r="B1363" i="1"/>
  <c r="V1363" i="1" s="1"/>
  <c r="Y1362" i="1"/>
  <c r="W1362" i="1"/>
  <c r="R1362" i="1"/>
  <c r="P1362" i="1"/>
  <c r="T1362" i="1" s="1"/>
  <c r="N1362" i="1"/>
  <c r="L1362" i="1"/>
  <c r="J1362" i="1"/>
  <c r="H1362" i="1"/>
  <c r="G1362" i="1"/>
  <c r="E1362" i="1"/>
  <c r="B1362" i="1"/>
  <c r="U1362" i="1" s="1"/>
  <c r="W1361" i="1"/>
  <c r="R1361" i="1"/>
  <c r="T1361" i="1" s="1"/>
  <c r="P1361" i="1"/>
  <c r="N1361" i="1"/>
  <c r="Y1361" i="1" s="1"/>
  <c r="L1361" i="1"/>
  <c r="J1361" i="1"/>
  <c r="H1361" i="1"/>
  <c r="G1361" i="1"/>
  <c r="E1361" i="1"/>
  <c r="B1361" i="1"/>
  <c r="V1361" i="1" s="1"/>
  <c r="V1360" i="1"/>
  <c r="U1360" i="1"/>
  <c r="R1360" i="1"/>
  <c r="P1360" i="1"/>
  <c r="T1360" i="1" s="1"/>
  <c r="N1360" i="1"/>
  <c r="Y1360" i="1" s="1"/>
  <c r="L1360" i="1"/>
  <c r="J1360" i="1"/>
  <c r="H1360" i="1"/>
  <c r="G1360" i="1"/>
  <c r="E1360" i="1"/>
  <c r="B1360" i="1"/>
  <c r="W1360" i="1" s="1"/>
  <c r="U1359" i="1"/>
  <c r="R1359" i="1"/>
  <c r="P1359" i="1"/>
  <c r="N1359" i="1"/>
  <c r="Y1359" i="1" s="1"/>
  <c r="L1359" i="1"/>
  <c r="J1359" i="1"/>
  <c r="H1359" i="1"/>
  <c r="G1359" i="1"/>
  <c r="E1359" i="1"/>
  <c r="B1359" i="1"/>
  <c r="V1359" i="1" s="1"/>
  <c r="Y1358" i="1"/>
  <c r="R1358" i="1"/>
  <c r="P1358" i="1"/>
  <c r="T1358" i="1" s="1"/>
  <c r="N1358" i="1"/>
  <c r="L1358" i="1"/>
  <c r="J1358" i="1"/>
  <c r="H1358" i="1"/>
  <c r="G1358" i="1"/>
  <c r="E1358" i="1"/>
  <c r="B1358" i="1"/>
  <c r="U1358" i="1" s="1"/>
  <c r="W1357" i="1"/>
  <c r="U1357" i="1"/>
  <c r="R1357" i="1"/>
  <c r="T1357" i="1" s="1"/>
  <c r="P1357" i="1"/>
  <c r="N1357" i="1"/>
  <c r="Y1357" i="1" s="1"/>
  <c r="L1357" i="1"/>
  <c r="J1357" i="1"/>
  <c r="H1357" i="1"/>
  <c r="G1357" i="1"/>
  <c r="E1357" i="1"/>
  <c r="B1357" i="1"/>
  <c r="V1357" i="1" s="1"/>
  <c r="V1356" i="1"/>
  <c r="U1356" i="1"/>
  <c r="T1356" i="1"/>
  <c r="Z1356" i="1" s="1"/>
  <c r="R1356" i="1"/>
  <c r="P1356" i="1"/>
  <c r="N1356" i="1"/>
  <c r="Y1356" i="1" s="1"/>
  <c r="L1356" i="1"/>
  <c r="J1356" i="1"/>
  <c r="H1356" i="1"/>
  <c r="G1356" i="1"/>
  <c r="E1356" i="1"/>
  <c r="B1356" i="1"/>
  <c r="W1356" i="1" s="1"/>
  <c r="Y1355" i="1"/>
  <c r="R1355" i="1"/>
  <c r="P1355" i="1"/>
  <c r="N1355" i="1"/>
  <c r="L1355" i="1"/>
  <c r="J1355" i="1"/>
  <c r="H1355" i="1"/>
  <c r="G1355" i="1"/>
  <c r="E1355" i="1"/>
  <c r="B1355" i="1"/>
  <c r="W1355" i="1" s="1"/>
  <c r="Y1354" i="1"/>
  <c r="W1354" i="1"/>
  <c r="R1354" i="1"/>
  <c r="P1354" i="1"/>
  <c r="T1354" i="1" s="1"/>
  <c r="N1354" i="1"/>
  <c r="L1354" i="1"/>
  <c r="J1354" i="1"/>
  <c r="H1354" i="1"/>
  <c r="G1354" i="1"/>
  <c r="E1354" i="1"/>
  <c r="B1354" i="1"/>
  <c r="U1354" i="1" s="1"/>
  <c r="R1353" i="1"/>
  <c r="T1353" i="1" s="1"/>
  <c r="P1353" i="1"/>
  <c r="N1353" i="1"/>
  <c r="Y1353" i="1" s="1"/>
  <c r="L1353" i="1"/>
  <c r="J1353" i="1"/>
  <c r="H1353" i="1"/>
  <c r="G1353" i="1"/>
  <c r="E1353" i="1"/>
  <c r="B1353" i="1"/>
  <c r="V1353" i="1" s="1"/>
  <c r="V1352" i="1"/>
  <c r="U1352" i="1"/>
  <c r="R1352" i="1"/>
  <c r="P1352" i="1"/>
  <c r="T1352" i="1" s="1"/>
  <c r="N1352" i="1"/>
  <c r="Y1352" i="1" s="1"/>
  <c r="L1352" i="1"/>
  <c r="J1352" i="1"/>
  <c r="H1352" i="1"/>
  <c r="G1352" i="1"/>
  <c r="E1352" i="1"/>
  <c r="B1352" i="1"/>
  <c r="W1352" i="1" s="1"/>
  <c r="U1351" i="1"/>
  <c r="R1351" i="1"/>
  <c r="P1351" i="1"/>
  <c r="N1351" i="1"/>
  <c r="Y1351" i="1" s="1"/>
  <c r="L1351" i="1"/>
  <c r="J1351" i="1"/>
  <c r="H1351" i="1"/>
  <c r="G1351" i="1"/>
  <c r="E1351" i="1"/>
  <c r="B1351" i="1"/>
  <c r="V1351" i="1" s="1"/>
  <c r="Y1350" i="1"/>
  <c r="W1350" i="1"/>
  <c r="R1350" i="1"/>
  <c r="P1350" i="1"/>
  <c r="T1350" i="1" s="1"/>
  <c r="N1350" i="1"/>
  <c r="L1350" i="1"/>
  <c r="J1350" i="1"/>
  <c r="H1350" i="1"/>
  <c r="G1350" i="1"/>
  <c r="E1350" i="1"/>
  <c r="B1350" i="1"/>
  <c r="U1350" i="1" s="1"/>
  <c r="U1349" i="1"/>
  <c r="R1349" i="1"/>
  <c r="T1349" i="1" s="1"/>
  <c r="P1349" i="1"/>
  <c r="N1349" i="1"/>
  <c r="Y1349" i="1" s="1"/>
  <c r="L1349" i="1"/>
  <c r="J1349" i="1"/>
  <c r="H1349" i="1"/>
  <c r="G1349" i="1"/>
  <c r="E1349" i="1"/>
  <c r="B1349" i="1"/>
  <c r="V1349" i="1" s="1"/>
  <c r="V1348" i="1"/>
  <c r="U1348" i="1"/>
  <c r="T1348" i="1"/>
  <c r="Z1348" i="1" s="1"/>
  <c r="R1348" i="1"/>
  <c r="P1348" i="1"/>
  <c r="N1348" i="1"/>
  <c r="Y1348" i="1" s="1"/>
  <c r="L1348" i="1"/>
  <c r="J1348" i="1"/>
  <c r="H1348" i="1"/>
  <c r="G1348" i="1"/>
  <c r="E1348" i="1"/>
  <c r="B1348" i="1"/>
  <c r="W1348" i="1" s="1"/>
  <c r="Y1347" i="1"/>
  <c r="R1347" i="1"/>
  <c r="P1347" i="1"/>
  <c r="N1347" i="1"/>
  <c r="L1347" i="1"/>
  <c r="J1347" i="1"/>
  <c r="H1347" i="1"/>
  <c r="G1347" i="1"/>
  <c r="E1347" i="1"/>
  <c r="B1347" i="1"/>
  <c r="W1347" i="1" s="1"/>
  <c r="Y1346" i="1"/>
  <c r="W1346" i="1"/>
  <c r="R1346" i="1"/>
  <c r="P1346" i="1"/>
  <c r="T1346" i="1" s="1"/>
  <c r="N1346" i="1"/>
  <c r="L1346" i="1"/>
  <c r="J1346" i="1"/>
  <c r="H1346" i="1"/>
  <c r="G1346" i="1"/>
  <c r="E1346" i="1"/>
  <c r="B1346" i="1"/>
  <c r="U1346" i="1" s="1"/>
  <c r="R1345" i="1"/>
  <c r="T1345" i="1" s="1"/>
  <c r="P1345" i="1"/>
  <c r="N1345" i="1"/>
  <c r="Y1345" i="1" s="1"/>
  <c r="L1345" i="1"/>
  <c r="J1345" i="1"/>
  <c r="H1345" i="1"/>
  <c r="G1345" i="1"/>
  <c r="E1345" i="1"/>
  <c r="B1345" i="1"/>
  <c r="V1345" i="1" s="1"/>
  <c r="V1344" i="1"/>
  <c r="U1344" i="1"/>
  <c r="R1344" i="1"/>
  <c r="P1344" i="1"/>
  <c r="T1344" i="1" s="1"/>
  <c r="N1344" i="1"/>
  <c r="Y1344" i="1" s="1"/>
  <c r="L1344" i="1"/>
  <c r="J1344" i="1"/>
  <c r="H1344" i="1"/>
  <c r="G1344" i="1"/>
  <c r="E1344" i="1"/>
  <c r="B1344" i="1"/>
  <c r="W1344" i="1" s="1"/>
  <c r="U1343" i="1"/>
  <c r="R1343" i="1"/>
  <c r="P1343" i="1"/>
  <c r="N1343" i="1"/>
  <c r="Y1343" i="1" s="1"/>
  <c r="L1343" i="1"/>
  <c r="J1343" i="1"/>
  <c r="H1343" i="1"/>
  <c r="G1343" i="1"/>
  <c r="E1343" i="1"/>
  <c r="B1343" i="1"/>
  <c r="V1343" i="1" s="1"/>
  <c r="Y1342" i="1"/>
  <c r="W1342" i="1"/>
  <c r="R1342" i="1"/>
  <c r="P1342" i="1"/>
  <c r="T1342" i="1" s="1"/>
  <c r="N1342" i="1"/>
  <c r="L1342" i="1"/>
  <c r="J1342" i="1"/>
  <c r="H1342" i="1"/>
  <c r="G1342" i="1"/>
  <c r="E1342" i="1"/>
  <c r="B1342" i="1"/>
  <c r="U1342" i="1" s="1"/>
  <c r="U1341" i="1"/>
  <c r="R1341" i="1"/>
  <c r="T1341" i="1" s="1"/>
  <c r="P1341" i="1"/>
  <c r="N1341" i="1"/>
  <c r="Y1341" i="1" s="1"/>
  <c r="L1341" i="1"/>
  <c r="J1341" i="1"/>
  <c r="H1341" i="1"/>
  <c r="G1341" i="1"/>
  <c r="E1341" i="1"/>
  <c r="B1341" i="1"/>
  <c r="V1341" i="1" s="1"/>
  <c r="V1340" i="1"/>
  <c r="U1340" i="1"/>
  <c r="T1340" i="1"/>
  <c r="Z1340" i="1" s="1"/>
  <c r="R1340" i="1"/>
  <c r="P1340" i="1"/>
  <c r="N1340" i="1"/>
  <c r="Y1340" i="1" s="1"/>
  <c r="L1340" i="1"/>
  <c r="J1340" i="1"/>
  <c r="H1340" i="1"/>
  <c r="G1340" i="1"/>
  <c r="E1340" i="1"/>
  <c r="B1340" i="1"/>
  <c r="W1340" i="1" s="1"/>
  <c r="Y1339" i="1"/>
  <c r="V1339" i="1"/>
  <c r="R1339" i="1"/>
  <c r="P1339" i="1"/>
  <c r="N1339" i="1"/>
  <c r="L1339" i="1"/>
  <c r="J1339" i="1"/>
  <c r="H1339" i="1"/>
  <c r="G1339" i="1"/>
  <c r="E1339" i="1"/>
  <c r="B1339" i="1"/>
  <c r="W1339" i="1" s="1"/>
  <c r="Y1338" i="1"/>
  <c r="W1338" i="1"/>
  <c r="T1338" i="1"/>
  <c r="X1338" i="1" s="1" a="1"/>
  <c r="X1338" i="1" s="1"/>
  <c r="R1338" i="1"/>
  <c r="P1338" i="1"/>
  <c r="N1338" i="1"/>
  <c r="L1338" i="1"/>
  <c r="J1338" i="1"/>
  <c r="H1338" i="1"/>
  <c r="G1338" i="1"/>
  <c r="E1338" i="1"/>
  <c r="B1338" i="1"/>
  <c r="U1338" i="1" s="1"/>
  <c r="R1337" i="1"/>
  <c r="T1337" i="1" s="1"/>
  <c r="P1337" i="1"/>
  <c r="N1337" i="1"/>
  <c r="Y1337" i="1" s="1"/>
  <c r="L1337" i="1"/>
  <c r="J1337" i="1"/>
  <c r="H1337" i="1"/>
  <c r="G1337" i="1"/>
  <c r="E1337" i="1"/>
  <c r="B1337" i="1"/>
  <c r="V1337" i="1" s="1"/>
  <c r="V1336" i="1"/>
  <c r="U1336" i="1"/>
  <c r="R1336" i="1"/>
  <c r="P1336" i="1"/>
  <c r="T1336" i="1" s="1"/>
  <c r="N1336" i="1"/>
  <c r="Y1336" i="1" s="1"/>
  <c r="L1336" i="1"/>
  <c r="J1336" i="1"/>
  <c r="H1336" i="1"/>
  <c r="G1336" i="1"/>
  <c r="E1336" i="1"/>
  <c r="B1336" i="1"/>
  <c r="W1336" i="1" s="1"/>
  <c r="U1335" i="1"/>
  <c r="R1335" i="1"/>
  <c r="P1335" i="1"/>
  <c r="N1335" i="1"/>
  <c r="Y1335" i="1" s="1"/>
  <c r="L1335" i="1"/>
  <c r="J1335" i="1"/>
  <c r="H1335" i="1"/>
  <c r="G1335" i="1"/>
  <c r="E1335" i="1"/>
  <c r="B1335" i="1"/>
  <c r="V1335" i="1" s="1"/>
  <c r="Y1334" i="1"/>
  <c r="W1334" i="1"/>
  <c r="R1334" i="1"/>
  <c r="P1334" i="1"/>
  <c r="T1334" i="1" s="1"/>
  <c r="N1334" i="1"/>
  <c r="L1334" i="1"/>
  <c r="J1334" i="1"/>
  <c r="H1334" i="1"/>
  <c r="G1334" i="1"/>
  <c r="E1334" i="1"/>
  <c r="B1334" i="1"/>
  <c r="U1334" i="1" s="1"/>
  <c r="U1333" i="1"/>
  <c r="R1333" i="1"/>
  <c r="T1333" i="1" s="1"/>
  <c r="P1333" i="1"/>
  <c r="N1333" i="1"/>
  <c r="Y1333" i="1" s="1"/>
  <c r="L1333" i="1"/>
  <c r="J1333" i="1"/>
  <c r="H1333" i="1"/>
  <c r="G1333" i="1"/>
  <c r="E1333" i="1"/>
  <c r="B1333" i="1"/>
  <c r="V1333" i="1" s="1"/>
  <c r="V1332" i="1"/>
  <c r="U1332" i="1"/>
  <c r="T1332" i="1"/>
  <c r="Z1332" i="1" s="1"/>
  <c r="R1332" i="1"/>
  <c r="P1332" i="1"/>
  <c r="N1332" i="1"/>
  <c r="Y1332" i="1" s="1"/>
  <c r="L1332" i="1"/>
  <c r="J1332" i="1"/>
  <c r="H1332" i="1"/>
  <c r="G1332" i="1"/>
  <c r="E1332" i="1"/>
  <c r="B1332" i="1"/>
  <c r="W1332" i="1" s="1"/>
  <c r="Y1331" i="1"/>
  <c r="V1331" i="1"/>
  <c r="R1331" i="1"/>
  <c r="P1331" i="1"/>
  <c r="N1331" i="1"/>
  <c r="L1331" i="1"/>
  <c r="J1331" i="1"/>
  <c r="H1331" i="1"/>
  <c r="G1331" i="1"/>
  <c r="E1331" i="1"/>
  <c r="B1331" i="1"/>
  <c r="W1331" i="1" s="1"/>
  <c r="Y1330" i="1"/>
  <c r="W1330" i="1"/>
  <c r="T1330" i="1"/>
  <c r="X1330" i="1" s="1" a="1"/>
  <c r="X1330" i="1" s="1"/>
  <c r="R1330" i="1"/>
  <c r="P1330" i="1"/>
  <c r="N1330" i="1"/>
  <c r="L1330" i="1"/>
  <c r="J1330" i="1"/>
  <c r="H1330" i="1"/>
  <c r="G1330" i="1"/>
  <c r="E1330" i="1"/>
  <c r="B1330" i="1"/>
  <c r="U1330" i="1" s="1"/>
  <c r="R1329" i="1"/>
  <c r="T1329" i="1" s="1"/>
  <c r="P1329" i="1"/>
  <c r="N1329" i="1"/>
  <c r="Y1329" i="1" s="1"/>
  <c r="L1329" i="1"/>
  <c r="J1329" i="1"/>
  <c r="H1329" i="1"/>
  <c r="G1329" i="1"/>
  <c r="E1329" i="1"/>
  <c r="B1329" i="1"/>
  <c r="V1329" i="1" s="1"/>
  <c r="V1328" i="1"/>
  <c r="U1328" i="1"/>
  <c r="R1328" i="1"/>
  <c r="P1328" i="1"/>
  <c r="T1328" i="1" s="1"/>
  <c r="N1328" i="1"/>
  <c r="Y1328" i="1" s="1"/>
  <c r="L1328" i="1"/>
  <c r="J1328" i="1"/>
  <c r="H1328" i="1"/>
  <c r="G1328" i="1"/>
  <c r="E1328" i="1"/>
  <c r="B1328" i="1"/>
  <c r="W1328" i="1" s="1"/>
  <c r="U1327" i="1"/>
  <c r="R1327" i="1"/>
  <c r="P1327" i="1"/>
  <c r="N1327" i="1"/>
  <c r="Y1327" i="1" s="1"/>
  <c r="L1327" i="1"/>
  <c r="J1327" i="1"/>
  <c r="H1327" i="1"/>
  <c r="G1327" i="1"/>
  <c r="E1327" i="1"/>
  <c r="B1327" i="1"/>
  <c r="V1327" i="1" s="1"/>
  <c r="Y1326" i="1"/>
  <c r="W1326" i="1"/>
  <c r="R1326" i="1"/>
  <c r="T1326" i="1" s="1"/>
  <c r="P1326" i="1"/>
  <c r="N1326" i="1"/>
  <c r="L1326" i="1"/>
  <c r="J1326" i="1"/>
  <c r="H1326" i="1"/>
  <c r="G1326" i="1"/>
  <c r="E1326" i="1"/>
  <c r="B1326" i="1"/>
  <c r="U1326" i="1" s="1"/>
  <c r="U1325" i="1"/>
  <c r="R1325" i="1"/>
  <c r="T1325" i="1" s="1"/>
  <c r="P1325" i="1"/>
  <c r="N1325" i="1"/>
  <c r="Y1325" i="1" s="1"/>
  <c r="L1325" i="1"/>
  <c r="J1325" i="1"/>
  <c r="H1325" i="1"/>
  <c r="G1325" i="1"/>
  <c r="E1325" i="1"/>
  <c r="B1325" i="1"/>
  <c r="V1325" i="1" s="1"/>
  <c r="V1324" i="1"/>
  <c r="U1324" i="1"/>
  <c r="T1324" i="1"/>
  <c r="Z1324" i="1" s="1"/>
  <c r="R1324" i="1"/>
  <c r="P1324" i="1"/>
  <c r="N1324" i="1"/>
  <c r="Y1324" i="1" s="1"/>
  <c r="L1324" i="1"/>
  <c r="J1324" i="1"/>
  <c r="H1324" i="1"/>
  <c r="G1324" i="1"/>
  <c r="E1324" i="1"/>
  <c r="B1324" i="1"/>
  <c r="W1324" i="1" s="1"/>
  <c r="V1323" i="1"/>
  <c r="R1323" i="1"/>
  <c r="P1323" i="1"/>
  <c r="N1323" i="1"/>
  <c r="Y1323" i="1" s="1"/>
  <c r="L1323" i="1"/>
  <c r="J1323" i="1"/>
  <c r="H1323" i="1"/>
  <c r="G1323" i="1"/>
  <c r="E1323" i="1"/>
  <c r="B1323" i="1"/>
  <c r="W1323" i="1" s="1"/>
  <c r="Y1322" i="1"/>
  <c r="W1322" i="1"/>
  <c r="T1322" i="1"/>
  <c r="X1322" i="1" s="1" a="1"/>
  <c r="X1322" i="1" s="1"/>
  <c r="R1322" i="1"/>
  <c r="P1322" i="1"/>
  <c r="N1322" i="1"/>
  <c r="L1322" i="1"/>
  <c r="J1322" i="1"/>
  <c r="H1322" i="1"/>
  <c r="G1322" i="1"/>
  <c r="E1322" i="1"/>
  <c r="B1322" i="1"/>
  <c r="U1322" i="1" s="1"/>
  <c r="R1321" i="1"/>
  <c r="T1321" i="1" s="1"/>
  <c r="P1321" i="1"/>
  <c r="N1321" i="1"/>
  <c r="Y1321" i="1" s="1"/>
  <c r="L1321" i="1"/>
  <c r="J1321" i="1"/>
  <c r="H1321" i="1"/>
  <c r="G1321" i="1"/>
  <c r="E1321" i="1"/>
  <c r="B1321" i="1"/>
  <c r="V1321" i="1" s="1"/>
  <c r="V1320" i="1"/>
  <c r="U1320" i="1"/>
  <c r="R1320" i="1"/>
  <c r="P1320" i="1"/>
  <c r="T1320" i="1" s="1"/>
  <c r="N1320" i="1"/>
  <c r="Y1320" i="1" s="1"/>
  <c r="L1320" i="1"/>
  <c r="J1320" i="1"/>
  <c r="H1320" i="1"/>
  <c r="G1320" i="1"/>
  <c r="E1320" i="1"/>
  <c r="B1320" i="1"/>
  <c r="W1320" i="1" s="1"/>
  <c r="V1319" i="1"/>
  <c r="R1319" i="1"/>
  <c r="P1319" i="1"/>
  <c r="N1319" i="1"/>
  <c r="Y1319" i="1" s="1"/>
  <c r="L1319" i="1"/>
  <c r="J1319" i="1"/>
  <c r="H1319" i="1"/>
  <c r="G1319" i="1"/>
  <c r="E1319" i="1"/>
  <c r="B1319" i="1"/>
  <c r="U1319" i="1" s="1"/>
  <c r="Y1318" i="1"/>
  <c r="W1318" i="1"/>
  <c r="T1318" i="1"/>
  <c r="Z1318" i="1" s="1"/>
  <c r="R1318" i="1"/>
  <c r="P1318" i="1"/>
  <c r="N1318" i="1"/>
  <c r="L1318" i="1"/>
  <c r="J1318" i="1"/>
  <c r="H1318" i="1"/>
  <c r="G1318" i="1"/>
  <c r="E1318" i="1"/>
  <c r="B1318" i="1"/>
  <c r="U1318" i="1" s="1"/>
  <c r="U1317" i="1"/>
  <c r="R1317" i="1"/>
  <c r="T1317" i="1" s="1"/>
  <c r="P1317" i="1"/>
  <c r="N1317" i="1"/>
  <c r="Y1317" i="1" s="1"/>
  <c r="L1317" i="1"/>
  <c r="J1317" i="1"/>
  <c r="H1317" i="1"/>
  <c r="G1317" i="1"/>
  <c r="E1317" i="1"/>
  <c r="B1317" i="1"/>
  <c r="V1317" i="1" s="1"/>
  <c r="Y1316" i="1"/>
  <c r="X1316" i="1" a="1"/>
  <c r="X1316" i="1" s="1"/>
  <c r="V1316" i="1"/>
  <c r="T1316" i="1"/>
  <c r="Z1316" i="1" s="1"/>
  <c r="R1316" i="1"/>
  <c r="P1316" i="1"/>
  <c r="N1316" i="1"/>
  <c r="L1316" i="1"/>
  <c r="J1316" i="1"/>
  <c r="H1316" i="1"/>
  <c r="G1316" i="1"/>
  <c r="E1316" i="1"/>
  <c r="B1316" i="1"/>
  <c r="W1316" i="1" s="1"/>
  <c r="W1315" i="1"/>
  <c r="U1315" i="1"/>
  <c r="R1315" i="1"/>
  <c r="T1315" i="1" s="1"/>
  <c r="P1315" i="1"/>
  <c r="N1315" i="1"/>
  <c r="Y1315" i="1" s="1"/>
  <c r="L1315" i="1"/>
  <c r="J1315" i="1"/>
  <c r="H1315" i="1"/>
  <c r="G1315" i="1"/>
  <c r="E1315" i="1"/>
  <c r="B1315" i="1"/>
  <c r="V1315" i="1" s="1"/>
  <c r="Y1314" i="1"/>
  <c r="W1314" i="1"/>
  <c r="V1314" i="1"/>
  <c r="U1314" i="1"/>
  <c r="R1314" i="1"/>
  <c r="P1314" i="1"/>
  <c r="T1314" i="1" s="1"/>
  <c r="N1314" i="1"/>
  <c r="L1314" i="1"/>
  <c r="J1314" i="1"/>
  <c r="H1314" i="1"/>
  <c r="G1314" i="1"/>
  <c r="E1314" i="1"/>
  <c r="B1314" i="1"/>
  <c r="R1313" i="1"/>
  <c r="P1313" i="1"/>
  <c r="T1313" i="1" s="1"/>
  <c r="N1313" i="1"/>
  <c r="Y1313" i="1" s="1"/>
  <c r="L1313" i="1"/>
  <c r="J1313" i="1"/>
  <c r="H1313" i="1"/>
  <c r="G1313" i="1"/>
  <c r="E1313" i="1"/>
  <c r="B1313" i="1"/>
  <c r="W1313" i="1" s="1"/>
  <c r="Y1312" i="1"/>
  <c r="W1312" i="1"/>
  <c r="V1312" i="1"/>
  <c r="T1312" i="1"/>
  <c r="X1312" i="1" s="1" a="1"/>
  <c r="X1312" i="1" s="1"/>
  <c r="R1312" i="1"/>
  <c r="P1312" i="1"/>
  <c r="N1312" i="1"/>
  <c r="L1312" i="1"/>
  <c r="J1312" i="1"/>
  <c r="H1312" i="1"/>
  <c r="G1312" i="1"/>
  <c r="E1312" i="1"/>
  <c r="B1312" i="1"/>
  <c r="U1312" i="1" s="1"/>
  <c r="U1311" i="1"/>
  <c r="R1311" i="1"/>
  <c r="T1311" i="1" s="1"/>
  <c r="P1311" i="1"/>
  <c r="N1311" i="1"/>
  <c r="Y1311" i="1" s="1"/>
  <c r="L1311" i="1"/>
  <c r="J1311" i="1"/>
  <c r="H1311" i="1"/>
  <c r="G1311" i="1"/>
  <c r="E1311" i="1"/>
  <c r="B1311" i="1"/>
  <c r="W1311" i="1" s="1"/>
  <c r="Y1310" i="1"/>
  <c r="V1310" i="1"/>
  <c r="U1310" i="1"/>
  <c r="T1310" i="1"/>
  <c r="X1310" i="1" s="1" a="1"/>
  <c r="X1310" i="1" s="1"/>
  <c r="R1310" i="1"/>
  <c r="P1310" i="1"/>
  <c r="N1310" i="1"/>
  <c r="L1310" i="1"/>
  <c r="J1310" i="1"/>
  <c r="H1310" i="1"/>
  <c r="G1310" i="1"/>
  <c r="E1310" i="1"/>
  <c r="B1310" i="1"/>
  <c r="W1310" i="1" s="1"/>
  <c r="W1309" i="1"/>
  <c r="U1309" i="1"/>
  <c r="R1309" i="1"/>
  <c r="P1309" i="1"/>
  <c r="T1309" i="1" s="1"/>
  <c r="N1309" i="1"/>
  <c r="Y1309" i="1" s="1"/>
  <c r="L1309" i="1"/>
  <c r="J1309" i="1"/>
  <c r="H1309" i="1"/>
  <c r="G1309" i="1"/>
  <c r="E1309" i="1"/>
  <c r="B1309" i="1"/>
  <c r="V1309" i="1" s="1"/>
  <c r="Y1308" i="1"/>
  <c r="X1308" i="1" a="1"/>
  <c r="X1308" i="1" s="1"/>
  <c r="V1308" i="1"/>
  <c r="T1308" i="1"/>
  <c r="Z1308" i="1" s="1"/>
  <c r="R1308" i="1"/>
  <c r="P1308" i="1"/>
  <c r="N1308" i="1"/>
  <c r="L1308" i="1"/>
  <c r="J1308" i="1"/>
  <c r="H1308" i="1"/>
  <c r="G1308" i="1"/>
  <c r="E1308" i="1"/>
  <c r="B1308" i="1"/>
  <c r="W1308" i="1" s="1"/>
  <c r="W1307" i="1"/>
  <c r="U1307" i="1"/>
  <c r="R1307" i="1"/>
  <c r="T1307" i="1" s="1"/>
  <c r="P1307" i="1"/>
  <c r="N1307" i="1"/>
  <c r="Y1307" i="1" s="1"/>
  <c r="L1307" i="1"/>
  <c r="J1307" i="1"/>
  <c r="H1307" i="1"/>
  <c r="G1307" i="1"/>
  <c r="E1307" i="1"/>
  <c r="B1307" i="1"/>
  <c r="V1307" i="1" s="1"/>
  <c r="Y1306" i="1"/>
  <c r="W1306" i="1"/>
  <c r="V1306" i="1"/>
  <c r="U1306" i="1"/>
  <c r="R1306" i="1"/>
  <c r="P1306" i="1"/>
  <c r="T1306" i="1" s="1"/>
  <c r="N1306" i="1"/>
  <c r="L1306" i="1"/>
  <c r="J1306" i="1"/>
  <c r="H1306" i="1"/>
  <c r="G1306" i="1"/>
  <c r="E1306" i="1"/>
  <c r="B1306" i="1"/>
  <c r="R1305" i="1"/>
  <c r="P1305" i="1"/>
  <c r="T1305" i="1" s="1"/>
  <c r="N1305" i="1"/>
  <c r="Y1305" i="1" s="1"/>
  <c r="L1305" i="1"/>
  <c r="J1305" i="1"/>
  <c r="H1305" i="1"/>
  <c r="G1305" i="1"/>
  <c r="E1305" i="1"/>
  <c r="B1305" i="1"/>
  <c r="W1305" i="1" s="1"/>
  <c r="Y1304" i="1"/>
  <c r="W1304" i="1"/>
  <c r="V1304" i="1"/>
  <c r="T1304" i="1"/>
  <c r="X1304" i="1" s="1" a="1"/>
  <c r="X1304" i="1" s="1"/>
  <c r="R1304" i="1"/>
  <c r="P1304" i="1"/>
  <c r="N1304" i="1"/>
  <c r="L1304" i="1"/>
  <c r="J1304" i="1"/>
  <c r="H1304" i="1"/>
  <c r="G1304" i="1"/>
  <c r="E1304" i="1"/>
  <c r="B1304" i="1"/>
  <c r="U1304" i="1" s="1"/>
  <c r="U1303" i="1"/>
  <c r="R1303" i="1"/>
  <c r="T1303" i="1" s="1"/>
  <c r="P1303" i="1"/>
  <c r="N1303" i="1"/>
  <c r="Y1303" i="1" s="1"/>
  <c r="L1303" i="1"/>
  <c r="J1303" i="1"/>
  <c r="H1303" i="1"/>
  <c r="G1303" i="1"/>
  <c r="E1303" i="1"/>
  <c r="B1303" i="1"/>
  <c r="W1303" i="1" s="1"/>
  <c r="Y1302" i="1"/>
  <c r="V1302" i="1"/>
  <c r="U1302" i="1"/>
  <c r="T1302" i="1"/>
  <c r="X1302" i="1" s="1" a="1"/>
  <c r="X1302" i="1" s="1"/>
  <c r="R1302" i="1"/>
  <c r="P1302" i="1"/>
  <c r="N1302" i="1"/>
  <c r="L1302" i="1"/>
  <c r="J1302" i="1"/>
  <c r="H1302" i="1"/>
  <c r="G1302" i="1"/>
  <c r="E1302" i="1"/>
  <c r="B1302" i="1"/>
  <c r="W1302" i="1" s="1"/>
  <c r="W1301" i="1"/>
  <c r="U1301" i="1"/>
  <c r="R1301" i="1"/>
  <c r="P1301" i="1"/>
  <c r="T1301" i="1" s="1"/>
  <c r="N1301" i="1"/>
  <c r="Y1301" i="1" s="1"/>
  <c r="L1301" i="1"/>
  <c r="J1301" i="1"/>
  <c r="H1301" i="1"/>
  <c r="G1301" i="1"/>
  <c r="E1301" i="1"/>
  <c r="B1301" i="1"/>
  <c r="V1301" i="1" s="1"/>
  <c r="Y1300" i="1"/>
  <c r="X1300" i="1" a="1"/>
  <c r="X1300" i="1" s="1"/>
  <c r="V1300" i="1"/>
  <c r="T1300" i="1"/>
  <c r="Z1300" i="1" s="1"/>
  <c r="R1300" i="1"/>
  <c r="P1300" i="1"/>
  <c r="N1300" i="1"/>
  <c r="L1300" i="1"/>
  <c r="J1300" i="1"/>
  <c r="H1300" i="1"/>
  <c r="G1300" i="1"/>
  <c r="E1300" i="1"/>
  <c r="B1300" i="1"/>
  <c r="W1300" i="1" s="1"/>
  <c r="W1299" i="1"/>
  <c r="U1299" i="1"/>
  <c r="R1299" i="1"/>
  <c r="T1299" i="1" s="1"/>
  <c r="P1299" i="1"/>
  <c r="N1299" i="1"/>
  <c r="Y1299" i="1" s="1"/>
  <c r="L1299" i="1"/>
  <c r="J1299" i="1"/>
  <c r="H1299" i="1"/>
  <c r="G1299" i="1"/>
  <c r="E1299" i="1"/>
  <c r="B1299" i="1"/>
  <c r="V1299" i="1" s="1"/>
  <c r="Y1298" i="1"/>
  <c r="W1298" i="1"/>
  <c r="V1298" i="1"/>
  <c r="U1298" i="1"/>
  <c r="R1298" i="1"/>
  <c r="P1298" i="1"/>
  <c r="T1298" i="1" s="1"/>
  <c r="N1298" i="1"/>
  <c r="L1298" i="1"/>
  <c r="J1298" i="1"/>
  <c r="H1298" i="1"/>
  <c r="G1298" i="1"/>
  <c r="E1298" i="1"/>
  <c r="B1298" i="1"/>
  <c r="R1297" i="1"/>
  <c r="P1297" i="1"/>
  <c r="T1297" i="1" s="1"/>
  <c r="N1297" i="1"/>
  <c r="Y1297" i="1" s="1"/>
  <c r="L1297" i="1"/>
  <c r="J1297" i="1"/>
  <c r="H1297" i="1"/>
  <c r="G1297" i="1"/>
  <c r="E1297" i="1"/>
  <c r="B1297" i="1"/>
  <c r="W1297" i="1" s="1"/>
  <c r="Y1296" i="1"/>
  <c r="W1296" i="1"/>
  <c r="V1296" i="1"/>
  <c r="T1296" i="1"/>
  <c r="X1296" i="1" s="1" a="1"/>
  <c r="X1296" i="1" s="1"/>
  <c r="R1296" i="1"/>
  <c r="P1296" i="1"/>
  <c r="N1296" i="1"/>
  <c r="L1296" i="1"/>
  <c r="J1296" i="1"/>
  <c r="H1296" i="1"/>
  <c r="G1296" i="1"/>
  <c r="E1296" i="1"/>
  <c r="B1296" i="1"/>
  <c r="U1296" i="1" s="1"/>
  <c r="U1295" i="1"/>
  <c r="R1295" i="1"/>
  <c r="T1295" i="1" s="1"/>
  <c r="P1295" i="1"/>
  <c r="N1295" i="1"/>
  <c r="Y1295" i="1" s="1"/>
  <c r="L1295" i="1"/>
  <c r="J1295" i="1"/>
  <c r="H1295" i="1"/>
  <c r="G1295" i="1"/>
  <c r="E1295" i="1"/>
  <c r="B1295" i="1"/>
  <c r="W1295" i="1" s="1"/>
  <c r="Y1294" i="1"/>
  <c r="V1294" i="1"/>
  <c r="U1294" i="1"/>
  <c r="T1294" i="1"/>
  <c r="X1294" i="1" s="1" a="1"/>
  <c r="X1294" i="1" s="1"/>
  <c r="R1294" i="1"/>
  <c r="P1294" i="1"/>
  <c r="N1294" i="1"/>
  <c r="L1294" i="1"/>
  <c r="J1294" i="1"/>
  <c r="H1294" i="1"/>
  <c r="G1294" i="1"/>
  <c r="E1294" i="1"/>
  <c r="B1294" i="1"/>
  <c r="W1294" i="1" s="1"/>
  <c r="W1293" i="1"/>
  <c r="U1293" i="1"/>
  <c r="R1293" i="1"/>
  <c r="P1293" i="1"/>
  <c r="T1293" i="1" s="1"/>
  <c r="N1293" i="1"/>
  <c r="Y1293" i="1" s="1"/>
  <c r="L1293" i="1"/>
  <c r="J1293" i="1"/>
  <c r="H1293" i="1"/>
  <c r="G1293" i="1"/>
  <c r="E1293" i="1"/>
  <c r="B1293" i="1"/>
  <c r="V1293" i="1" s="1"/>
  <c r="Y1292" i="1"/>
  <c r="X1292" i="1" a="1"/>
  <c r="X1292" i="1" s="1"/>
  <c r="V1292" i="1"/>
  <c r="T1292" i="1"/>
  <c r="Z1292" i="1" s="1"/>
  <c r="R1292" i="1"/>
  <c r="P1292" i="1"/>
  <c r="N1292" i="1"/>
  <c r="L1292" i="1"/>
  <c r="J1292" i="1"/>
  <c r="H1292" i="1"/>
  <c r="G1292" i="1"/>
  <c r="E1292" i="1"/>
  <c r="B1292" i="1"/>
  <c r="W1292" i="1" s="1"/>
  <c r="W1291" i="1"/>
  <c r="U1291" i="1"/>
  <c r="R1291" i="1"/>
  <c r="T1291" i="1" s="1"/>
  <c r="P1291" i="1"/>
  <c r="N1291" i="1"/>
  <c r="Y1291" i="1" s="1"/>
  <c r="L1291" i="1"/>
  <c r="J1291" i="1"/>
  <c r="H1291" i="1"/>
  <c r="G1291" i="1"/>
  <c r="E1291" i="1"/>
  <c r="B1291" i="1"/>
  <c r="V1291" i="1" s="1"/>
  <c r="Y1290" i="1"/>
  <c r="V1290" i="1"/>
  <c r="U1290" i="1"/>
  <c r="R1290" i="1"/>
  <c r="P1290" i="1"/>
  <c r="T1290" i="1" s="1"/>
  <c r="N1290" i="1"/>
  <c r="L1290" i="1"/>
  <c r="J1290" i="1"/>
  <c r="H1290" i="1"/>
  <c r="G1290" i="1"/>
  <c r="E1290" i="1"/>
  <c r="B1290" i="1"/>
  <c r="W1290" i="1" s="1"/>
  <c r="R1289" i="1"/>
  <c r="P1289" i="1"/>
  <c r="T1289" i="1" s="1"/>
  <c r="N1289" i="1"/>
  <c r="Y1289" i="1" s="1"/>
  <c r="L1289" i="1"/>
  <c r="J1289" i="1"/>
  <c r="H1289" i="1"/>
  <c r="G1289" i="1"/>
  <c r="E1289" i="1"/>
  <c r="B1289" i="1"/>
  <c r="W1289" i="1" s="1"/>
  <c r="Y1288" i="1"/>
  <c r="W1288" i="1"/>
  <c r="V1288" i="1"/>
  <c r="T1288" i="1"/>
  <c r="X1288" i="1" s="1" a="1"/>
  <c r="X1288" i="1" s="1"/>
  <c r="R1288" i="1"/>
  <c r="P1288" i="1"/>
  <c r="N1288" i="1"/>
  <c r="L1288" i="1"/>
  <c r="J1288" i="1"/>
  <c r="H1288" i="1"/>
  <c r="G1288" i="1"/>
  <c r="E1288" i="1"/>
  <c r="B1288" i="1"/>
  <c r="U1288" i="1" s="1"/>
  <c r="U1287" i="1"/>
  <c r="R1287" i="1"/>
  <c r="T1287" i="1" s="1"/>
  <c r="P1287" i="1"/>
  <c r="N1287" i="1"/>
  <c r="Y1287" i="1" s="1"/>
  <c r="L1287" i="1"/>
  <c r="J1287" i="1"/>
  <c r="H1287" i="1"/>
  <c r="G1287" i="1"/>
  <c r="E1287" i="1"/>
  <c r="B1287" i="1"/>
  <c r="W1287" i="1" s="1"/>
  <c r="Y1286" i="1"/>
  <c r="V1286" i="1"/>
  <c r="U1286" i="1"/>
  <c r="T1286" i="1"/>
  <c r="X1286" i="1" s="1" a="1"/>
  <c r="X1286" i="1" s="1"/>
  <c r="R1286" i="1"/>
  <c r="P1286" i="1"/>
  <c r="N1286" i="1"/>
  <c r="L1286" i="1"/>
  <c r="J1286" i="1"/>
  <c r="H1286" i="1"/>
  <c r="G1286" i="1"/>
  <c r="E1286" i="1"/>
  <c r="B1286" i="1"/>
  <c r="W1286" i="1" s="1"/>
  <c r="W1285" i="1"/>
  <c r="U1285" i="1"/>
  <c r="R1285" i="1"/>
  <c r="P1285" i="1"/>
  <c r="T1285" i="1" s="1"/>
  <c r="N1285" i="1"/>
  <c r="Y1285" i="1" s="1"/>
  <c r="L1285" i="1"/>
  <c r="J1285" i="1"/>
  <c r="H1285" i="1"/>
  <c r="G1285" i="1"/>
  <c r="E1285" i="1"/>
  <c r="B1285" i="1"/>
  <c r="V1285" i="1" s="1"/>
  <c r="Y1284" i="1"/>
  <c r="X1284" i="1" a="1"/>
  <c r="X1284" i="1" s="1"/>
  <c r="V1284" i="1"/>
  <c r="T1284" i="1"/>
  <c r="Z1284" i="1" s="1"/>
  <c r="R1284" i="1"/>
  <c r="P1284" i="1"/>
  <c r="N1284" i="1"/>
  <c r="L1284" i="1"/>
  <c r="J1284" i="1"/>
  <c r="H1284" i="1"/>
  <c r="G1284" i="1"/>
  <c r="E1284" i="1"/>
  <c r="B1284" i="1"/>
  <c r="W1284" i="1" s="1"/>
  <c r="W1283" i="1"/>
  <c r="U1283" i="1"/>
  <c r="R1283" i="1"/>
  <c r="T1283" i="1" s="1"/>
  <c r="P1283" i="1"/>
  <c r="N1283" i="1"/>
  <c r="Y1283" i="1" s="1"/>
  <c r="L1283" i="1"/>
  <c r="J1283" i="1"/>
  <c r="H1283" i="1"/>
  <c r="G1283" i="1"/>
  <c r="E1283" i="1"/>
  <c r="B1283" i="1"/>
  <c r="V1283" i="1" s="1"/>
  <c r="Y1282" i="1"/>
  <c r="V1282" i="1"/>
  <c r="U1282" i="1"/>
  <c r="R1282" i="1"/>
  <c r="P1282" i="1"/>
  <c r="T1282" i="1" s="1"/>
  <c r="N1282" i="1"/>
  <c r="L1282" i="1"/>
  <c r="J1282" i="1"/>
  <c r="H1282" i="1"/>
  <c r="G1282" i="1"/>
  <c r="E1282" i="1"/>
  <c r="B1282" i="1"/>
  <c r="W1282" i="1" s="1"/>
  <c r="R1281" i="1"/>
  <c r="P1281" i="1"/>
  <c r="T1281" i="1" s="1"/>
  <c r="N1281" i="1"/>
  <c r="Y1281" i="1" s="1"/>
  <c r="L1281" i="1"/>
  <c r="J1281" i="1"/>
  <c r="H1281" i="1"/>
  <c r="G1281" i="1"/>
  <c r="E1281" i="1"/>
  <c r="B1281" i="1"/>
  <c r="W1281" i="1" s="1"/>
  <c r="Y1280" i="1"/>
  <c r="W1280" i="1"/>
  <c r="V1280" i="1"/>
  <c r="T1280" i="1"/>
  <c r="X1280" i="1" s="1" a="1"/>
  <c r="X1280" i="1" s="1"/>
  <c r="R1280" i="1"/>
  <c r="P1280" i="1"/>
  <c r="N1280" i="1"/>
  <c r="L1280" i="1"/>
  <c r="J1280" i="1"/>
  <c r="H1280" i="1"/>
  <c r="G1280" i="1"/>
  <c r="E1280" i="1"/>
  <c r="B1280" i="1"/>
  <c r="U1280" i="1" s="1"/>
  <c r="U1279" i="1"/>
  <c r="R1279" i="1"/>
  <c r="T1279" i="1" s="1"/>
  <c r="P1279" i="1"/>
  <c r="N1279" i="1"/>
  <c r="Y1279" i="1" s="1"/>
  <c r="L1279" i="1"/>
  <c r="J1279" i="1"/>
  <c r="H1279" i="1"/>
  <c r="G1279" i="1"/>
  <c r="E1279" i="1"/>
  <c r="B1279" i="1"/>
  <c r="W1279" i="1" s="1"/>
  <c r="Y1278" i="1"/>
  <c r="V1278" i="1"/>
  <c r="U1278" i="1"/>
  <c r="T1278" i="1"/>
  <c r="X1278" i="1" s="1" a="1"/>
  <c r="X1278" i="1" s="1"/>
  <c r="R1278" i="1"/>
  <c r="P1278" i="1"/>
  <c r="N1278" i="1"/>
  <c r="L1278" i="1"/>
  <c r="J1278" i="1"/>
  <c r="H1278" i="1"/>
  <c r="G1278" i="1"/>
  <c r="E1278" i="1"/>
  <c r="B1278" i="1"/>
  <c r="W1278" i="1" s="1"/>
  <c r="W1277" i="1"/>
  <c r="U1277" i="1"/>
  <c r="R1277" i="1"/>
  <c r="P1277" i="1"/>
  <c r="T1277" i="1" s="1"/>
  <c r="N1277" i="1"/>
  <c r="Y1277" i="1" s="1"/>
  <c r="L1277" i="1"/>
  <c r="J1277" i="1"/>
  <c r="H1277" i="1"/>
  <c r="G1277" i="1"/>
  <c r="E1277" i="1"/>
  <c r="B1277" i="1"/>
  <c r="V1277" i="1" s="1"/>
  <c r="Y1276" i="1"/>
  <c r="X1276" i="1" a="1"/>
  <c r="X1276" i="1" s="1"/>
  <c r="V1276" i="1"/>
  <c r="T1276" i="1"/>
  <c r="Z1276" i="1" s="1"/>
  <c r="R1276" i="1"/>
  <c r="P1276" i="1"/>
  <c r="N1276" i="1"/>
  <c r="L1276" i="1"/>
  <c r="J1276" i="1"/>
  <c r="H1276" i="1"/>
  <c r="G1276" i="1"/>
  <c r="E1276" i="1"/>
  <c r="B1276" i="1"/>
  <c r="W1276" i="1" s="1"/>
  <c r="W1275" i="1"/>
  <c r="U1275" i="1"/>
  <c r="R1275" i="1"/>
  <c r="T1275" i="1" s="1"/>
  <c r="P1275" i="1"/>
  <c r="N1275" i="1"/>
  <c r="Y1275" i="1" s="1"/>
  <c r="L1275" i="1"/>
  <c r="J1275" i="1"/>
  <c r="H1275" i="1"/>
  <c r="G1275" i="1"/>
  <c r="E1275" i="1"/>
  <c r="B1275" i="1"/>
  <c r="V1275" i="1" s="1"/>
  <c r="Y1274" i="1"/>
  <c r="V1274" i="1"/>
  <c r="U1274" i="1"/>
  <c r="R1274" i="1"/>
  <c r="P1274" i="1"/>
  <c r="T1274" i="1" s="1"/>
  <c r="N1274" i="1"/>
  <c r="L1274" i="1"/>
  <c r="J1274" i="1"/>
  <c r="H1274" i="1"/>
  <c r="G1274" i="1"/>
  <c r="E1274" i="1"/>
  <c r="B1274" i="1"/>
  <c r="W1274" i="1" s="1"/>
  <c r="R1273" i="1"/>
  <c r="P1273" i="1"/>
  <c r="N1273" i="1"/>
  <c r="Y1273" i="1" s="1"/>
  <c r="L1273" i="1"/>
  <c r="J1273" i="1"/>
  <c r="H1273" i="1"/>
  <c r="G1273" i="1"/>
  <c r="E1273" i="1"/>
  <c r="B1273" i="1"/>
  <c r="Y1272" i="1"/>
  <c r="W1272" i="1"/>
  <c r="V1272" i="1"/>
  <c r="T1272" i="1"/>
  <c r="R1272" i="1"/>
  <c r="P1272" i="1"/>
  <c r="N1272" i="1"/>
  <c r="L1272" i="1"/>
  <c r="J1272" i="1"/>
  <c r="H1272" i="1"/>
  <c r="G1272" i="1"/>
  <c r="E1272" i="1"/>
  <c r="B1272" i="1"/>
  <c r="U1272" i="1" s="1"/>
  <c r="U1271" i="1"/>
  <c r="R1271" i="1"/>
  <c r="T1271" i="1" s="1"/>
  <c r="P1271" i="1"/>
  <c r="N1271" i="1"/>
  <c r="Y1271" i="1" s="1"/>
  <c r="L1271" i="1"/>
  <c r="J1271" i="1"/>
  <c r="H1271" i="1"/>
  <c r="G1271" i="1"/>
  <c r="E1271" i="1"/>
  <c r="B1271" i="1"/>
  <c r="W1271" i="1" s="1"/>
  <c r="Y1270" i="1"/>
  <c r="V1270" i="1"/>
  <c r="U1270" i="1"/>
  <c r="T1270" i="1"/>
  <c r="X1270" i="1" s="1" a="1"/>
  <c r="X1270" i="1" s="1"/>
  <c r="R1270" i="1"/>
  <c r="P1270" i="1"/>
  <c r="N1270" i="1"/>
  <c r="L1270" i="1"/>
  <c r="J1270" i="1"/>
  <c r="H1270" i="1"/>
  <c r="G1270" i="1"/>
  <c r="E1270" i="1"/>
  <c r="B1270" i="1"/>
  <c r="W1270" i="1" s="1"/>
  <c r="W1269" i="1"/>
  <c r="U1269" i="1"/>
  <c r="R1269" i="1"/>
  <c r="P1269" i="1"/>
  <c r="T1269" i="1" s="1"/>
  <c r="N1269" i="1"/>
  <c r="Y1269" i="1" s="1"/>
  <c r="L1269" i="1"/>
  <c r="J1269" i="1"/>
  <c r="H1269" i="1"/>
  <c r="G1269" i="1"/>
  <c r="E1269" i="1"/>
  <c r="B1269" i="1"/>
  <c r="V1269" i="1" s="1"/>
  <c r="Y1268" i="1"/>
  <c r="X1268" i="1" a="1"/>
  <c r="X1268" i="1" s="1"/>
  <c r="V1268" i="1"/>
  <c r="T1268" i="1"/>
  <c r="Z1268" i="1" s="1"/>
  <c r="R1268" i="1"/>
  <c r="P1268" i="1"/>
  <c r="N1268" i="1"/>
  <c r="L1268" i="1"/>
  <c r="J1268" i="1"/>
  <c r="H1268" i="1"/>
  <c r="G1268" i="1"/>
  <c r="E1268" i="1"/>
  <c r="B1268" i="1"/>
  <c r="W1268" i="1" s="1"/>
  <c r="W1267" i="1"/>
  <c r="U1267" i="1"/>
  <c r="R1267" i="1"/>
  <c r="T1267" i="1" s="1"/>
  <c r="P1267" i="1"/>
  <c r="N1267" i="1"/>
  <c r="Y1267" i="1" s="1"/>
  <c r="L1267" i="1"/>
  <c r="J1267" i="1"/>
  <c r="H1267" i="1"/>
  <c r="G1267" i="1"/>
  <c r="E1267" i="1"/>
  <c r="B1267" i="1"/>
  <c r="V1267" i="1" s="1"/>
  <c r="Y1266" i="1"/>
  <c r="V1266" i="1"/>
  <c r="U1266" i="1"/>
  <c r="R1266" i="1"/>
  <c r="P1266" i="1"/>
  <c r="T1266" i="1" s="1"/>
  <c r="N1266" i="1"/>
  <c r="L1266" i="1"/>
  <c r="J1266" i="1"/>
  <c r="H1266" i="1"/>
  <c r="G1266" i="1"/>
  <c r="E1266" i="1"/>
  <c r="B1266" i="1"/>
  <c r="W1266" i="1" s="1"/>
  <c r="R1265" i="1"/>
  <c r="P1265" i="1"/>
  <c r="N1265" i="1"/>
  <c r="Y1265" i="1" s="1"/>
  <c r="L1265" i="1"/>
  <c r="J1265" i="1"/>
  <c r="H1265" i="1"/>
  <c r="G1265" i="1"/>
  <c r="E1265" i="1"/>
  <c r="B1265" i="1"/>
  <c r="Y1264" i="1"/>
  <c r="W1264" i="1"/>
  <c r="V1264" i="1"/>
  <c r="T1264" i="1"/>
  <c r="R1264" i="1"/>
  <c r="P1264" i="1"/>
  <c r="N1264" i="1"/>
  <c r="L1264" i="1"/>
  <c r="J1264" i="1"/>
  <c r="H1264" i="1"/>
  <c r="G1264" i="1"/>
  <c r="E1264" i="1"/>
  <c r="B1264" i="1"/>
  <c r="U1264" i="1" s="1"/>
  <c r="R1263" i="1"/>
  <c r="T1263" i="1" s="1"/>
  <c r="X1263" i="1" s="1" a="1"/>
  <c r="X1263" i="1" s="1"/>
  <c r="P1263" i="1"/>
  <c r="N1263" i="1"/>
  <c r="Y1263" i="1" s="1"/>
  <c r="L1263" i="1"/>
  <c r="J1263" i="1"/>
  <c r="H1263" i="1"/>
  <c r="G1263" i="1"/>
  <c r="E1263" i="1"/>
  <c r="B1263" i="1"/>
  <c r="Y1262" i="1"/>
  <c r="V1262" i="1"/>
  <c r="U1262" i="1"/>
  <c r="T1262" i="1"/>
  <c r="R1262" i="1"/>
  <c r="P1262" i="1"/>
  <c r="N1262" i="1"/>
  <c r="L1262" i="1"/>
  <c r="J1262" i="1"/>
  <c r="H1262" i="1"/>
  <c r="G1262" i="1"/>
  <c r="E1262" i="1"/>
  <c r="B1262" i="1"/>
  <c r="W1262" i="1" s="1"/>
  <c r="W1261" i="1"/>
  <c r="U1261" i="1"/>
  <c r="R1261" i="1"/>
  <c r="P1261" i="1"/>
  <c r="T1261" i="1" s="1"/>
  <c r="N1261" i="1"/>
  <c r="Y1261" i="1" s="1"/>
  <c r="L1261" i="1"/>
  <c r="J1261" i="1"/>
  <c r="H1261" i="1"/>
  <c r="G1261" i="1"/>
  <c r="E1261" i="1"/>
  <c r="B1261" i="1"/>
  <c r="V1261" i="1" s="1"/>
  <c r="Y1260" i="1"/>
  <c r="V1260" i="1"/>
  <c r="T1260" i="1"/>
  <c r="Z1260" i="1" s="1"/>
  <c r="R1260" i="1"/>
  <c r="P1260" i="1"/>
  <c r="N1260" i="1"/>
  <c r="L1260" i="1"/>
  <c r="J1260" i="1"/>
  <c r="H1260" i="1"/>
  <c r="G1260" i="1"/>
  <c r="E1260" i="1"/>
  <c r="B1260" i="1"/>
  <c r="W1260" i="1" s="1"/>
  <c r="W1259" i="1"/>
  <c r="U1259" i="1"/>
  <c r="R1259" i="1"/>
  <c r="T1259" i="1" s="1"/>
  <c r="P1259" i="1"/>
  <c r="N1259" i="1"/>
  <c r="Y1259" i="1" s="1"/>
  <c r="L1259" i="1"/>
  <c r="J1259" i="1"/>
  <c r="H1259" i="1"/>
  <c r="G1259" i="1"/>
  <c r="E1259" i="1"/>
  <c r="B1259" i="1"/>
  <c r="V1259" i="1" s="1"/>
  <c r="Y1258" i="1"/>
  <c r="X1258" i="1" a="1"/>
  <c r="X1258" i="1" s="1"/>
  <c r="V1258" i="1"/>
  <c r="U1258" i="1"/>
  <c r="R1258" i="1"/>
  <c r="P1258" i="1"/>
  <c r="T1258" i="1" s="1"/>
  <c r="Z1258" i="1" s="1"/>
  <c r="N1258" i="1"/>
  <c r="L1258" i="1"/>
  <c r="J1258" i="1"/>
  <c r="H1258" i="1"/>
  <c r="G1258" i="1"/>
  <c r="E1258" i="1"/>
  <c r="B1258" i="1"/>
  <c r="W1258" i="1" s="1"/>
  <c r="X1257" i="1"/>
  <c r="W1257" i="1"/>
  <c r="R1257" i="1"/>
  <c r="P1257" i="1"/>
  <c r="T1257" i="1" s="1"/>
  <c r="X1257" i="1" s="1" a="1"/>
  <c r="N1257" i="1"/>
  <c r="Y1257" i="1" s="1"/>
  <c r="L1257" i="1"/>
  <c r="J1257" i="1"/>
  <c r="H1257" i="1"/>
  <c r="G1257" i="1"/>
  <c r="E1257" i="1"/>
  <c r="B1257" i="1"/>
  <c r="Y1256" i="1"/>
  <c r="W1256" i="1"/>
  <c r="V1256" i="1"/>
  <c r="R1256" i="1"/>
  <c r="P1256" i="1"/>
  <c r="T1256" i="1" s="1"/>
  <c r="N1256" i="1"/>
  <c r="L1256" i="1"/>
  <c r="J1256" i="1"/>
  <c r="H1256" i="1"/>
  <c r="G1256" i="1"/>
  <c r="E1256" i="1"/>
  <c r="B1256" i="1"/>
  <c r="U1256" i="1" s="1"/>
  <c r="R1255" i="1"/>
  <c r="T1255" i="1" s="1"/>
  <c r="X1255" i="1" s="1" a="1"/>
  <c r="X1255" i="1" s="1"/>
  <c r="P1255" i="1"/>
  <c r="N1255" i="1"/>
  <c r="Y1255" i="1" s="1"/>
  <c r="L1255" i="1"/>
  <c r="J1255" i="1"/>
  <c r="H1255" i="1"/>
  <c r="G1255" i="1"/>
  <c r="E1255" i="1"/>
  <c r="B1255" i="1"/>
  <c r="Y1254" i="1"/>
  <c r="V1254" i="1"/>
  <c r="U1254" i="1"/>
  <c r="T1254" i="1"/>
  <c r="R1254" i="1"/>
  <c r="P1254" i="1"/>
  <c r="N1254" i="1"/>
  <c r="L1254" i="1"/>
  <c r="J1254" i="1"/>
  <c r="H1254" i="1"/>
  <c r="G1254" i="1"/>
  <c r="E1254" i="1"/>
  <c r="B1254" i="1"/>
  <c r="W1254" i="1" s="1"/>
  <c r="X1253" i="1"/>
  <c r="W1253" i="1"/>
  <c r="U1253" i="1"/>
  <c r="R1253" i="1"/>
  <c r="P1253" i="1"/>
  <c r="T1253" i="1" s="1"/>
  <c r="X1253" i="1" s="1" a="1"/>
  <c r="N1253" i="1"/>
  <c r="Y1253" i="1" s="1"/>
  <c r="L1253" i="1"/>
  <c r="J1253" i="1"/>
  <c r="H1253" i="1"/>
  <c r="G1253" i="1"/>
  <c r="E1253" i="1"/>
  <c r="B1253" i="1"/>
  <c r="V1253" i="1" s="1"/>
  <c r="Y1252" i="1"/>
  <c r="V1252" i="1"/>
  <c r="R1252" i="1"/>
  <c r="P1252" i="1"/>
  <c r="T1252" i="1" s="1"/>
  <c r="N1252" i="1"/>
  <c r="L1252" i="1"/>
  <c r="J1252" i="1"/>
  <c r="H1252" i="1"/>
  <c r="G1252" i="1"/>
  <c r="E1252" i="1"/>
  <c r="B1252" i="1"/>
  <c r="W1252" i="1" s="1"/>
  <c r="R1251" i="1"/>
  <c r="T1251" i="1" s="1"/>
  <c r="X1251" i="1" s="1" a="1"/>
  <c r="X1251" i="1" s="1"/>
  <c r="P1251" i="1"/>
  <c r="N1251" i="1"/>
  <c r="Y1251" i="1" s="1"/>
  <c r="L1251" i="1"/>
  <c r="J1251" i="1"/>
  <c r="H1251" i="1"/>
  <c r="G1251" i="1"/>
  <c r="E1251" i="1"/>
  <c r="B1251" i="1"/>
  <c r="V1251" i="1" s="1"/>
  <c r="Y1250" i="1"/>
  <c r="V1250" i="1"/>
  <c r="U1250" i="1"/>
  <c r="R1250" i="1"/>
  <c r="P1250" i="1"/>
  <c r="T1250" i="1" s="1"/>
  <c r="N1250" i="1"/>
  <c r="L1250" i="1"/>
  <c r="J1250" i="1"/>
  <c r="H1250" i="1"/>
  <c r="G1250" i="1"/>
  <c r="E1250" i="1"/>
  <c r="B1250" i="1"/>
  <c r="W1250" i="1" s="1"/>
  <c r="X1249" i="1"/>
  <c r="R1249" i="1"/>
  <c r="P1249" i="1"/>
  <c r="T1249" i="1" s="1"/>
  <c r="X1249" i="1" s="1" a="1"/>
  <c r="N1249" i="1"/>
  <c r="Y1249" i="1" s="1"/>
  <c r="L1249" i="1"/>
  <c r="J1249" i="1"/>
  <c r="H1249" i="1"/>
  <c r="G1249" i="1"/>
  <c r="E1249" i="1"/>
  <c r="B1249" i="1"/>
  <c r="V1249" i="1" s="1"/>
  <c r="Y1248" i="1"/>
  <c r="W1248" i="1"/>
  <c r="V1248" i="1"/>
  <c r="T1248" i="1"/>
  <c r="Z1248" i="1" s="1"/>
  <c r="R1248" i="1"/>
  <c r="P1248" i="1"/>
  <c r="N1248" i="1"/>
  <c r="L1248" i="1"/>
  <c r="J1248" i="1"/>
  <c r="H1248" i="1"/>
  <c r="G1248" i="1"/>
  <c r="E1248" i="1"/>
  <c r="B1248" i="1"/>
  <c r="U1248" i="1" s="1"/>
  <c r="Z1247" i="1"/>
  <c r="X1247" i="1"/>
  <c r="W1247" i="1"/>
  <c r="U1247" i="1"/>
  <c r="R1247" i="1"/>
  <c r="T1247" i="1" s="1"/>
  <c r="X1247" i="1" s="1" a="1"/>
  <c r="P1247" i="1"/>
  <c r="N1247" i="1"/>
  <c r="Y1247" i="1" s="1"/>
  <c r="L1247" i="1"/>
  <c r="J1247" i="1"/>
  <c r="H1247" i="1"/>
  <c r="G1247" i="1"/>
  <c r="E1247" i="1"/>
  <c r="B1247" i="1"/>
  <c r="V1247" i="1" s="1"/>
  <c r="Y1246" i="1"/>
  <c r="X1246" i="1" a="1"/>
  <c r="X1246" i="1" s="1"/>
  <c r="V1246" i="1"/>
  <c r="U1246" i="1"/>
  <c r="T1246" i="1"/>
  <c r="Z1246" i="1" s="1"/>
  <c r="R1246" i="1"/>
  <c r="P1246" i="1"/>
  <c r="N1246" i="1"/>
  <c r="L1246" i="1"/>
  <c r="J1246" i="1"/>
  <c r="H1246" i="1"/>
  <c r="G1246" i="1"/>
  <c r="E1246" i="1"/>
  <c r="B1246" i="1"/>
  <c r="W1246" i="1" s="1"/>
  <c r="U1245" i="1"/>
  <c r="R1245" i="1"/>
  <c r="P1245" i="1"/>
  <c r="N1245" i="1"/>
  <c r="Y1245" i="1" s="1"/>
  <c r="L1245" i="1"/>
  <c r="J1245" i="1"/>
  <c r="H1245" i="1"/>
  <c r="G1245" i="1"/>
  <c r="E1245" i="1"/>
  <c r="B1245" i="1"/>
  <c r="V1245" i="1" s="1"/>
  <c r="Y1244" i="1"/>
  <c r="V1244" i="1"/>
  <c r="R1244" i="1"/>
  <c r="P1244" i="1"/>
  <c r="T1244" i="1" s="1"/>
  <c r="N1244" i="1"/>
  <c r="L1244" i="1"/>
  <c r="J1244" i="1"/>
  <c r="H1244" i="1"/>
  <c r="G1244" i="1"/>
  <c r="E1244" i="1"/>
  <c r="B1244" i="1"/>
  <c r="W1244" i="1" s="1"/>
  <c r="R1243" i="1"/>
  <c r="T1243" i="1" s="1"/>
  <c r="P1243" i="1"/>
  <c r="N1243" i="1"/>
  <c r="Y1243" i="1" s="1"/>
  <c r="L1243" i="1"/>
  <c r="J1243" i="1"/>
  <c r="H1243" i="1"/>
  <c r="G1243" i="1"/>
  <c r="E1243" i="1"/>
  <c r="B1243" i="1"/>
  <c r="V1243" i="1" s="1"/>
  <c r="Y1242" i="1"/>
  <c r="V1242" i="1"/>
  <c r="U1242" i="1"/>
  <c r="R1242" i="1"/>
  <c r="P1242" i="1"/>
  <c r="T1242" i="1" s="1"/>
  <c r="N1242" i="1"/>
  <c r="L1242" i="1"/>
  <c r="J1242" i="1"/>
  <c r="H1242" i="1"/>
  <c r="G1242" i="1"/>
  <c r="E1242" i="1"/>
  <c r="B1242" i="1"/>
  <c r="W1242" i="1" s="1"/>
  <c r="R1241" i="1"/>
  <c r="P1241" i="1"/>
  <c r="N1241" i="1"/>
  <c r="Y1241" i="1" s="1"/>
  <c r="L1241" i="1"/>
  <c r="J1241" i="1"/>
  <c r="H1241" i="1"/>
  <c r="G1241" i="1"/>
  <c r="E1241" i="1"/>
  <c r="B1241" i="1"/>
  <c r="U1241" i="1" s="1"/>
  <c r="Y1240" i="1"/>
  <c r="W1240" i="1"/>
  <c r="V1240" i="1"/>
  <c r="R1240" i="1"/>
  <c r="P1240" i="1"/>
  <c r="T1240" i="1" s="1"/>
  <c r="N1240" i="1"/>
  <c r="L1240" i="1"/>
  <c r="J1240" i="1"/>
  <c r="H1240" i="1"/>
  <c r="G1240" i="1"/>
  <c r="E1240" i="1"/>
  <c r="B1240" i="1"/>
  <c r="U1240" i="1" s="1"/>
  <c r="R1239" i="1"/>
  <c r="T1239" i="1" s="1"/>
  <c r="Z1239" i="1" s="1"/>
  <c r="P1239" i="1"/>
  <c r="N1239" i="1"/>
  <c r="Y1239" i="1" s="1"/>
  <c r="L1239" i="1"/>
  <c r="J1239" i="1"/>
  <c r="H1239" i="1"/>
  <c r="G1239" i="1"/>
  <c r="E1239" i="1"/>
  <c r="B1239" i="1"/>
  <c r="V1239" i="1" s="1"/>
  <c r="V1238" i="1"/>
  <c r="U1238" i="1"/>
  <c r="R1238" i="1"/>
  <c r="P1238" i="1"/>
  <c r="T1238" i="1" s="1"/>
  <c r="N1238" i="1"/>
  <c r="Y1238" i="1" s="1"/>
  <c r="L1238" i="1"/>
  <c r="J1238" i="1"/>
  <c r="H1238" i="1"/>
  <c r="G1238" i="1"/>
  <c r="E1238" i="1"/>
  <c r="B1238" i="1"/>
  <c r="W1238" i="1" s="1"/>
  <c r="U1237" i="1"/>
  <c r="R1237" i="1"/>
  <c r="P1237" i="1"/>
  <c r="N1237" i="1"/>
  <c r="Y1237" i="1" s="1"/>
  <c r="L1237" i="1"/>
  <c r="J1237" i="1"/>
  <c r="H1237" i="1"/>
  <c r="G1237" i="1"/>
  <c r="E1237" i="1"/>
  <c r="B1237" i="1"/>
  <c r="V1237" i="1" s="1"/>
  <c r="Y1236" i="1"/>
  <c r="R1236" i="1"/>
  <c r="P1236" i="1"/>
  <c r="T1236" i="1" s="1"/>
  <c r="N1236" i="1"/>
  <c r="L1236" i="1"/>
  <c r="J1236" i="1"/>
  <c r="H1236" i="1"/>
  <c r="G1236" i="1"/>
  <c r="E1236" i="1"/>
  <c r="B1236" i="1"/>
  <c r="V1236" i="1" s="1"/>
  <c r="Z1235" i="1"/>
  <c r="U1235" i="1"/>
  <c r="T1235" i="1"/>
  <c r="X1235" i="1" s="1" a="1"/>
  <c r="X1235" i="1" s="1"/>
  <c r="R1235" i="1"/>
  <c r="P1235" i="1"/>
  <c r="N1235" i="1"/>
  <c r="Y1235" i="1" s="1"/>
  <c r="L1235" i="1"/>
  <c r="J1235" i="1"/>
  <c r="H1235" i="1"/>
  <c r="G1235" i="1"/>
  <c r="E1235" i="1"/>
  <c r="B1235" i="1"/>
  <c r="V1235" i="1" s="1"/>
  <c r="Y1234" i="1"/>
  <c r="V1234" i="1"/>
  <c r="U1234" i="1"/>
  <c r="R1234" i="1"/>
  <c r="P1234" i="1"/>
  <c r="T1234" i="1" s="1"/>
  <c r="N1234" i="1"/>
  <c r="L1234" i="1"/>
  <c r="J1234" i="1"/>
  <c r="H1234" i="1"/>
  <c r="G1234" i="1"/>
  <c r="E1234" i="1"/>
  <c r="B1234" i="1"/>
  <c r="W1234" i="1" s="1"/>
  <c r="U1233" i="1"/>
  <c r="R1233" i="1"/>
  <c r="P1233" i="1"/>
  <c r="N1233" i="1"/>
  <c r="Y1233" i="1" s="1"/>
  <c r="L1233" i="1"/>
  <c r="J1233" i="1"/>
  <c r="H1233" i="1"/>
  <c r="G1233" i="1"/>
  <c r="E1233" i="1"/>
  <c r="B1233" i="1"/>
  <c r="V1233" i="1" s="1"/>
  <c r="Y1232" i="1"/>
  <c r="W1232" i="1"/>
  <c r="V1232" i="1"/>
  <c r="R1232" i="1"/>
  <c r="P1232" i="1"/>
  <c r="T1232" i="1" s="1"/>
  <c r="N1232" i="1"/>
  <c r="L1232" i="1"/>
  <c r="J1232" i="1"/>
  <c r="H1232" i="1"/>
  <c r="G1232" i="1"/>
  <c r="E1232" i="1"/>
  <c r="B1232" i="1"/>
  <c r="U1232" i="1" s="1"/>
  <c r="Z1231" i="1"/>
  <c r="W1231" i="1"/>
  <c r="U1231" i="1"/>
  <c r="R1231" i="1"/>
  <c r="T1231" i="1" s="1"/>
  <c r="X1231" i="1" s="1" a="1"/>
  <c r="X1231" i="1" s="1"/>
  <c r="P1231" i="1"/>
  <c r="N1231" i="1"/>
  <c r="Y1231" i="1" s="1"/>
  <c r="L1231" i="1"/>
  <c r="J1231" i="1"/>
  <c r="H1231" i="1"/>
  <c r="G1231" i="1"/>
  <c r="E1231" i="1"/>
  <c r="B1231" i="1"/>
  <c r="V1231" i="1" s="1"/>
  <c r="X1230" i="1" a="1"/>
  <c r="X1230" i="1" s="1"/>
  <c r="V1230" i="1"/>
  <c r="U1230" i="1"/>
  <c r="T1230" i="1"/>
  <c r="Z1230" i="1" s="1"/>
  <c r="R1230" i="1"/>
  <c r="P1230" i="1"/>
  <c r="N1230" i="1"/>
  <c r="Y1230" i="1" s="1"/>
  <c r="L1230" i="1"/>
  <c r="J1230" i="1"/>
  <c r="H1230" i="1"/>
  <c r="G1230" i="1"/>
  <c r="E1230" i="1"/>
  <c r="B1230" i="1"/>
  <c r="W1230" i="1" s="1"/>
  <c r="W1229" i="1"/>
  <c r="R1229" i="1"/>
  <c r="P1229" i="1"/>
  <c r="T1229" i="1" s="1"/>
  <c r="X1229" i="1" s="1" a="1"/>
  <c r="X1229" i="1" s="1"/>
  <c r="N1229" i="1"/>
  <c r="Y1229" i="1" s="1"/>
  <c r="L1229" i="1"/>
  <c r="J1229" i="1"/>
  <c r="H1229" i="1"/>
  <c r="G1229" i="1"/>
  <c r="E1229" i="1"/>
  <c r="B1229" i="1"/>
  <c r="V1229" i="1" s="1"/>
  <c r="Y1228" i="1"/>
  <c r="W1228" i="1"/>
  <c r="V1228" i="1"/>
  <c r="R1228" i="1"/>
  <c r="P1228" i="1"/>
  <c r="T1228" i="1" s="1"/>
  <c r="N1228" i="1"/>
  <c r="L1228" i="1"/>
  <c r="J1228" i="1"/>
  <c r="H1228" i="1"/>
  <c r="G1228" i="1"/>
  <c r="E1228" i="1"/>
  <c r="B1228" i="1"/>
  <c r="U1228" i="1" s="1"/>
  <c r="T1227" i="1"/>
  <c r="Z1227" i="1" s="1"/>
  <c r="R1227" i="1"/>
  <c r="P1227" i="1"/>
  <c r="N1227" i="1"/>
  <c r="Y1227" i="1" s="1"/>
  <c r="L1227" i="1"/>
  <c r="J1227" i="1"/>
  <c r="H1227" i="1"/>
  <c r="G1227" i="1"/>
  <c r="E1227" i="1"/>
  <c r="B1227" i="1"/>
  <c r="V1227" i="1" s="1"/>
  <c r="V1226" i="1"/>
  <c r="U1226" i="1"/>
  <c r="R1226" i="1"/>
  <c r="P1226" i="1"/>
  <c r="T1226" i="1" s="1"/>
  <c r="N1226" i="1"/>
  <c r="Y1226" i="1" s="1"/>
  <c r="L1226" i="1"/>
  <c r="J1226" i="1"/>
  <c r="H1226" i="1"/>
  <c r="G1226" i="1"/>
  <c r="E1226" i="1"/>
  <c r="B1226" i="1"/>
  <c r="W1226" i="1" s="1"/>
  <c r="W1225" i="1"/>
  <c r="V1225" i="1"/>
  <c r="R1225" i="1"/>
  <c r="P1225" i="1"/>
  <c r="T1225" i="1" s="1"/>
  <c r="X1225" i="1" s="1" a="1"/>
  <c r="X1225" i="1" s="1"/>
  <c r="N1225" i="1"/>
  <c r="Y1225" i="1" s="1"/>
  <c r="L1225" i="1"/>
  <c r="J1225" i="1"/>
  <c r="H1225" i="1"/>
  <c r="G1225" i="1"/>
  <c r="E1225" i="1"/>
  <c r="B1225" i="1"/>
  <c r="U1225" i="1" s="1"/>
  <c r="Z1224" i="1"/>
  <c r="Y1224" i="1"/>
  <c r="W1224" i="1"/>
  <c r="V1224" i="1"/>
  <c r="T1224" i="1"/>
  <c r="X1224" i="1" s="1" a="1"/>
  <c r="X1224" i="1" s="1"/>
  <c r="R1224" i="1"/>
  <c r="P1224" i="1"/>
  <c r="N1224" i="1"/>
  <c r="L1224" i="1"/>
  <c r="J1224" i="1"/>
  <c r="H1224" i="1"/>
  <c r="G1224" i="1"/>
  <c r="E1224" i="1"/>
  <c r="B1224" i="1"/>
  <c r="U1224" i="1" s="1"/>
  <c r="U1223" i="1"/>
  <c r="T1223" i="1"/>
  <c r="Z1223" i="1" s="1"/>
  <c r="R1223" i="1"/>
  <c r="P1223" i="1"/>
  <c r="N1223" i="1"/>
  <c r="Y1223" i="1" s="1"/>
  <c r="L1223" i="1"/>
  <c r="J1223" i="1"/>
  <c r="H1223" i="1"/>
  <c r="G1223" i="1"/>
  <c r="E1223" i="1"/>
  <c r="B1223" i="1"/>
  <c r="V1223" i="1" s="1"/>
  <c r="X1222" i="1" a="1"/>
  <c r="X1222" i="1" s="1"/>
  <c r="V1222" i="1"/>
  <c r="U1222" i="1"/>
  <c r="T1222" i="1"/>
  <c r="Z1222" i="1" s="1"/>
  <c r="R1222" i="1"/>
  <c r="P1222" i="1"/>
  <c r="N1222" i="1"/>
  <c r="Y1222" i="1" s="1"/>
  <c r="L1222" i="1"/>
  <c r="J1222" i="1"/>
  <c r="H1222" i="1"/>
  <c r="G1222" i="1"/>
  <c r="E1222" i="1"/>
  <c r="B1222" i="1"/>
  <c r="W1222" i="1" s="1"/>
  <c r="W1221" i="1"/>
  <c r="R1221" i="1"/>
  <c r="P1221" i="1"/>
  <c r="T1221" i="1" s="1"/>
  <c r="X1221" i="1" s="1" a="1"/>
  <c r="X1221" i="1" s="1"/>
  <c r="N1221" i="1"/>
  <c r="Y1221" i="1" s="1"/>
  <c r="L1221" i="1"/>
  <c r="J1221" i="1"/>
  <c r="H1221" i="1"/>
  <c r="G1221" i="1"/>
  <c r="E1221" i="1"/>
  <c r="B1221" i="1"/>
  <c r="V1221" i="1" s="1"/>
  <c r="Y1220" i="1"/>
  <c r="W1220" i="1"/>
  <c r="V1220" i="1"/>
  <c r="R1220" i="1"/>
  <c r="P1220" i="1"/>
  <c r="T1220" i="1" s="1"/>
  <c r="N1220" i="1"/>
  <c r="L1220" i="1"/>
  <c r="J1220" i="1"/>
  <c r="H1220" i="1"/>
  <c r="G1220" i="1"/>
  <c r="E1220" i="1"/>
  <c r="B1220" i="1"/>
  <c r="U1220" i="1" s="1"/>
  <c r="T1219" i="1"/>
  <c r="Z1219" i="1" s="1"/>
  <c r="R1219" i="1"/>
  <c r="P1219" i="1"/>
  <c r="N1219" i="1"/>
  <c r="Y1219" i="1" s="1"/>
  <c r="L1219" i="1"/>
  <c r="J1219" i="1"/>
  <c r="H1219" i="1"/>
  <c r="G1219" i="1"/>
  <c r="E1219" i="1"/>
  <c r="B1219" i="1"/>
  <c r="V1219" i="1" s="1"/>
  <c r="V1218" i="1"/>
  <c r="U1218" i="1"/>
  <c r="R1218" i="1"/>
  <c r="P1218" i="1"/>
  <c r="T1218" i="1" s="1"/>
  <c r="N1218" i="1"/>
  <c r="Y1218" i="1" s="1"/>
  <c r="L1218" i="1"/>
  <c r="J1218" i="1"/>
  <c r="H1218" i="1"/>
  <c r="G1218" i="1"/>
  <c r="E1218" i="1"/>
  <c r="B1218" i="1"/>
  <c r="W1218" i="1" s="1"/>
  <c r="W1217" i="1"/>
  <c r="V1217" i="1"/>
  <c r="R1217" i="1"/>
  <c r="P1217" i="1"/>
  <c r="T1217" i="1" s="1"/>
  <c r="X1217" i="1" s="1" a="1"/>
  <c r="X1217" i="1" s="1"/>
  <c r="N1217" i="1"/>
  <c r="Y1217" i="1" s="1"/>
  <c r="L1217" i="1"/>
  <c r="J1217" i="1"/>
  <c r="H1217" i="1"/>
  <c r="G1217" i="1"/>
  <c r="E1217" i="1"/>
  <c r="B1217" i="1"/>
  <c r="U1217" i="1" s="1"/>
  <c r="Z1216" i="1"/>
  <c r="Y1216" i="1"/>
  <c r="W1216" i="1"/>
  <c r="V1216" i="1"/>
  <c r="T1216" i="1"/>
  <c r="X1216" i="1" s="1" a="1"/>
  <c r="X1216" i="1" s="1"/>
  <c r="R1216" i="1"/>
  <c r="P1216" i="1"/>
  <c r="N1216" i="1"/>
  <c r="L1216" i="1"/>
  <c r="J1216" i="1"/>
  <c r="H1216" i="1"/>
  <c r="G1216" i="1"/>
  <c r="E1216" i="1"/>
  <c r="B1216" i="1"/>
  <c r="U1216" i="1" s="1"/>
  <c r="T1215" i="1"/>
  <c r="Z1215" i="1" s="1"/>
  <c r="R1215" i="1"/>
  <c r="P1215" i="1"/>
  <c r="N1215" i="1"/>
  <c r="Y1215" i="1" s="1"/>
  <c r="L1215" i="1"/>
  <c r="J1215" i="1"/>
  <c r="H1215" i="1"/>
  <c r="G1215" i="1"/>
  <c r="E1215" i="1"/>
  <c r="B1215" i="1"/>
  <c r="V1215" i="1" s="1"/>
  <c r="V1214" i="1"/>
  <c r="U1214" i="1"/>
  <c r="R1214" i="1"/>
  <c r="P1214" i="1"/>
  <c r="T1214" i="1" s="1"/>
  <c r="N1214" i="1"/>
  <c r="Y1214" i="1" s="1"/>
  <c r="L1214" i="1"/>
  <c r="J1214" i="1"/>
  <c r="H1214" i="1"/>
  <c r="G1214" i="1"/>
  <c r="E1214" i="1"/>
  <c r="B1214" i="1"/>
  <c r="W1214" i="1" s="1"/>
  <c r="W1213" i="1"/>
  <c r="R1213" i="1"/>
  <c r="P1213" i="1"/>
  <c r="T1213" i="1" s="1"/>
  <c r="X1213" i="1" s="1" a="1"/>
  <c r="X1213" i="1" s="1"/>
  <c r="N1213" i="1"/>
  <c r="Y1213" i="1" s="1"/>
  <c r="L1213" i="1"/>
  <c r="J1213" i="1"/>
  <c r="H1213" i="1"/>
  <c r="G1213" i="1"/>
  <c r="E1213" i="1"/>
  <c r="B1213" i="1"/>
  <c r="V1213" i="1" s="1"/>
  <c r="Y1212" i="1"/>
  <c r="W1212" i="1"/>
  <c r="V1212" i="1"/>
  <c r="R1212" i="1"/>
  <c r="P1212" i="1"/>
  <c r="T1212" i="1" s="1"/>
  <c r="N1212" i="1"/>
  <c r="L1212" i="1"/>
  <c r="J1212" i="1"/>
  <c r="H1212" i="1"/>
  <c r="G1212" i="1"/>
  <c r="E1212" i="1"/>
  <c r="B1212" i="1"/>
  <c r="U1212" i="1" s="1"/>
  <c r="T1211" i="1"/>
  <c r="Z1211" i="1" s="1"/>
  <c r="R1211" i="1"/>
  <c r="P1211" i="1"/>
  <c r="N1211" i="1"/>
  <c r="Y1211" i="1" s="1"/>
  <c r="L1211" i="1"/>
  <c r="J1211" i="1"/>
  <c r="H1211" i="1"/>
  <c r="G1211" i="1"/>
  <c r="E1211" i="1"/>
  <c r="B1211" i="1"/>
  <c r="V1211" i="1" s="1"/>
  <c r="V1210" i="1"/>
  <c r="U1210" i="1"/>
  <c r="R1210" i="1"/>
  <c r="P1210" i="1"/>
  <c r="T1210" i="1" s="1"/>
  <c r="N1210" i="1"/>
  <c r="Y1210" i="1" s="1"/>
  <c r="L1210" i="1"/>
  <c r="J1210" i="1"/>
  <c r="H1210" i="1"/>
  <c r="G1210" i="1"/>
  <c r="E1210" i="1"/>
  <c r="B1210" i="1"/>
  <c r="W1210" i="1" s="1"/>
  <c r="W1209" i="1"/>
  <c r="V1209" i="1"/>
  <c r="R1209" i="1"/>
  <c r="P1209" i="1"/>
  <c r="T1209" i="1" s="1"/>
  <c r="X1209" i="1" s="1" a="1"/>
  <c r="X1209" i="1" s="1"/>
  <c r="N1209" i="1"/>
  <c r="Y1209" i="1" s="1"/>
  <c r="L1209" i="1"/>
  <c r="J1209" i="1"/>
  <c r="H1209" i="1"/>
  <c r="G1209" i="1"/>
  <c r="E1209" i="1"/>
  <c r="B1209" i="1"/>
  <c r="U1209" i="1" s="1"/>
  <c r="Z1208" i="1"/>
  <c r="Y1208" i="1"/>
  <c r="W1208" i="1"/>
  <c r="V1208" i="1"/>
  <c r="T1208" i="1"/>
  <c r="X1208" i="1" s="1" a="1"/>
  <c r="X1208" i="1" s="1"/>
  <c r="R1208" i="1"/>
  <c r="P1208" i="1"/>
  <c r="N1208" i="1"/>
  <c r="L1208" i="1"/>
  <c r="J1208" i="1"/>
  <c r="H1208" i="1"/>
  <c r="G1208" i="1"/>
  <c r="E1208" i="1"/>
  <c r="B1208" i="1"/>
  <c r="U1208" i="1" s="1"/>
  <c r="R1207" i="1"/>
  <c r="T1207" i="1" s="1"/>
  <c r="P1207" i="1"/>
  <c r="N1207" i="1"/>
  <c r="Y1207" i="1" s="1"/>
  <c r="L1207" i="1"/>
  <c r="J1207" i="1"/>
  <c r="H1207" i="1"/>
  <c r="G1207" i="1"/>
  <c r="E1207" i="1"/>
  <c r="B1207" i="1"/>
  <c r="V1207" i="1" s="1"/>
  <c r="V1206" i="1"/>
  <c r="U1206" i="1"/>
  <c r="R1206" i="1"/>
  <c r="P1206" i="1"/>
  <c r="T1206" i="1" s="1"/>
  <c r="N1206" i="1"/>
  <c r="Y1206" i="1" s="1"/>
  <c r="L1206" i="1"/>
  <c r="J1206" i="1"/>
  <c r="H1206" i="1"/>
  <c r="G1206" i="1"/>
  <c r="E1206" i="1"/>
  <c r="B1206" i="1"/>
  <c r="W1206" i="1" s="1"/>
  <c r="Z1205" i="1"/>
  <c r="W1205" i="1"/>
  <c r="V1205" i="1"/>
  <c r="R1205" i="1"/>
  <c r="P1205" i="1"/>
  <c r="T1205" i="1" s="1"/>
  <c r="X1205" i="1" s="1" a="1"/>
  <c r="X1205" i="1" s="1"/>
  <c r="N1205" i="1"/>
  <c r="Y1205" i="1" s="1"/>
  <c r="L1205" i="1"/>
  <c r="J1205" i="1"/>
  <c r="H1205" i="1"/>
  <c r="G1205" i="1"/>
  <c r="E1205" i="1"/>
  <c r="B1205" i="1"/>
  <c r="U1205" i="1" s="1"/>
  <c r="Y1204" i="1"/>
  <c r="W1204" i="1"/>
  <c r="V1204" i="1"/>
  <c r="T1204" i="1"/>
  <c r="Z1204" i="1" s="1"/>
  <c r="R1204" i="1"/>
  <c r="P1204" i="1"/>
  <c r="N1204" i="1"/>
  <c r="L1204" i="1"/>
  <c r="J1204" i="1"/>
  <c r="H1204" i="1"/>
  <c r="G1204" i="1"/>
  <c r="E1204" i="1"/>
  <c r="B1204" i="1"/>
  <c r="U1204" i="1" s="1"/>
  <c r="T1203" i="1"/>
  <c r="Z1203" i="1" s="1"/>
  <c r="R1203" i="1"/>
  <c r="P1203" i="1"/>
  <c r="N1203" i="1"/>
  <c r="Y1203" i="1" s="1"/>
  <c r="L1203" i="1"/>
  <c r="J1203" i="1"/>
  <c r="H1203" i="1"/>
  <c r="G1203" i="1"/>
  <c r="E1203" i="1"/>
  <c r="B1203" i="1"/>
  <c r="V1203" i="1" s="1"/>
  <c r="V1202" i="1"/>
  <c r="U1202" i="1"/>
  <c r="R1202" i="1"/>
  <c r="P1202" i="1"/>
  <c r="T1202" i="1" s="1"/>
  <c r="N1202" i="1"/>
  <c r="Y1202" i="1" s="1"/>
  <c r="L1202" i="1"/>
  <c r="J1202" i="1"/>
  <c r="H1202" i="1"/>
  <c r="G1202" i="1"/>
  <c r="E1202" i="1"/>
  <c r="B1202" i="1"/>
  <c r="W1202" i="1" s="1"/>
  <c r="W1201" i="1"/>
  <c r="V1201" i="1"/>
  <c r="R1201" i="1"/>
  <c r="P1201" i="1"/>
  <c r="T1201" i="1" s="1"/>
  <c r="X1201" i="1" s="1" a="1"/>
  <c r="X1201" i="1" s="1"/>
  <c r="N1201" i="1"/>
  <c r="Y1201" i="1" s="1"/>
  <c r="L1201" i="1"/>
  <c r="J1201" i="1"/>
  <c r="H1201" i="1"/>
  <c r="G1201" i="1"/>
  <c r="E1201" i="1"/>
  <c r="B1201" i="1"/>
  <c r="U1201" i="1" s="1"/>
  <c r="Y1200" i="1"/>
  <c r="W1200" i="1"/>
  <c r="V1200" i="1"/>
  <c r="T1200" i="1"/>
  <c r="Z1200" i="1" s="1"/>
  <c r="R1200" i="1"/>
  <c r="P1200" i="1"/>
  <c r="N1200" i="1"/>
  <c r="L1200" i="1"/>
  <c r="J1200" i="1"/>
  <c r="H1200" i="1"/>
  <c r="G1200" i="1"/>
  <c r="E1200" i="1"/>
  <c r="B1200" i="1"/>
  <c r="U1200" i="1" s="1"/>
  <c r="R1199" i="1"/>
  <c r="T1199" i="1" s="1"/>
  <c r="P1199" i="1"/>
  <c r="N1199" i="1"/>
  <c r="Y1199" i="1" s="1"/>
  <c r="L1199" i="1"/>
  <c r="J1199" i="1"/>
  <c r="H1199" i="1"/>
  <c r="G1199" i="1"/>
  <c r="E1199" i="1"/>
  <c r="B1199" i="1"/>
  <c r="V1199" i="1" s="1"/>
  <c r="X1198" i="1" a="1"/>
  <c r="X1198" i="1" s="1"/>
  <c r="W1198" i="1"/>
  <c r="V1198" i="1"/>
  <c r="U1198" i="1"/>
  <c r="T1198" i="1"/>
  <c r="Z1198" i="1" s="1"/>
  <c r="R1198" i="1"/>
  <c r="P1198" i="1"/>
  <c r="N1198" i="1"/>
  <c r="Y1198" i="1" s="1"/>
  <c r="L1198" i="1"/>
  <c r="J1198" i="1"/>
  <c r="H1198" i="1"/>
  <c r="G1198" i="1"/>
  <c r="E1198" i="1"/>
  <c r="B1198" i="1"/>
  <c r="Y1197" i="1"/>
  <c r="W1197" i="1"/>
  <c r="R1197" i="1"/>
  <c r="P1197" i="1"/>
  <c r="T1197" i="1" s="1"/>
  <c r="X1197" i="1" s="1" a="1"/>
  <c r="X1197" i="1" s="1"/>
  <c r="N1197" i="1"/>
  <c r="L1197" i="1"/>
  <c r="J1197" i="1"/>
  <c r="H1197" i="1"/>
  <c r="G1197" i="1"/>
  <c r="E1197" i="1"/>
  <c r="B1197" i="1"/>
  <c r="V1197" i="1" s="1"/>
  <c r="Y1196" i="1"/>
  <c r="W1196" i="1"/>
  <c r="V1196" i="1"/>
  <c r="R1196" i="1"/>
  <c r="P1196" i="1"/>
  <c r="T1196" i="1" s="1"/>
  <c r="N1196" i="1"/>
  <c r="L1196" i="1"/>
  <c r="J1196" i="1"/>
  <c r="H1196" i="1"/>
  <c r="G1196" i="1"/>
  <c r="E1196" i="1"/>
  <c r="B1196" i="1"/>
  <c r="U1196" i="1" s="1"/>
  <c r="W1195" i="1"/>
  <c r="U1195" i="1"/>
  <c r="T1195" i="1"/>
  <c r="Z1195" i="1" s="1"/>
  <c r="R1195" i="1"/>
  <c r="P1195" i="1"/>
  <c r="N1195" i="1"/>
  <c r="Y1195" i="1" s="1"/>
  <c r="L1195" i="1"/>
  <c r="J1195" i="1"/>
  <c r="H1195" i="1"/>
  <c r="G1195" i="1"/>
  <c r="E1195" i="1"/>
  <c r="B1195" i="1"/>
  <c r="V1195" i="1" s="1"/>
  <c r="X1194" i="1" a="1"/>
  <c r="X1194" i="1" s="1"/>
  <c r="V1194" i="1"/>
  <c r="U1194" i="1"/>
  <c r="T1194" i="1"/>
  <c r="Z1194" i="1" s="1"/>
  <c r="R1194" i="1"/>
  <c r="P1194" i="1"/>
  <c r="N1194" i="1"/>
  <c r="Y1194" i="1" s="1"/>
  <c r="L1194" i="1"/>
  <c r="J1194" i="1"/>
  <c r="H1194" i="1"/>
  <c r="G1194" i="1"/>
  <c r="E1194" i="1"/>
  <c r="B1194" i="1"/>
  <c r="W1194" i="1" s="1"/>
  <c r="Y1193" i="1"/>
  <c r="W1193" i="1"/>
  <c r="R1193" i="1"/>
  <c r="P1193" i="1"/>
  <c r="N1193" i="1"/>
  <c r="L1193" i="1"/>
  <c r="J1193" i="1"/>
  <c r="H1193" i="1"/>
  <c r="G1193" i="1"/>
  <c r="E1193" i="1"/>
  <c r="B1193" i="1"/>
  <c r="U1193" i="1" s="1"/>
  <c r="Y1192" i="1"/>
  <c r="W1192" i="1"/>
  <c r="V1192" i="1"/>
  <c r="R1192" i="1"/>
  <c r="P1192" i="1"/>
  <c r="T1192" i="1" s="1"/>
  <c r="N1192" i="1"/>
  <c r="L1192" i="1"/>
  <c r="J1192" i="1"/>
  <c r="H1192" i="1"/>
  <c r="G1192" i="1"/>
  <c r="E1192" i="1"/>
  <c r="B1192" i="1"/>
  <c r="U1192" i="1" s="1"/>
  <c r="W1191" i="1"/>
  <c r="U1191" i="1"/>
  <c r="T1191" i="1"/>
  <c r="Z1191" i="1" s="1"/>
  <c r="R1191" i="1"/>
  <c r="P1191" i="1"/>
  <c r="N1191" i="1"/>
  <c r="Y1191" i="1" s="1"/>
  <c r="L1191" i="1"/>
  <c r="J1191" i="1"/>
  <c r="H1191" i="1"/>
  <c r="G1191" i="1"/>
  <c r="E1191" i="1"/>
  <c r="B1191" i="1"/>
  <c r="V1191" i="1" s="1"/>
  <c r="W1190" i="1"/>
  <c r="V1190" i="1"/>
  <c r="U1190" i="1"/>
  <c r="T1190" i="1"/>
  <c r="Z1190" i="1" s="1"/>
  <c r="R1190" i="1"/>
  <c r="P1190" i="1"/>
  <c r="N1190" i="1"/>
  <c r="Y1190" i="1" s="1"/>
  <c r="L1190" i="1"/>
  <c r="J1190" i="1"/>
  <c r="H1190" i="1"/>
  <c r="G1190" i="1"/>
  <c r="E1190" i="1"/>
  <c r="B1190" i="1"/>
  <c r="Y1189" i="1"/>
  <c r="R1189" i="1"/>
  <c r="P1189" i="1"/>
  <c r="N1189" i="1"/>
  <c r="L1189" i="1"/>
  <c r="J1189" i="1"/>
  <c r="H1189" i="1"/>
  <c r="G1189" i="1"/>
  <c r="E1189" i="1"/>
  <c r="B1189" i="1"/>
  <c r="W1189" i="1" s="1"/>
  <c r="Y1188" i="1"/>
  <c r="R1188" i="1"/>
  <c r="P1188" i="1"/>
  <c r="T1188" i="1" s="1"/>
  <c r="N1188" i="1"/>
  <c r="L1188" i="1"/>
  <c r="J1188" i="1"/>
  <c r="H1188" i="1"/>
  <c r="G1188" i="1"/>
  <c r="E1188" i="1"/>
  <c r="B1188" i="1"/>
  <c r="U1188" i="1" s="1"/>
  <c r="W1187" i="1"/>
  <c r="U1187" i="1"/>
  <c r="R1187" i="1"/>
  <c r="T1187" i="1" s="1"/>
  <c r="P1187" i="1"/>
  <c r="N1187" i="1"/>
  <c r="Y1187" i="1" s="1"/>
  <c r="L1187" i="1"/>
  <c r="J1187" i="1"/>
  <c r="H1187" i="1"/>
  <c r="G1187" i="1"/>
  <c r="E1187" i="1"/>
  <c r="B1187" i="1"/>
  <c r="V1187" i="1" s="1"/>
  <c r="V1186" i="1"/>
  <c r="U1186" i="1"/>
  <c r="T1186" i="1"/>
  <c r="Z1186" i="1" s="1"/>
  <c r="R1186" i="1"/>
  <c r="P1186" i="1"/>
  <c r="N1186" i="1"/>
  <c r="Y1186" i="1" s="1"/>
  <c r="L1186" i="1"/>
  <c r="J1186" i="1"/>
  <c r="H1186" i="1"/>
  <c r="G1186" i="1"/>
  <c r="E1186" i="1"/>
  <c r="B1186" i="1"/>
  <c r="W1186" i="1" s="1"/>
  <c r="V1185" i="1"/>
  <c r="U1185" i="1"/>
  <c r="R1185" i="1"/>
  <c r="P1185" i="1"/>
  <c r="T1185" i="1" s="1"/>
  <c r="N1185" i="1"/>
  <c r="Y1185" i="1" s="1"/>
  <c r="L1185" i="1"/>
  <c r="J1185" i="1"/>
  <c r="H1185" i="1"/>
  <c r="G1185" i="1"/>
  <c r="E1185" i="1"/>
  <c r="B1185" i="1"/>
  <c r="W1185" i="1" s="1"/>
  <c r="Y1184" i="1"/>
  <c r="W1184" i="1"/>
  <c r="R1184" i="1"/>
  <c r="P1184" i="1"/>
  <c r="T1184" i="1" s="1"/>
  <c r="N1184" i="1"/>
  <c r="L1184" i="1"/>
  <c r="J1184" i="1"/>
  <c r="H1184" i="1"/>
  <c r="G1184" i="1"/>
  <c r="E1184" i="1"/>
  <c r="B1184" i="1"/>
  <c r="V1184" i="1" s="1"/>
  <c r="R1183" i="1"/>
  <c r="T1183" i="1" s="1"/>
  <c r="P1183" i="1"/>
  <c r="N1183" i="1"/>
  <c r="Y1183" i="1" s="1"/>
  <c r="L1183" i="1"/>
  <c r="J1183" i="1"/>
  <c r="H1183" i="1"/>
  <c r="G1183" i="1"/>
  <c r="E1183" i="1"/>
  <c r="B1183" i="1"/>
  <c r="W1183" i="1" s="1"/>
  <c r="W1182" i="1"/>
  <c r="V1182" i="1"/>
  <c r="U1182" i="1"/>
  <c r="T1182" i="1"/>
  <c r="X1182" i="1" s="1" a="1"/>
  <c r="X1182" i="1" s="1"/>
  <c r="R1182" i="1"/>
  <c r="P1182" i="1"/>
  <c r="N1182" i="1"/>
  <c r="Y1182" i="1" s="1"/>
  <c r="L1182" i="1"/>
  <c r="J1182" i="1"/>
  <c r="H1182" i="1"/>
  <c r="G1182" i="1"/>
  <c r="E1182" i="1"/>
  <c r="B1182" i="1"/>
  <c r="Y1181" i="1"/>
  <c r="W1181" i="1"/>
  <c r="V1181" i="1"/>
  <c r="U1181" i="1"/>
  <c r="R1181" i="1"/>
  <c r="P1181" i="1"/>
  <c r="T1181" i="1" s="1"/>
  <c r="N1181" i="1"/>
  <c r="L1181" i="1"/>
  <c r="J1181" i="1"/>
  <c r="H1181" i="1"/>
  <c r="G1181" i="1"/>
  <c r="E1181" i="1"/>
  <c r="B1181" i="1"/>
  <c r="Y1180" i="1"/>
  <c r="V1180" i="1"/>
  <c r="R1180" i="1"/>
  <c r="P1180" i="1"/>
  <c r="T1180" i="1" s="1"/>
  <c r="N1180" i="1"/>
  <c r="L1180" i="1"/>
  <c r="J1180" i="1"/>
  <c r="H1180" i="1"/>
  <c r="G1180" i="1"/>
  <c r="E1180" i="1"/>
  <c r="B1180" i="1"/>
  <c r="W1180" i="1" s="1"/>
  <c r="W1179" i="1"/>
  <c r="T1179" i="1"/>
  <c r="Z1179" i="1" s="1"/>
  <c r="R1179" i="1"/>
  <c r="P1179" i="1"/>
  <c r="N1179" i="1"/>
  <c r="Y1179" i="1" s="1"/>
  <c r="L1179" i="1"/>
  <c r="J1179" i="1"/>
  <c r="H1179" i="1"/>
  <c r="G1179" i="1"/>
  <c r="E1179" i="1"/>
  <c r="B1179" i="1"/>
  <c r="U1179" i="1" s="1"/>
  <c r="X1178" i="1" a="1"/>
  <c r="X1178" i="1" s="1"/>
  <c r="V1178" i="1"/>
  <c r="U1178" i="1"/>
  <c r="T1178" i="1"/>
  <c r="Z1178" i="1" s="1"/>
  <c r="R1178" i="1"/>
  <c r="P1178" i="1"/>
  <c r="N1178" i="1"/>
  <c r="Y1178" i="1" s="1"/>
  <c r="L1178" i="1"/>
  <c r="J1178" i="1"/>
  <c r="H1178" i="1"/>
  <c r="G1178" i="1"/>
  <c r="E1178" i="1"/>
  <c r="B1178" i="1"/>
  <c r="W1178" i="1" s="1"/>
  <c r="V1177" i="1"/>
  <c r="R1177" i="1"/>
  <c r="P1177" i="1"/>
  <c r="T1177" i="1" s="1"/>
  <c r="N1177" i="1"/>
  <c r="Y1177" i="1" s="1"/>
  <c r="L1177" i="1"/>
  <c r="J1177" i="1"/>
  <c r="H1177" i="1"/>
  <c r="G1177" i="1"/>
  <c r="E1177" i="1"/>
  <c r="B1177" i="1"/>
  <c r="W1177" i="1" s="1"/>
  <c r="Y1176" i="1"/>
  <c r="W1176" i="1"/>
  <c r="R1176" i="1"/>
  <c r="P1176" i="1"/>
  <c r="T1176" i="1" s="1"/>
  <c r="N1176" i="1"/>
  <c r="L1176" i="1"/>
  <c r="J1176" i="1"/>
  <c r="H1176" i="1"/>
  <c r="G1176" i="1"/>
  <c r="E1176" i="1"/>
  <c r="B1176" i="1"/>
  <c r="V1176" i="1" s="1"/>
  <c r="R1175" i="1"/>
  <c r="T1175" i="1" s="1"/>
  <c r="P1175" i="1"/>
  <c r="N1175" i="1"/>
  <c r="Y1175" i="1" s="1"/>
  <c r="L1175" i="1"/>
  <c r="J1175" i="1"/>
  <c r="H1175" i="1"/>
  <c r="G1175" i="1"/>
  <c r="E1175" i="1"/>
  <c r="B1175" i="1"/>
  <c r="W1175" i="1" s="1"/>
  <c r="W1174" i="1"/>
  <c r="V1174" i="1"/>
  <c r="U1174" i="1"/>
  <c r="T1174" i="1"/>
  <c r="X1174" i="1" s="1" a="1"/>
  <c r="X1174" i="1" s="1"/>
  <c r="R1174" i="1"/>
  <c r="P1174" i="1"/>
  <c r="N1174" i="1"/>
  <c r="Y1174" i="1" s="1"/>
  <c r="L1174" i="1"/>
  <c r="J1174" i="1"/>
  <c r="H1174" i="1"/>
  <c r="G1174" i="1"/>
  <c r="E1174" i="1"/>
  <c r="B1174" i="1"/>
  <c r="Y1173" i="1"/>
  <c r="W1173" i="1"/>
  <c r="V1173" i="1"/>
  <c r="U1173" i="1"/>
  <c r="R1173" i="1"/>
  <c r="P1173" i="1"/>
  <c r="T1173" i="1" s="1"/>
  <c r="N1173" i="1"/>
  <c r="L1173" i="1"/>
  <c r="J1173" i="1"/>
  <c r="H1173" i="1"/>
  <c r="G1173" i="1"/>
  <c r="E1173" i="1"/>
  <c r="B1173" i="1"/>
  <c r="Y1172" i="1"/>
  <c r="V1172" i="1"/>
  <c r="R1172" i="1"/>
  <c r="P1172" i="1"/>
  <c r="T1172" i="1" s="1"/>
  <c r="N1172" i="1"/>
  <c r="L1172" i="1"/>
  <c r="J1172" i="1"/>
  <c r="H1172" i="1"/>
  <c r="G1172" i="1"/>
  <c r="E1172" i="1"/>
  <c r="B1172" i="1"/>
  <c r="W1172" i="1" s="1"/>
  <c r="W1171" i="1"/>
  <c r="T1171" i="1"/>
  <c r="Z1171" i="1" s="1"/>
  <c r="R1171" i="1"/>
  <c r="P1171" i="1"/>
  <c r="N1171" i="1"/>
  <c r="Y1171" i="1" s="1"/>
  <c r="L1171" i="1"/>
  <c r="J1171" i="1"/>
  <c r="H1171" i="1"/>
  <c r="G1171" i="1"/>
  <c r="E1171" i="1"/>
  <c r="B1171" i="1"/>
  <c r="U1171" i="1" s="1"/>
  <c r="V1170" i="1"/>
  <c r="U1170" i="1"/>
  <c r="R1170" i="1"/>
  <c r="P1170" i="1"/>
  <c r="T1170" i="1" s="1"/>
  <c r="N1170" i="1"/>
  <c r="Y1170" i="1" s="1"/>
  <c r="L1170" i="1"/>
  <c r="J1170" i="1"/>
  <c r="H1170" i="1"/>
  <c r="G1170" i="1"/>
  <c r="E1170" i="1"/>
  <c r="B1170" i="1"/>
  <c r="W1170" i="1" s="1"/>
  <c r="V1169" i="1"/>
  <c r="R1169" i="1"/>
  <c r="P1169" i="1"/>
  <c r="T1169" i="1" s="1"/>
  <c r="N1169" i="1"/>
  <c r="Y1169" i="1" s="1"/>
  <c r="L1169" i="1"/>
  <c r="J1169" i="1"/>
  <c r="H1169" i="1"/>
  <c r="G1169" i="1"/>
  <c r="E1169" i="1"/>
  <c r="B1169" i="1"/>
  <c r="W1169" i="1" s="1"/>
  <c r="Y1168" i="1"/>
  <c r="W1168" i="1"/>
  <c r="R1168" i="1"/>
  <c r="P1168" i="1"/>
  <c r="T1168" i="1" s="1"/>
  <c r="N1168" i="1"/>
  <c r="L1168" i="1"/>
  <c r="J1168" i="1"/>
  <c r="H1168" i="1"/>
  <c r="G1168" i="1"/>
  <c r="E1168" i="1"/>
  <c r="B1168" i="1"/>
  <c r="V1168" i="1" s="1"/>
  <c r="R1167" i="1"/>
  <c r="T1167" i="1" s="1"/>
  <c r="P1167" i="1"/>
  <c r="N1167" i="1"/>
  <c r="Y1167" i="1" s="1"/>
  <c r="L1167" i="1"/>
  <c r="J1167" i="1"/>
  <c r="H1167" i="1"/>
  <c r="G1167" i="1"/>
  <c r="E1167" i="1"/>
  <c r="B1167" i="1"/>
  <c r="W1167" i="1" s="1"/>
  <c r="V1166" i="1"/>
  <c r="U1166" i="1"/>
  <c r="T1166" i="1"/>
  <c r="X1166" i="1" s="1" a="1"/>
  <c r="X1166" i="1" s="1"/>
  <c r="R1166" i="1"/>
  <c r="P1166" i="1"/>
  <c r="N1166" i="1"/>
  <c r="Y1166" i="1" s="1"/>
  <c r="L1166" i="1"/>
  <c r="J1166" i="1"/>
  <c r="H1166" i="1"/>
  <c r="G1166" i="1"/>
  <c r="E1166" i="1"/>
  <c r="B1166" i="1"/>
  <c r="W1166" i="1" s="1"/>
  <c r="Y1165" i="1"/>
  <c r="W1165" i="1"/>
  <c r="V1165" i="1"/>
  <c r="U1165" i="1"/>
  <c r="R1165" i="1"/>
  <c r="P1165" i="1"/>
  <c r="T1165" i="1" s="1"/>
  <c r="N1165" i="1"/>
  <c r="L1165" i="1"/>
  <c r="J1165" i="1"/>
  <c r="H1165" i="1"/>
  <c r="G1165" i="1"/>
  <c r="E1165" i="1"/>
  <c r="B1165" i="1"/>
  <c r="Y1164" i="1"/>
  <c r="V1164" i="1"/>
  <c r="R1164" i="1"/>
  <c r="P1164" i="1"/>
  <c r="T1164" i="1" s="1"/>
  <c r="N1164" i="1"/>
  <c r="L1164" i="1"/>
  <c r="J1164" i="1"/>
  <c r="H1164" i="1"/>
  <c r="G1164" i="1"/>
  <c r="E1164" i="1"/>
  <c r="B1164" i="1"/>
  <c r="W1164" i="1" s="1"/>
  <c r="W1163" i="1"/>
  <c r="T1163" i="1"/>
  <c r="Z1163" i="1" s="1"/>
  <c r="R1163" i="1"/>
  <c r="P1163" i="1"/>
  <c r="N1163" i="1"/>
  <c r="Y1163" i="1" s="1"/>
  <c r="L1163" i="1"/>
  <c r="J1163" i="1"/>
  <c r="H1163" i="1"/>
  <c r="G1163" i="1"/>
  <c r="E1163" i="1"/>
  <c r="B1163" i="1"/>
  <c r="U1163" i="1" s="1"/>
  <c r="V1162" i="1"/>
  <c r="U1162" i="1"/>
  <c r="R1162" i="1"/>
  <c r="P1162" i="1"/>
  <c r="T1162" i="1" s="1"/>
  <c r="N1162" i="1"/>
  <c r="Y1162" i="1" s="1"/>
  <c r="L1162" i="1"/>
  <c r="J1162" i="1"/>
  <c r="H1162" i="1"/>
  <c r="G1162" i="1"/>
  <c r="E1162" i="1"/>
  <c r="B1162" i="1"/>
  <c r="W1162" i="1" s="1"/>
  <c r="V1161" i="1"/>
  <c r="R1161" i="1"/>
  <c r="P1161" i="1"/>
  <c r="T1161" i="1" s="1"/>
  <c r="N1161" i="1"/>
  <c r="Y1161" i="1" s="1"/>
  <c r="L1161" i="1"/>
  <c r="J1161" i="1"/>
  <c r="H1161" i="1"/>
  <c r="G1161" i="1"/>
  <c r="E1161" i="1"/>
  <c r="B1161" i="1"/>
  <c r="W1161" i="1" s="1"/>
  <c r="Y1160" i="1"/>
  <c r="W1160" i="1"/>
  <c r="R1160" i="1"/>
  <c r="P1160" i="1"/>
  <c r="T1160" i="1" s="1"/>
  <c r="N1160" i="1"/>
  <c r="L1160" i="1"/>
  <c r="J1160" i="1"/>
  <c r="H1160" i="1"/>
  <c r="G1160" i="1"/>
  <c r="E1160" i="1"/>
  <c r="B1160" i="1"/>
  <c r="V1160" i="1" s="1"/>
  <c r="R1159" i="1"/>
  <c r="T1159" i="1" s="1"/>
  <c r="P1159" i="1"/>
  <c r="N1159" i="1"/>
  <c r="Y1159" i="1" s="1"/>
  <c r="L1159" i="1"/>
  <c r="J1159" i="1"/>
  <c r="H1159" i="1"/>
  <c r="G1159" i="1"/>
  <c r="E1159" i="1"/>
  <c r="B1159" i="1"/>
  <c r="W1159" i="1" s="1"/>
  <c r="V1158" i="1"/>
  <c r="U1158" i="1"/>
  <c r="T1158" i="1"/>
  <c r="X1158" i="1" s="1" a="1"/>
  <c r="X1158" i="1" s="1"/>
  <c r="R1158" i="1"/>
  <c r="P1158" i="1"/>
  <c r="N1158" i="1"/>
  <c r="Y1158" i="1" s="1"/>
  <c r="L1158" i="1"/>
  <c r="J1158" i="1"/>
  <c r="H1158" i="1"/>
  <c r="G1158" i="1"/>
  <c r="E1158" i="1"/>
  <c r="B1158" i="1"/>
  <c r="W1158" i="1" s="1"/>
  <c r="Y1157" i="1"/>
  <c r="W1157" i="1"/>
  <c r="V1157" i="1"/>
  <c r="U1157" i="1"/>
  <c r="R1157" i="1"/>
  <c r="P1157" i="1"/>
  <c r="T1157" i="1" s="1"/>
  <c r="N1157" i="1"/>
  <c r="L1157" i="1"/>
  <c r="J1157" i="1"/>
  <c r="H1157" i="1"/>
  <c r="G1157" i="1"/>
  <c r="E1157" i="1"/>
  <c r="B1157" i="1"/>
  <c r="Y1156" i="1"/>
  <c r="V1156" i="1"/>
  <c r="R1156" i="1"/>
  <c r="P1156" i="1"/>
  <c r="T1156" i="1" s="1"/>
  <c r="N1156" i="1"/>
  <c r="L1156" i="1"/>
  <c r="J1156" i="1"/>
  <c r="H1156" i="1"/>
  <c r="G1156" i="1"/>
  <c r="E1156" i="1"/>
  <c r="B1156" i="1"/>
  <c r="W1156" i="1" s="1"/>
  <c r="W1155" i="1"/>
  <c r="T1155" i="1"/>
  <c r="Z1155" i="1" s="1"/>
  <c r="R1155" i="1"/>
  <c r="P1155" i="1"/>
  <c r="N1155" i="1"/>
  <c r="Y1155" i="1" s="1"/>
  <c r="L1155" i="1"/>
  <c r="J1155" i="1"/>
  <c r="H1155" i="1"/>
  <c r="G1155" i="1"/>
  <c r="E1155" i="1"/>
  <c r="B1155" i="1"/>
  <c r="U1155" i="1" s="1"/>
  <c r="V1154" i="1"/>
  <c r="U1154" i="1"/>
  <c r="R1154" i="1"/>
  <c r="P1154" i="1"/>
  <c r="T1154" i="1" s="1"/>
  <c r="N1154" i="1"/>
  <c r="Y1154" i="1" s="1"/>
  <c r="L1154" i="1"/>
  <c r="J1154" i="1"/>
  <c r="H1154" i="1"/>
  <c r="G1154" i="1"/>
  <c r="E1154" i="1"/>
  <c r="B1154" i="1"/>
  <c r="W1154" i="1" s="1"/>
  <c r="V1153" i="1"/>
  <c r="R1153" i="1"/>
  <c r="P1153" i="1"/>
  <c r="T1153" i="1" s="1"/>
  <c r="N1153" i="1"/>
  <c r="Y1153" i="1" s="1"/>
  <c r="L1153" i="1"/>
  <c r="J1153" i="1"/>
  <c r="H1153" i="1"/>
  <c r="G1153" i="1"/>
  <c r="E1153" i="1"/>
  <c r="B1153" i="1"/>
  <c r="W1153" i="1" s="1"/>
  <c r="Y1152" i="1"/>
  <c r="W1152" i="1"/>
  <c r="R1152" i="1"/>
  <c r="P1152" i="1"/>
  <c r="T1152" i="1" s="1"/>
  <c r="N1152" i="1"/>
  <c r="L1152" i="1"/>
  <c r="J1152" i="1"/>
  <c r="H1152" i="1"/>
  <c r="G1152" i="1"/>
  <c r="E1152" i="1"/>
  <c r="B1152" i="1"/>
  <c r="V1152" i="1" s="1"/>
  <c r="R1151" i="1"/>
  <c r="T1151" i="1" s="1"/>
  <c r="P1151" i="1"/>
  <c r="N1151" i="1"/>
  <c r="Y1151" i="1" s="1"/>
  <c r="L1151" i="1"/>
  <c r="J1151" i="1"/>
  <c r="H1151" i="1"/>
  <c r="G1151" i="1"/>
  <c r="E1151" i="1"/>
  <c r="B1151" i="1"/>
  <c r="W1151" i="1" s="1"/>
  <c r="V1150" i="1"/>
  <c r="U1150" i="1"/>
  <c r="T1150" i="1"/>
  <c r="X1150" i="1" s="1" a="1"/>
  <c r="X1150" i="1" s="1"/>
  <c r="R1150" i="1"/>
  <c r="P1150" i="1"/>
  <c r="N1150" i="1"/>
  <c r="Y1150" i="1" s="1"/>
  <c r="L1150" i="1"/>
  <c r="J1150" i="1"/>
  <c r="H1150" i="1"/>
  <c r="G1150" i="1"/>
  <c r="E1150" i="1"/>
  <c r="B1150" i="1"/>
  <c r="W1150" i="1" s="1"/>
  <c r="Y1149" i="1"/>
  <c r="W1149" i="1"/>
  <c r="V1149" i="1"/>
  <c r="U1149" i="1"/>
  <c r="R1149" i="1"/>
  <c r="P1149" i="1"/>
  <c r="T1149" i="1" s="1"/>
  <c r="N1149" i="1"/>
  <c r="L1149" i="1"/>
  <c r="J1149" i="1"/>
  <c r="H1149" i="1"/>
  <c r="G1149" i="1"/>
  <c r="E1149" i="1"/>
  <c r="B1149" i="1"/>
  <c r="Y1148" i="1"/>
  <c r="V1148" i="1"/>
  <c r="R1148" i="1"/>
  <c r="P1148" i="1"/>
  <c r="T1148" i="1" s="1"/>
  <c r="N1148" i="1"/>
  <c r="L1148" i="1"/>
  <c r="J1148" i="1"/>
  <c r="H1148" i="1"/>
  <c r="G1148" i="1"/>
  <c r="E1148" i="1"/>
  <c r="B1148" i="1"/>
  <c r="W1148" i="1" s="1"/>
  <c r="W1147" i="1"/>
  <c r="T1147" i="1"/>
  <c r="Z1147" i="1" s="1"/>
  <c r="R1147" i="1"/>
  <c r="P1147" i="1"/>
  <c r="N1147" i="1"/>
  <c r="Y1147" i="1" s="1"/>
  <c r="L1147" i="1"/>
  <c r="J1147" i="1"/>
  <c r="H1147" i="1"/>
  <c r="G1147" i="1"/>
  <c r="E1147" i="1"/>
  <c r="B1147" i="1"/>
  <c r="U1147" i="1" s="1"/>
  <c r="V1146" i="1"/>
  <c r="U1146" i="1"/>
  <c r="R1146" i="1"/>
  <c r="P1146" i="1"/>
  <c r="T1146" i="1" s="1"/>
  <c r="N1146" i="1"/>
  <c r="Y1146" i="1" s="1"/>
  <c r="L1146" i="1"/>
  <c r="J1146" i="1"/>
  <c r="H1146" i="1"/>
  <c r="G1146" i="1"/>
  <c r="E1146" i="1"/>
  <c r="B1146" i="1"/>
  <c r="W1146" i="1" s="1"/>
  <c r="V1145" i="1"/>
  <c r="R1145" i="1"/>
  <c r="P1145" i="1"/>
  <c r="T1145" i="1" s="1"/>
  <c r="N1145" i="1"/>
  <c r="Y1145" i="1" s="1"/>
  <c r="L1145" i="1"/>
  <c r="J1145" i="1"/>
  <c r="H1145" i="1"/>
  <c r="G1145" i="1"/>
  <c r="E1145" i="1"/>
  <c r="B1145" i="1"/>
  <c r="W1145" i="1" s="1"/>
  <c r="Y1144" i="1"/>
  <c r="W1144" i="1"/>
  <c r="R1144" i="1"/>
  <c r="P1144" i="1"/>
  <c r="T1144" i="1" s="1"/>
  <c r="N1144" i="1"/>
  <c r="L1144" i="1"/>
  <c r="J1144" i="1"/>
  <c r="H1144" i="1"/>
  <c r="G1144" i="1"/>
  <c r="E1144" i="1"/>
  <c r="B1144" i="1"/>
  <c r="V1144" i="1" s="1"/>
  <c r="R1143" i="1"/>
  <c r="T1143" i="1" s="1"/>
  <c r="P1143" i="1"/>
  <c r="N1143" i="1"/>
  <c r="Y1143" i="1" s="1"/>
  <c r="L1143" i="1"/>
  <c r="J1143" i="1"/>
  <c r="H1143" i="1"/>
  <c r="G1143" i="1"/>
  <c r="E1143" i="1"/>
  <c r="B1143" i="1"/>
  <c r="W1143" i="1" s="1"/>
  <c r="V1142" i="1"/>
  <c r="U1142" i="1"/>
  <c r="T1142" i="1"/>
  <c r="X1142" i="1" s="1" a="1"/>
  <c r="X1142" i="1" s="1"/>
  <c r="R1142" i="1"/>
  <c r="P1142" i="1"/>
  <c r="N1142" i="1"/>
  <c r="Y1142" i="1" s="1"/>
  <c r="L1142" i="1"/>
  <c r="J1142" i="1"/>
  <c r="H1142" i="1"/>
  <c r="G1142" i="1"/>
  <c r="E1142" i="1"/>
  <c r="B1142" i="1"/>
  <c r="W1142" i="1" s="1"/>
  <c r="Y1141" i="1"/>
  <c r="W1141" i="1"/>
  <c r="V1141" i="1"/>
  <c r="U1141" i="1"/>
  <c r="R1141" i="1"/>
  <c r="P1141" i="1"/>
  <c r="T1141" i="1" s="1"/>
  <c r="N1141" i="1"/>
  <c r="L1141" i="1"/>
  <c r="J1141" i="1"/>
  <c r="H1141" i="1"/>
  <c r="G1141" i="1"/>
  <c r="E1141" i="1"/>
  <c r="B1141" i="1"/>
  <c r="Y1140" i="1"/>
  <c r="V1140" i="1"/>
  <c r="R1140" i="1"/>
  <c r="P1140" i="1"/>
  <c r="T1140" i="1" s="1"/>
  <c r="N1140" i="1"/>
  <c r="L1140" i="1"/>
  <c r="J1140" i="1"/>
  <c r="H1140" i="1"/>
  <c r="G1140" i="1"/>
  <c r="E1140" i="1"/>
  <c r="B1140" i="1"/>
  <c r="W1140" i="1" s="1"/>
  <c r="W1139" i="1"/>
  <c r="T1139" i="1"/>
  <c r="Z1139" i="1" s="1"/>
  <c r="R1139" i="1"/>
  <c r="P1139" i="1"/>
  <c r="N1139" i="1"/>
  <c r="Y1139" i="1" s="1"/>
  <c r="L1139" i="1"/>
  <c r="J1139" i="1"/>
  <c r="H1139" i="1"/>
  <c r="G1139" i="1"/>
  <c r="E1139" i="1"/>
  <c r="B1139" i="1"/>
  <c r="U1139" i="1" s="1"/>
  <c r="V1138" i="1"/>
  <c r="U1138" i="1"/>
  <c r="R1138" i="1"/>
  <c r="P1138" i="1"/>
  <c r="T1138" i="1" s="1"/>
  <c r="N1138" i="1"/>
  <c r="Y1138" i="1" s="1"/>
  <c r="L1138" i="1"/>
  <c r="J1138" i="1"/>
  <c r="H1138" i="1"/>
  <c r="G1138" i="1"/>
  <c r="E1138" i="1"/>
  <c r="B1138" i="1"/>
  <c r="W1138" i="1" s="1"/>
  <c r="V1137" i="1"/>
  <c r="R1137" i="1"/>
  <c r="P1137" i="1"/>
  <c r="T1137" i="1" s="1"/>
  <c r="N1137" i="1"/>
  <c r="Y1137" i="1" s="1"/>
  <c r="L1137" i="1"/>
  <c r="J1137" i="1"/>
  <c r="H1137" i="1"/>
  <c r="G1137" i="1"/>
  <c r="E1137" i="1"/>
  <c r="B1137" i="1"/>
  <c r="W1137" i="1" s="1"/>
  <c r="Y1136" i="1"/>
  <c r="W1136" i="1"/>
  <c r="R1136" i="1"/>
  <c r="P1136" i="1"/>
  <c r="T1136" i="1" s="1"/>
  <c r="N1136" i="1"/>
  <c r="L1136" i="1"/>
  <c r="J1136" i="1"/>
  <c r="H1136" i="1"/>
  <c r="G1136" i="1"/>
  <c r="E1136" i="1"/>
  <c r="B1136" i="1"/>
  <c r="V1136" i="1" s="1"/>
  <c r="R1135" i="1"/>
  <c r="T1135" i="1" s="1"/>
  <c r="P1135" i="1"/>
  <c r="N1135" i="1"/>
  <c r="Y1135" i="1" s="1"/>
  <c r="L1135" i="1"/>
  <c r="J1135" i="1"/>
  <c r="H1135" i="1"/>
  <c r="G1135" i="1"/>
  <c r="E1135" i="1"/>
  <c r="B1135" i="1"/>
  <c r="W1135" i="1" s="1"/>
  <c r="V1134" i="1"/>
  <c r="U1134" i="1"/>
  <c r="T1134" i="1"/>
  <c r="X1134" i="1" s="1" a="1"/>
  <c r="X1134" i="1" s="1"/>
  <c r="R1134" i="1"/>
  <c r="P1134" i="1"/>
  <c r="N1134" i="1"/>
  <c r="Y1134" i="1" s="1"/>
  <c r="L1134" i="1"/>
  <c r="J1134" i="1"/>
  <c r="H1134" i="1"/>
  <c r="G1134" i="1"/>
  <c r="E1134" i="1"/>
  <c r="B1134" i="1"/>
  <c r="W1134" i="1" s="1"/>
  <c r="Y1133" i="1"/>
  <c r="W1133" i="1"/>
  <c r="V1133" i="1"/>
  <c r="U1133" i="1"/>
  <c r="R1133" i="1"/>
  <c r="P1133" i="1"/>
  <c r="T1133" i="1" s="1"/>
  <c r="N1133" i="1"/>
  <c r="L1133" i="1"/>
  <c r="J1133" i="1"/>
  <c r="H1133" i="1"/>
  <c r="G1133" i="1"/>
  <c r="E1133" i="1"/>
  <c r="B1133" i="1"/>
  <c r="Y1132" i="1"/>
  <c r="V1132" i="1"/>
  <c r="R1132" i="1"/>
  <c r="P1132" i="1"/>
  <c r="T1132" i="1" s="1"/>
  <c r="N1132" i="1"/>
  <c r="L1132" i="1"/>
  <c r="J1132" i="1"/>
  <c r="H1132" i="1"/>
  <c r="G1132" i="1"/>
  <c r="E1132" i="1"/>
  <c r="B1132" i="1"/>
  <c r="W1132" i="1" s="1"/>
  <c r="W1131" i="1"/>
  <c r="T1131" i="1"/>
  <c r="Z1131" i="1" s="1"/>
  <c r="R1131" i="1"/>
  <c r="P1131" i="1"/>
  <c r="N1131" i="1"/>
  <c r="Y1131" i="1" s="1"/>
  <c r="L1131" i="1"/>
  <c r="J1131" i="1"/>
  <c r="H1131" i="1"/>
  <c r="G1131" i="1"/>
  <c r="E1131" i="1"/>
  <c r="B1131" i="1"/>
  <c r="U1131" i="1" s="1"/>
  <c r="V1130" i="1"/>
  <c r="U1130" i="1"/>
  <c r="R1130" i="1"/>
  <c r="P1130" i="1"/>
  <c r="T1130" i="1" s="1"/>
  <c r="N1130" i="1"/>
  <c r="Y1130" i="1" s="1"/>
  <c r="L1130" i="1"/>
  <c r="J1130" i="1"/>
  <c r="H1130" i="1"/>
  <c r="G1130" i="1"/>
  <c r="E1130" i="1"/>
  <c r="B1130" i="1"/>
  <c r="W1130" i="1" s="1"/>
  <c r="V1129" i="1"/>
  <c r="R1129" i="1"/>
  <c r="P1129" i="1"/>
  <c r="T1129" i="1" s="1"/>
  <c r="N1129" i="1"/>
  <c r="Y1129" i="1" s="1"/>
  <c r="L1129" i="1"/>
  <c r="J1129" i="1"/>
  <c r="H1129" i="1"/>
  <c r="G1129" i="1"/>
  <c r="E1129" i="1"/>
  <c r="B1129" i="1"/>
  <c r="W1129" i="1" s="1"/>
  <c r="Y1128" i="1"/>
  <c r="W1128" i="1"/>
  <c r="R1128" i="1"/>
  <c r="P1128" i="1"/>
  <c r="T1128" i="1" s="1"/>
  <c r="N1128" i="1"/>
  <c r="L1128" i="1"/>
  <c r="J1128" i="1"/>
  <c r="H1128" i="1"/>
  <c r="G1128" i="1"/>
  <c r="E1128" i="1"/>
  <c r="B1128" i="1"/>
  <c r="V1128" i="1" s="1"/>
  <c r="R1127" i="1"/>
  <c r="T1127" i="1" s="1"/>
  <c r="P1127" i="1"/>
  <c r="N1127" i="1"/>
  <c r="Y1127" i="1" s="1"/>
  <c r="L1127" i="1"/>
  <c r="J1127" i="1"/>
  <c r="H1127" i="1"/>
  <c r="G1127" i="1"/>
  <c r="E1127" i="1"/>
  <c r="B1127" i="1"/>
  <c r="W1127" i="1" s="1"/>
  <c r="V1126" i="1"/>
  <c r="U1126" i="1"/>
  <c r="T1126" i="1"/>
  <c r="X1126" i="1" s="1" a="1"/>
  <c r="X1126" i="1" s="1"/>
  <c r="R1126" i="1"/>
  <c r="P1126" i="1"/>
  <c r="N1126" i="1"/>
  <c r="Y1126" i="1" s="1"/>
  <c r="L1126" i="1"/>
  <c r="J1126" i="1"/>
  <c r="H1126" i="1"/>
  <c r="G1126" i="1"/>
  <c r="E1126" i="1"/>
  <c r="B1126" i="1"/>
  <c r="W1126" i="1" s="1"/>
  <c r="Y1125" i="1"/>
  <c r="W1125" i="1"/>
  <c r="V1125" i="1"/>
  <c r="U1125" i="1"/>
  <c r="R1125" i="1"/>
  <c r="P1125" i="1"/>
  <c r="T1125" i="1" s="1"/>
  <c r="N1125" i="1"/>
  <c r="L1125" i="1"/>
  <c r="J1125" i="1"/>
  <c r="H1125" i="1"/>
  <c r="G1125" i="1"/>
  <c r="E1125" i="1"/>
  <c r="B1125" i="1"/>
  <c r="Y1124" i="1"/>
  <c r="V1124" i="1"/>
  <c r="R1124" i="1"/>
  <c r="P1124" i="1"/>
  <c r="T1124" i="1" s="1"/>
  <c r="N1124" i="1"/>
  <c r="L1124" i="1"/>
  <c r="J1124" i="1"/>
  <c r="H1124" i="1"/>
  <c r="G1124" i="1"/>
  <c r="E1124" i="1"/>
  <c r="B1124" i="1"/>
  <c r="W1124" i="1" s="1"/>
  <c r="W1123" i="1"/>
  <c r="T1123" i="1"/>
  <c r="Z1123" i="1" s="1"/>
  <c r="R1123" i="1"/>
  <c r="P1123" i="1"/>
  <c r="N1123" i="1"/>
  <c r="Y1123" i="1" s="1"/>
  <c r="L1123" i="1"/>
  <c r="J1123" i="1"/>
  <c r="H1123" i="1"/>
  <c r="G1123" i="1"/>
  <c r="E1123" i="1"/>
  <c r="B1123" i="1"/>
  <c r="U1123" i="1" s="1"/>
  <c r="V1122" i="1"/>
  <c r="U1122" i="1"/>
  <c r="R1122" i="1"/>
  <c r="P1122" i="1"/>
  <c r="T1122" i="1" s="1"/>
  <c r="N1122" i="1"/>
  <c r="Y1122" i="1" s="1"/>
  <c r="L1122" i="1"/>
  <c r="J1122" i="1"/>
  <c r="H1122" i="1"/>
  <c r="G1122" i="1"/>
  <c r="E1122" i="1"/>
  <c r="B1122" i="1"/>
  <c r="W1122" i="1" s="1"/>
  <c r="V1121" i="1"/>
  <c r="R1121" i="1"/>
  <c r="P1121" i="1"/>
  <c r="T1121" i="1" s="1"/>
  <c r="N1121" i="1"/>
  <c r="Y1121" i="1" s="1"/>
  <c r="L1121" i="1"/>
  <c r="J1121" i="1"/>
  <c r="H1121" i="1"/>
  <c r="G1121" i="1"/>
  <c r="E1121" i="1"/>
  <c r="B1121" i="1"/>
  <c r="W1121" i="1" s="1"/>
  <c r="Y1120" i="1"/>
  <c r="W1120" i="1"/>
  <c r="R1120" i="1"/>
  <c r="P1120" i="1"/>
  <c r="T1120" i="1" s="1"/>
  <c r="N1120" i="1"/>
  <c r="L1120" i="1"/>
  <c r="J1120" i="1"/>
  <c r="H1120" i="1"/>
  <c r="G1120" i="1"/>
  <c r="E1120" i="1"/>
  <c r="B1120" i="1"/>
  <c r="V1120" i="1" s="1"/>
  <c r="R1119" i="1"/>
  <c r="T1119" i="1" s="1"/>
  <c r="P1119" i="1"/>
  <c r="N1119" i="1"/>
  <c r="Y1119" i="1" s="1"/>
  <c r="L1119" i="1"/>
  <c r="J1119" i="1"/>
  <c r="H1119" i="1"/>
  <c r="G1119" i="1"/>
  <c r="E1119" i="1"/>
  <c r="B1119" i="1"/>
  <c r="W1119" i="1" s="1"/>
  <c r="V1118" i="1"/>
  <c r="U1118" i="1"/>
  <c r="T1118" i="1"/>
  <c r="X1118" i="1" s="1" a="1"/>
  <c r="X1118" i="1" s="1"/>
  <c r="R1118" i="1"/>
  <c r="P1118" i="1"/>
  <c r="N1118" i="1"/>
  <c r="Y1118" i="1" s="1"/>
  <c r="L1118" i="1"/>
  <c r="J1118" i="1"/>
  <c r="H1118" i="1"/>
  <c r="G1118" i="1"/>
  <c r="E1118" i="1"/>
  <c r="B1118" i="1"/>
  <c r="W1118" i="1" s="1"/>
  <c r="Y1117" i="1"/>
  <c r="W1117" i="1"/>
  <c r="V1117" i="1"/>
  <c r="U1117" i="1"/>
  <c r="R1117" i="1"/>
  <c r="P1117" i="1"/>
  <c r="T1117" i="1" s="1"/>
  <c r="N1117" i="1"/>
  <c r="L1117" i="1"/>
  <c r="J1117" i="1"/>
  <c r="H1117" i="1"/>
  <c r="G1117" i="1"/>
  <c r="E1117" i="1"/>
  <c r="B1117" i="1"/>
  <c r="Y1116" i="1"/>
  <c r="V1116" i="1"/>
  <c r="R1116" i="1"/>
  <c r="P1116" i="1"/>
  <c r="T1116" i="1" s="1"/>
  <c r="N1116" i="1"/>
  <c r="L1116" i="1"/>
  <c r="J1116" i="1"/>
  <c r="H1116" i="1"/>
  <c r="G1116" i="1"/>
  <c r="E1116" i="1"/>
  <c r="B1116" i="1"/>
  <c r="W1116" i="1" s="1"/>
  <c r="W1115" i="1"/>
  <c r="T1115" i="1"/>
  <c r="Z1115" i="1" s="1"/>
  <c r="R1115" i="1"/>
  <c r="P1115" i="1"/>
  <c r="N1115" i="1"/>
  <c r="Y1115" i="1" s="1"/>
  <c r="L1115" i="1"/>
  <c r="J1115" i="1"/>
  <c r="H1115" i="1"/>
  <c r="G1115" i="1"/>
  <c r="E1115" i="1"/>
  <c r="B1115" i="1"/>
  <c r="U1115" i="1" s="1"/>
  <c r="V1114" i="1"/>
  <c r="U1114" i="1"/>
  <c r="R1114" i="1"/>
  <c r="P1114" i="1"/>
  <c r="T1114" i="1" s="1"/>
  <c r="N1114" i="1"/>
  <c r="Y1114" i="1" s="1"/>
  <c r="L1114" i="1"/>
  <c r="J1114" i="1"/>
  <c r="H1114" i="1"/>
  <c r="G1114" i="1"/>
  <c r="E1114" i="1"/>
  <c r="B1114" i="1"/>
  <c r="W1114" i="1" s="1"/>
  <c r="V1113" i="1"/>
  <c r="R1113" i="1"/>
  <c r="P1113" i="1"/>
  <c r="T1113" i="1" s="1"/>
  <c r="N1113" i="1"/>
  <c r="Y1113" i="1" s="1"/>
  <c r="L1113" i="1"/>
  <c r="J1113" i="1"/>
  <c r="H1113" i="1"/>
  <c r="G1113" i="1"/>
  <c r="E1113" i="1"/>
  <c r="B1113" i="1"/>
  <c r="W1113" i="1" s="1"/>
  <c r="Y1112" i="1"/>
  <c r="W1112" i="1"/>
  <c r="R1112" i="1"/>
  <c r="P1112" i="1"/>
  <c r="T1112" i="1" s="1"/>
  <c r="N1112" i="1"/>
  <c r="L1112" i="1"/>
  <c r="J1112" i="1"/>
  <c r="H1112" i="1"/>
  <c r="G1112" i="1"/>
  <c r="E1112" i="1"/>
  <c r="B1112" i="1"/>
  <c r="V1112" i="1" s="1"/>
  <c r="R1111" i="1"/>
  <c r="T1111" i="1" s="1"/>
  <c r="P1111" i="1"/>
  <c r="N1111" i="1"/>
  <c r="Y1111" i="1" s="1"/>
  <c r="L1111" i="1"/>
  <c r="J1111" i="1"/>
  <c r="H1111" i="1"/>
  <c r="G1111" i="1"/>
  <c r="E1111" i="1"/>
  <c r="B1111" i="1"/>
  <c r="W1111" i="1" s="1"/>
  <c r="V1110" i="1"/>
  <c r="U1110" i="1"/>
  <c r="T1110" i="1"/>
  <c r="X1110" i="1" s="1" a="1"/>
  <c r="X1110" i="1" s="1"/>
  <c r="R1110" i="1"/>
  <c r="P1110" i="1"/>
  <c r="N1110" i="1"/>
  <c r="Y1110" i="1" s="1"/>
  <c r="L1110" i="1"/>
  <c r="J1110" i="1"/>
  <c r="H1110" i="1"/>
  <c r="G1110" i="1"/>
  <c r="E1110" i="1"/>
  <c r="B1110" i="1"/>
  <c r="W1110" i="1" s="1"/>
  <c r="Y1109" i="1"/>
  <c r="W1109" i="1"/>
  <c r="V1109" i="1"/>
  <c r="U1109" i="1"/>
  <c r="R1109" i="1"/>
  <c r="P1109" i="1"/>
  <c r="T1109" i="1" s="1"/>
  <c r="N1109" i="1"/>
  <c r="L1109" i="1"/>
  <c r="J1109" i="1"/>
  <c r="H1109" i="1"/>
  <c r="G1109" i="1"/>
  <c r="E1109" i="1"/>
  <c r="B1109" i="1"/>
  <c r="Y1108" i="1"/>
  <c r="V1108" i="1"/>
  <c r="R1108" i="1"/>
  <c r="P1108" i="1"/>
  <c r="T1108" i="1" s="1"/>
  <c r="N1108" i="1"/>
  <c r="L1108" i="1"/>
  <c r="J1108" i="1"/>
  <c r="H1108" i="1"/>
  <c r="G1108" i="1"/>
  <c r="E1108" i="1"/>
  <c r="B1108" i="1"/>
  <c r="W1108" i="1" s="1"/>
  <c r="W1107" i="1"/>
  <c r="T1107" i="1"/>
  <c r="Z1107" i="1" s="1"/>
  <c r="R1107" i="1"/>
  <c r="P1107" i="1"/>
  <c r="N1107" i="1"/>
  <c r="Y1107" i="1" s="1"/>
  <c r="L1107" i="1"/>
  <c r="J1107" i="1"/>
  <c r="H1107" i="1"/>
  <c r="G1107" i="1"/>
  <c r="E1107" i="1"/>
  <c r="B1107" i="1"/>
  <c r="U1107" i="1" s="1"/>
  <c r="V1106" i="1"/>
  <c r="U1106" i="1"/>
  <c r="R1106" i="1"/>
  <c r="P1106" i="1"/>
  <c r="T1106" i="1" s="1"/>
  <c r="N1106" i="1"/>
  <c r="Y1106" i="1" s="1"/>
  <c r="L1106" i="1"/>
  <c r="J1106" i="1"/>
  <c r="H1106" i="1"/>
  <c r="G1106" i="1"/>
  <c r="E1106" i="1"/>
  <c r="B1106" i="1"/>
  <c r="W1106" i="1" s="1"/>
  <c r="V1105" i="1"/>
  <c r="R1105" i="1"/>
  <c r="P1105" i="1"/>
  <c r="T1105" i="1" s="1"/>
  <c r="N1105" i="1"/>
  <c r="Y1105" i="1" s="1"/>
  <c r="L1105" i="1"/>
  <c r="J1105" i="1"/>
  <c r="H1105" i="1"/>
  <c r="G1105" i="1"/>
  <c r="E1105" i="1"/>
  <c r="B1105" i="1"/>
  <c r="W1105" i="1" s="1"/>
  <c r="Y1104" i="1"/>
  <c r="W1104" i="1"/>
  <c r="R1104" i="1"/>
  <c r="P1104" i="1"/>
  <c r="T1104" i="1" s="1"/>
  <c r="N1104" i="1"/>
  <c r="L1104" i="1"/>
  <c r="J1104" i="1"/>
  <c r="H1104" i="1"/>
  <c r="G1104" i="1"/>
  <c r="E1104" i="1"/>
  <c r="B1104" i="1"/>
  <c r="V1104" i="1" s="1"/>
  <c r="R1103" i="1"/>
  <c r="T1103" i="1" s="1"/>
  <c r="P1103" i="1"/>
  <c r="N1103" i="1"/>
  <c r="Y1103" i="1" s="1"/>
  <c r="L1103" i="1"/>
  <c r="J1103" i="1"/>
  <c r="H1103" i="1"/>
  <c r="G1103" i="1"/>
  <c r="E1103" i="1"/>
  <c r="B1103" i="1"/>
  <c r="W1103" i="1" s="1"/>
  <c r="V1102" i="1"/>
  <c r="U1102" i="1"/>
  <c r="T1102" i="1"/>
  <c r="X1102" i="1" s="1" a="1"/>
  <c r="X1102" i="1" s="1"/>
  <c r="R1102" i="1"/>
  <c r="P1102" i="1"/>
  <c r="N1102" i="1"/>
  <c r="Y1102" i="1" s="1"/>
  <c r="L1102" i="1"/>
  <c r="J1102" i="1"/>
  <c r="H1102" i="1"/>
  <c r="G1102" i="1"/>
  <c r="E1102" i="1"/>
  <c r="B1102" i="1"/>
  <c r="W1102" i="1" s="1"/>
  <c r="Y1101" i="1"/>
  <c r="W1101" i="1"/>
  <c r="V1101" i="1"/>
  <c r="U1101" i="1"/>
  <c r="R1101" i="1"/>
  <c r="P1101" i="1"/>
  <c r="T1101" i="1" s="1"/>
  <c r="N1101" i="1"/>
  <c r="L1101" i="1"/>
  <c r="J1101" i="1"/>
  <c r="H1101" i="1"/>
  <c r="G1101" i="1"/>
  <c r="E1101" i="1"/>
  <c r="B1101" i="1"/>
  <c r="Y1100" i="1"/>
  <c r="V1100" i="1"/>
  <c r="R1100" i="1"/>
  <c r="P1100" i="1"/>
  <c r="T1100" i="1" s="1"/>
  <c r="N1100" i="1"/>
  <c r="L1100" i="1"/>
  <c r="J1100" i="1"/>
  <c r="H1100" i="1"/>
  <c r="G1100" i="1"/>
  <c r="E1100" i="1"/>
  <c r="B1100" i="1"/>
  <c r="W1100" i="1" s="1"/>
  <c r="W1099" i="1"/>
  <c r="T1099" i="1"/>
  <c r="Z1099" i="1" s="1"/>
  <c r="R1099" i="1"/>
  <c r="P1099" i="1"/>
  <c r="N1099" i="1"/>
  <c r="Y1099" i="1" s="1"/>
  <c r="L1099" i="1"/>
  <c r="J1099" i="1"/>
  <c r="H1099" i="1"/>
  <c r="G1099" i="1"/>
  <c r="E1099" i="1"/>
  <c r="B1099" i="1"/>
  <c r="U1099" i="1" s="1"/>
  <c r="Y1098" i="1"/>
  <c r="V1098" i="1"/>
  <c r="U1098" i="1"/>
  <c r="R1098" i="1"/>
  <c r="P1098" i="1"/>
  <c r="T1098" i="1" s="1"/>
  <c r="N1098" i="1"/>
  <c r="L1098" i="1"/>
  <c r="J1098" i="1"/>
  <c r="H1098" i="1"/>
  <c r="G1098" i="1"/>
  <c r="E1098" i="1"/>
  <c r="B1098" i="1"/>
  <c r="W1098" i="1" s="1"/>
  <c r="V1097" i="1"/>
  <c r="R1097" i="1"/>
  <c r="P1097" i="1"/>
  <c r="T1097" i="1" s="1"/>
  <c r="N1097" i="1"/>
  <c r="Y1097" i="1" s="1"/>
  <c r="L1097" i="1"/>
  <c r="J1097" i="1"/>
  <c r="H1097" i="1"/>
  <c r="G1097" i="1"/>
  <c r="E1097" i="1"/>
  <c r="B1097" i="1"/>
  <c r="W1097" i="1" s="1"/>
  <c r="Y1096" i="1"/>
  <c r="W1096" i="1"/>
  <c r="R1096" i="1"/>
  <c r="P1096" i="1"/>
  <c r="T1096" i="1" s="1"/>
  <c r="N1096" i="1"/>
  <c r="L1096" i="1"/>
  <c r="J1096" i="1"/>
  <c r="H1096" i="1"/>
  <c r="G1096" i="1"/>
  <c r="E1096" i="1"/>
  <c r="B1096" i="1"/>
  <c r="V1096" i="1" s="1"/>
  <c r="R1095" i="1"/>
  <c r="T1095" i="1" s="1"/>
  <c r="P1095" i="1"/>
  <c r="N1095" i="1"/>
  <c r="Y1095" i="1" s="1"/>
  <c r="L1095" i="1"/>
  <c r="J1095" i="1"/>
  <c r="H1095" i="1"/>
  <c r="G1095" i="1"/>
  <c r="E1095" i="1"/>
  <c r="B1095" i="1"/>
  <c r="W1095" i="1" s="1"/>
  <c r="V1094" i="1"/>
  <c r="U1094" i="1"/>
  <c r="T1094" i="1"/>
  <c r="X1094" i="1" s="1" a="1"/>
  <c r="X1094" i="1" s="1"/>
  <c r="R1094" i="1"/>
  <c r="P1094" i="1"/>
  <c r="N1094" i="1"/>
  <c r="Y1094" i="1" s="1"/>
  <c r="L1094" i="1"/>
  <c r="J1094" i="1"/>
  <c r="H1094" i="1"/>
  <c r="G1094" i="1"/>
  <c r="E1094" i="1"/>
  <c r="B1094" i="1"/>
  <c r="W1094" i="1" s="1"/>
  <c r="Y1093" i="1"/>
  <c r="W1093" i="1"/>
  <c r="V1093" i="1"/>
  <c r="U1093" i="1"/>
  <c r="R1093" i="1"/>
  <c r="P1093" i="1"/>
  <c r="T1093" i="1" s="1"/>
  <c r="N1093" i="1"/>
  <c r="L1093" i="1"/>
  <c r="J1093" i="1"/>
  <c r="H1093" i="1"/>
  <c r="G1093" i="1"/>
  <c r="E1093" i="1"/>
  <c r="B1093" i="1"/>
  <c r="Y1092" i="1"/>
  <c r="V1092" i="1"/>
  <c r="R1092" i="1"/>
  <c r="T1092" i="1" s="1"/>
  <c r="P1092" i="1"/>
  <c r="N1092" i="1"/>
  <c r="L1092" i="1"/>
  <c r="J1092" i="1"/>
  <c r="H1092" i="1"/>
  <c r="G1092" i="1"/>
  <c r="E1092" i="1"/>
  <c r="B1092" i="1"/>
  <c r="W1092" i="1" s="1"/>
  <c r="W1091" i="1"/>
  <c r="T1091" i="1"/>
  <c r="Z1091" i="1" s="1"/>
  <c r="R1091" i="1"/>
  <c r="P1091" i="1"/>
  <c r="N1091" i="1"/>
  <c r="Y1091" i="1" s="1"/>
  <c r="L1091" i="1"/>
  <c r="J1091" i="1"/>
  <c r="H1091" i="1"/>
  <c r="G1091" i="1"/>
  <c r="E1091" i="1"/>
  <c r="B1091" i="1"/>
  <c r="U1091" i="1" s="1"/>
  <c r="Y1090" i="1"/>
  <c r="V1090" i="1"/>
  <c r="U1090" i="1"/>
  <c r="R1090" i="1"/>
  <c r="P1090" i="1"/>
  <c r="T1090" i="1" s="1"/>
  <c r="N1090" i="1"/>
  <c r="L1090" i="1"/>
  <c r="J1090" i="1"/>
  <c r="H1090" i="1"/>
  <c r="G1090" i="1"/>
  <c r="E1090" i="1"/>
  <c r="B1090" i="1"/>
  <c r="W1090" i="1" s="1"/>
  <c r="V1089" i="1"/>
  <c r="R1089" i="1"/>
  <c r="P1089" i="1"/>
  <c r="T1089" i="1" s="1"/>
  <c r="N1089" i="1"/>
  <c r="Y1089" i="1" s="1"/>
  <c r="L1089" i="1"/>
  <c r="J1089" i="1"/>
  <c r="H1089" i="1"/>
  <c r="G1089" i="1"/>
  <c r="E1089" i="1"/>
  <c r="B1089" i="1"/>
  <c r="W1089" i="1" s="1"/>
  <c r="Y1088" i="1"/>
  <c r="W1088" i="1"/>
  <c r="R1088" i="1"/>
  <c r="P1088" i="1"/>
  <c r="T1088" i="1" s="1"/>
  <c r="N1088" i="1"/>
  <c r="L1088" i="1"/>
  <c r="J1088" i="1"/>
  <c r="H1088" i="1"/>
  <c r="G1088" i="1"/>
  <c r="E1088" i="1"/>
  <c r="B1088" i="1"/>
  <c r="V1088" i="1" s="1"/>
  <c r="R1087" i="1"/>
  <c r="T1087" i="1" s="1"/>
  <c r="P1087" i="1"/>
  <c r="N1087" i="1"/>
  <c r="Y1087" i="1" s="1"/>
  <c r="L1087" i="1"/>
  <c r="J1087" i="1"/>
  <c r="H1087" i="1"/>
  <c r="G1087" i="1"/>
  <c r="E1087" i="1"/>
  <c r="B1087" i="1"/>
  <c r="W1087" i="1" s="1"/>
  <c r="V1086" i="1"/>
  <c r="U1086" i="1"/>
  <c r="T1086" i="1"/>
  <c r="X1086" i="1" s="1" a="1"/>
  <c r="X1086" i="1" s="1"/>
  <c r="R1086" i="1"/>
  <c r="P1086" i="1"/>
  <c r="N1086" i="1"/>
  <c r="Y1086" i="1" s="1"/>
  <c r="L1086" i="1"/>
  <c r="J1086" i="1"/>
  <c r="H1086" i="1"/>
  <c r="G1086" i="1"/>
  <c r="E1086" i="1"/>
  <c r="B1086" i="1"/>
  <c r="W1086" i="1" s="1"/>
  <c r="Y1085" i="1"/>
  <c r="W1085" i="1"/>
  <c r="V1085" i="1"/>
  <c r="U1085" i="1"/>
  <c r="R1085" i="1"/>
  <c r="P1085" i="1"/>
  <c r="T1085" i="1" s="1"/>
  <c r="N1085" i="1"/>
  <c r="L1085" i="1"/>
  <c r="J1085" i="1"/>
  <c r="H1085" i="1"/>
  <c r="G1085" i="1"/>
  <c r="E1085" i="1"/>
  <c r="B1085" i="1"/>
  <c r="Y1084" i="1"/>
  <c r="V1084" i="1"/>
  <c r="R1084" i="1"/>
  <c r="T1084" i="1" s="1"/>
  <c r="P1084" i="1"/>
  <c r="N1084" i="1"/>
  <c r="L1084" i="1"/>
  <c r="J1084" i="1"/>
  <c r="H1084" i="1"/>
  <c r="G1084" i="1"/>
  <c r="E1084" i="1"/>
  <c r="B1084" i="1"/>
  <c r="W1084" i="1" s="1"/>
  <c r="W1083" i="1"/>
  <c r="U1083" i="1"/>
  <c r="T1083" i="1"/>
  <c r="Z1083" i="1" s="1"/>
  <c r="R1083" i="1"/>
  <c r="P1083" i="1"/>
  <c r="N1083" i="1"/>
  <c r="Y1083" i="1" s="1"/>
  <c r="L1083" i="1"/>
  <c r="J1083" i="1"/>
  <c r="H1083" i="1"/>
  <c r="G1083" i="1"/>
  <c r="E1083" i="1"/>
  <c r="B1083" i="1"/>
  <c r="V1083" i="1" s="1"/>
  <c r="Y1082" i="1"/>
  <c r="V1082" i="1"/>
  <c r="U1082" i="1"/>
  <c r="R1082" i="1"/>
  <c r="P1082" i="1"/>
  <c r="T1082" i="1" s="1"/>
  <c r="N1082" i="1"/>
  <c r="L1082" i="1"/>
  <c r="J1082" i="1"/>
  <c r="H1082" i="1"/>
  <c r="G1082" i="1"/>
  <c r="E1082" i="1"/>
  <c r="B1082" i="1"/>
  <c r="W1082" i="1" s="1"/>
  <c r="V1081" i="1"/>
  <c r="R1081" i="1"/>
  <c r="P1081" i="1"/>
  <c r="T1081" i="1" s="1"/>
  <c r="N1081" i="1"/>
  <c r="Y1081" i="1" s="1"/>
  <c r="L1081" i="1"/>
  <c r="J1081" i="1"/>
  <c r="H1081" i="1"/>
  <c r="G1081" i="1"/>
  <c r="E1081" i="1"/>
  <c r="B1081" i="1"/>
  <c r="W1081" i="1" s="1"/>
  <c r="Y1080" i="1"/>
  <c r="W1080" i="1"/>
  <c r="R1080" i="1"/>
  <c r="P1080" i="1"/>
  <c r="T1080" i="1" s="1"/>
  <c r="N1080" i="1"/>
  <c r="L1080" i="1"/>
  <c r="J1080" i="1"/>
  <c r="H1080" i="1"/>
  <c r="G1080" i="1"/>
  <c r="E1080" i="1"/>
  <c r="B1080" i="1"/>
  <c r="V1080" i="1" s="1"/>
  <c r="R1079" i="1"/>
  <c r="T1079" i="1" s="1"/>
  <c r="P1079" i="1"/>
  <c r="N1079" i="1"/>
  <c r="Y1079" i="1" s="1"/>
  <c r="L1079" i="1"/>
  <c r="J1079" i="1"/>
  <c r="H1079" i="1"/>
  <c r="G1079" i="1"/>
  <c r="E1079" i="1"/>
  <c r="B1079" i="1"/>
  <c r="W1079" i="1" s="1"/>
  <c r="V1078" i="1"/>
  <c r="U1078" i="1"/>
  <c r="T1078" i="1"/>
  <c r="X1078" i="1" s="1" a="1"/>
  <c r="X1078" i="1" s="1"/>
  <c r="R1078" i="1"/>
  <c r="P1078" i="1"/>
  <c r="N1078" i="1"/>
  <c r="Y1078" i="1" s="1"/>
  <c r="L1078" i="1"/>
  <c r="J1078" i="1"/>
  <c r="H1078" i="1"/>
  <c r="G1078" i="1"/>
  <c r="E1078" i="1"/>
  <c r="B1078" i="1"/>
  <c r="W1078" i="1" s="1"/>
  <c r="Y1077" i="1"/>
  <c r="W1077" i="1"/>
  <c r="V1077" i="1"/>
  <c r="U1077" i="1"/>
  <c r="R1077" i="1"/>
  <c r="P1077" i="1"/>
  <c r="T1077" i="1" s="1"/>
  <c r="N1077" i="1"/>
  <c r="L1077" i="1"/>
  <c r="J1077" i="1"/>
  <c r="H1077" i="1"/>
  <c r="G1077" i="1"/>
  <c r="E1077" i="1"/>
  <c r="B1077" i="1"/>
  <c r="Y1076" i="1"/>
  <c r="V1076" i="1"/>
  <c r="R1076" i="1"/>
  <c r="T1076" i="1" s="1"/>
  <c r="P1076" i="1"/>
  <c r="N1076" i="1"/>
  <c r="L1076" i="1"/>
  <c r="J1076" i="1"/>
  <c r="H1076" i="1"/>
  <c r="G1076" i="1"/>
  <c r="E1076" i="1"/>
  <c r="B1076" i="1"/>
  <c r="W1076" i="1" s="1"/>
  <c r="W1075" i="1"/>
  <c r="U1075" i="1"/>
  <c r="T1075" i="1"/>
  <c r="Z1075" i="1" s="1"/>
  <c r="R1075" i="1"/>
  <c r="P1075" i="1"/>
  <c r="N1075" i="1"/>
  <c r="Y1075" i="1" s="1"/>
  <c r="L1075" i="1"/>
  <c r="J1075" i="1"/>
  <c r="H1075" i="1"/>
  <c r="G1075" i="1"/>
  <c r="E1075" i="1"/>
  <c r="B1075" i="1"/>
  <c r="V1075" i="1" s="1"/>
  <c r="Y1074" i="1"/>
  <c r="V1074" i="1"/>
  <c r="U1074" i="1"/>
  <c r="R1074" i="1"/>
  <c r="P1074" i="1"/>
  <c r="T1074" i="1" s="1"/>
  <c r="N1074" i="1"/>
  <c r="L1074" i="1"/>
  <c r="J1074" i="1"/>
  <c r="H1074" i="1"/>
  <c r="G1074" i="1"/>
  <c r="E1074" i="1"/>
  <c r="B1074" i="1"/>
  <c r="W1074" i="1" s="1"/>
  <c r="V1073" i="1"/>
  <c r="R1073" i="1"/>
  <c r="P1073" i="1"/>
  <c r="T1073" i="1" s="1"/>
  <c r="N1073" i="1"/>
  <c r="Y1073" i="1" s="1"/>
  <c r="L1073" i="1"/>
  <c r="J1073" i="1"/>
  <c r="H1073" i="1"/>
  <c r="G1073" i="1"/>
  <c r="E1073" i="1"/>
  <c r="B1073" i="1"/>
  <c r="W1073" i="1" s="1"/>
  <c r="Y1072" i="1"/>
  <c r="W1072" i="1"/>
  <c r="R1072" i="1"/>
  <c r="P1072" i="1"/>
  <c r="T1072" i="1" s="1"/>
  <c r="N1072" i="1"/>
  <c r="L1072" i="1"/>
  <c r="J1072" i="1"/>
  <c r="H1072" i="1"/>
  <c r="G1072" i="1"/>
  <c r="E1072" i="1"/>
  <c r="B1072" i="1"/>
  <c r="V1072" i="1" s="1"/>
  <c r="R1071" i="1"/>
  <c r="T1071" i="1" s="1"/>
  <c r="P1071" i="1"/>
  <c r="N1071" i="1"/>
  <c r="Y1071" i="1" s="1"/>
  <c r="L1071" i="1"/>
  <c r="J1071" i="1"/>
  <c r="H1071" i="1"/>
  <c r="G1071" i="1"/>
  <c r="E1071" i="1"/>
  <c r="B1071" i="1"/>
  <c r="W1071" i="1" s="1"/>
  <c r="V1070" i="1"/>
  <c r="U1070" i="1"/>
  <c r="T1070" i="1"/>
  <c r="X1070" i="1" s="1" a="1"/>
  <c r="X1070" i="1" s="1"/>
  <c r="R1070" i="1"/>
  <c r="P1070" i="1"/>
  <c r="N1070" i="1"/>
  <c r="Y1070" i="1" s="1"/>
  <c r="L1070" i="1"/>
  <c r="J1070" i="1"/>
  <c r="H1070" i="1"/>
  <c r="G1070" i="1"/>
  <c r="E1070" i="1"/>
  <c r="B1070" i="1"/>
  <c r="W1070" i="1" s="1"/>
  <c r="Y1069" i="1"/>
  <c r="W1069" i="1"/>
  <c r="V1069" i="1"/>
  <c r="U1069" i="1"/>
  <c r="R1069" i="1"/>
  <c r="P1069" i="1"/>
  <c r="T1069" i="1" s="1"/>
  <c r="N1069" i="1"/>
  <c r="L1069" i="1"/>
  <c r="J1069" i="1"/>
  <c r="H1069" i="1"/>
  <c r="G1069" i="1"/>
  <c r="E1069" i="1"/>
  <c r="B1069" i="1"/>
  <c r="Y1068" i="1"/>
  <c r="V1068" i="1"/>
  <c r="R1068" i="1"/>
  <c r="T1068" i="1" s="1"/>
  <c r="P1068" i="1"/>
  <c r="N1068" i="1"/>
  <c r="L1068" i="1"/>
  <c r="J1068" i="1"/>
  <c r="H1068" i="1"/>
  <c r="G1068" i="1"/>
  <c r="E1068" i="1"/>
  <c r="B1068" i="1"/>
  <c r="W1068" i="1" s="1"/>
  <c r="W1067" i="1"/>
  <c r="U1067" i="1"/>
  <c r="T1067" i="1"/>
  <c r="Z1067" i="1" s="1"/>
  <c r="R1067" i="1"/>
  <c r="P1067" i="1"/>
  <c r="N1067" i="1"/>
  <c r="Y1067" i="1" s="1"/>
  <c r="L1067" i="1"/>
  <c r="J1067" i="1"/>
  <c r="H1067" i="1"/>
  <c r="G1067" i="1"/>
  <c r="E1067" i="1"/>
  <c r="B1067" i="1"/>
  <c r="V1067" i="1" s="1"/>
  <c r="Y1066" i="1"/>
  <c r="V1066" i="1"/>
  <c r="U1066" i="1"/>
  <c r="R1066" i="1"/>
  <c r="P1066" i="1"/>
  <c r="T1066" i="1" s="1"/>
  <c r="N1066" i="1"/>
  <c r="L1066" i="1"/>
  <c r="J1066" i="1"/>
  <c r="H1066" i="1"/>
  <c r="G1066" i="1"/>
  <c r="E1066" i="1"/>
  <c r="B1066" i="1"/>
  <c r="W1066" i="1" s="1"/>
  <c r="V1065" i="1"/>
  <c r="R1065" i="1"/>
  <c r="P1065" i="1"/>
  <c r="T1065" i="1" s="1"/>
  <c r="N1065" i="1"/>
  <c r="Y1065" i="1" s="1"/>
  <c r="L1065" i="1"/>
  <c r="J1065" i="1"/>
  <c r="H1065" i="1"/>
  <c r="G1065" i="1"/>
  <c r="E1065" i="1"/>
  <c r="B1065" i="1"/>
  <c r="W1065" i="1" s="1"/>
  <c r="Y1064" i="1"/>
  <c r="W1064" i="1"/>
  <c r="R1064" i="1"/>
  <c r="P1064" i="1"/>
  <c r="T1064" i="1" s="1"/>
  <c r="N1064" i="1"/>
  <c r="L1064" i="1"/>
  <c r="J1064" i="1"/>
  <c r="H1064" i="1"/>
  <c r="G1064" i="1"/>
  <c r="E1064" i="1"/>
  <c r="B1064" i="1"/>
  <c r="V1064" i="1" s="1"/>
  <c r="R1063" i="1"/>
  <c r="T1063" i="1" s="1"/>
  <c r="P1063" i="1"/>
  <c r="N1063" i="1"/>
  <c r="Y1063" i="1" s="1"/>
  <c r="L1063" i="1"/>
  <c r="J1063" i="1"/>
  <c r="H1063" i="1"/>
  <c r="G1063" i="1"/>
  <c r="E1063" i="1"/>
  <c r="B1063" i="1"/>
  <c r="W1063" i="1" s="1"/>
  <c r="V1062" i="1"/>
  <c r="U1062" i="1"/>
  <c r="T1062" i="1"/>
  <c r="X1062" i="1" s="1" a="1"/>
  <c r="X1062" i="1" s="1"/>
  <c r="R1062" i="1"/>
  <c r="P1062" i="1"/>
  <c r="N1062" i="1"/>
  <c r="Y1062" i="1" s="1"/>
  <c r="L1062" i="1"/>
  <c r="J1062" i="1"/>
  <c r="H1062" i="1"/>
  <c r="G1062" i="1"/>
  <c r="E1062" i="1"/>
  <c r="B1062" i="1"/>
  <c r="W1062" i="1" s="1"/>
  <c r="Y1061" i="1"/>
  <c r="W1061" i="1"/>
  <c r="V1061" i="1"/>
  <c r="U1061" i="1"/>
  <c r="R1061" i="1"/>
  <c r="P1061" i="1"/>
  <c r="T1061" i="1" s="1"/>
  <c r="N1061" i="1"/>
  <c r="L1061" i="1"/>
  <c r="J1061" i="1"/>
  <c r="H1061" i="1"/>
  <c r="G1061" i="1"/>
  <c r="E1061" i="1"/>
  <c r="B1061" i="1"/>
  <c r="Y1060" i="1"/>
  <c r="V1060" i="1"/>
  <c r="R1060" i="1"/>
  <c r="T1060" i="1" s="1"/>
  <c r="P1060" i="1"/>
  <c r="N1060" i="1"/>
  <c r="L1060" i="1"/>
  <c r="J1060" i="1"/>
  <c r="H1060" i="1"/>
  <c r="G1060" i="1"/>
  <c r="E1060" i="1"/>
  <c r="B1060" i="1"/>
  <c r="W1060" i="1" s="1"/>
  <c r="W1059" i="1"/>
  <c r="U1059" i="1"/>
  <c r="T1059" i="1"/>
  <c r="Z1059" i="1" s="1"/>
  <c r="R1059" i="1"/>
  <c r="P1059" i="1"/>
  <c r="N1059" i="1"/>
  <c r="Y1059" i="1" s="1"/>
  <c r="L1059" i="1"/>
  <c r="J1059" i="1"/>
  <c r="H1059" i="1"/>
  <c r="G1059" i="1"/>
  <c r="E1059" i="1"/>
  <c r="B1059" i="1"/>
  <c r="V1059" i="1" s="1"/>
  <c r="Y1058" i="1"/>
  <c r="X1058" i="1" a="1"/>
  <c r="X1058" i="1" s="1"/>
  <c r="V1058" i="1"/>
  <c r="U1058" i="1"/>
  <c r="R1058" i="1"/>
  <c r="P1058" i="1"/>
  <c r="T1058" i="1" s="1"/>
  <c r="Z1058" i="1" s="1"/>
  <c r="N1058" i="1"/>
  <c r="L1058" i="1"/>
  <c r="J1058" i="1"/>
  <c r="H1058" i="1"/>
  <c r="G1058" i="1"/>
  <c r="E1058" i="1"/>
  <c r="B1058" i="1"/>
  <c r="W1058" i="1" s="1"/>
  <c r="V1057" i="1"/>
  <c r="R1057" i="1"/>
  <c r="P1057" i="1"/>
  <c r="T1057" i="1" s="1"/>
  <c r="N1057" i="1"/>
  <c r="Y1057" i="1" s="1"/>
  <c r="L1057" i="1"/>
  <c r="J1057" i="1"/>
  <c r="H1057" i="1"/>
  <c r="G1057" i="1"/>
  <c r="E1057" i="1"/>
  <c r="B1057" i="1"/>
  <c r="W1057" i="1" s="1"/>
  <c r="Y1056" i="1"/>
  <c r="W1056" i="1"/>
  <c r="R1056" i="1"/>
  <c r="P1056" i="1"/>
  <c r="T1056" i="1" s="1"/>
  <c r="N1056" i="1"/>
  <c r="L1056" i="1"/>
  <c r="J1056" i="1"/>
  <c r="H1056" i="1"/>
  <c r="G1056" i="1"/>
  <c r="E1056" i="1"/>
  <c r="B1056" i="1"/>
  <c r="V1056" i="1" s="1"/>
  <c r="R1055" i="1"/>
  <c r="T1055" i="1" s="1"/>
  <c r="X1055" i="1" s="1" a="1"/>
  <c r="X1055" i="1" s="1"/>
  <c r="P1055" i="1"/>
  <c r="N1055" i="1"/>
  <c r="Y1055" i="1" s="1"/>
  <c r="L1055" i="1"/>
  <c r="J1055" i="1"/>
  <c r="H1055" i="1"/>
  <c r="G1055" i="1"/>
  <c r="E1055" i="1"/>
  <c r="B1055" i="1"/>
  <c r="V1054" i="1"/>
  <c r="U1054" i="1"/>
  <c r="T1054" i="1"/>
  <c r="R1054" i="1"/>
  <c r="P1054" i="1"/>
  <c r="N1054" i="1"/>
  <c r="Y1054" i="1" s="1"/>
  <c r="L1054" i="1"/>
  <c r="J1054" i="1"/>
  <c r="H1054" i="1"/>
  <c r="G1054" i="1"/>
  <c r="E1054" i="1"/>
  <c r="B1054" i="1"/>
  <c r="W1054" i="1" s="1"/>
  <c r="Y1053" i="1"/>
  <c r="W1053" i="1"/>
  <c r="V1053" i="1"/>
  <c r="U1053" i="1"/>
  <c r="R1053" i="1"/>
  <c r="P1053" i="1"/>
  <c r="T1053" i="1" s="1"/>
  <c r="N1053" i="1"/>
  <c r="L1053" i="1"/>
  <c r="J1053" i="1"/>
  <c r="H1053" i="1"/>
  <c r="G1053" i="1"/>
  <c r="E1053" i="1"/>
  <c r="B1053" i="1"/>
  <c r="Y1052" i="1"/>
  <c r="R1052" i="1"/>
  <c r="T1052" i="1" s="1"/>
  <c r="X1052" i="1" s="1" a="1"/>
  <c r="X1052" i="1" s="1"/>
  <c r="P1052" i="1"/>
  <c r="N1052" i="1"/>
  <c r="L1052" i="1"/>
  <c r="J1052" i="1"/>
  <c r="H1052" i="1"/>
  <c r="G1052" i="1"/>
  <c r="E1052" i="1"/>
  <c r="B1052" i="1"/>
  <c r="W1051" i="1"/>
  <c r="U1051" i="1"/>
  <c r="T1051" i="1"/>
  <c r="R1051" i="1"/>
  <c r="P1051" i="1"/>
  <c r="N1051" i="1"/>
  <c r="Y1051" i="1" s="1"/>
  <c r="L1051" i="1"/>
  <c r="J1051" i="1"/>
  <c r="H1051" i="1"/>
  <c r="G1051" i="1"/>
  <c r="E1051" i="1"/>
  <c r="B1051" i="1"/>
  <c r="V1051" i="1" s="1"/>
  <c r="Y1050" i="1"/>
  <c r="V1050" i="1"/>
  <c r="U1050" i="1"/>
  <c r="R1050" i="1"/>
  <c r="P1050" i="1"/>
  <c r="T1050" i="1" s="1"/>
  <c r="Z1050" i="1" s="1"/>
  <c r="N1050" i="1"/>
  <c r="L1050" i="1"/>
  <c r="J1050" i="1"/>
  <c r="H1050" i="1"/>
  <c r="G1050" i="1"/>
  <c r="E1050" i="1"/>
  <c r="B1050" i="1"/>
  <c r="W1050" i="1" s="1"/>
  <c r="V1049" i="1"/>
  <c r="R1049" i="1"/>
  <c r="P1049" i="1"/>
  <c r="T1049" i="1" s="1"/>
  <c r="N1049" i="1"/>
  <c r="Y1049" i="1" s="1"/>
  <c r="L1049" i="1"/>
  <c r="J1049" i="1"/>
  <c r="H1049" i="1"/>
  <c r="G1049" i="1"/>
  <c r="E1049" i="1"/>
  <c r="B1049" i="1"/>
  <c r="W1049" i="1" s="1"/>
  <c r="Y1048" i="1"/>
  <c r="W1048" i="1"/>
  <c r="R1048" i="1"/>
  <c r="P1048" i="1"/>
  <c r="T1048" i="1" s="1"/>
  <c r="N1048" i="1"/>
  <c r="L1048" i="1"/>
  <c r="J1048" i="1"/>
  <c r="H1048" i="1"/>
  <c r="G1048" i="1"/>
  <c r="E1048" i="1"/>
  <c r="B1048" i="1"/>
  <c r="V1048" i="1" s="1"/>
  <c r="Z1047" i="1"/>
  <c r="X1047" i="1" a="1"/>
  <c r="X1047" i="1" s="1"/>
  <c r="R1047" i="1"/>
  <c r="T1047" i="1" s="1"/>
  <c r="P1047" i="1"/>
  <c r="N1047" i="1"/>
  <c r="Y1047" i="1" s="1"/>
  <c r="L1047" i="1"/>
  <c r="J1047" i="1"/>
  <c r="H1047" i="1"/>
  <c r="G1047" i="1"/>
  <c r="E1047" i="1"/>
  <c r="B1047" i="1"/>
  <c r="V1046" i="1"/>
  <c r="U1046" i="1"/>
  <c r="T1046" i="1"/>
  <c r="R1046" i="1"/>
  <c r="P1046" i="1"/>
  <c r="N1046" i="1"/>
  <c r="Y1046" i="1" s="1"/>
  <c r="L1046" i="1"/>
  <c r="J1046" i="1"/>
  <c r="H1046" i="1"/>
  <c r="G1046" i="1"/>
  <c r="E1046" i="1"/>
  <c r="B1046" i="1"/>
  <c r="W1046" i="1" s="1"/>
  <c r="Y1045" i="1"/>
  <c r="W1045" i="1"/>
  <c r="V1045" i="1"/>
  <c r="U1045" i="1"/>
  <c r="R1045" i="1"/>
  <c r="P1045" i="1"/>
  <c r="T1045" i="1" s="1"/>
  <c r="N1045" i="1"/>
  <c r="L1045" i="1"/>
  <c r="J1045" i="1"/>
  <c r="H1045" i="1"/>
  <c r="G1045" i="1"/>
  <c r="E1045" i="1"/>
  <c r="B1045" i="1"/>
  <c r="Y1044" i="1"/>
  <c r="X1044" i="1" a="1"/>
  <c r="X1044" i="1" s="1"/>
  <c r="W1044" i="1"/>
  <c r="R1044" i="1"/>
  <c r="T1044" i="1" s="1"/>
  <c r="Z1044" i="1" s="1"/>
  <c r="P1044" i="1"/>
  <c r="N1044" i="1"/>
  <c r="L1044" i="1"/>
  <c r="J1044" i="1"/>
  <c r="H1044" i="1"/>
  <c r="G1044" i="1"/>
  <c r="E1044" i="1"/>
  <c r="B1044" i="1"/>
  <c r="U1044" i="1" s="1"/>
  <c r="W1043" i="1"/>
  <c r="U1043" i="1"/>
  <c r="T1043" i="1"/>
  <c r="Z1043" i="1" s="1"/>
  <c r="R1043" i="1"/>
  <c r="P1043" i="1"/>
  <c r="N1043" i="1"/>
  <c r="Y1043" i="1" s="1"/>
  <c r="L1043" i="1"/>
  <c r="J1043" i="1"/>
  <c r="H1043" i="1"/>
  <c r="G1043" i="1"/>
  <c r="E1043" i="1"/>
  <c r="B1043" i="1"/>
  <c r="V1043" i="1" s="1"/>
  <c r="V1042" i="1"/>
  <c r="U1042" i="1"/>
  <c r="R1042" i="1"/>
  <c r="P1042" i="1"/>
  <c r="T1042" i="1" s="1"/>
  <c r="Z1042" i="1" s="1"/>
  <c r="N1042" i="1"/>
  <c r="Y1042" i="1" s="1"/>
  <c r="L1042" i="1"/>
  <c r="J1042" i="1"/>
  <c r="H1042" i="1"/>
  <c r="G1042" i="1"/>
  <c r="E1042" i="1"/>
  <c r="B1042" i="1"/>
  <c r="W1042" i="1" s="1"/>
  <c r="Z1041" i="1"/>
  <c r="Y1041" i="1"/>
  <c r="R1041" i="1"/>
  <c r="P1041" i="1"/>
  <c r="T1041" i="1" s="1"/>
  <c r="X1041" i="1" s="1" a="1"/>
  <c r="X1041" i="1" s="1"/>
  <c r="N1041" i="1"/>
  <c r="L1041" i="1"/>
  <c r="J1041" i="1"/>
  <c r="H1041" i="1"/>
  <c r="G1041" i="1"/>
  <c r="E1041" i="1"/>
  <c r="B1041" i="1"/>
  <c r="Y1040" i="1"/>
  <c r="T1040" i="1"/>
  <c r="X1040" i="1" s="1" a="1"/>
  <c r="X1040" i="1" s="1"/>
  <c r="R1040" i="1"/>
  <c r="P1040" i="1"/>
  <c r="N1040" i="1"/>
  <c r="L1040" i="1"/>
  <c r="J1040" i="1"/>
  <c r="H1040" i="1"/>
  <c r="G1040" i="1"/>
  <c r="E1040" i="1"/>
  <c r="B1040" i="1"/>
  <c r="U1039" i="1"/>
  <c r="T1039" i="1"/>
  <c r="Z1039" i="1" s="1"/>
  <c r="R1039" i="1"/>
  <c r="P1039" i="1"/>
  <c r="N1039" i="1"/>
  <c r="Y1039" i="1" s="1"/>
  <c r="L1039" i="1"/>
  <c r="J1039" i="1"/>
  <c r="H1039" i="1"/>
  <c r="G1039" i="1"/>
  <c r="E1039" i="1"/>
  <c r="B1039" i="1"/>
  <c r="V1038" i="1"/>
  <c r="U1038" i="1"/>
  <c r="T1038" i="1"/>
  <c r="R1038" i="1"/>
  <c r="P1038" i="1"/>
  <c r="N1038" i="1"/>
  <c r="Y1038" i="1" s="1"/>
  <c r="L1038" i="1"/>
  <c r="J1038" i="1"/>
  <c r="H1038" i="1"/>
  <c r="G1038" i="1"/>
  <c r="E1038" i="1"/>
  <c r="B1038" i="1"/>
  <c r="W1038" i="1" s="1"/>
  <c r="Y1037" i="1"/>
  <c r="W1037" i="1"/>
  <c r="V1037" i="1"/>
  <c r="U1037" i="1"/>
  <c r="R1037" i="1"/>
  <c r="P1037" i="1"/>
  <c r="T1037" i="1" s="1"/>
  <c r="N1037" i="1"/>
  <c r="L1037" i="1"/>
  <c r="J1037" i="1"/>
  <c r="H1037" i="1"/>
  <c r="G1037" i="1"/>
  <c r="E1037" i="1"/>
  <c r="B1037" i="1"/>
  <c r="Z1036" i="1"/>
  <c r="Y1036" i="1"/>
  <c r="X1036" i="1" a="1"/>
  <c r="X1036" i="1" s="1"/>
  <c r="W1036" i="1"/>
  <c r="V1036" i="1"/>
  <c r="R1036" i="1"/>
  <c r="T1036" i="1" s="1"/>
  <c r="P1036" i="1"/>
  <c r="N1036" i="1"/>
  <c r="L1036" i="1"/>
  <c r="J1036" i="1"/>
  <c r="H1036" i="1"/>
  <c r="G1036" i="1"/>
  <c r="E1036" i="1"/>
  <c r="B1036" i="1"/>
  <c r="U1036" i="1" s="1"/>
  <c r="X1035" i="1" a="1"/>
  <c r="X1035" i="1" s="1"/>
  <c r="W1035" i="1"/>
  <c r="U1035" i="1"/>
  <c r="T1035" i="1"/>
  <c r="Z1035" i="1" s="1"/>
  <c r="R1035" i="1"/>
  <c r="P1035" i="1"/>
  <c r="N1035" i="1"/>
  <c r="Y1035" i="1" s="1"/>
  <c r="L1035" i="1"/>
  <c r="J1035" i="1"/>
  <c r="H1035" i="1"/>
  <c r="G1035" i="1"/>
  <c r="E1035" i="1"/>
  <c r="B1035" i="1"/>
  <c r="V1035" i="1" s="1"/>
  <c r="Y1034" i="1"/>
  <c r="V1034" i="1"/>
  <c r="U1034" i="1"/>
  <c r="R1034" i="1"/>
  <c r="P1034" i="1"/>
  <c r="T1034" i="1" s="1"/>
  <c r="Z1034" i="1" s="1"/>
  <c r="N1034" i="1"/>
  <c r="L1034" i="1"/>
  <c r="J1034" i="1"/>
  <c r="H1034" i="1"/>
  <c r="G1034" i="1"/>
  <c r="E1034" i="1"/>
  <c r="B1034" i="1"/>
  <c r="W1034" i="1" s="1"/>
  <c r="Y1033" i="1"/>
  <c r="R1033" i="1"/>
  <c r="P1033" i="1"/>
  <c r="N1033" i="1"/>
  <c r="L1033" i="1"/>
  <c r="J1033" i="1"/>
  <c r="H1033" i="1"/>
  <c r="G1033" i="1"/>
  <c r="E1033" i="1"/>
  <c r="B1033" i="1"/>
  <c r="U1033" i="1" s="1"/>
  <c r="Z1032" i="1"/>
  <c r="Y1032" i="1"/>
  <c r="W1032" i="1"/>
  <c r="T1032" i="1"/>
  <c r="X1032" i="1" s="1" a="1"/>
  <c r="X1032" i="1" s="1"/>
  <c r="R1032" i="1"/>
  <c r="P1032" i="1"/>
  <c r="N1032" i="1"/>
  <c r="L1032" i="1"/>
  <c r="J1032" i="1"/>
  <c r="H1032" i="1"/>
  <c r="G1032" i="1"/>
  <c r="E1032" i="1"/>
  <c r="B1032" i="1"/>
  <c r="R1031" i="1"/>
  <c r="T1031" i="1" s="1"/>
  <c r="P1031" i="1"/>
  <c r="N1031" i="1"/>
  <c r="Y1031" i="1" s="1"/>
  <c r="L1031" i="1"/>
  <c r="J1031" i="1"/>
  <c r="H1031" i="1"/>
  <c r="G1031" i="1"/>
  <c r="E1031" i="1"/>
  <c r="B1031" i="1"/>
  <c r="Y1030" i="1"/>
  <c r="V1030" i="1"/>
  <c r="U1030" i="1"/>
  <c r="T1030" i="1"/>
  <c r="R1030" i="1"/>
  <c r="P1030" i="1"/>
  <c r="N1030" i="1"/>
  <c r="L1030" i="1"/>
  <c r="J1030" i="1"/>
  <c r="H1030" i="1"/>
  <c r="G1030" i="1"/>
  <c r="E1030" i="1"/>
  <c r="B1030" i="1"/>
  <c r="W1030" i="1" s="1"/>
  <c r="Y1029" i="1"/>
  <c r="R1029" i="1"/>
  <c r="P1029" i="1"/>
  <c r="N1029" i="1"/>
  <c r="L1029" i="1"/>
  <c r="J1029" i="1"/>
  <c r="H1029" i="1"/>
  <c r="G1029" i="1"/>
  <c r="E1029" i="1"/>
  <c r="B1029" i="1"/>
  <c r="U1029" i="1" s="1"/>
  <c r="Y1028" i="1"/>
  <c r="W1028" i="1"/>
  <c r="V1028" i="1"/>
  <c r="R1028" i="1"/>
  <c r="T1028" i="1" s="1"/>
  <c r="P1028" i="1"/>
  <c r="N1028" i="1"/>
  <c r="L1028" i="1"/>
  <c r="J1028" i="1"/>
  <c r="H1028" i="1"/>
  <c r="G1028" i="1"/>
  <c r="E1028" i="1"/>
  <c r="B1028" i="1"/>
  <c r="U1028" i="1" s="1"/>
  <c r="Z1027" i="1"/>
  <c r="W1027" i="1"/>
  <c r="U1027" i="1"/>
  <c r="T1027" i="1"/>
  <c r="X1027" i="1" s="1" a="1"/>
  <c r="X1027" i="1" s="1"/>
  <c r="R1027" i="1"/>
  <c r="P1027" i="1"/>
  <c r="N1027" i="1"/>
  <c r="Y1027" i="1" s="1"/>
  <c r="L1027" i="1"/>
  <c r="J1027" i="1"/>
  <c r="H1027" i="1"/>
  <c r="G1027" i="1"/>
  <c r="E1027" i="1"/>
  <c r="B1027" i="1"/>
  <c r="V1027" i="1" s="1"/>
  <c r="X1026" i="1"/>
  <c r="X1026" i="1" a="1"/>
  <c r="V1026" i="1"/>
  <c r="U1026" i="1"/>
  <c r="T1026" i="1"/>
  <c r="Z1026" i="1" s="1"/>
  <c r="R1026" i="1"/>
  <c r="P1026" i="1"/>
  <c r="N1026" i="1"/>
  <c r="Y1026" i="1" s="1"/>
  <c r="L1026" i="1"/>
  <c r="J1026" i="1"/>
  <c r="H1026" i="1"/>
  <c r="G1026" i="1"/>
  <c r="E1026" i="1"/>
  <c r="B1026" i="1"/>
  <c r="W1026" i="1" s="1"/>
  <c r="Y1025" i="1"/>
  <c r="X1025" i="1"/>
  <c r="W1025" i="1"/>
  <c r="R1025" i="1"/>
  <c r="P1025" i="1"/>
  <c r="T1025" i="1" s="1"/>
  <c r="X1025" i="1" s="1" a="1"/>
  <c r="N1025" i="1"/>
  <c r="L1025" i="1"/>
  <c r="J1025" i="1"/>
  <c r="H1025" i="1"/>
  <c r="G1025" i="1"/>
  <c r="E1025" i="1"/>
  <c r="B1025" i="1"/>
  <c r="V1025" i="1" s="1"/>
  <c r="Y1024" i="1"/>
  <c r="W1024" i="1"/>
  <c r="V1024" i="1"/>
  <c r="R1024" i="1"/>
  <c r="P1024" i="1"/>
  <c r="T1024" i="1" s="1"/>
  <c r="N1024" i="1"/>
  <c r="L1024" i="1"/>
  <c r="J1024" i="1"/>
  <c r="H1024" i="1"/>
  <c r="G1024" i="1"/>
  <c r="E1024" i="1"/>
  <c r="B1024" i="1"/>
  <c r="U1024" i="1" s="1"/>
  <c r="W1023" i="1"/>
  <c r="U1023" i="1"/>
  <c r="T1023" i="1"/>
  <c r="Z1023" i="1" s="1"/>
  <c r="R1023" i="1"/>
  <c r="P1023" i="1"/>
  <c r="N1023" i="1"/>
  <c r="Y1023" i="1" s="1"/>
  <c r="L1023" i="1"/>
  <c r="J1023" i="1"/>
  <c r="H1023" i="1"/>
  <c r="G1023" i="1"/>
  <c r="E1023" i="1"/>
  <c r="B1023" i="1"/>
  <c r="V1023" i="1" s="1"/>
  <c r="V1022" i="1"/>
  <c r="U1022" i="1"/>
  <c r="T1022" i="1"/>
  <c r="Z1022" i="1" s="1"/>
  <c r="R1022" i="1"/>
  <c r="P1022" i="1"/>
  <c r="N1022" i="1"/>
  <c r="Y1022" i="1" s="1"/>
  <c r="L1022" i="1"/>
  <c r="J1022" i="1"/>
  <c r="H1022" i="1"/>
  <c r="G1022" i="1"/>
  <c r="E1022" i="1"/>
  <c r="B1022" i="1"/>
  <c r="W1022" i="1" s="1"/>
  <c r="Y1021" i="1"/>
  <c r="R1021" i="1"/>
  <c r="P1021" i="1"/>
  <c r="N1021" i="1"/>
  <c r="L1021" i="1"/>
  <c r="J1021" i="1"/>
  <c r="H1021" i="1"/>
  <c r="G1021" i="1"/>
  <c r="E1021" i="1"/>
  <c r="B1021" i="1"/>
  <c r="U1021" i="1" s="1"/>
  <c r="Y1020" i="1"/>
  <c r="W1020" i="1"/>
  <c r="V1020" i="1"/>
  <c r="R1020" i="1"/>
  <c r="P1020" i="1"/>
  <c r="T1020" i="1" s="1"/>
  <c r="N1020" i="1"/>
  <c r="L1020" i="1"/>
  <c r="J1020" i="1"/>
  <c r="H1020" i="1"/>
  <c r="G1020" i="1"/>
  <c r="E1020" i="1"/>
  <c r="B1020" i="1"/>
  <c r="U1020" i="1" s="1"/>
  <c r="Z1019" i="1"/>
  <c r="W1019" i="1"/>
  <c r="U1019" i="1"/>
  <c r="T1019" i="1"/>
  <c r="X1019" i="1" s="1" a="1"/>
  <c r="X1019" i="1" s="1"/>
  <c r="R1019" i="1"/>
  <c r="P1019" i="1"/>
  <c r="N1019" i="1"/>
  <c r="Y1019" i="1" s="1"/>
  <c r="L1019" i="1"/>
  <c r="J1019" i="1"/>
  <c r="H1019" i="1"/>
  <c r="G1019" i="1"/>
  <c r="E1019" i="1"/>
  <c r="B1019" i="1"/>
  <c r="V1019" i="1" s="1"/>
  <c r="X1018" i="1"/>
  <c r="X1018" i="1" a="1"/>
  <c r="V1018" i="1"/>
  <c r="U1018" i="1"/>
  <c r="T1018" i="1"/>
  <c r="Z1018" i="1" s="1"/>
  <c r="R1018" i="1"/>
  <c r="P1018" i="1"/>
  <c r="N1018" i="1"/>
  <c r="Y1018" i="1" s="1"/>
  <c r="L1018" i="1"/>
  <c r="J1018" i="1"/>
  <c r="H1018" i="1"/>
  <c r="G1018" i="1"/>
  <c r="E1018" i="1"/>
  <c r="B1018" i="1"/>
  <c r="W1018" i="1" s="1"/>
  <c r="Y1017" i="1"/>
  <c r="X1017" i="1"/>
  <c r="W1017" i="1"/>
  <c r="R1017" i="1"/>
  <c r="P1017" i="1"/>
  <c r="T1017" i="1" s="1"/>
  <c r="X1017" i="1" s="1" a="1"/>
  <c r="N1017" i="1"/>
  <c r="L1017" i="1"/>
  <c r="J1017" i="1"/>
  <c r="H1017" i="1"/>
  <c r="G1017" i="1"/>
  <c r="E1017" i="1"/>
  <c r="B1017" i="1"/>
  <c r="V1017" i="1" s="1"/>
  <c r="Y1016" i="1"/>
  <c r="W1016" i="1"/>
  <c r="V1016" i="1"/>
  <c r="R1016" i="1"/>
  <c r="P1016" i="1"/>
  <c r="T1016" i="1" s="1"/>
  <c r="N1016" i="1"/>
  <c r="L1016" i="1"/>
  <c r="J1016" i="1"/>
  <c r="H1016" i="1"/>
  <c r="G1016" i="1"/>
  <c r="E1016" i="1"/>
  <c r="B1016" i="1"/>
  <c r="U1016" i="1" s="1"/>
  <c r="W1015" i="1"/>
  <c r="U1015" i="1"/>
  <c r="T1015" i="1"/>
  <c r="Z1015" i="1" s="1"/>
  <c r="R1015" i="1"/>
  <c r="P1015" i="1"/>
  <c r="N1015" i="1"/>
  <c r="Y1015" i="1" s="1"/>
  <c r="L1015" i="1"/>
  <c r="J1015" i="1"/>
  <c r="H1015" i="1"/>
  <c r="G1015" i="1"/>
  <c r="E1015" i="1"/>
  <c r="B1015" i="1"/>
  <c r="V1015" i="1" s="1"/>
  <c r="V1014" i="1"/>
  <c r="U1014" i="1"/>
  <c r="T1014" i="1"/>
  <c r="Z1014" i="1" s="1"/>
  <c r="R1014" i="1"/>
  <c r="P1014" i="1"/>
  <c r="N1014" i="1"/>
  <c r="Y1014" i="1" s="1"/>
  <c r="L1014" i="1"/>
  <c r="J1014" i="1"/>
  <c r="H1014" i="1"/>
  <c r="G1014" i="1"/>
  <c r="E1014" i="1"/>
  <c r="B1014" i="1"/>
  <c r="W1014" i="1" s="1"/>
  <c r="Y1013" i="1"/>
  <c r="R1013" i="1"/>
  <c r="P1013" i="1"/>
  <c r="N1013" i="1"/>
  <c r="L1013" i="1"/>
  <c r="J1013" i="1"/>
  <c r="H1013" i="1"/>
  <c r="G1013" i="1"/>
  <c r="E1013" i="1"/>
  <c r="B1013" i="1"/>
  <c r="U1013" i="1" s="1"/>
  <c r="Y1012" i="1"/>
  <c r="W1012" i="1"/>
  <c r="V1012" i="1"/>
  <c r="R1012" i="1"/>
  <c r="P1012" i="1"/>
  <c r="T1012" i="1" s="1"/>
  <c r="N1012" i="1"/>
  <c r="L1012" i="1"/>
  <c r="J1012" i="1"/>
  <c r="H1012" i="1"/>
  <c r="G1012" i="1"/>
  <c r="E1012" i="1"/>
  <c r="B1012" i="1"/>
  <c r="U1012" i="1" s="1"/>
  <c r="Z1011" i="1"/>
  <c r="W1011" i="1"/>
  <c r="U1011" i="1"/>
  <c r="T1011" i="1"/>
  <c r="X1011" i="1" s="1" a="1"/>
  <c r="X1011" i="1" s="1"/>
  <c r="R1011" i="1"/>
  <c r="P1011" i="1"/>
  <c r="N1011" i="1"/>
  <c r="Y1011" i="1" s="1"/>
  <c r="L1011" i="1"/>
  <c r="J1011" i="1"/>
  <c r="H1011" i="1"/>
  <c r="G1011" i="1"/>
  <c r="E1011" i="1"/>
  <c r="B1011" i="1"/>
  <c r="V1011" i="1" s="1"/>
  <c r="X1010" i="1"/>
  <c r="X1010" i="1" a="1"/>
  <c r="V1010" i="1"/>
  <c r="U1010" i="1"/>
  <c r="T1010" i="1"/>
  <c r="Z1010" i="1" s="1"/>
  <c r="R1010" i="1"/>
  <c r="P1010" i="1"/>
  <c r="N1010" i="1"/>
  <c r="Y1010" i="1" s="1"/>
  <c r="L1010" i="1"/>
  <c r="J1010" i="1"/>
  <c r="H1010" i="1"/>
  <c r="G1010" i="1"/>
  <c r="E1010" i="1"/>
  <c r="B1010" i="1"/>
  <c r="W1010" i="1" s="1"/>
  <c r="Y1009" i="1"/>
  <c r="X1009" i="1"/>
  <c r="R1009" i="1"/>
  <c r="P1009" i="1"/>
  <c r="T1009" i="1" s="1"/>
  <c r="X1009" i="1" s="1" a="1"/>
  <c r="N1009" i="1"/>
  <c r="L1009" i="1"/>
  <c r="J1009" i="1"/>
  <c r="H1009" i="1"/>
  <c r="G1009" i="1"/>
  <c r="E1009" i="1"/>
  <c r="B1009" i="1"/>
  <c r="W1009" i="1" s="1"/>
  <c r="Y1008" i="1"/>
  <c r="W1008" i="1"/>
  <c r="V1008" i="1"/>
  <c r="R1008" i="1"/>
  <c r="P1008" i="1"/>
  <c r="T1008" i="1" s="1"/>
  <c r="N1008" i="1"/>
  <c r="L1008" i="1"/>
  <c r="J1008" i="1"/>
  <c r="H1008" i="1"/>
  <c r="G1008" i="1"/>
  <c r="E1008" i="1"/>
  <c r="B1008" i="1"/>
  <c r="U1008" i="1" s="1"/>
  <c r="W1007" i="1"/>
  <c r="U1007" i="1"/>
  <c r="T1007" i="1"/>
  <c r="Z1007" i="1" s="1"/>
  <c r="R1007" i="1"/>
  <c r="P1007" i="1"/>
  <c r="N1007" i="1"/>
  <c r="Y1007" i="1" s="1"/>
  <c r="L1007" i="1"/>
  <c r="J1007" i="1"/>
  <c r="H1007" i="1"/>
  <c r="G1007" i="1"/>
  <c r="E1007" i="1"/>
  <c r="B1007" i="1"/>
  <c r="V1007" i="1" s="1"/>
  <c r="V1006" i="1"/>
  <c r="U1006" i="1"/>
  <c r="T1006" i="1"/>
  <c r="Z1006" i="1" s="1"/>
  <c r="R1006" i="1"/>
  <c r="P1006" i="1"/>
  <c r="N1006" i="1"/>
  <c r="Y1006" i="1" s="1"/>
  <c r="L1006" i="1"/>
  <c r="J1006" i="1"/>
  <c r="H1006" i="1"/>
  <c r="G1006" i="1"/>
  <c r="E1006" i="1"/>
  <c r="B1006" i="1"/>
  <c r="W1006" i="1" s="1"/>
  <c r="Y1005" i="1"/>
  <c r="R1005" i="1"/>
  <c r="P1005" i="1"/>
  <c r="N1005" i="1"/>
  <c r="L1005" i="1"/>
  <c r="J1005" i="1"/>
  <c r="H1005" i="1"/>
  <c r="G1005" i="1"/>
  <c r="E1005" i="1"/>
  <c r="B1005" i="1"/>
  <c r="U1005" i="1" s="1"/>
  <c r="Y1004" i="1"/>
  <c r="W1004" i="1"/>
  <c r="V1004" i="1"/>
  <c r="R1004" i="1"/>
  <c r="P1004" i="1"/>
  <c r="T1004" i="1" s="1"/>
  <c r="N1004" i="1"/>
  <c r="L1004" i="1"/>
  <c r="J1004" i="1"/>
  <c r="H1004" i="1"/>
  <c r="G1004" i="1"/>
  <c r="E1004" i="1"/>
  <c r="B1004" i="1"/>
  <c r="U1004" i="1" s="1"/>
  <c r="Z1003" i="1"/>
  <c r="W1003" i="1"/>
  <c r="U1003" i="1"/>
  <c r="T1003" i="1"/>
  <c r="X1003" i="1" s="1" a="1"/>
  <c r="X1003" i="1" s="1"/>
  <c r="R1003" i="1"/>
  <c r="P1003" i="1"/>
  <c r="N1003" i="1"/>
  <c r="Y1003" i="1" s="1"/>
  <c r="L1003" i="1"/>
  <c r="J1003" i="1"/>
  <c r="H1003" i="1"/>
  <c r="G1003" i="1"/>
  <c r="E1003" i="1"/>
  <c r="B1003" i="1"/>
  <c r="V1003" i="1" s="1"/>
  <c r="V1002" i="1"/>
  <c r="U1002" i="1"/>
  <c r="T1002" i="1"/>
  <c r="Z1002" i="1" s="1"/>
  <c r="R1002" i="1"/>
  <c r="P1002" i="1"/>
  <c r="N1002" i="1"/>
  <c r="Y1002" i="1" s="1"/>
  <c r="L1002" i="1"/>
  <c r="J1002" i="1"/>
  <c r="H1002" i="1"/>
  <c r="G1002" i="1"/>
  <c r="E1002" i="1"/>
  <c r="B1002" i="1"/>
  <c r="W1002" i="1" s="1"/>
  <c r="Y1001" i="1"/>
  <c r="R1001" i="1"/>
  <c r="P1001" i="1"/>
  <c r="N1001" i="1"/>
  <c r="L1001" i="1"/>
  <c r="J1001" i="1"/>
  <c r="H1001" i="1"/>
  <c r="G1001" i="1"/>
  <c r="E1001" i="1"/>
  <c r="B1001" i="1"/>
  <c r="W1001" i="1" s="1"/>
  <c r="Y1000" i="1"/>
  <c r="W1000" i="1"/>
  <c r="V1000" i="1"/>
  <c r="R1000" i="1"/>
  <c r="P1000" i="1"/>
  <c r="T1000" i="1" s="1"/>
  <c r="N1000" i="1"/>
  <c r="L1000" i="1"/>
  <c r="J1000" i="1"/>
  <c r="H1000" i="1"/>
  <c r="G1000" i="1"/>
  <c r="E1000" i="1"/>
  <c r="B1000" i="1"/>
  <c r="U1000" i="1" s="1"/>
  <c r="Z999" i="1"/>
  <c r="U999" i="1"/>
  <c r="T999" i="1"/>
  <c r="X999" i="1" s="1" a="1"/>
  <c r="X999" i="1" s="1"/>
  <c r="R999" i="1"/>
  <c r="P999" i="1"/>
  <c r="N999" i="1"/>
  <c r="Y999" i="1" s="1"/>
  <c r="L999" i="1"/>
  <c r="J999" i="1"/>
  <c r="H999" i="1"/>
  <c r="G999" i="1"/>
  <c r="E999" i="1"/>
  <c r="B999" i="1"/>
  <c r="V999" i="1" s="1"/>
  <c r="V998" i="1"/>
  <c r="U998" i="1"/>
  <c r="T998" i="1"/>
  <c r="Z998" i="1" s="1"/>
  <c r="R998" i="1"/>
  <c r="P998" i="1"/>
  <c r="N998" i="1"/>
  <c r="Y998" i="1" s="1"/>
  <c r="L998" i="1"/>
  <c r="J998" i="1"/>
  <c r="H998" i="1"/>
  <c r="G998" i="1"/>
  <c r="E998" i="1"/>
  <c r="B998" i="1"/>
  <c r="W998" i="1" s="1"/>
  <c r="Y997" i="1"/>
  <c r="R997" i="1"/>
  <c r="P997" i="1"/>
  <c r="N997" i="1"/>
  <c r="L997" i="1"/>
  <c r="J997" i="1"/>
  <c r="H997" i="1"/>
  <c r="G997" i="1"/>
  <c r="E997" i="1"/>
  <c r="B997" i="1"/>
  <c r="U997" i="1" s="1"/>
  <c r="Y996" i="1"/>
  <c r="W996" i="1"/>
  <c r="V996" i="1"/>
  <c r="R996" i="1"/>
  <c r="P996" i="1"/>
  <c r="T996" i="1" s="1"/>
  <c r="N996" i="1"/>
  <c r="L996" i="1"/>
  <c r="J996" i="1"/>
  <c r="H996" i="1"/>
  <c r="G996" i="1"/>
  <c r="E996" i="1"/>
  <c r="B996" i="1"/>
  <c r="U996" i="1" s="1"/>
  <c r="Z995" i="1"/>
  <c r="W995" i="1"/>
  <c r="U995" i="1"/>
  <c r="T995" i="1"/>
  <c r="X995" i="1" s="1" a="1"/>
  <c r="X995" i="1" s="1"/>
  <c r="R995" i="1"/>
  <c r="P995" i="1"/>
  <c r="N995" i="1"/>
  <c r="Y995" i="1" s="1"/>
  <c r="L995" i="1"/>
  <c r="J995" i="1"/>
  <c r="H995" i="1"/>
  <c r="G995" i="1"/>
  <c r="E995" i="1"/>
  <c r="B995" i="1"/>
  <c r="V995" i="1" s="1"/>
  <c r="V994" i="1"/>
  <c r="U994" i="1"/>
  <c r="T994" i="1"/>
  <c r="Z994" i="1" s="1"/>
  <c r="R994" i="1"/>
  <c r="P994" i="1"/>
  <c r="N994" i="1"/>
  <c r="Y994" i="1" s="1"/>
  <c r="L994" i="1"/>
  <c r="J994" i="1"/>
  <c r="H994" i="1"/>
  <c r="G994" i="1"/>
  <c r="E994" i="1"/>
  <c r="B994" i="1"/>
  <c r="W994" i="1" s="1"/>
  <c r="R993" i="1"/>
  <c r="P993" i="1"/>
  <c r="N993" i="1"/>
  <c r="Y993" i="1" s="1"/>
  <c r="L993" i="1"/>
  <c r="J993" i="1"/>
  <c r="H993" i="1"/>
  <c r="G993" i="1"/>
  <c r="E993" i="1"/>
  <c r="B993" i="1"/>
  <c r="W993" i="1" s="1"/>
  <c r="Y992" i="1"/>
  <c r="W992" i="1"/>
  <c r="V992" i="1"/>
  <c r="R992" i="1"/>
  <c r="P992" i="1"/>
  <c r="T992" i="1" s="1"/>
  <c r="N992" i="1"/>
  <c r="L992" i="1"/>
  <c r="J992" i="1"/>
  <c r="H992" i="1"/>
  <c r="G992" i="1"/>
  <c r="E992" i="1"/>
  <c r="B992" i="1"/>
  <c r="U992" i="1" s="1"/>
  <c r="Z991" i="1"/>
  <c r="U991" i="1"/>
  <c r="T991" i="1"/>
  <c r="X991" i="1" s="1" a="1"/>
  <c r="X991" i="1" s="1"/>
  <c r="R991" i="1"/>
  <c r="P991" i="1"/>
  <c r="N991" i="1"/>
  <c r="Y991" i="1" s="1"/>
  <c r="L991" i="1"/>
  <c r="J991" i="1"/>
  <c r="H991" i="1"/>
  <c r="G991" i="1"/>
  <c r="E991" i="1"/>
  <c r="B991" i="1"/>
  <c r="V991" i="1" s="1"/>
  <c r="V990" i="1"/>
  <c r="U990" i="1"/>
  <c r="T990" i="1"/>
  <c r="Z990" i="1" s="1"/>
  <c r="R990" i="1"/>
  <c r="P990" i="1"/>
  <c r="N990" i="1"/>
  <c r="Y990" i="1" s="1"/>
  <c r="L990" i="1"/>
  <c r="J990" i="1"/>
  <c r="H990" i="1"/>
  <c r="G990" i="1"/>
  <c r="E990" i="1"/>
  <c r="B990" i="1"/>
  <c r="W990" i="1" s="1"/>
  <c r="R989" i="1"/>
  <c r="P989" i="1"/>
  <c r="N989" i="1"/>
  <c r="Y989" i="1" s="1"/>
  <c r="L989" i="1"/>
  <c r="J989" i="1"/>
  <c r="H989" i="1"/>
  <c r="G989" i="1"/>
  <c r="E989" i="1"/>
  <c r="B989" i="1"/>
  <c r="U989" i="1" s="1"/>
  <c r="Y988" i="1"/>
  <c r="W988" i="1"/>
  <c r="V988" i="1"/>
  <c r="R988" i="1"/>
  <c r="P988" i="1"/>
  <c r="T988" i="1" s="1"/>
  <c r="N988" i="1"/>
  <c r="L988" i="1"/>
  <c r="J988" i="1"/>
  <c r="H988" i="1"/>
  <c r="G988" i="1"/>
  <c r="E988" i="1"/>
  <c r="B988" i="1"/>
  <c r="U988" i="1" s="1"/>
  <c r="Z987" i="1"/>
  <c r="U987" i="1"/>
  <c r="T987" i="1"/>
  <c r="X987" i="1" s="1" a="1"/>
  <c r="X987" i="1" s="1"/>
  <c r="R987" i="1"/>
  <c r="P987" i="1"/>
  <c r="N987" i="1"/>
  <c r="Y987" i="1" s="1"/>
  <c r="L987" i="1"/>
  <c r="J987" i="1"/>
  <c r="H987" i="1"/>
  <c r="G987" i="1"/>
  <c r="E987" i="1"/>
  <c r="B987" i="1"/>
  <c r="V987" i="1" s="1"/>
  <c r="V986" i="1"/>
  <c r="U986" i="1"/>
  <c r="T986" i="1"/>
  <c r="Z986" i="1" s="1"/>
  <c r="R986" i="1"/>
  <c r="P986" i="1"/>
  <c r="N986" i="1"/>
  <c r="Y986" i="1" s="1"/>
  <c r="L986" i="1"/>
  <c r="J986" i="1"/>
  <c r="H986" i="1"/>
  <c r="G986" i="1"/>
  <c r="E986" i="1"/>
  <c r="B986" i="1"/>
  <c r="W986" i="1" s="1"/>
  <c r="R985" i="1"/>
  <c r="P985" i="1"/>
  <c r="N985" i="1"/>
  <c r="Y985" i="1" s="1"/>
  <c r="L985" i="1"/>
  <c r="J985" i="1"/>
  <c r="H985" i="1"/>
  <c r="G985" i="1"/>
  <c r="E985" i="1"/>
  <c r="B985" i="1"/>
  <c r="W985" i="1" s="1"/>
  <c r="Y984" i="1"/>
  <c r="W984" i="1"/>
  <c r="V984" i="1"/>
  <c r="R984" i="1"/>
  <c r="P984" i="1"/>
  <c r="T984" i="1" s="1"/>
  <c r="N984" i="1"/>
  <c r="L984" i="1"/>
  <c r="J984" i="1"/>
  <c r="H984" i="1"/>
  <c r="G984" i="1"/>
  <c r="E984" i="1"/>
  <c r="B984" i="1"/>
  <c r="U984" i="1" s="1"/>
  <c r="Z983" i="1"/>
  <c r="U983" i="1"/>
  <c r="T983" i="1"/>
  <c r="X983" i="1" s="1" a="1"/>
  <c r="X983" i="1" s="1"/>
  <c r="R983" i="1"/>
  <c r="P983" i="1"/>
  <c r="N983" i="1"/>
  <c r="Y983" i="1" s="1"/>
  <c r="L983" i="1"/>
  <c r="J983" i="1"/>
  <c r="H983" i="1"/>
  <c r="G983" i="1"/>
  <c r="E983" i="1"/>
  <c r="B983" i="1"/>
  <c r="V983" i="1" s="1"/>
  <c r="V982" i="1"/>
  <c r="U982" i="1"/>
  <c r="T982" i="1"/>
  <c r="Z982" i="1" s="1"/>
  <c r="R982" i="1"/>
  <c r="P982" i="1"/>
  <c r="N982" i="1"/>
  <c r="Y982" i="1" s="1"/>
  <c r="L982" i="1"/>
  <c r="J982" i="1"/>
  <c r="H982" i="1"/>
  <c r="G982" i="1"/>
  <c r="E982" i="1"/>
  <c r="B982" i="1"/>
  <c r="W982" i="1" s="1"/>
  <c r="R981" i="1"/>
  <c r="P981" i="1"/>
  <c r="N981" i="1"/>
  <c r="Y981" i="1" s="1"/>
  <c r="L981" i="1"/>
  <c r="J981" i="1"/>
  <c r="H981" i="1"/>
  <c r="G981" i="1"/>
  <c r="E981" i="1"/>
  <c r="B981" i="1"/>
  <c r="U981" i="1" s="1"/>
  <c r="Y980" i="1"/>
  <c r="W980" i="1"/>
  <c r="V980" i="1"/>
  <c r="R980" i="1"/>
  <c r="P980" i="1"/>
  <c r="T980" i="1" s="1"/>
  <c r="N980" i="1"/>
  <c r="L980" i="1"/>
  <c r="J980" i="1"/>
  <c r="H980" i="1"/>
  <c r="G980" i="1"/>
  <c r="E980" i="1"/>
  <c r="B980" i="1"/>
  <c r="U980" i="1" s="1"/>
  <c r="Z979" i="1"/>
  <c r="U979" i="1"/>
  <c r="T979" i="1"/>
  <c r="X979" i="1" s="1" a="1"/>
  <c r="X979" i="1" s="1"/>
  <c r="R979" i="1"/>
  <c r="P979" i="1"/>
  <c r="N979" i="1"/>
  <c r="Y979" i="1" s="1"/>
  <c r="L979" i="1"/>
  <c r="J979" i="1"/>
  <c r="H979" i="1"/>
  <c r="G979" i="1"/>
  <c r="E979" i="1"/>
  <c r="B979" i="1"/>
  <c r="V979" i="1" s="1"/>
  <c r="V978" i="1"/>
  <c r="U978" i="1"/>
  <c r="T978" i="1"/>
  <c r="Z978" i="1" s="1"/>
  <c r="R978" i="1"/>
  <c r="P978" i="1"/>
  <c r="N978" i="1"/>
  <c r="Y978" i="1" s="1"/>
  <c r="L978" i="1"/>
  <c r="J978" i="1"/>
  <c r="H978" i="1"/>
  <c r="G978" i="1"/>
  <c r="E978" i="1"/>
  <c r="B978" i="1"/>
  <c r="W978" i="1" s="1"/>
  <c r="R977" i="1"/>
  <c r="P977" i="1"/>
  <c r="N977" i="1"/>
  <c r="Y977" i="1" s="1"/>
  <c r="L977" i="1"/>
  <c r="J977" i="1"/>
  <c r="H977" i="1"/>
  <c r="G977" i="1"/>
  <c r="E977" i="1"/>
  <c r="B977" i="1"/>
  <c r="W977" i="1" s="1"/>
  <c r="Y976" i="1"/>
  <c r="W976" i="1"/>
  <c r="V976" i="1"/>
  <c r="R976" i="1"/>
  <c r="P976" i="1"/>
  <c r="T976" i="1" s="1"/>
  <c r="N976" i="1"/>
  <c r="L976" i="1"/>
  <c r="J976" i="1"/>
  <c r="H976" i="1"/>
  <c r="G976" i="1"/>
  <c r="E976" i="1"/>
  <c r="B976" i="1"/>
  <c r="U976" i="1" s="1"/>
  <c r="Z975" i="1"/>
  <c r="U975" i="1"/>
  <c r="T975" i="1"/>
  <c r="X975" i="1" s="1" a="1"/>
  <c r="X975" i="1" s="1"/>
  <c r="R975" i="1"/>
  <c r="P975" i="1"/>
  <c r="N975" i="1"/>
  <c r="Y975" i="1" s="1"/>
  <c r="L975" i="1"/>
  <c r="J975" i="1"/>
  <c r="H975" i="1"/>
  <c r="G975" i="1"/>
  <c r="E975" i="1"/>
  <c r="B975" i="1"/>
  <c r="V975" i="1" s="1"/>
  <c r="V974" i="1"/>
  <c r="U974" i="1"/>
  <c r="T974" i="1"/>
  <c r="Z974" i="1" s="1"/>
  <c r="R974" i="1"/>
  <c r="P974" i="1"/>
  <c r="N974" i="1"/>
  <c r="Y974" i="1" s="1"/>
  <c r="L974" i="1"/>
  <c r="J974" i="1"/>
  <c r="H974" i="1"/>
  <c r="G974" i="1"/>
  <c r="E974" i="1"/>
  <c r="B974" i="1"/>
  <c r="W974" i="1" s="1"/>
  <c r="R973" i="1"/>
  <c r="P973" i="1"/>
  <c r="N973" i="1"/>
  <c r="Y973" i="1" s="1"/>
  <c r="L973" i="1"/>
  <c r="J973" i="1"/>
  <c r="H973" i="1"/>
  <c r="G973" i="1"/>
  <c r="E973" i="1"/>
  <c r="B973" i="1"/>
  <c r="U973" i="1" s="1"/>
  <c r="Y972" i="1"/>
  <c r="W972" i="1"/>
  <c r="V972" i="1"/>
  <c r="R972" i="1"/>
  <c r="P972" i="1"/>
  <c r="T972" i="1" s="1"/>
  <c r="N972" i="1"/>
  <c r="L972" i="1"/>
  <c r="J972" i="1"/>
  <c r="H972" i="1"/>
  <c r="G972" i="1"/>
  <c r="E972" i="1"/>
  <c r="B972" i="1"/>
  <c r="U972" i="1" s="1"/>
  <c r="Z971" i="1"/>
  <c r="U971" i="1"/>
  <c r="T971" i="1"/>
  <c r="X971" i="1" s="1" a="1"/>
  <c r="X971" i="1" s="1"/>
  <c r="R971" i="1"/>
  <c r="P971" i="1"/>
  <c r="N971" i="1"/>
  <c r="Y971" i="1" s="1"/>
  <c r="L971" i="1"/>
  <c r="J971" i="1"/>
  <c r="H971" i="1"/>
  <c r="G971" i="1"/>
  <c r="E971" i="1"/>
  <c r="B971" i="1"/>
  <c r="V971" i="1" s="1"/>
  <c r="V970" i="1"/>
  <c r="U970" i="1"/>
  <c r="T970" i="1"/>
  <c r="Z970" i="1" s="1"/>
  <c r="R970" i="1"/>
  <c r="P970" i="1"/>
  <c r="N970" i="1"/>
  <c r="Y970" i="1" s="1"/>
  <c r="L970" i="1"/>
  <c r="J970" i="1"/>
  <c r="H970" i="1"/>
  <c r="G970" i="1"/>
  <c r="E970" i="1"/>
  <c r="B970" i="1"/>
  <c r="W970" i="1" s="1"/>
  <c r="R969" i="1"/>
  <c r="P969" i="1"/>
  <c r="N969" i="1"/>
  <c r="Y969" i="1" s="1"/>
  <c r="L969" i="1"/>
  <c r="J969" i="1"/>
  <c r="H969" i="1"/>
  <c r="G969" i="1"/>
  <c r="E969" i="1"/>
  <c r="B969" i="1"/>
  <c r="W969" i="1" s="1"/>
  <c r="Y968" i="1"/>
  <c r="X968" i="1" a="1"/>
  <c r="X968" i="1" s="1"/>
  <c r="T968" i="1"/>
  <c r="Z968" i="1" s="1"/>
  <c r="R968" i="1"/>
  <c r="P968" i="1"/>
  <c r="N968" i="1"/>
  <c r="L968" i="1"/>
  <c r="J968" i="1"/>
  <c r="H968" i="1"/>
  <c r="G968" i="1"/>
  <c r="E968" i="1"/>
  <c r="B968" i="1"/>
  <c r="W968" i="1" s="1"/>
  <c r="U967" i="1"/>
  <c r="T967" i="1"/>
  <c r="X967" i="1" s="1" a="1"/>
  <c r="X967" i="1" s="1"/>
  <c r="R967" i="1"/>
  <c r="P967" i="1"/>
  <c r="N967" i="1"/>
  <c r="Y967" i="1" s="1"/>
  <c r="L967" i="1"/>
  <c r="J967" i="1"/>
  <c r="H967" i="1"/>
  <c r="G967" i="1"/>
  <c r="E967" i="1"/>
  <c r="B967" i="1"/>
  <c r="W967" i="1" s="1"/>
  <c r="Y966" i="1"/>
  <c r="W966" i="1"/>
  <c r="V966" i="1"/>
  <c r="U966" i="1"/>
  <c r="R966" i="1"/>
  <c r="P966" i="1"/>
  <c r="T966" i="1" s="1"/>
  <c r="N966" i="1"/>
  <c r="L966" i="1"/>
  <c r="J966" i="1"/>
  <c r="H966" i="1"/>
  <c r="G966" i="1"/>
  <c r="E966" i="1"/>
  <c r="B966" i="1"/>
  <c r="Y965" i="1"/>
  <c r="R965" i="1"/>
  <c r="P965" i="1"/>
  <c r="T965" i="1" s="1"/>
  <c r="N965" i="1"/>
  <c r="L965" i="1"/>
  <c r="J965" i="1"/>
  <c r="H965" i="1"/>
  <c r="G965" i="1"/>
  <c r="E965" i="1"/>
  <c r="B965" i="1"/>
  <c r="W965" i="1" s="1"/>
  <c r="Y964" i="1"/>
  <c r="W964" i="1"/>
  <c r="T964" i="1"/>
  <c r="Z964" i="1" s="1"/>
  <c r="R964" i="1"/>
  <c r="P964" i="1"/>
  <c r="N964" i="1"/>
  <c r="L964" i="1"/>
  <c r="J964" i="1"/>
  <c r="H964" i="1"/>
  <c r="G964" i="1"/>
  <c r="E964" i="1"/>
  <c r="B964" i="1"/>
  <c r="U964" i="1" s="1"/>
  <c r="X963" i="1"/>
  <c r="X963" i="1" a="1"/>
  <c r="U963" i="1"/>
  <c r="T963" i="1"/>
  <c r="Z963" i="1" s="1"/>
  <c r="R963" i="1"/>
  <c r="P963" i="1"/>
  <c r="N963" i="1"/>
  <c r="Y963" i="1" s="1"/>
  <c r="L963" i="1"/>
  <c r="J963" i="1"/>
  <c r="H963" i="1"/>
  <c r="G963" i="1"/>
  <c r="E963" i="1"/>
  <c r="B963" i="1"/>
  <c r="V963" i="1" s="1"/>
  <c r="Y962" i="1"/>
  <c r="V962" i="1"/>
  <c r="U962" i="1"/>
  <c r="R962" i="1"/>
  <c r="P962" i="1"/>
  <c r="T962" i="1" s="1"/>
  <c r="N962" i="1"/>
  <c r="L962" i="1"/>
  <c r="J962" i="1"/>
  <c r="H962" i="1"/>
  <c r="G962" i="1"/>
  <c r="E962" i="1"/>
  <c r="B962" i="1"/>
  <c r="W962" i="1" s="1"/>
  <c r="Y961" i="1"/>
  <c r="W961" i="1"/>
  <c r="R961" i="1"/>
  <c r="P961" i="1"/>
  <c r="T961" i="1" s="1"/>
  <c r="N961" i="1"/>
  <c r="L961" i="1"/>
  <c r="J961" i="1"/>
  <c r="H961" i="1"/>
  <c r="G961" i="1"/>
  <c r="E961" i="1"/>
  <c r="B961" i="1"/>
  <c r="V961" i="1" s="1"/>
  <c r="Y960" i="1"/>
  <c r="X960" i="1" a="1"/>
  <c r="X960" i="1" s="1"/>
  <c r="T960" i="1"/>
  <c r="Z960" i="1" s="1"/>
  <c r="R960" i="1"/>
  <c r="P960" i="1"/>
  <c r="N960" i="1"/>
  <c r="L960" i="1"/>
  <c r="J960" i="1"/>
  <c r="H960" i="1"/>
  <c r="G960" i="1"/>
  <c r="E960" i="1"/>
  <c r="B960" i="1"/>
  <c r="W960" i="1" s="1"/>
  <c r="U959" i="1"/>
  <c r="T959" i="1"/>
  <c r="X959" i="1" s="1" a="1"/>
  <c r="X959" i="1" s="1"/>
  <c r="R959" i="1"/>
  <c r="P959" i="1"/>
  <c r="N959" i="1"/>
  <c r="Y959" i="1" s="1"/>
  <c r="L959" i="1"/>
  <c r="J959" i="1"/>
  <c r="H959" i="1"/>
  <c r="G959" i="1"/>
  <c r="E959" i="1"/>
  <c r="B959" i="1"/>
  <c r="W959" i="1" s="1"/>
  <c r="Y958" i="1"/>
  <c r="V958" i="1"/>
  <c r="U958" i="1"/>
  <c r="R958" i="1"/>
  <c r="P958" i="1"/>
  <c r="T958" i="1" s="1"/>
  <c r="N958" i="1"/>
  <c r="L958" i="1"/>
  <c r="J958" i="1"/>
  <c r="H958" i="1"/>
  <c r="G958" i="1"/>
  <c r="E958" i="1"/>
  <c r="B958" i="1"/>
  <c r="W958" i="1" s="1"/>
  <c r="Y957" i="1"/>
  <c r="R957" i="1"/>
  <c r="P957" i="1"/>
  <c r="T957" i="1" s="1"/>
  <c r="N957" i="1"/>
  <c r="L957" i="1"/>
  <c r="J957" i="1"/>
  <c r="H957" i="1"/>
  <c r="G957" i="1"/>
  <c r="E957" i="1"/>
  <c r="B957" i="1"/>
  <c r="W957" i="1" s="1"/>
  <c r="Y956" i="1"/>
  <c r="W956" i="1"/>
  <c r="T956" i="1"/>
  <c r="Z956" i="1" s="1"/>
  <c r="R956" i="1"/>
  <c r="P956" i="1"/>
  <c r="N956" i="1"/>
  <c r="L956" i="1"/>
  <c r="J956" i="1"/>
  <c r="H956" i="1"/>
  <c r="G956" i="1"/>
  <c r="E956" i="1"/>
  <c r="B956" i="1"/>
  <c r="U956" i="1" s="1"/>
  <c r="X955" i="1"/>
  <c r="X955" i="1" a="1"/>
  <c r="U955" i="1"/>
  <c r="T955" i="1"/>
  <c r="Z955" i="1" s="1"/>
  <c r="R955" i="1"/>
  <c r="P955" i="1"/>
  <c r="N955" i="1"/>
  <c r="Y955" i="1" s="1"/>
  <c r="L955" i="1"/>
  <c r="J955" i="1"/>
  <c r="H955" i="1"/>
  <c r="G955" i="1"/>
  <c r="E955" i="1"/>
  <c r="B955" i="1"/>
  <c r="V955" i="1" s="1"/>
  <c r="Y954" i="1"/>
  <c r="V954" i="1"/>
  <c r="U954" i="1"/>
  <c r="R954" i="1"/>
  <c r="P954" i="1"/>
  <c r="T954" i="1" s="1"/>
  <c r="N954" i="1"/>
  <c r="L954" i="1"/>
  <c r="J954" i="1"/>
  <c r="H954" i="1"/>
  <c r="G954" i="1"/>
  <c r="E954" i="1"/>
  <c r="B954" i="1"/>
  <c r="W954" i="1" s="1"/>
  <c r="Y953" i="1"/>
  <c r="W953" i="1"/>
  <c r="R953" i="1"/>
  <c r="P953" i="1"/>
  <c r="T953" i="1" s="1"/>
  <c r="N953" i="1"/>
  <c r="L953" i="1"/>
  <c r="J953" i="1"/>
  <c r="H953" i="1"/>
  <c r="G953" i="1"/>
  <c r="E953" i="1"/>
  <c r="B953" i="1"/>
  <c r="V953" i="1" s="1"/>
  <c r="Y952" i="1"/>
  <c r="X952" i="1" a="1"/>
  <c r="X952" i="1" s="1"/>
  <c r="T952" i="1"/>
  <c r="Z952" i="1" s="1"/>
  <c r="R952" i="1"/>
  <c r="P952" i="1"/>
  <c r="N952" i="1"/>
  <c r="L952" i="1"/>
  <c r="J952" i="1"/>
  <c r="H952" i="1"/>
  <c r="G952" i="1"/>
  <c r="E952" i="1"/>
  <c r="B952" i="1"/>
  <c r="W952" i="1" s="1"/>
  <c r="U951" i="1"/>
  <c r="T951" i="1"/>
  <c r="X951" i="1" s="1" a="1"/>
  <c r="X951" i="1" s="1"/>
  <c r="R951" i="1"/>
  <c r="P951" i="1"/>
  <c r="N951" i="1"/>
  <c r="Y951" i="1" s="1"/>
  <c r="L951" i="1"/>
  <c r="J951" i="1"/>
  <c r="H951" i="1"/>
  <c r="G951" i="1"/>
  <c r="E951" i="1"/>
  <c r="B951" i="1"/>
  <c r="W951" i="1" s="1"/>
  <c r="Y950" i="1"/>
  <c r="V950" i="1"/>
  <c r="U950" i="1"/>
  <c r="R950" i="1"/>
  <c r="P950" i="1"/>
  <c r="T950" i="1" s="1"/>
  <c r="N950" i="1"/>
  <c r="L950" i="1"/>
  <c r="J950" i="1"/>
  <c r="H950" i="1"/>
  <c r="G950" i="1"/>
  <c r="E950" i="1"/>
  <c r="B950" i="1"/>
  <c r="W950" i="1" s="1"/>
  <c r="Y949" i="1"/>
  <c r="R949" i="1"/>
  <c r="P949" i="1"/>
  <c r="T949" i="1" s="1"/>
  <c r="N949" i="1"/>
  <c r="L949" i="1"/>
  <c r="J949" i="1"/>
  <c r="H949" i="1"/>
  <c r="G949" i="1"/>
  <c r="E949" i="1"/>
  <c r="B949" i="1"/>
  <c r="W949" i="1" s="1"/>
  <c r="Y948" i="1"/>
  <c r="W948" i="1"/>
  <c r="T948" i="1"/>
  <c r="Z948" i="1" s="1"/>
  <c r="R948" i="1"/>
  <c r="P948" i="1"/>
  <c r="N948" i="1"/>
  <c r="L948" i="1"/>
  <c r="J948" i="1"/>
  <c r="H948" i="1"/>
  <c r="G948" i="1"/>
  <c r="E948" i="1"/>
  <c r="B948" i="1"/>
  <c r="U948" i="1" s="1"/>
  <c r="X947" i="1"/>
  <c r="X947" i="1" a="1"/>
  <c r="U947" i="1"/>
  <c r="T947" i="1"/>
  <c r="Z947" i="1" s="1"/>
  <c r="R947" i="1"/>
  <c r="P947" i="1"/>
  <c r="N947" i="1"/>
  <c r="Y947" i="1" s="1"/>
  <c r="L947" i="1"/>
  <c r="J947" i="1"/>
  <c r="H947" i="1"/>
  <c r="G947" i="1"/>
  <c r="E947" i="1"/>
  <c r="B947" i="1"/>
  <c r="V947" i="1" s="1"/>
  <c r="Y946" i="1"/>
  <c r="V946" i="1"/>
  <c r="U946" i="1"/>
  <c r="R946" i="1"/>
  <c r="P946" i="1"/>
  <c r="T946" i="1" s="1"/>
  <c r="N946" i="1"/>
  <c r="L946" i="1"/>
  <c r="J946" i="1"/>
  <c r="H946" i="1"/>
  <c r="G946" i="1"/>
  <c r="E946" i="1"/>
  <c r="B946" i="1"/>
  <c r="W946" i="1" s="1"/>
  <c r="Y945" i="1"/>
  <c r="W945" i="1"/>
  <c r="R945" i="1"/>
  <c r="P945" i="1"/>
  <c r="T945" i="1" s="1"/>
  <c r="N945" i="1"/>
  <c r="L945" i="1"/>
  <c r="J945" i="1"/>
  <c r="H945" i="1"/>
  <c r="G945" i="1"/>
  <c r="E945" i="1"/>
  <c r="B945" i="1"/>
  <c r="V945" i="1" s="1"/>
  <c r="Y944" i="1"/>
  <c r="X944" i="1" a="1"/>
  <c r="X944" i="1" s="1"/>
  <c r="T944" i="1"/>
  <c r="Z944" i="1" s="1"/>
  <c r="R944" i="1"/>
  <c r="P944" i="1"/>
  <c r="N944" i="1"/>
  <c r="L944" i="1"/>
  <c r="J944" i="1"/>
  <c r="H944" i="1"/>
  <c r="G944" i="1"/>
  <c r="E944" i="1"/>
  <c r="B944" i="1"/>
  <c r="W944" i="1" s="1"/>
  <c r="U943" i="1"/>
  <c r="T943" i="1"/>
  <c r="X943" i="1" s="1" a="1"/>
  <c r="X943" i="1" s="1"/>
  <c r="R943" i="1"/>
  <c r="P943" i="1"/>
  <c r="N943" i="1"/>
  <c r="Y943" i="1" s="1"/>
  <c r="L943" i="1"/>
  <c r="J943" i="1"/>
  <c r="H943" i="1"/>
  <c r="G943" i="1"/>
  <c r="E943" i="1"/>
  <c r="B943" i="1"/>
  <c r="W943" i="1" s="1"/>
  <c r="Y942" i="1"/>
  <c r="V942" i="1"/>
  <c r="U942" i="1"/>
  <c r="R942" i="1"/>
  <c r="P942" i="1"/>
  <c r="T942" i="1" s="1"/>
  <c r="N942" i="1"/>
  <c r="L942" i="1"/>
  <c r="J942" i="1"/>
  <c r="H942" i="1"/>
  <c r="G942" i="1"/>
  <c r="E942" i="1"/>
  <c r="B942" i="1"/>
  <c r="W942" i="1" s="1"/>
  <c r="Y941" i="1"/>
  <c r="R941" i="1"/>
  <c r="P941" i="1"/>
  <c r="T941" i="1" s="1"/>
  <c r="N941" i="1"/>
  <c r="L941" i="1"/>
  <c r="J941" i="1"/>
  <c r="H941" i="1"/>
  <c r="G941" i="1"/>
  <c r="E941" i="1"/>
  <c r="B941" i="1"/>
  <c r="W941" i="1" s="1"/>
  <c r="Y940" i="1"/>
  <c r="W940" i="1"/>
  <c r="T940" i="1"/>
  <c r="Z940" i="1" s="1"/>
  <c r="R940" i="1"/>
  <c r="P940" i="1"/>
  <c r="N940" i="1"/>
  <c r="L940" i="1"/>
  <c r="J940" i="1"/>
  <c r="H940" i="1"/>
  <c r="G940" i="1"/>
  <c r="E940" i="1"/>
  <c r="B940" i="1"/>
  <c r="U940" i="1" s="1"/>
  <c r="X939" i="1"/>
  <c r="X939" i="1" a="1"/>
  <c r="U939" i="1"/>
  <c r="T939" i="1"/>
  <c r="Z939" i="1" s="1"/>
  <c r="R939" i="1"/>
  <c r="P939" i="1"/>
  <c r="N939" i="1"/>
  <c r="Y939" i="1" s="1"/>
  <c r="L939" i="1"/>
  <c r="J939" i="1"/>
  <c r="H939" i="1"/>
  <c r="G939" i="1"/>
  <c r="E939" i="1"/>
  <c r="B939" i="1"/>
  <c r="V939" i="1" s="1"/>
  <c r="Y938" i="1"/>
  <c r="V938" i="1"/>
  <c r="U938" i="1"/>
  <c r="R938" i="1"/>
  <c r="P938" i="1"/>
  <c r="T938" i="1" s="1"/>
  <c r="N938" i="1"/>
  <c r="L938" i="1"/>
  <c r="J938" i="1"/>
  <c r="H938" i="1"/>
  <c r="G938" i="1"/>
  <c r="E938" i="1"/>
  <c r="B938" i="1"/>
  <c r="W938" i="1" s="1"/>
  <c r="Y937" i="1"/>
  <c r="W937" i="1"/>
  <c r="R937" i="1"/>
  <c r="P937" i="1"/>
  <c r="T937" i="1" s="1"/>
  <c r="N937" i="1"/>
  <c r="L937" i="1"/>
  <c r="J937" i="1"/>
  <c r="H937" i="1"/>
  <c r="G937" i="1"/>
  <c r="E937" i="1"/>
  <c r="B937" i="1"/>
  <c r="V937" i="1" s="1"/>
  <c r="Y936" i="1"/>
  <c r="X936" i="1" a="1"/>
  <c r="X936" i="1" s="1"/>
  <c r="T936" i="1"/>
  <c r="Z936" i="1" s="1"/>
  <c r="R936" i="1"/>
  <c r="P936" i="1"/>
  <c r="N936" i="1"/>
  <c r="L936" i="1"/>
  <c r="J936" i="1"/>
  <c r="H936" i="1"/>
  <c r="G936" i="1"/>
  <c r="E936" i="1"/>
  <c r="B936" i="1"/>
  <c r="W936" i="1" s="1"/>
  <c r="U935" i="1"/>
  <c r="T935" i="1"/>
  <c r="X935" i="1" s="1" a="1"/>
  <c r="X935" i="1" s="1"/>
  <c r="R935" i="1"/>
  <c r="P935" i="1"/>
  <c r="N935" i="1"/>
  <c r="Y935" i="1" s="1"/>
  <c r="L935" i="1"/>
  <c r="J935" i="1"/>
  <c r="H935" i="1"/>
  <c r="G935" i="1"/>
  <c r="E935" i="1"/>
  <c r="B935" i="1"/>
  <c r="W935" i="1" s="1"/>
  <c r="Y934" i="1"/>
  <c r="V934" i="1"/>
  <c r="U934" i="1"/>
  <c r="R934" i="1"/>
  <c r="P934" i="1"/>
  <c r="T934" i="1" s="1"/>
  <c r="N934" i="1"/>
  <c r="L934" i="1"/>
  <c r="J934" i="1"/>
  <c r="H934" i="1"/>
  <c r="G934" i="1"/>
  <c r="E934" i="1"/>
  <c r="B934" i="1"/>
  <c r="W934" i="1" s="1"/>
  <c r="Y933" i="1"/>
  <c r="R933" i="1"/>
  <c r="P933" i="1"/>
  <c r="T933" i="1" s="1"/>
  <c r="N933" i="1"/>
  <c r="L933" i="1"/>
  <c r="J933" i="1"/>
  <c r="H933" i="1"/>
  <c r="G933" i="1"/>
  <c r="E933" i="1"/>
  <c r="B933" i="1"/>
  <c r="W933" i="1" s="1"/>
  <c r="Y932" i="1"/>
  <c r="W932" i="1"/>
  <c r="T932" i="1"/>
  <c r="Z932" i="1" s="1"/>
  <c r="R932" i="1"/>
  <c r="P932" i="1"/>
  <c r="N932" i="1"/>
  <c r="L932" i="1"/>
  <c r="J932" i="1"/>
  <c r="H932" i="1"/>
  <c r="G932" i="1"/>
  <c r="E932" i="1"/>
  <c r="B932" i="1"/>
  <c r="U932" i="1" s="1"/>
  <c r="X931" i="1"/>
  <c r="X931" i="1" a="1"/>
  <c r="U931" i="1"/>
  <c r="T931" i="1"/>
  <c r="Z931" i="1" s="1"/>
  <c r="R931" i="1"/>
  <c r="P931" i="1"/>
  <c r="N931" i="1"/>
  <c r="Y931" i="1" s="1"/>
  <c r="L931" i="1"/>
  <c r="J931" i="1"/>
  <c r="H931" i="1"/>
  <c r="G931" i="1"/>
  <c r="E931" i="1"/>
  <c r="B931" i="1"/>
  <c r="V931" i="1" s="1"/>
  <c r="Y930" i="1"/>
  <c r="W930" i="1"/>
  <c r="V930" i="1"/>
  <c r="U930" i="1"/>
  <c r="R930" i="1"/>
  <c r="P930" i="1"/>
  <c r="T930" i="1" s="1"/>
  <c r="N930" i="1"/>
  <c r="L930" i="1"/>
  <c r="J930" i="1"/>
  <c r="H930" i="1"/>
  <c r="G930" i="1"/>
  <c r="E930" i="1"/>
  <c r="B930" i="1"/>
  <c r="Y929" i="1"/>
  <c r="W929" i="1"/>
  <c r="R929" i="1"/>
  <c r="P929" i="1"/>
  <c r="T929" i="1" s="1"/>
  <c r="N929" i="1"/>
  <c r="L929" i="1"/>
  <c r="J929" i="1"/>
  <c r="H929" i="1"/>
  <c r="G929" i="1"/>
  <c r="E929" i="1"/>
  <c r="B929" i="1"/>
  <c r="V929" i="1" s="1"/>
  <c r="Y928" i="1"/>
  <c r="X928" i="1" a="1"/>
  <c r="X928" i="1" s="1"/>
  <c r="T928" i="1"/>
  <c r="Z928" i="1" s="1"/>
  <c r="R928" i="1"/>
  <c r="P928" i="1"/>
  <c r="N928" i="1"/>
  <c r="L928" i="1"/>
  <c r="J928" i="1"/>
  <c r="H928" i="1"/>
  <c r="G928" i="1"/>
  <c r="E928" i="1"/>
  <c r="B928" i="1"/>
  <c r="W928" i="1" s="1"/>
  <c r="U927" i="1"/>
  <c r="T927" i="1"/>
  <c r="X927" i="1" s="1" a="1"/>
  <c r="X927" i="1" s="1"/>
  <c r="R927" i="1"/>
  <c r="P927" i="1"/>
  <c r="N927" i="1"/>
  <c r="Y927" i="1" s="1"/>
  <c r="L927" i="1"/>
  <c r="J927" i="1"/>
  <c r="H927" i="1"/>
  <c r="G927" i="1"/>
  <c r="E927" i="1"/>
  <c r="B927" i="1"/>
  <c r="W927" i="1" s="1"/>
  <c r="Y926" i="1"/>
  <c r="V926" i="1"/>
  <c r="U926" i="1"/>
  <c r="R926" i="1"/>
  <c r="P926" i="1"/>
  <c r="T926" i="1" s="1"/>
  <c r="N926" i="1"/>
  <c r="L926" i="1"/>
  <c r="J926" i="1"/>
  <c r="H926" i="1"/>
  <c r="G926" i="1"/>
  <c r="E926" i="1"/>
  <c r="B926" i="1"/>
  <c r="W926" i="1" s="1"/>
  <c r="Y925" i="1"/>
  <c r="R925" i="1"/>
  <c r="P925" i="1"/>
  <c r="T925" i="1" s="1"/>
  <c r="N925" i="1"/>
  <c r="L925" i="1"/>
  <c r="J925" i="1"/>
  <c r="H925" i="1"/>
  <c r="G925" i="1"/>
  <c r="E925" i="1"/>
  <c r="B925" i="1"/>
  <c r="W925" i="1" s="1"/>
  <c r="Y924" i="1"/>
  <c r="W924" i="1"/>
  <c r="T924" i="1"/>
  <c r="Z924" i="1" s="1"/>
  <c r="R924" i="1"/>
  <c r="P924" i="1"/>
  <c r="N924" i="1"/>
  <c r="L924" i="1"/>
  <c r="J924" i="1"/>
  <c r="H924" i="1"/>
  <c r="G924" i="1"/>
  <c r="E924" i="1"/>
  <c r="B924" i="1"/>
  <c r="U924" i="1" s="1"/>
  <c r="X923" i="1"/>
  <c r="X923" i="1" a="1"/>
  <c r="U923" i="1"/>
  <c r="T923" i="1"/>
  <c r="Z923" i="1" s="1"/>
  <c r="R923" i="1"/>
  <c r="P923" i="1"/>
  <c r="N923" i="1"/>
  <c r="Y923" i="1" s="1"/>
  <c r="L923" i="1"/>
  <c r="J923" i="1"/>
  <c r="H923" i="1"/>
  <c r="G923" i="1"/>
  <c r="E923" i="1"/>
  <c r="B923" i="1"/>
  <c r="V923" i="1" s="1"/>
  <c r="Y922" i="1"/>
  <c r="V922" i="1"/>
  <c r="U922" i="1"/>
  <c r="R922" i="1"/>
  <c r="P922" i="1"/>
  <c r="T922" i="1" s="1"/>
  <c r="N922" i="1"/>
  <c r="L922" i="1"/>
  <c r="J922" i="1"/>
  <c r="H922" i="1"/>
  <c r="G922" i="1"/>
  <c r="E922" i="1"/>
  <c r="B922" i="1"/>
  <c r="W922" i="1" s="1"/>
  <c r="Y921" i="1"/>
  <c r="W921" i="1"/>
  <c r="R921" i="1"/>
  <c r="P921" i="1"/>
  <c r="T921" i="1" s="1"/>
  <c r="N921" i="1"/>
  <c r="L921" i="1"/>
  <c r="J921" i="1"/>
  <c r="H921" i="1"/>
  <c r="G921" i="1"/>
  <c r="E921" i="1"/>
  <c r="B921" i="1"/>
  <c r="V921" i="1" s="1"/>
  <c r="Y920" i="1"/>
  <c r="X920" i="1" a="1"/>
  <c r="X920" i="1" s="1"/>
  <c r="T920" i="1"/>
  <c r="Z920" i="1" s="1"/>
  <c r="R920" i="1"/>
  <c r="P920" i="1"/>
  <c r="N920" i="1"/>
  <c r="L920" i="1"/>
  <c r="J920" i="1"/>
  <c r="H920" i="1"/>
  <c r="G920" i="1"/>
  <c r="E920" i="1"/>
  <c r="B920" i="1"/>
  <c r="W920" i="1" s="1"/>
  <c r="U919" i="1"/>
  <c r="T919" i="1"/>
  <c r="X919" i="1" s="1" a="1"/>
  <c r="X919" i="1" s="1"/>
  <c r="R919" i="1"/>
  <c r="P919" i="1"/>
  <c r="N919" i="1"/>
  <c r="Y919" i="1" s="1"/>
  <c r="L919" i="1"/>
  <c r="J919" i="1"/>
  <c r="H919" i="1"/>
  <c r="G919" i="1"/>
  <c r="E919" i="1"/>
  <c r="B919" i="1"/>
  <c r="W919" i="1" s="1"/>
  <c r="Y918" i="1"/>
  <c r="V918" i="1"/>
  <c r="U918" i="1"/>
  <c r="R918" i="1"/>
  <c r="P918" i="1"/>
  <c r="T918" i="1" s="1"/>
  <c r="N918" i="1"/>
  <c r="L918" i="1"/>
  <c r="J918" i="1"/>
  <c r="H918" i="1"/>
  <c r="G918" i="1"/>
  <c r="E918" i="1"/>
  <c r="B918" i="1"/>
  <c r="W918" i="1" s="1"/>
  <c r="Y917" i="1"/>
  <c r="R917" i="1"/>
  <c r="P917" i="1"/>
  <c r="T917" i="1" s="1"/>
  <c r="N917" i="1"/>
  <c r="L917" i="1"/>
  <c r="J917" i="1"/>
  <c r="H917" i="1"/>
  <c r="G917" i="1"/>
  <c r="E917" i="1"/>
  <c r="B917" i="1"/>
  <c r="W917" i="1" s="1"/>
  <c r="Y916" i="1"/>
  <c r="W916" i="1"/>
  <c r="T916" i="1"/>
  <c r="Z916" i="1" s="1"/>
  <c r="R916" i="1"/>
  <c r="P916" i="1"/>
  <c r="N916" i="1"/>
  <c r="L916" i="1"/>
  <c r="J916" i="1"/>
  <c r="H916" i="1"/>
  <c r="G916" i="1"/>
  <c r="E916" i="1"/>
  <c r="B916" i="1"/>
  <c r="U916" i="1" s="1"/>
  <c r="X915" i="1"/>
  <c r="X915" i="1" a="1"/>
  <c r="U915" i="1"/>
  <c r="T915" i="1"/>
  <c r="Z915" i="1" s="1"/>
  <c r="R915" i="1"/>
  <c r="P915" i="1"/>
  <c r="N915" i="1"/>
  <c r="Y915" i="1" s="1"/>
  <c r="L915" i="1"/>
  <c r="J915" i="1"/>
  <c r="H915" i="1"/>
  <c r="G915" i="1"/>
  <c r="E915" i="1"/>
  <c r="B915" i="1"/>
  <c r="V915" i="1" s="1"/>
  <c r="Y914" i="1"/>
  <c r="V914" i="1"/>
  <c r="U914" i="1"/>
  <c r="R914" i="1"/>
  <c r="P914" i="1"/>
  <c r="T914" i="1" s="1"/>
  <c r="N914" i="1"/>
  <c r="L914" i="1"/>
  <c r="J914" i="1"/>
  <c r="H914" i="1"/>
  <c r="G914" i="1"/>
  <c r="E914" i="1"/>
  <c r="B914" i="1"/>
  <c r="W914" i="1" s="1"/>
  <c r="Y913" i="1"/>
  <c r="W913" i="1"/>
  <c r="R913" i="1"/>
  <c r="P913" i="1"/>
  <c r="T913" i="1" s="1"/>
  <c r="N913" i="1"/>
  <c r="L913" i="1"/>
  <c r="J913" i="1"/>
  <c r="H913" i="1"/>
  <c r="G913" i="1"/>
  <c r="E913" i="1"/>
  <c r="B913" i="1"/>
  <c r="V913" i="1" s="1"/>
  <c r="Y912" i="1"/>
  <c r="X912" i="1" a="1"/>
  <c r="X912" i="1" s="1"/>
  <c r="T912" i="1"/>
  <c r="Z912" i="1" s="1"/>
  <c r="R912" i="1"/>
  <c r="P912" i="1"/>
  <c r="N912" i="1"/>
  <c r="L912" i="1"/>
  <c r="J912" i="1"/>
  <c r="H912" i="1"/>
  <c r="G912" i="1"/>
  <c r="E912" i="1"/>
  <c r="B912" i="1"/>
  <c r="W912" i="1" s="1"/>
  <c r="U911" i="1"/>
  <c r="T911" i="1"/>
  <c r="X911" i="1" s="1" a="1"/>
  <c r="X911" i="1" s="1"/>
  <c r="R911" i="1"/>
  <c r="P911" i="1"/>
  <c r="N911" i="1"/>
  <c r="Y911" i="1" s="1"/>
  <c r="L911" i="1"/>
  <c r="J911" i="1"/>
  <c r="H911" i="1"/>
  <c r="G911" i="1"/>
  <c r="E911" i="1"/>
  <c r="B911" i="1"/>
  <c r="W911" i="1" s="1"/>
  <c r="Y910" i="1"/>
  <c r="V910" i="1"/>
  <c r="U910" i="1"/>
  <c r="R910" i="1"/>
  <c r="P910" i="1"/>
  <c r="T910" i="1" s="1"/>
  <c r="N910" i="1"/>
  <c r="L910" i="1"/>
  <c r="J910" i="1"/>
  <c r="H910" i="1"/>
  <c r="G910" i="1"/>
  <c r="E910" i="1"/>
  <c r="B910" i="1"/>
  <c r="W910" i="1" s="1"/>
  <c r="Y909" i="1"/>
  <c r="R909" i="1"/>
  <c r="P909" i="1"/>
  <c r="T909" i="1" s="1"/>
  <c r="N909" i="1"/>
  <c r="L909" i="1"/>
  <c r="J909" i="1"/>
  <c r="H909" i="1"/>
  <c r="G909" i="1"/>
  <c r="E909" i="1"/>
  <c r="B909" i="1"/>
  <c r="W909" i="1" s="1"/>
  <c r="Y908" i="1"/>
  <c r="W908" i="1"/>
  <c r="T908" i="1"/>
  <c r="R908" i="1"/>
  <c r="P908" i="1"/>
  <c r="N908" i="1"/>
  <c r="L908" i="1"/>
  <c r="J908" i="1"/>
  <c r="H908" i="1"/>
  <c r="G908" i="1"/>
  <c r="E908" i="1"/>
  <c r="B908" i="1"/>
  <c r="U908" i="1" s="1"/>
  <c r="X907" i="1"/>
  <c r="X907" i="1" a="1"/>
  <c r="U907" i="1"/>
  <c r="T907" i="1"/>
  <c r="Z907" i="1" s="1"/>
  <c r="R907" i="1"/>
  <c r="P907" i="1"/>
  <c r="N907" i="1"/>
  <c r="Y907" i="1" s="1"/>
  <c r="L907" i="1"/>
  <c r="J907" i="1"/>
  <c r="H907" i="1"/>
  <c r="G907" i="1"/>
  <c r="E907" i="1"/>
  <c r="B907" i="1"/>
  <c r="V907" i="1" s="1"/>
  <c r="Y906" i="1"/>
  <c r="V906" i="1"/>
  <c r="U906" i="1"/>
  <c r="R906" i="1"/>
  <c r="P906" i="1"/>
  <c r="T906" i="1" s="1"/>
  <c r="N906" i="1"/>
  <c r="L906" i="1"/>
  <c r="J906" i="1"/>
  <c r="H906" i="1"/>
  <c r="G906" i="1"/>
  <c r="E906" i="1"/>
  <c r="B906" i="1"/>
  <c r="W906" i="1" s="1"/>
  <c r="Y905" i="1"/>
  <c r="W905" i="1"/>
  <c r="R905" i="1"/>
  <c r="P905" i="1"/>
  <c r="T905" i="1" s="1"/>
  <c r="N905" i="1"/>
  <c r="L905" i="1"/>
  <c r="J905" i="1"/>
  <c r="H905" i="1"/>
  <c r="G905" i="1"/>
  <c r="E905" i="1"/>
  <c r="B905" i="1"/>
  <c r="V905" i="1" s="1"/>
  <c r="Y904" i="1"/>
  <c r="X904" i="1" a="1"/>
  <c r="X904" i="1" s="1"/>
  <c r="T904" i="1"/>
  <c r="Z904" i="1" s="1"/>
  <c r="R904" i="1"/>
  <c r="P904" i="1"/>
  <c r="N904" i="1"/>
  <c r="L904" i="1"/>
  <c r="J904" i="1"/>
  <c r="H904" i="1"/>
  <c r="G904" i="1"/>
  <c r="E904" i="1"/>
  <c r="B904" i="1"/>
  <c r="W904" i="1" s="1"/>
  <c r="U903" i="1"/>
  <c r="T903" i="1"/>
  <c r="X903" i="1" s="1" a="1"/>
  <c r="X903" i="1" s="1"/>
  <c r="R903" i="1"/>
  <c r="P903" i="1"/>
  <c r="N903" i="1"/>
  <c r="Y903" i="1" s="1"/>
  <c r="L903" i="1"/>
  <c r="J903" i="1"/>
  <c r="H903" i="1"/>
  <c r="G903" i="1"/>
  <c r="E903" i="1"/>
  <c r="B903" i="1"/>
  <c r="W903" i="1" s="1"/>
  <c r="Y902" i="1"/>
  <c r="V902" i="1"/>
  <c r="U902" i="1"/>
  <c r="R902" i="1"/>
  <c r="P902" i="1"/>
  <c r="T902" i="1" s="1"/>
  <c r="N902" i="1"/>
  <c r="L902" i="1"/>
  <c r="J902" i="1"/>
  <c r="H902" i="1"/>
  <c r="G902" i="1"/>
  <c r="E902" i="1"/>
  <c r="B902" i="1"/>
  <c r="W902" i="1" s="1"/>
  <c r="Y901" i="1"/>
  <c r="R901" i="1"/>
  <c r="P901" i="1"/>
  <c r="N901" i="1"/>
  <c r="L901" i="1"/>
  <c r="J901" i="1"/>
  <c r="H901" i="1"/>
  <c r="G901" i="1"/>
  <c r="E901" i="1"/>
  <c r="B901" i="1"/>
  <c r="Y900" i="1"/>
  <c r="W900" i="1"/>
  <c r="T900" i="1"/>
  <c r="R900" i="1"/>
  <c r="P900" i="1"/>
  <c r="N900" i="1"/>
  <c r="L900" i="1"/>
  <c r="J900" i="1"/>
  <c r="H900" i="1"/>
  <c r="G900" i="1"/>
  <c r="E900" i="1"/>
  <c r="B900" i="1"/>
  <c r="U900" i="1" s="1"/>
  <c r="X899" i="1"/>
  <c r="X899" i="1" a="1"/>
  <c r="U899" i="1"/>
  <c r="T899" i="1"/>
  <c r="Z899" i="1" s="1"/>
  <c r="R899" i="1"/>
  <c r="P899" i="1"/>
  <c r="N899" i="1"/>
  <c r="Y899" i="1" s="1"/>
  <c r="L899" i="1"/>
  <c r="J899" i="1"/>
  <c r="H899" i="1"/>
  <c r="G899" i="1"/>
  <c r="E899" i="1"/>
  <c r="B899" i="1"/>
  <c r="V899" i="1" s="1"/>
  <c r="Y898" i="1"/>
  <c r="V898" i="1"/>
  <c r="U898" i="1"/>
  <c r="R898" i="1"/>
  <c r="P898" i="1"/>
  <c r="T898" i="1" s="1"/>
  <c r="N898" i="1"/>
  <c r="L898" i="1"/>
  <c r="J898" i="1"/>
  <c r="H898" i="1"/>
  <c r="G898" i="1"/>
  <c r="E898" i="1"/>
  <c r="B898" i="1"/>
  <c r="W898" i="1" s="1"/>
  <c r="Y897" i="1"/>
  <c r="W897" i="1"/>
  <c r="R897" i="1"/>
  <c r="P897" i="1"/>
  <c r="T897" i="1" s="1"/>
  <c r="N897" i="1"/>
  <c r="L897" i="1"/>
  <c r="J897" i="1"/>
  <c r="H897" i="1"/>
  <c r="G897" i="1"/>
  <c r="E897" i="1"/>
  <c r="B897" i="1"/>
  <c r="V897" i="1" s="1"/>
  <c r="Y896" i="1"/>
  <c r="X896" i="1" a="1"/>
  <c r="X896" i="1" s="1"/>
  <c r="T896" i="1"/>
  <c r="Z896" i="1" s="1"/>
  <c r="R896" i="1"/>
  <c r="P896" i="1"/>
  <c r="N896" i="1"/>
  <c r="L896" i="1"/>
  <c r="J896" i="1"/>
  <c r="H896" i="1"/>
  <c r="G896" i="1"/>
  <c r="E896" i="1"/>
  <c r="B896" i="1"/>
  <c r="W896" i="1" s="1"/>
  <c r="X895" i="1"/>
  <c r="U895" i="1"/>
  <c r="T895" i="1"/>
  <c r="X895" i="1" s="1" a="1"/>
  <c r="R895" i="1"/>
  <c r="P895" i="1"/>
  <c r="N895" i="1"/>
  <c r="Y895" i="1" s="1"/>
  <c r="L895" i="1"/>
  <c r="J895" i="1"/>
  <c r="H895" i="1"/>
  <c r="G895" i="1"/>
  <c r="E895" i="1"/>
  <c r="B895" i="1"/>
  <c r="W895" i="1" s="1"/>
  <c r="Y894" i="1"/>
  <c r="V894" i="1"/>
  <c r="U894" i="1"/>
  <c r="R894" i="1"/>
  <c r="P894" i="1"/>
  <c r="T894" i="1" s="1"/>
  <c r="N894" i="1"/>
  <c r="L894" i="1"/>
  <c r="J894" i="1"/>
  <c r="H894" i="1"/>
  <c r="G894" i="1"/>
  <c r="E894" i="1"/>
  <c r="B894" i="1"/>
  <c r="W894" i="1" s="1"/>
  <c r="Y893" i="1"/>
  <c r="R893" i="1"/>
  <c r="P893" i="1"/>
  <c r="N893" i="1"/>
  <c r="L893" i="1"/>
  <c r="J893" i="1"/>
  <c r="H893" i="1"/>
  <c r="G893" i="1"/>
  <c r="E893" i="1"/>
  <c r="B893" i="1"/>
  <c r="Y892" i="1"/>
  <c r="W892" i="1"/>
  <c r="T892" i="1"/>
  <c r="Z892" i="1" s="1"/>
  <c r="R892" i="1"/>
  <c r="P892" i="1"/>
  <c r="N892" i="1"/>
  <c r="L892" i="1"/>
  <c r="J892" i="1"/>
  <c r="H892" i="1"/>
  <c r="G892" i="1"/>
  <c r="E892" i="1"/>
  <c r="B892" i="1"/>
  <c r="U892" i="1" s="1"/>
  <c r="X891" i="1"/>
  <c r="X891" i="1" a="1"/>
  <c r="U891" i="1"/>
  <c r="T891" i="1"/>
  <c r="Z891" i="1" s="1"/>
  <c r="R891" i="1"/>
  <c r="P891" i="1"/>
  <c r="N891" i="1"/>
  <c r="Y891" i="1" s="1"/>
  <c r="L891" i="1"/>
  <c r="J891" i="1"/>
  <c r="H891" i="1"/>
  <c r="G891" i="1"/>
  <c r="E891" i="1"/>
  <c r="B891" i="1"/>
  <c r="V891" i="1" s="1"/>
  <c r="Y890" i="1"/>
  <c r="V890" i="1"/>
  <c r="U890" i="1"/>
  <c r="R890" i="1"/>
  <c r="P890" i="1"/>
  <c r="T890" i="1" s="1"/>
  <c r="N890" i="1"/>
  <c r="L890" i="1"/>
  <c r="J890" i="1"/>
  <c r="H890" i="1"/>
  <c r="G890" i="1"/>
  <c r="E890" i="1"/>
  <c r="B890" i="1"/>
  <c r="W890" i="1" s="1"/>
  <c r="Y889" i="1"/>
  <c r="W889" i="1"/>
  <c r="R889" i="1"/>
  <c r="P889" i="1"/>
  <c r="T889" i="1" s="1"/>
  <c r="X889" i="1" s="1" a="1"/>
  <c r="X889" i="1" s="1"/>
  <c r="N889" i="1"/>
  <c r="L889" i="1"/>
  <c r="J889" i="1"/>
  <c r="H889" i="1"/>
  <c r="G889" i="1"/>
  <c r="E889" i="1"/>
  <c r="B889" i="1"/>
  <c r="Y888" i="1"/>
  <c r="T888" i="1"/>
  <c r="Z888" i="1" s="1"/>
  <c r="R888" i="1"/>
  <c r="P888" i="1"/>
  <c r="N888" i="1"/>
  <c r="L888" i="1"/>
  <c r="J888" i="1"/>
  <c r="H888" i="1"/>
  <c r="G888" i="1"/>
  <c r="E888" i="1"/>
  <c r="B888" i="1"/>
  <c r="W888" i="1" s="1"/>
  <c r="X887" i="1"/>
  <c r="U887" i="1"/>
  <c r="T887" i="1"/>
  <c r="X887" i="1" s="1" a="1"/>
  <c r="R887" i="1"/>
  <c r="P887" i="1"/>
  <c r="N887" i="1"/>
  <c r="Y887" i="1" s="1"/>
  <c r="L887" i="1"/>
  <c r="J887" i="1"/>
  <c r="H887" i="1"/>
  <c r="G887" i="1"/>
  <c r="E887" i="1"/>
  <c r="B887" i="1"/>
  <c r="W887" i="1" s="1"/>
  <c r="Y886" i="1"/>
  <c r="V886" i="1"/>
  <c r="U886" i="1"/>
  <c r="R886" i="1"/>
  <c r="P886" i="1"/>
  <c r="T886" i="1" s="1"/>
  <c r="N886" i="1"/>
  <c r="L886" i="1"/>
  <c r="J886" i="1"/>
  <c r="H886" i="1"/>
  <c r="G886" i="1"/>
  <c r="E886" i="1"/>
  <c r="B886" i="1"/>
  <c r="W886" i="1" s="1"/>
  <c r="Y885" i="1"/>
  <c r="W885" i="1"/>
  <c r="R885" i="1"/>
  <c r="P885" i="1"/>
  <c r="T885" i="1" s="1"/>
  <c r="X885" i="1" s="1" a="1"/>
  <c r="X885" i="1" s="1"/>
  <c r="N885" i="1"/>
  <c r="L885" i="1"/>
  <c r="J885" i="1"/>
  <c r="H885" i="1"/>
  <c r="G885" i="1"/>
  <c r="E885" i="1"/>
  <c r="B885" i="1"/>
  <c r="Y884" i="1"/>
  <c r="X884" i="1" a="1"/>
  <c r="X884" i="1" s="1"/>
  <c r="W884" i="1"/>
  <c r="T884" i="1"/>
  <c r="Z884" i="1" s="1"/>
  <c r="R884" i="1"/>
  <c r="P884" i="1"/>
  <c r="N884" i="1"/>
  <c r="L884" i="1"/>
  <c r="J884" i="1"/>
  <c r="H884" i="1"/>
  <c r="G884" i="1"/>
  <c r="E884" i="1"/>
  <c r="B884" i="1"/>
  <c r="U884" i="1" s="1"/>
  <c r="X883" i="1"/>
  <c r="X883" i="1" a="1"/>
  <c r="U883" i="1"/>
  <c r="T883" i="1"/>
  <c r="Z883" i="1" s="1"/>
  <c r="R883" i="1"/>
  <c r="P883" i="1"/>
  <c r="N883" i="1"/>
  <c r="Y883" i="1" s="1"/>
  <c r="L883" i="1"/>
  <c r="J883" i="1"/>
  <c r="H883" i="1"/>
  <c r="G883" i="1"/>
  <c r="E883" i="1"/>
  <c r="B883" i="1"/>
  <c r="V883" i="1" s="1"/>
  <c r="V882" i="1"/>
  <c r="U882" i="1"/>
  <c r="R882" i="1"/>
  <c r="P882" i="1"/>
  <c r="T882" i="1" s="1"/>
  <c r="N882" i="1"/>
  <c r="Y882" i="1" s="1"/>
  <c r="L882" i="1"/>
  <c r="J882" i="1"/>
  <c r="H882" i="1"/>
  <c r="G882" i="1"/>
  <c r="E882" i="1"/>
  <c r="B882" i="1"/>
  <c r="W882" i="1" s="1"/>
  <c r="Y881" i="1"/>
  <c r="W881" i="1"/>
  <c r="R881" i="1"/>
  <c r="P881" i="1"/>
  <c r="N881" i="1"/>
  <c r="L881" i="1"/>
  <c r="J881" i="1"/>
  <c r="H881" i="1"/>
  <c r="G881" i="1"/>
  <c r="E881" i="1"/>
  <c r="B881" i="1"/>
  <c r="Y880" i="1"/>
  <c r="X880" i="1" a="1"/>
  <c r="X880" i="1" s="1"/>
  <c r="T880" i="1"/>
  <c r="Z880" i="1" s="1"/>
  <c r="R880" i="1"/>
  <c r="P880" i="1"/>
  <c r="N880" i="1"/>
  <c r="L880" i="1"/>
  <c r="J880" i="1"/>
  <c r="H880" i="1"/>
  <c r="G880" i="1"/>
  <c r="E880" i="1"/>
  <c r="B880" i="1"/>
  <c r="U879" i="1"/>
  <c r="T879" i="1"/>
  <c r="R879" i="1"/>
  <c r="P879" i="1"/>
  <c r="N879" i="1"/>
  <c r="Y879" i="1" s="1"/>
  <c r="L879" i="1"/>
  <c r="J879" i="1"/>
  <c r="H879" i="1"/>
  <c r="G879" i="1"/>
  <c r="E879" i="1"/>
  <c r="B879" i="1"/>
  <c r="W879" i="1" s="1"/>
  <c r="Y878" i="1"/>
  <c r="V878" i="1"/>
  <c r="U878" i="1"/>
  <c r="R878" i="1"/>
  <c r="P878" i="1"/>
  <c r="T878" i="1" s="1"/>
  <c r="N878" i="1"/>
  <c r="L878" i="1"/>
  <c r="J878" i="1"/>
  <c r="H878" i="1"/>
  <c r="G878" i="1"/>
  <c r="E878" i="1"/>
  <c r="B878" i="1"/>
  <c r="W878" i="1" s="1"/>
  <c r="Y877" i="1"/>
  <c r="W877" i="1"/>
  <c r="R877" i="1"/>
  <c r="P877" i="1"/>
  <c r="T877" i="1" s="1"/>
  <c r="X877" i="1" s="1" a="1"/>
  <c r="X877" i="1" s="1"/>
  <c r="N877" i="1"/>
  <c r="L877" i="1"/>
  <c r="J877" i="1"/>
  <c r="H877" i="1"/>
  <c r="G877" i="1"/>
  <c r="E877" i="1"/>
  <c r="B877" i="1"/>
  <c r="U877" i="1" s="1"/>
  <c r="Y876" i="1"/>
  <c r="W876" i="1"/>
  <c r="T876" i="1"/>
  <c r="Z876" i="1" s="1"/>
  <c r="R876" i="1"/>
  <c r="P876" i="1"/>
  <c r="N876" i="1"/>
  <c r="L876" i="1"/>
  <c r="J876" i="1"/>
  <c r="H876" i="1"/>
  <c r="G876" i="1"/>
  <c r="E876" i="1"/>
  <c r="B876" i="1"/>
  <c r="U876" i="1" s="1"/>
  <c r="X875" i="1"/>
  <c r="X875" i="1" a="1"/>
  <c r="U875" i="1"/>
  <c r="T875" i="1"/>
  <c r="Z875" i="1" s="1"/>
  <c r="R875" i="1"/>
  <c r="P875" i="1"/>
  <c r="N875" i="1"/>
  <c r="Y875" i="1" s="1"/>
  <c r="L875" i="1"/>
  <c r="J875" i="1"/>
  <c r="H875" i="1"/>
  <c r="G875" i="1"/>
  <c r="E875" i="1"/>
  <c r="B875" i="1"/>
  <c r="V875" i="1" s="1"/>
  <c r="V874" i="1"/>
  <c r="U874" i="1"/>
  <c r="R874" i="1"/>
  <c r="P874" i="1"/>
  <c r="T874" i="1" s="1"/>
  <c r="N874" i="1"/>
  <c r="Y874" i="1" s="1"/>
  <c r="L874" i="1"/>
  <c r="J874" i="1"/>
  <c r="H874" i="1"/>
  <c r="G874" i="1"/>
  <c r="E874" i="1"/>
  <c r="B874" i="1"/>
  <c r="W874" i="1" s="1"/>
  <c r="Y873" i="1"/>
  <c r="R873" i="1"/>
  <c r="P873" i="1"/>
  <c r="T873" i="1" s="1"/>
  <c r="X873" i="1" s="1" a="1"/>
  <c r="X873" i="1" s="1"/>
  <c r="N873" i="1"/>
  <c r="L873" i="1"/>
  <c r="J873" i="1"/>
  <c r="H873" i="1"/>
  <c r="G873" i="1"/>
  <c r="E873" i="1"/>
  <c r="B873" i="1"/>
  <c r="U873" i="1" s="1"/>
  <c r="Y872" i="1"/>
  <c r="W872" i="1"/>
  <c r="T872" i="1"/>
  <c r="Z872" i="1" s="1"/>
  <c r="R872" i="1"/>
  <c r="P872" i="1"/>
  <c r="N872" i="1"/>
  <c r="L872" i="1"/>
  <c r="J872" i="1"/>
  <c r="H872" i="1"/>
  <c r="G872" i="1"/>
  <c r="E872" i="1"/>
  <c r="B872" i="1"/>
  <c r="X871" i="1" a="1"/>
  <c r="X871" i="1" s="1"/>
  <c r="U871" i="1"/>
  <c r="T871" i="1"/>
  <c r="Z871" i="1" s="1"/>
  <c r="R871" i="1"/>
  <c r="P871" i="1"/>
  <c r="N871" i="1"/>
  <c r="Y871" i="1" s="1"/>
  <c r="L871" i="1"/>
  <c r="J871" i="1"/>
  <c r="H871" i="1"/>
  <c r="G871" i="1"/>
  <c r="E871" i="1"/>
  <c r="B871" i="1"/>
  <c r="W871" i="1" s="1"/>
  <c r="V870" i="1"/>
  <c r="U870" i="1"/>
  <c r="R870" i="1"/>
  <c r="P870" i="1"/>
  <c r="T870" i="1" s="1"/>
  <c r="N870" i="1"/>
  <c r="Y870" i="1" s="1"/>
  <c r="L870" i="1"/>
  <c r="J870" i="1"/>
  <c r="H870" i="1"/>
  <c r="G870" i="1"/>
  <c r="E870" i="1"/>
  <c r="B870" i="1"/>
  <c r="W870" i="1" s="1"/>
  <c r="Y869" i="1"/>
  <c r="R869" i="1"/>
  <c r="P869" i="1"/>
  <c r="N869" i="1"/>
  <c r="L869" i="1"/>
  <c r="J869" i="1"/>
  <c r="H869" i="1"/>
  <c r="G869" i="1"/>
  <c r="E869" i="1"/>
  <c r="B869" i="1"/>
  <c r="U869" i="1" s="1"/>
  <c r="Y868" i="1"/>
  <c r="X868" i="1" a="1"/>
  <c r="X868" i="1" s="1"/>
  <c r="W868" i="1"/>
  <c r="T868" i="1"/>
  <c r="Z868" i="1" s="1"/>
  <c r="R868" i="1"/>
  <c r="P868" i="1"/>
  <c r="N868" i="1"/>
  <c r="L868" i="1"/>
  <c r="J868" i="1"/>
  <c r="H868" i="1"/>
  <c r="G868" i="1"/>
  <c r="E868" i="1"/>
  <c r="B868" i="1"/>
  <c r="X867" i="1" a="1"/>
  <c r="X867" i="1" s="1"/>
  <c r="U867" i="1"/>
  <c r="T867" i="1"/>
  <c r="Z867" i="1" s="1"/>
  <c r="R867" i="1"/>
  <c r="P867" i="1"/>
  <c r="N867" i="1"/>
  <c r="Y867" i="1" s="1"/>
  <c r="L867" i="1"/>
  <c r="J867" i="1"/>
  <c r="H867" i="1"/>
  <c r="G867" i="1"/>
  <c r="E867" i="1"/>
  <c r="B867" i="1"/>
  <c r="V867" i="1" s="1"/>
  <c r="Y866" i="1"/>
  <c r="V866" i="1"/>
  <c r="U866" i="1"/>
  <c r="R866" i="1"/>
  <c r="P866" i="1"/>
  <c r="T866" i="1" s="1"/>
  <c r="N866" i="1"/>
  <c r="L866" i="1"/>
  <c r="J866" i="1"/>
  <c r="H866" i="1"/>
  <c r="G866" i="1"/>
  <c r="E866" i="1"/>
  <c r="B866" i="1"/>
  <c r="W866" i="1" s="1"/>
  <c r="Y865" i="1"/>
  <c r="V865" i="1"/>
  <c r="R865" i="1"/>
  <c r="P865" i="1"/>
  <c r="N865" i="1"/>
  <c r="L865" i="1"/>
  <c r="J865" i="1"/>
  <c r="H865" i="1"/>
  <c r="G865" i="1"/>
  <c r="E865" i="1"/>
  <c r="B865" i="1"/>
  <c r="U865" i="1" s="1"/>
  <c r="Y864" i="1"/>
  <c r="R864" i="1"/>
  <c r="T864" i="1" s="1"/>
  <c r="P864" i="1"/>
  <c r="N864" i="1"/>
  <c r="L864" i="1"/>
  <c r="J864" i="1"/>
  <c r="H864" i="1"/>
  <c r="G864" i="1"/>
  <c r="E864" i="1"/>
  <c r="B864" i="1"/>
  <c r="W864" i="1" s="1"/>
  <c r="X863" i="1"/>
  <c r="X863" i="1" a="1"/>
  <c r="U863" i="1"/>
  <c r="T863" i="1"/>
  <c r="Z863" i="1" s="1"/>
  <c r="R863" i="1"/>
  <c r="P863" i="1"/>
  <c r="N863" i="1"/>
  <c r="Y863" i="1" s="1"/>
  <c r="L863" i="1"/>
  <c r="J863" i="1"/>
  <c r="H863" i="1"/>
  <c r="G863" i="1"/>
  <c r="E863" i="1"/>
  <c r="B863" i="1"/>
  <c r="W863" i="1" s="1"/>
  <c r="V862" i="1"/>
  <c r="U862" i="1"/>
  <c r="R862" i="1"/>
  <c r="P862" i="1"/>
  <c r="T862" i="1" s="1"/>
  <c r="N862" i="1"/>
  <c r="Y862" i="1" s="1"/>
  <c r="L862" i="1"/>
  <c r="J862" i="1"/>
  <c r="H862" i="1"/>
  <c r="G862" i="1"/>
  <c r="E862" i="1"/>
  <c r="B862" i="1"/>
  <c r="W862" i="1" s="1"/>
  <c r="Y861" i="1"/>
  <c r="W861" i="1"/>
  <c r="V861" i="1"/>
  <c r="R861" i="1"/>
  <c r="P861" i="1"/>
  <c r="T861" i="1" s="1"/>
  <c r="X861" i="1" s="1" a="1"/>
  <c r="X861" i="1" s="1"/>
  <c r="N861" i="1"/>
  <c r="L861" i="1"/>
  <c r="J861" i="1"/>
  <c r="H861" i="1"/>
  <c r="G861" i="1"/>
  <c r="E861" i="1"/>
  <c r="B861" i="1"/>
  <c r="U861" i="1" s="1"/>
  <c r="Y860" i="1"/>
  <c r="R860" i="1"/>
  <c r="T860" i="1" s="1"/>
  <c r="P860" i="1"/>
  <c r="N860" i="1"/>
  <c r="L860" i="1"/>
  <c r="J860" i="1"/>
  <c r="H860" i="1"/>
  <c r="G860" i="1"/>
  <c r="E860" i="1"/>
  <c r="B860" i="1"/>
  <c r="U859" i="1"/>
  <c r="T859" i="1"/>
  <c r="Z859" i="1" s="1"/>
  <c r="R859" i="1"/>
  <c r="P859" i="1"/>
  <c r="N859" i="1"/>
  <c r="Y859" i="1" s="1"/>
  <c r="L859" i="1"/>
  <c r="J859" i="1"/>
  <c r="H859" i="1"/>
  <c r="G859" i="1"/>
  <c r="E859" i="1"/>
  <c r="B859" i="1"/>
  <c r="V859" i="1" s="1"/>
  <c r="V858" i="1"/>
  <c r="U858" i="1"/>
  <c r="R858" i="1"/>
  <c r="P858" i="1"/>
  <c r="T858" i="1" s="1"/>
  <c r="N858" i="1"/>
  <c r="Y858" i="1" s="1"/>
  <c r="L858" i="1"/>
  <c r="J858" i="1"/>
  <c r="H858" i="1"/>
  <c r="G858" i="1"/>
  <c r="E858" i="1"/>
  <c r="B858" i="1"/>
  <c r="W858" i="1" s="1"/>
  <c r="Y857" i="1"/>
  <c r="W857" i="1"/>
  <c r="R857" i="1"/>
  <c r="P857" i="1"/>
  <c r="T857" i="1" s="1"/>
  <c r="X857" i="1" s="1" a="1"/>
  <c r="X857" i="1" s="1"/>
  <c r="N857" i="1"/>
  <c r="L857" i="1"/>
  <c r="J857" i="1"/>
  <c r="H857" i="1"/>
  <c r="G857" i="1"/>
  <c r="E857" i="1"/>
  <c r="B857" i="1"/>
  <c r="U857" i="1" s="1"/>
  <c r="Z856" i="1"/>
  <c r="Y856" i="1"/>
  <c r="W856" i="1"/>
  <c r="V856" i="1"/>
  <c r="T856" i="1"/>
  <c r="X856" i="1" s="1" a="1"/>
  <c r="X856" i="1" s="1"/>
  <c r="R856" i="1"/>
  <c r="P856" i="1"/>
  <c r="N856" i="1"/>
  <c r="L856" i="1"/>
  <c r="J856" i="1"/>
  <c r="H856" i="1"/>
  <c r="G856" i="1"/>
  <c r="E856" i="1"/>
  <c r="B856" i="1"/>
  <c r="U856" i="1" s="1"/>
  <c r="X855" i="1" a="1"/>
  <c r="X855" i="1" s="1"/>
  <c r="W855" i="1"/>
  <c r="U855" i="1"/>
  <c r="T855" i="1"/>
  <c r="Z855" i="1" s="1"/>
  <c r="R855" i="1"/>
  <c r="P855" i="1"/>
  <c r="N855" i="1"/>
  <c r="Y855" i="1" s="1"/>
  <c r="L855" i="1"/>
  <c r="J855" i="1"/>
  <c r="H855" i="1"/>
  <c r="G855" i="1"/>
  <c r="E855" i="1"/>
  <c r="B855" i="1"/>
  <c r="V855" i="1" s="1"/>
  <c r="V854" i="1"/>
  <c r="U854" i="1"/>
  <c r="R854" i="1"/>
  <c r="P854" i="1"/>
  <c r="T854" i="1" s="1"/>
  <c r="N854" i="1"/>
  <c r="Y854" i="1" s="1"/>
  <c r="L854" i="1"/>
  <c r="J854" i="1"/>
  <c r="H854" i="1"/>
  <c r="G854" i="1"/>
  <c r="E854" i="1"/>
  <c r="B854" i="1"/>
  <c r="W854" i="1" s="1"/>
  <c r="W853" i="1"/>
  <c r="V853" i="1"/>
  <c r="U853" i="1"/>
  <c r="R853" i="1"/>
  <c r="P853" i="1"/>
  <c r="T853" i="1" s="1"/>
  <c r="X853" i="1" s="1" a="1"/>
  <c r="X853" i="1" s="1"/>
  <c r="N853" i="1"/>
  <c r="Y853" i="1" s="1"/>
  <c r="L853" i="1"/>
  <c r="J853" i="1"/>
  <c r="H853" i="1"/>
  <c r="G853" i="1"/>
  <c r="E853" i="1"/>
  <c r="B853" i="1"/>
  <c r="Y852" i="1"/>
  <c r="V852" i="1"/>
  <c r="T852" i="1"/>
  <c r="Z852" i="1" s="1"/>
  <c r="R852" i="1"/>
  <c r="P852" i="1"/>
  <c r="N852" i="1"/>
  <c r="L852" i="1"/>
  <c r="J852" i="1"/>
  <c r="H852" i="1"/>
  <c r="G852" i="1"/>
  <c r="E852" i="1"/>
  <c r="B852" i="1"/>
  <c r="U852" i="1" s="1"/>
  <c r="R851" i="1"/>
  <c r="T851" i="1" s="1"/>
  <c r="P851" i="1"/>
  <c r="N851" i="1"/>
  <c r="Y851" i="1" s="1"/>
  <c r="L851" i="1"/>
  <c r="J851" i="1"/>
  <c r="H851" i="1"/>
  <c r="G851" i="1"/>
  <c r="E851" i="1"/>
  <c r="B851" i="1"/>
  <c r="V851" i="1" s="1"/>
  <c r="V850" i="1"/>
  <c r="U850" i="1"/>
  <c r="R850" i="1"/>
  <c r="P850" i="1"/>
  <c r="T850" i="1" s="1"/>
  <c r="N850" i="1"/>
  <c r="Y850" i="1" s="1"/>
  <c r="L850" i="1"/>
  <c r="J850" i="1"/>
  <c r="H850" i="1"/>
  <c r="G850" i="1"/>
  <c r="E850" i="1"/>
  <c r="B850" i="1"/>
  <c r="W850" i="1" s="1"/>
  <c r="Z849" i="1"/>
  <c r="W849" i="1"/>
  <c r="V849" i="1"/>
  <c r="U849" i="1"/>
  <c r="R849" i="1"/>
  <c r="P849" i="1"/>
  <c r="T849" i="1" s="1"/>
  <c r="X849" i="1" s="1" a="1"/>
  <c r="X849" i="1" s="1"/>
  <c r="N849" i="1"/>
  <c r="Y849" i="1" s="1"/>
  <c r="L849" i="1"/>
  <c r="J849" i="1"/>
  <c r="H849" i="1"/>
  <c r="G849" i="1"/>
  <c r="E849" i="1"/>
  <c r="B849" i="1"/>
  <c r="Y848" i="1"/>
  <c r="V848" i="1"/>
  <c r="T848" i="1"/>
  <c r="Z848" i="1" s="1"/>
  <c r="R848" i="1"/>
  <c r="P848" i="1"/>
  <c r="N848" i="1"/>
  <c r="L848" i="1"/>
  <c r="J848" i="1"/>
  <c r="H848" i="1"/>
  <c r="G848" i="1"/>
  <c r="E848" i="1"/>
  <c r="B848" i="1"/>
  <c r="U848" i="1" s="1"/>
  <c r="R847" i="1"/>
  <c r="T847" i="1" s="1"/>
  <c r="P847" i="1"/>
  <c r="N847" i="1"/>
  <c r="Y847" i="1" s="1"/>
  <c r="L847" i="1"/>
  <c r="J847" i="1"/>
  <c r="H847" i="1"/>
  <c r="G847" i="1"/>
  <c r="E847" i="1"/>
  <c r="B847" i="1"/>
  <c r="V847" i="1" s="1"/>
  <c r="V846" i="1"/>
  <c r="U846" i="1"/>
  <c r="R846" i="1"/>
  <c r="P846" i="1"/>
  <c r="T846" i="1" s="1"/>
  <c r="N846" i="1"/>
  <c r="Y846" i="1" s="1"/>
  <c r="L846" i="1"/>
  <c r="J846" i="1"/>
  <c r="H846" i="1"/>
  <c r="G846" i="1"/>
  <c r="E846" i="1"/>
  <c r="B846" i="1"/>
  <c r="W846" i="1" s="1"/>
  <c r="Z845" i="1"/>
  <c r="W845" i="1"/>
  <c r="V845" i="1"/>
  <c r="U845" i="1"/>
  <c r="R845" i="1"/>
  <c r="P845" i="1"/>
  <c r="T845" i="1" s="1"/>
  <c r="X845" i="1" s="1" a="1"/>
  <c r="X845" i="1" s="1"/>
  <c r="N845" i="1"/>
  <c r="Y845" i="1" s="1"/>
  <c r="L845" i="1"/>
  <c r="J845" i="1"/>
  <c r="H845" i="1"/>
  <c r="G845" i="1"/>
  <c r="E845" i="1"/>
  <c r="B845" i="1"/>
  <c r="Y844" i="1"/>
  <c r="V844" i="1"/>
  <c r="T844" i="1"/>
  <c r="Z844" i="1" s="1"/>
  <c r="R844" i="1"/>
  <c r="P844" i="1"/>
  <c r="N844" i="1"/>
  <c r="L844" i="1"/>
  <c r="J844" i="1"/>
  <c r="H844" i="1"/>
  <c r="G844" i="1"/>
  <c r="E844" i="1"/>
  <c r="B844" i="1"/>
  <c r="U844" i="1" s="1"/>
  <c r="R843" i="1"/>
  <c r="T843" i="1" s="1"/>
  <c r="P843" i="1"/>
  <c r="N843" i="1"/>
  <c r="Y843" i="1" s="1"/>
  <c r="L843" i="1"/>
  <c r="J843" i="1"/>
  <c r="H843" i="1"/>
  <c r="G843" i="1"/>
  <c r="E843" i="1"/>
  <c r="B843" i="1"/>
  <c r="V843" i="1" s="1"/>
  <c r="Y842" i="1"/>
  <c r="R842" i="1"/>
  <c r="T842" i="1" s="1"/>
  <c r="P842" i="1"/>
  <c r="N842" i="1"/>
  <c r="L842" i="1"/>
  <c r="J842" i="1"/>
  <c r="H842" i="1"/>
  <c r="G842" i="1"/>
  <c r="E842" i="1"/>
  <c r="B842" i="1"/>
  <c r="W842" i="1" s="1"/>
  <c r="W841" i="1"/>
  <c r="U841" i="1"/>
  <c r="T841" i="1"/>
  <c r="X841" i="1" s="1" a="1"/>
  <c r="X841" i="1" s="1"/>
  <c r="R841" i="1"/>
  <c r="P841" i="1"/>
  <c r="N841" i="1"/>
  <c r="Y841" i="1" s="1"/>
  <c r="L841" i="1"/>
  <c r="J841" i="1"/>
  <c r="H841" i="1"/>
  <c r="G841" i="1"/>
  <c r="E841" i="1"/>
  <c r="B841" i="1"/>
  <c r="V841" i="1" s="1"/>
  <c r="V840" i="1"/>
  <c r="U840" i="1"/>
  <c r="R840" i="1"/>
  <c r="P840" i="1"/>
  <c r="T840" i="1" s="1"/>
  <c r="N840" i="1"/>
  <c r="Y840" i="1" s="1"/>
  <c r="L840" i="1"/>
  <c r="J840" i="1"/>
  <c r="H840" i="1"/>
  <c r="G840" i="1"/>
  <c r="E840" i="1"/>
  <c r="B840" i="1"/>
  <c r="W840" i="1" s="1"/>
  <c r="Y839" i="1"/>
  <c r="V839" i="1"/>
  <c r="R839" i="1"/>
  <c r="P839" i="1"/>
  <c r="T839" i="1" s="1"/>
  <c r="N839" i="1"/>
  <c r="L839" i="1"/>
  <c r="J839" i="1"/>
  <c r="H839" i="1"/>
  <c r="G839" i="1"/>
  <c r="E839" i="1"/>
  <c r="B839" i="1"/>
  <c r="W839" i="1" s="1"/>
  <c r="Y838" i="1"/>
  <c r="W838" i="1"/>
  <c r="R838" i="1"/>
  <c r="T838" i="1" s="1"/>
  <c r="P838" i="1"/>
  <c r="N838" i="1"/>
  <c r="L838" i="1"/>
  <c r="J838" i="1"/>
  <c r="H838" i="1"/>
  <c r="G838" i="1"/>
  <c r="E838" i="1"/>
  <c r="B838" i="1"/>
  <c r="V838" i="1" s="1"/>
  <c r="X837" i="1" a="1"/>
  <c r="X837" i="1" s="1"/>
  <c r="U837" i="1"/>
  <c r="T837" i="1"/>
  <c r="Z837" i="1" s="1"/>
  <c r="R837" i="1"/>
  <c r="P837" i="1"/>
  <c r="N837" i="1"/>
  <c r="Y837" i="1" s="1"/>
  <c r="L837" i="1"/>
  <c r="J837" i="1"/>
  <c r="H837" i="1"/>
  <c r="G837" i="1"/>
  <c r="E837" i="1"/>
  <c r="B837" i="1"/>
  <c r="W837" i="1" s="1"/>
  <c r="W836" i="1"/>
  <c r="V836" i="1"/>
  <c r="U836" i="1"/>
  <c r="R836" i="1"/>
  <c r="P836" i="1"/>
  <c r="T836" i="1" s="1"/>
  <c r="N836" i="1"/>
  <c r="Y836" i="1" s="1"/>
  <c r="L836" i="1"/>
  <c r="J836" i="1"/>
  <c r="H836" i="1"/>
  <c r="G836" i="1"/>
  <c r="E836" i="1"/>
  <c r="B836" i="1"/>
  <c r="Y835" i="1"/>
  <c r="W835" i="1"/>
  <c r="V835" i="1"/>
  <c r="R835" i="1"/>
  <c r="P835" i="1"/>
  <c r="T835" i="1" s="1"/>
  <c r="N835" i="1"/>
  <c r="L835" i="1"/>
  <c r="J835" i="1"/>
  <c r="H835" i="1"/>
  <c r="G835" i="1"/>
  <c r="E835" i="1"/>
  <c r="B835" i="1"/>
  <c r="U835" i="1" s="1"/>
  <c r="Y834" i="1"/>
  <c r="R834" i="1"/>
  <c r="T834" i="1" s="1"/>
  <c r="P834" i="1"/>
  <c r="N834" i="1"/>
  <c r="L834" i="1"/>
  <c r="J834" i="1"/>
  <c r="H834" i="1"/>
  <c r="G834" i="1"/>
  <c r="E834" i="1"/>
  <c r="B834" i="1"/>
  <c r="W834" i="1" s="1"/>
  <c r="W833" i="1"/>
  <c r="U833" i="1"/>
  <c r="T833" i="1"/>
  <c r="X833" i="1" s="1" a="1"/>
  <c r="X833" i="1" s="1"/>
  <c r="R833" i="1"/>
  <c r="P833" i="1"/>
  <c r="N833" i="1"/>
  <c r="Y833" i="1" s="1"/>
  <c r="L833" i="1"/>
  <c r="J833" i="1"/>
  <c r="H833" i="1"/>
  <c r="G833" i="1"/>
  <c r="E833" i="1"/>
  <c r="B833" i="1"/>
  <c r="V833" i="1" s="1"/>
  <c r="V832" i="1"/>
  <c r="U832" i="1"/>
  <c r="R832" i="1"/>
  <c r="P832" i="1"/>
  <c r="T832" i="1" s="1"/>
  <c r="N832" i="1"/>
  <c r="Y832" i="1" s="1"/>
  <c r="L832" i="1"/>
  <c r="J832" i="1"/>
  <c r="H832" i="1"/>
  <c r="G832" i="1"/>
  <c r="E832" i="1"/>
  <c r="B832" i="1"/>
  <c r="W832" i="1" s="1"/>
  <c r="Y831" i="1"/>
  <c r="V831" i="1"/>
  <c r="R831" i="1"/>
  <c r="P831" i="1"/>
  <c r="T831" i="1" s="1"/>
  <c r="N831" i="1"/>
  <c r="L831" i="1"/>
  <c r="J831" i="1"/>
  <c r="H831" i="1"/>
  <c r="G831" i="1"/>
  <c r="E831" i="1"/>
  <c r="B831" i="1"/>
  <c r="W831" i="1" s="1"/>
  <c r="Y830" i="1"/>
  <c r="W830" i="1"/>
  <c r="R830" i="1"/>
  <c r="T830" i="1" s="1"/>
  <c r="P830" i="1"/>
  <c r="N830" i="1"/>
  <c r="L830" i="1"/>
  <c r="J830" i="1"/>
  <c r="H830" i="1"/>
  <c r="G830" i="1"/>
  <c r="E830" i="1"/>
  <c r="B830" i="1"/>
  <c r="V830" i="1" s="1"/>
  <c r="X829" i="1" a="1"/>
  <c r="X829" i="1" s="1"/>
  <c r="U829" i="1"/>
  <c r="T829" i="1"/>
  <c r="Z829" i="1" s="1"/>
  <c r="R829" i="1"/>
  <c r="P829" i="1"/>
  <c r="N829" i="1"/>
  <c r="Y829" i="1" s="1"/>
  <c r="L829" i="1"/>
  <c r="J829" i="1"/>
  <c r="H829" i="1"/>
  <c r="G829" i="1"/>
  <c r="E829" i="1"/>
  <c r="B829" i="1"/>
  <c r="W829" i="1" s="1"/>
  <c r="W828" i="1"/>
  <c r="V828" i="1"/>
  <c r="U828" i="1"/>
  <c r="R828" i="1"/>
  <c r="P828" i="1"/>
  <c r="T828" i="1" s="1"/>
  <c r="N828" i="1"/>
  <c r="Y828" i="1" s="1"/>
  <c r="L828" i="1"/>
  <c r="J828" i="1"/>
  <c r="H828" i="1"/>
  <c r="G828" i="1"/>
  <c r="E828" i="1"/>
  <c r="B828" i="1"/>
  <c r="Y827" i="1"/>
  <c r="W827" i="1"/>
  <c r="V827" i="1"/>
  <c r="R827" i="1"/>
  <c r="P827" i="1"/>
  <c r="T827" i="1" s="1"/>
  <c r="N827" i="1"/>
  <c r="L827" i="1"/>
  <c r="J827" i="1"/>
  <c r="H827" i="1"/>
  <c r="G827" i="1"/>
  <c r="E827" i="1"/>
  <c r="B827" i="1"/>
  <c r="U827" i="1" s="1"/>
  <c r="Y826" i="1"/>
  <c r="R826" i="1"/>
  <c r="T826" i="1" s="1"/>
  <c r="P826" i="1"/>
  <c r="N826" i="1"/>
  <c r="L826" i="1"/>
  <c r="J826" i="1"/>
  <c r="H826" i="1"/>
  <c r="G826" i="1"/>
  <c r="E826" i="1"/>
  <c r="B826" i="1"/>
  <c r="W826" i="1" s="1"/>
  <c r="W825" i="1"/>
  <c r="U825" i="1"/>
  <c r="T825" i="1"/>
  <c r="X825" i="1" s="1" a="1"/>
  <c r="X825" i="1" s="1"/>
  <c r="R825" i="1"/>
  <c r="P825" i="1"/>
  <c r="N825" i="1"/>
  <c r="Y825" i="1" s="1"/>
  <c r="L825" i="1"/>
  <c r="J825" i="1"/>
  <c r="H825" i="1"/>
  <c r="G825" i="1"/>
  <c r="E825" i="1"/>
  <c r="B825" i="1"/>
  <c r="V825" i="1" s="1"/>
  <c r="V824" i="1"/>
  <c r="U824" i="1"/>
  <c r="R824" i="1"/>
  <c r="P824" i="1"/>
  <c r="T824" i="1" s="1"/>
  <c r="N824" i="1"/>
  <c r="Y824" i="1" s="1"/>
  <c r="L824" i="1"/>
  <c r="J824" i="1"/>
  <c r="H824" i="1"/>
  <c r="G824" i="1"/>
  <c r="E824" i="1"/>
  <c r="B824" i="1"/>
  <c r="W824" i="1" s="1"/>
  <c r="Y823" i="1"/>
  <c r="V823" i="1"/>
  <c r="R823" i="1"/>
  <c r="P823" i="1"/>
  <c r="T823" i="1" s="1"/>
  <c r="N823" i="1"/>
  <c r="L823" i="1"/>
  <c r="J823" i="1"/>
  <c r="H823" i="1"/>
  <c r="G823" i="1"/>
  <c r="E823" i="1"/>
  <c r="B823" i="1"/>
  <c r="W823" i="1" s="1"/>
  <c r="Y822" i="1"/>
  <c r="W822" i="1"/>
  <c r="R822" i="1"/>
  <c r="T822" i="1" s="1"/>
  <c r="P822" i="1"/>
  <c r="N822" i="1"/>
  <c r="L822" i="1"/>
  <c r="J822" i="1"/>
  <c r="H822" i="1"/>
  <c r="G822" i="1"/>
  <c r="E822" i="1"/>
  <c r="B822" i="1"/>
  <c r="V822" i="1" s="1"/>
  <c r="X821" i="1" a="1"/>
  <c r="X821" i="1" s="1"/>
  <c r="U821" i="1"/>
  <c r="T821" i="1"/>
  <c r="Z821" i="1" s="1"/>
  <c r="R821" i="1"/>
  <c r="P821" i="1"/>
  <c r="N821" i="1"/>
  <c r="Y821" i="1" s="1"/>
  <c r="L821" i="1"/>
  <c r="J821" i="1"/>
  <c r="H821" i="1"/>
  <c r="G821" i="1"/>
  <c r="E821" i="1"/>
  <c r="B821" i="1"/>
  <c r="W821" i="1" s="1"/>
  <c r="W820" i="1"/>
  <c r="V820" i="1"/>
  <c r="U820" i="1"/>
  <c r="R820" i="1"/>
  <c r="P820" i="1"/>
  <c r="T820" i="1" s="1"/>
  <c r="N820" i="1"/>
  <c r="Y820" i="1" s="1"/>
  <c r="L820" i="1"/>
  <c r="J820" i="1"/>
  <c r="H820" i="1"/>
  <c r="G820" i="1"/>
  <c r="E820" i="1"/>
  <c r="B820" i="1"/>
  <c r="Y819" i="1"/>
  <c r="W819" i="1"/>
  <c r="V819" i="1"/>
  <c r="R819" i="1"/>
  <c r="P819" i="1"/>
  <c r="T819" i="1" s="1"/>
  <c r="N819" i="1"/>
  <c r="L819" i="1"/>
  <c r="J819" i="1"/>
  <c r="H819" i="1"/>
  <c r="G819" i="1"/>
  <c r="E819" i="1"/>
  <c r="B819" i="1"/>
  <c r="U819" i="1" s="1"/>
  <c r="Y818" i="1"/>
  <c r="R818" i="1"/>
  <c r="T818" i="1" s="1"/>
  <c r="P818" i="1"/>
  <c r="N818" i="1"/>
  <c r="L818" i="1"/>
  <c r="J818" i="1"/>
  <c r="H818" i="1"/>
  <c r="G818" i="1"/>
  <c r="E818" i="1"/>
  <c r="B818" i="1"/>
  <c r="W818" i="1" s="1"/>
  <c r="W817" i="1"/>
  <c r="U817" i="1"/>
  <c r="T817" i="1"/>
  <c r="X817" i="1" s="1" a="1"/>
  <c r="X817" i="1" s="1"/>
  <c r="R817" i="1"/>
  <c r="P817" i="1"/>
  <c r="N817" i="1"/>
  <c r="Y817" i="1" s="1"/>
  <c r="L817" i="1"/>
  <c r="J817" i="1"/>
  <c r="H817" i="1"/>
  <c r="G817" i="1"/>
  <c r="E817" i="1"/>
  <c r="B817" i="1"/>
  <c r="V817" i="1" s="1"/>
  <c r="V816" i="1"/>
  <c r="U816" i="1"/>
  <c r="R816" i="1"/>
  <c r="P816" i="1"/>
  <c r="T816" i="1" s="1"/>
  <c r="N816" i="1"/>
  <c r="Y816" i="1" s="1"/>
  <c r="L816" i="1"/>
  <c r="J816" i="1"/>
  <c r="H816" i="1"/>
  <c r="G816" i="1"/>
  <c r="E816" i="1"/>
  <c r="B816" i="1"/>
  <c r="W816" i="1" s="1"/>
  <c r="Y815" i="1"/>
  <c r="V815" i="1"/>
  <c r="R815" i="1"/>
  <c r="P815" i="1"/>
  <c r="T815" i="1" s="1"/>
  <c r="N815" i="1"/>
  <c r="L815" i="1"/>
  <c r="J815" i="1"/>
  <c r="H815" i="1"/>
  <c r="G815" i="1"/>
  <c r="E815" i="1"/>
  <c r="B815" i="1"/>
  <c r="W815" i="1" s="1"/>
  <c r="Y814" i="1"/>
  <c r="W814" i="1"/>
  <c r="R814" i="1"/>
  <c r="T814" i="1" s="1"/>
  <c r="P814" i="1"/>
  <c r="N814" i="1"/>
  <c r="L814" i="1"/>
  <c r="J814" i="1"/>
  <c r="H814" i="1"/>
  <c r="G814" i="1"/>
  <c r="E814" i="1"/>
  <c r="B814" i="1"/>
  <c r="V814" i="1" s="1"/>
  <c r="X813" i="1" a="1"/>
  <c r="X813" i="1" s="1"/>
  <c r="U813" i="1"/>
  <c r="T813" i="1"/>
  <c r="Z813" i="1" s="1"/>
  <c r="R813" i="1"/>
  <c r="P813" i="1"/>
  <c r="N813" i="1"/>
  <c r="Y813" i="1" s="1"/>
  <c r="L813" i="1"/>
  <c r="J813" i="1"/>
  <c r="H813" i="1"/>
  <c r="G813" i="1"/>
  <c r="E813" i="1"/>
  <c r="B813" i="1"/>
  <c r="W813" i="1" s="1"/>
  <c r="W812" i="1"/>
  <c r="V812" i="1"/>
  <c r="U812" i="1"/>
  <c r="R812" i="1"/>
  <c r="P812" i="1"/>
  <c r="T812" i="1" s="1"/>
  <c r="N812" i="1"/>
  <c r="Y812" i="1" s="1"/>
  <c r="L812" i="1"/>
  <c r="J812" i="1"/>
  <c r="H812" i="1"/>
  <c r="G812" i="1"/>
  <c r="E812" i="1"/>
  <c r="B812" i="1"/>
  <c r="Y811" i="1"/>
  <c r="W811" i="1"/>
  <c r="V811" i="1"/>
  <c r="R811" i="1"/>
  <c r="P811" i="1"/>
  <c r="T811" i="1" s="1"/>
  <c r="N811" i="1"/>
  <c r="L811" i="1"/>
  <c r="J811" i="1"/>
  <c r="H811" i="1"/>
  <c r="G811" i="1"/>
  <c r="E811" i="1"/>
  <c r="B811" i="1"/>
  <c r="U811" i="1" s="1"/>
  <c r="Y810" i="1"/>
  <c r="R810" i="1"/>
  <c r="T810" i="1" s="1"/>
  <c r="P810" i="1"/>
  <c r="N810" i="1"/>
  <c r="L810" i="1"/>
  <c r="J810" i="1"/>
  <c r="H810" i="1"/>
  <c r="G810" i="1"/>
  <c r="E810" i="1"/>
  <c r="B810" i="1"/>
  <c r="W810" i="1" s="1"/>
  <c r="W809" i="1"/>
  <c r="U809" i="1"/>
  <c r="T809" i="1"/>
  <c r="X809" i="1" s="1" a="1"/>
  <c r="X809" i="1" s="1"/>
  <c r="R809" i="1"/>
  <c r="P809" i="1"/>
  <c r="N809" i="1"/>
  <c r="Y809" i="1" s="1"/>
  <c r="L809" i="1"/>
  <c r="J809" i="1"/>
  <c r="H809" i="1"/>
  <c r="G809" i="1"/>
  <c r="E809" i="1"/>
  <c r="B809" i="1"/>
  <c r="V809" i="1" s="1"/>
  <c r="V808" i="1"/>
  <c r="U808" i="1"/>
  <c r="R808" i="1"/>
  <c r="P808" i="1"/>
  <c r="T808" i="1" s="1"/>
  <c r="N808" i="1"/>
  <c r="Y808" i="1" s="1"/>
  <c r="L808" i="1"/>
  <c r="J808" i="1"/>
  <c r="H808" i="1"/>
  <c r="G808" i="1"/>
  <c r="E808" i="1"/>
  <c r="B808" i="1"/>
  <c r="W808" i="1" s="1"/>
  <c r="Y807" i="1"/>
  <c r="V807" i="1"/>
  <c r="R807" i="1"/>
  <c r="P807" i="1"/>
  <c r="T807" i="1" s="1"/>
  <c r="N807" i="1"/>
  <c r="L807" i="1"/>
  <c r="J807" i="1"/>
  <c r="H807" i="1"/>
  <c r="G807" i="1"/>
  <c r="E807" i="1"/>
  <c r="B807" i="1"/>
  <c r="W807" i="1" s="1"/>
  <c r="Y806" i="1"/>
  <c r="W806" i="1"/>
  <c r="R806" i="1"/>
  <c r="T806" i="1" s="1"/>
  <c r="P806" i="1"/>
  <c r="N806" i="1"/>
  <c r="L806" i="1"/>
  <c r="J806" i="1"/>
  <c r="H806" i="1"/>
  <c r="G806" i="1"/>
  <c r="E806" i="1"/>
  <c r="B806" i="1"/>
  <c r="V806" i="1" s="1"/>
  <c r="X805" i="1" a="1"/>
  <c r="X805" i="1" s="1"/>
  <c r="U805" i="1"/>
  <c r="T805" i="1"/>
  <c r="Z805" i="1" s="1"/>
  <c r="R805" i="1"/>
  <c r="P805" i="1"/>
  <c r="N805" i="1"/>
  <c r="Y805" i="1" s="1"/>
  <c r="L805" i="1"/>
  <c r="J805" i="1"/>
  <c r="H805" i="1"/>
  <c r="G805" i="1"/>
  <c r="E805" i="1"/>
  <c r="B805" i="1"/>
  <c r="W805" i="1" s="1"/>
  <c r="W804" i="1"/>
  <c r="V804" i="1"/>
  <c r="U804" i="1"/>
  <c r="R804" i="1"/>
  <c r="P804" i="1"/>
  <c r="T804" i="1" s="1"/>
  <c r="N804" i="1"/>
  <c r="Y804" i="1" s="1"/>
  <c r="L804" i="1"/>
  <c r="J804" i="1"/>
  <c r="H804" i="1"/>
  <c r="G804" i="1"/>
  <c r="E804" i="1"/>
  <c r="B804" i="1"/>
  <c r="Y803" i="1"/>
  <c r="W803" i="1"/>
  <c r="V803" i="1"/>
  <c r="R803" i="1"/>
  <c r="P803" i="1"/>
  <c r="T803" i="1" s="1"/>
  <c r="N803" i="1"/>
  <c r="L803" i="1"/>
  <c r="J803" i="1"/>
  <c r="H803" i="1"/>
  <c r="G803" i="1"/>
  <c r="E803" i="1"/>
  <c r="B803" i="1"/>
  <c r="U803" i="1" s="1"/>
  <c r="Y802" i="1"/>
  <c r="R802" i="1"/>
  <c r="T802" i="1" s="1"/>
  <c r="P802" i="1"/>
  <c r="N802" i="1"/>
  <c r="L802" i="1"/>
  <c r="J802" i="1"/>
  <c r="H802" i="1"/>
  <c r="G802" i="1"/>
  <c r="E802" i="1"/>
  <c r="B802" i="1"/>
  <c r="W802" i="1" s="1"/>
  <c r="W801" i="1"/>
  <c r="U801" i="1"/>
  <c r="T801" i="1"/>
  <c r="X801" i="1" s="1" a="1"/>
  <c r="X801" i="1" s="1"/>
  <c r="R801" i="1"/>
  <c r="P801" i="1"/>
  <c r="N801" i="1"/>
  <c r="Y801" i="1" s="1"/>
  <c r="L801" i="1"/>
  <c r="J801" i="1"/>
  <c r="H801" i="1"/>
  <c r="G801" i="1"/>
  <c r="E801" i="1"/>
  <c r="B801" i="1"/>
  <c r="V801" i="1" s="1"/>
  <c r="V800" i="1"/>
  <c r="U800" i="1"/>
  <c r="R800" i="1"/>
  <c r="P800" i="1"/>
  <c r="T800" i="1" s="1"/>
  <c r="N800" i="1"/>
  <c r="Y800" i="1" s="1"/>
  <c r="L800" i="1"/>
  <c r="J800" i="1"/>
  <c r="H800" i="1"/>
  <c r="G800" i="1"/>
  <c r="E800" i="1"/>
  <c r="B800" i="1"/>
  <c r="W800" i="1" s="1"/>
  <c r="Y799" i="1"/>
  <c r="V799" i="1"/>
  <c r="R799" i="1"/>
  <c r="P799" i="1"/>
  <c r="T799" i="1" s="1"/>
  <c r="N799" i="1"/>
  <c r="L799" i="1"/>
  <c r="J799" i="1"/>
  <c r="H799" i="1"/>
  <c r="G799" i="1"/>
  <c r="E799" i="1"/>
  <c r="B799" i="1"/>
  <c r="W799" i="1" s="1"/>
  <c r="Y798" i="1"/>
  <c r="W798" i="1"/>
  <c r="R798" i="1"/>
  <c r="T798" i="1" s="1"/>
  <c r="P798" i="1"/>
  <c r="N798" i="1"/>
  <c r="L798" i="1"/>
  <c r="J798" i="1"/>
  <c r="H798" i="1"/>
  <c r="G798" i="1"/>
  <c r="E798" i="1"/>
  <c r="B798" i="1"/>
  <c r="V798" i="1" s="1"/>
  <c r="X797" i="1" a="1"/>
  <c r="X797" i="1" s="1"/>
  <c r="U797" i="1"/>
  <c r="T797" i="1"/>
  <c r="Z797" i="1" s="1"/>
  <c r="R797" i="1"/>
  <c r="P797" i="1"/>
  <c r="N797" i="1"/>
  <c r="Y797" i="1" s="1"/>
  <c r="L797" i="1"/>
  <c r="J797" i="1"/>
  <c r="H797" i="1"/>
  <c r="G797" i="1"/>
  <c r="E797" i="1"/>
  <c r="B797" i="1"/>
  <c r="W797" i="1" s="1"/>
  <c r="V796" i="1"/>
  <c r="U796" i="1"/>
  <c r="R796" i="1"/>
  <c r="P796" i="1"/>
  <c r="T796" i="1" s="1"/>
  <c r="N796" i="1"/>
  <c r="Y796" i="1" s="1"/>
  <c r="L796" i="1"/>
  <c r="J796" i="1"/>
  <c r="H796" i="1"/>
  <c r="G796" i="1"/>
  <c r="E796" i="1"/>
  <c r="B796" i="1"/>
  <c r="W796" i="1" s="1"/>
  <c r="Y795" i="1"/>
  <c r="W795" i="1"/>
  <c r="V795" i="1"/>
  <c r="R795" i="1"/>
  <c r="P795" i="1"/>
  <c r="T795" i="1" s="1"/>
  <c r="N795" i="1"/>
  <c r="L795" i="1"/>
  <c r="J795" i="1"/>
  <c r="H795" i="1"/>
  <c r="G795" i="1"/>
  <c r="E795" i="1"/>
  <c r="B795" i="1"/>
  <c r="U795" i="1" s="1"/>
  <c r="Y794" i="1"/>
  <c r="R794" i="1"/>
  <c r="T794" i="1" s="1"/>
  <c r="P794" i="1"/>
  <c r="N794" i="1"/>
  <c r="L794" i="1"/>
  <c r="J794" i="1"/>
  <c r="H794" i="1"/>
  <c r="G794" i="1"/>
  <c r="E794" i="1"/>
  <c r="B794" i="1"/>
  <c r="W794" i="1" s="1"/>
  <c r="W793" i="1"/>
  <c r="U793" i="1"/>
  <c r="T793" i="1"/>
  <c r="X793" i="1" s="1" a="1"/>
  <c r="X793" i="1" s="1"/>
  <c r="R793" i="1"/>
  <c r="P793" i="1"/>
  <c r="N793" i="1"/>
  <c r="Y793" i="1" s="1"/>
  <c r="L793" i="1"/>
  <c r="J793" i="1"/>
  <c r="H793" i="1"/>
  <c r="G793" i="1"/>
  <c r="E793" i="1"/>
  <c r="B793" i="1"/>
  <c r="V793" i="1" s="1"/>
  <c r="V792" i="1"/>
  <c r="U792" i="1"/>
  <c r="R792" i="1"/>
  <c r="P792" i="1"/>
  <c r="T792" i="1" s="1"/>
  <c r="N792" i="1"/>
  <c r="Y792" i="1" s="1"/>
  <c r="L792" i="1"/>
  <c r="J792" i="1"/>
  <c r="H792" i="1"/>
  <c r="G792" i="1"/>
  <c r="E792" i="1"/>
  <c r="B792" i="1"/>
  <c r="W792" i="1" s="1"/>
  <c r="Y791" i="1"/>
  <c r="V791" i="1"/>
  <c r="R791" i="1"/>
  <c r="P791" i="1"/>
  <c r="T791" i="1" s="1"/>
  <c r="N791" i="1"/>
  <c r="L791" i="1"/>
  <c r="J791" i="1"/>
  <c r="H791" i="1"/>
  <c r="G791" i="1"/>
  <c r="E791" i="1"/>
  <c r="B791" i="1"/>
  <c r="W791" i="1" s="1"/>
  <c r="Y790" i="1"/>
  <c r="W790" i="1"/>
  <c r="R790" i="1"/>
  <c r="T790" i="1" s="1"/>
  <c r="P790" i="1"/>
  <c r="N790" i="1"/>
  <c r="L790" i="1"/>
  <c r="J790" i="1"/>
  <c r="H790" i="1"/>
  <c r="G790" i="1"/>
  <c r="E790" i="1"/>
  <c r="B790" i="1"/>
  <c r="V790" i="1" s="1"/>
  <c r="X789" i="1" a="1"/>
  <c r="X789" i="1" s="1"/>
  <c r="U789" i="1"/>
  <c r="T789" i="1"/>
  <c r="Z789" i="1" s="1"/>
  <c r="R789" i="1"/>
  <c r="P789" i="1"/>
  <c r="N789" i="1"/>
  <c r="Y789" i="1" s="1"/>
  <c r="L789" i="1"/>
  <c r="J789" i="1"/>
  <c r="H789" i="1"/>
  <c r="G789" i="1"/>
  <c r="E789" i="1"/>
  <c r="B789" i="1"/>
  <c r="W789" i="1" s="1"/>
  <c r="V788" i="1"/>
  <c r="U788" i="1"/>
  <c r="R788" i="1"/>
  <c r="P788" i="1"/>
  <c r="T788" i="1" s="1"/>
  <c r="N788" i="1"/>
  <c r="Y788" i="1" s="1"/>
  <c r="L788" i="1"/>
  <c r="J788" i="1"/>
  <c r="H788" i="1"/>
  <c r="G788" i="1"/>
  <c r="E788" i="1"/>
  <c r="B788" i="1"/>
  <c r="W788" i="1" s="1"/>
  <c r="Y787" i="1"/>
  <c r="W787" i="1"/>
  <c r="V787" i="1"/>
  <c r="R787" i="1"/>
  <c r="P787" i="1"/>
  <c r="T787" i="1" s="1"/>
  <c r="N787" i="1"/>
  <c r="L787" i="1"/>
  <c r="J787" i="1"/>
  <c r="H787" i="1"/>
  <c r="G787" i="1"/>
  <c r="E787" i="1"/>
  <c r="B787" i="1"/>
  <c r="U787" i="1" s="1"/>
  <c r="Y786" i="1"/>
  <c r="R786" i="1"/>
  <c r="T786" i="1" s="1"/>
  <c r="P786" i="1"/>
  <c r="N786" i="1"/>
  <c r="L786" i="1"/>
  <c r="J786" i="1"/>
  <c r="H786" i="1"/>
  <c r="G786" i="1"/>
  <c r="E786" i="1"/>
  <c r="B786" i="1"/>
  <c r="W786" i="1" s="1"/>
  <c r="W785" i="1"/>
  <c r="U785" i="1"/>
  <c r="T785" i="1"/>
  <c r="X785" i="1" s="1" a="1"/>
  <c r="X785" i="1" s="1"/>
  <c r="R785" i="1"/>
  <c r="P785" i="1"/>
  <c r="N785" i="1"/>
  <c r="Y785" i="1" s="1"/>
  <c r="L785" i="1"/>
  <c r="J785" i="1"/>
  <c r="H785" i="1"/>
  <c r="G785" i="1"/>
  <c r="E785" i="1"/>
  <c r="B785" i="1"/>
  <c r="V785" i="1" s="1"/>
  <c r="V784" i="1"/>
  <c r="U784" i="1"/>
  <c r="R784" i="1"/>
  <c r="P784" i="1"/>
  <c r="T784" i="1" s="1"/>
  <c r="N784" i="1"/>
  <c r="Y784" i="1" s="1"/>
  <c r="L784" i="1"/>
  <c r="J784" i="1"/>
  <c r="H784" i="1"/>
  <c r="G784" i="1"/>
  <c r="E784" i="1"/>
  <c r="B784" i="1"/>
  <c r="W784" i="1" s="1"/>
  <c r="Y783" i="1"/>
  <c r="V783" i="1"/>
  <c r="R783" i="1"/>
  <c r="P783" i="1"/>
  <c r="T783" i="1" s="1"/>
  <c r="N783" i="1"/>
  <c r="L783" i="1"/>
  <c r="J783" i="1"/>
  <c r="H783" i="1"/>
  <c r="G783" i="1"/>
  <c r="E783" i="1"/>
  <c r="B783" i="1"/>
  <c r="W783" i="1" s="1"/>
  <c r="Y782" i="1"/>
  <c r="W782" i="1"/>
  <c r="R782" i="1"/>
  <c r="T782" i="1" s="1"/>
  <c r="P782" i="1"/>
  <c r="N782" i="1"/>
  <c r="L782" i="1"/>
  <c r="J782" i="1"/>
  <c r="H782" i="1"/>
  <c r="G782" i="1"/>
  <c r="E782" i="1"/>
  <c r="B782" i="1"/>
  <c r="V782" i="1" s="1"/>
  <c r="X781" i="1" a="1"/>
  <c r="X781" i="1" s="1"/>
  <c r="U781" i="1"/>
  <c r="T781" i="1"/>
  <c r="Z781" i="1" s="1"/>
  <c r="R781" i="1"/>
  <c r="P781" i="1"/>
  <c r="N781" i="1"/>
  <c r="Y781" i="1" s="1"/>
  <c r="L781" i="1"/>
  <c r="J781" i="1"/>
  <c r="H781" i="1"/>
  <c r="G781" i="1"/>
  <c r="E781" i="1"/>
  <c r="B781" i="1"/>
  <c r="W781" i="1" s="1"/>
  <c r="V780" i="1"/>
  <c r="U780" i="1"/>
  <c r="R780" i="1"/>
  <c r="P780" i="1"/>
  <c r="T780" i="1" s="1"/>
  <c r="N780" i="1"/>
  <c r="Y780" i="1" s="1"/>
  <c r="L780" i="1"/>
  <c r="J780" i="1"/>
  <c r="H780" i="1"/>
  <c r="G780" i="1"/>
  <c r="E780" i="1"/>
  <c r="B780" i="1"/>
  <c r="W780" i="1" s="1"/>
  <c r="Y779" i="1"/>
  <c r="W779" i="1"/>
  <c r="V779" i="1"/>
  <c r="R779" i="1"/>
  <c r="P779" i="1"/>
  <c r="T779" i="1" s="1"/>
  <c r="N779" i="1"/>
  <c r="L779" i="1"/>
  <c r="J779" i="1"/>
  <c r="H779" i="1"/>
  <c r="G779" i="1"/>
  <c r="E779" i="1"/>
  <c r="B779" i="1"/>
  <c r="U779" i="1" s="1"/>
  <c r="Y778" i="1"/>
  <c r="R778" i="1"/>
  <c r="T778" i="1" s="1"/>
  <c r="P778" i="1"/>
  <c r="N778" i="1"/>
  <c r="L778" i="1"/>
  <c r="J778" i="1"/>
  <c r="H778" i="1"/>
  <c r="G778" i="1"/>
  <c r="E778" i="1"/>
  <c r="B778" i="1"/>
  <c r="W778" i="1" s="1"/>
  <c r="W777" i="1"/>
  <c r="U777" i="1"/>
  <c r="T777" i="1"/>
  <c r="X777" i="1" s="1" a="1"/>
  <c r="X777" i="1" s="1"/>
  <c r="R777" i="1"/>
  <c r="P777" i="1"/>
  <c r="N777" i="1"/>
  <c r="Y777" i="1" s="1"/>
  <c r="L777" i="1"/>
  <c r="J777" i="1"/>
  <c r="H777" i="1"/>
  <c r="G777" i="1"/>
  <c r="E777" i="1"/>
  <c r="B777" i="1"/>
  <c r="V777" i="1" s="1"/>
  <c r="V776" i="1"/>
  <c r="U776" i="1"/>
  <c r="R776" i="1"/>
  <c r="P776" i="1"/>
  <c r="T776" i="1" s="1"/>
  <c r="N776" i="1"/>
  <c r="Y776" i="1" s="1"/>
  <c r="L776" i="1"/>
  <c r="J776" i="1"/>
  <c r="H776" i="1"/>
  <c r="G776" i="1"/>
  <c r="E776" i="1"/>
  <c r="B776" i="1"/>
  <c r="W776" i="1" s="1"/>
  <c r="Y775" i="1"/>
  <c r="V775" i="1"/>
  <c r="R775" i="1"/>
  <c r="P775" i="1"/>
  <c r="T775" i="1" s="1"/>
  <c r="N775" i="1"/>
  <c r="L775" i="1"/>
  <c r="J775" i="1"/>
  <c r="H775" i="1"/>
  <c r="G775" i="1"/>
  <c r="E775" i="1"/>
  <c r="B775" i="1"/>
  <c r="W775" i="1" s="1"/>
  <c r="Y774" i="1"/>
  <c r="W774" i="1"/>
  <c r="R774" i="1"/>
  <c r="T774" i="1" s="1"/>
  <c r="P774" i="1"/>
  <c r="N774" i="1"/>
  <c r="L774" i="1"/>
  <c r="J774" i="1"/>
  <c r="H774" i="1"/>
  <c r="G774" i="1"/>
  <c r="E774" i="1"/>
  <c r="B774" i="1"/>
  <c r="V774" i="1" s="1"/>
  <c r="X773" i="1" a="1"/>
  <c r="X773" i="1" s="1"/>
  <c r="U773" i="1"/>
  <c r="T773" i="1"/>
  <c r="Z773" i="1" s="1"/>
  <c r="R773" i="1"/>
  <c r="P773" i="1"/>
  <c r="N773" i="1"/>
  <c r="Y773" i="1" s="1"/>
  <c r="L773" i="1"/>
  <c r="J773" i="1"/>
  <c r="H773" i="1"/>
  <c r="G773" i="1"/>
  <c r="E773" i="1"/>
  <c r="B773" i="1"/>
  <c r="W773" i="1" s="1"/>
  <c r="V772" i="1"/>
  <c r="U772" i="1"/>
  <c r="R772" i="1"/>
  <c r="P772" i="1"/>
  <c r="T772" i="1" s="1"/>
  <c r="N772" i="1"/>
  <c r="Y772" i="1" s="1"/>
  <c r="L772" i="1"/>
  <c r="J772" i="1"/>
  <c r="H772" i="1"/>
  <c r="G772" i="1"/>
  <c r="E772" i="1"/>
  <c r="B772" i="1"/>
  <c r="W772" i="1" s="1"/>
  <c r="Y771" i="1"/>
  <c r="W771" i="1"/>
  <c r="V771" i="1"/>
  <c r="R771" i="1"/>
  <c r="P771" i="1"/>
  <c r="T771" i="1" s="1"/>
  <c r="N771" i="1"/>
  <c r="L771" i="1"/>
  <c r="J771" i="1"/>
  <c r="H771" i="1"/>
  <c r="G771" i="1"/>
  <c r="E771" i="1"/>
  <c r="B771" i="1"/>
  <c r="U771" i="1" s="1"/>
  <c r="Y770" i="1"/>
  <c r="R770" i="1"/>
  <c r="T770" i="1" s="1"/>
  <c r="P770" i="1"/>
  <c r="N770" i="1"/>
  <c r="L770" i="1"/>
  <c r="J770" i="1"/>
  <c r="H770" i="1"/>
  <c r="G770" i="1"/>
  <c r="E770" i="1"/>
  <c r="B770" i="1"/>
  <c r="W770" i="1" s="1"/>
  <c r="W769" i="1"/>
  <c r="U769" i="1"/>
  <c r="T769" i="1"/>
  <c r="X769" i="1" s="1" a="1"/>
  <c r="X769" i="1" s="1"/>
  <c r="R769" i="1"/>
  <c r="P769" i="1"/>
  <c r="N769" i="1"/>
  <c r="Y769" i="1" s="1"/>
  <c r="L769" i="1"/>
  <c r="J769" i="1"/>
  <c r="H769" i="1"/>
  <c r="G769" i="1"/>
  <c r="E769" i="1"/>
  <c r="B769" i="1"/>
  <c r="V769" i="1" s="1"/>
  <c r="V768" i="1"/>
  <c r="U768" i="1"/>
  <c r="R768" i="1"/>
  <c r="P768" i="1"/>
  <c r="T768" i="1" s="1"/>
  <c r="N768" i="1"/>
  <c r="Y768" i="1" s="1"/>
  <c r="L768" i="1"/>
  <c r="J768" i="1"/>
  <c r="H768" i="1"/>
  <c r="G768" i="1"/>
  <c r="E768" i="1"/>
  <c r="B768" i="1"/>
  <c r="W768" i="1" s="1"/>
  <c r="Y767" i="1"/>
  <c r="V767" i="1"/>
  <c r="R767" i="1"/>
  <c r="P767" i="1"/>
  <c r="T767" i="1" s="1"/>
  <c r="N767" i="1"/>
  <c r="L767" i="1"/>
  <c r="J767" i="1"/>
  <c r="H767" i="1"/>
  <c r="G767" i="1"/>
  <c r="E767" i="1"/>
  <c r="B767" i="1"/>
  <c r="W767" i="1" s="1"/>
  <c r="Y766" i="1"/>
  <c r="W766" i="1"/>
  <c r="R766" i="1"/>
  <c r="T766" i="1" s="1"/>
  <c r="P766" i="1"/>
  <c r="N766" i="1"/>
  <c r="L766" i="1"/>
  <c r="J766" i="1"/>
  <c r="H766" i="1"/>
  <c r="G766" i="1"/>
  <c r="E766" i="1"/>
  <c r="B766" i="1"/>
  <c r="V766" i="1" s="1"/>
  <c r="X765" i="1" a="1"/>
  <c r="X765" i="1" s="1"/>
  <c r="U765" i="1"/>
  <c r="T765" i="1"/>
  <c r="Z765" i="1" s="1"/>
  <c r="R765" i="1"/>
  <c r="P765" i="1"/>
  <c r="N765" i="1"/>
  <c r="Y765" i="1" s="1"/>
  <c r="L765" i="1"/>
  <c r="J765" i="1"/>
  <c r="H765" i="1"/>
  <c r="G765" i="1"/>
  <c r="E765" i="1"/>
  <c r="B765" i="1"/>
  <c r="W765" i="1" s="1"/>
  <c r="V764" i="1"/>
  <c r="U764" i="1"/>
  <c r="R764" i="1"/>
  <c r="P764" i="1"/>
  <c r="T764" i="1" s="1"/>
  <c r="N764" i="1"/>
  <c r="Y764" i="1" s="1"/>
  <c r="L764" i="1"/>
  <c r="J764" i="1"/>
  <c r="H764" i="1"/>
  <c r="G764" i="1"/>
  <c r="E764" i="1"/>
  <c r="B764" i="1"/>
  <c r="W764" i="1" s="1"/>
  <c r="Y763" i="1"/>
  <c r="W763" i="1"/>
  <c r="V763" i="1"/>
  <c r="R763" i="1"/>
  <c r="P763" i="1"/>
  <c r="T763" i="1" s="1"/>
  <c r="N763" i="1"/>
  <c r="L763" i="1"/>
  <c r="J763" i="1"/>
  <c r="H763" i="1"/>
  <c r="G763" i="1"/>
  <c r="E763" i="1"/>
  <c r="B763" i="1"/>
  <c r="U763" i="1" s="1"/>
  <c r="Y762" i="1"/>
  <c r="R762" i="1"/>
  <c r="T762" i="1" s="1"/>
  <c r="P762" i="1"/>
  <c r="N762" i="1"/>
  <c r="L762" i="1"/>
  <c r="J762" i="1"/>
  <c r="H762" i="1"/>
  <c r="G762" i="1"/>
  <c r="E762" i="1"/>
  <c r="B762" i="1"/>
  <c r="W762" i="1" s="1"/>
  <c r="W761" i="1"/>
  <c r="U761" i="1"/>
  <c r="T761" i="1"/>
  <c r="X761" i="1" s="1" a="1"/>
  <c r="X761" i="1" s="1"/>
  <c r="R761" i="1"/>
  <c r="P761" i="1"/>
  <c r="N761" i="1"/>
  <c r="Y761" i="1" s="1"/>
  <c r="L761" i="1"/>
  <c r="J761" i="1"/>
  <c r="H761" i="1"/>
  <c r="G761" i="1"/>
  <c r="E761" i="1"/>
  <c r="B761" i="1"/>
  <c r="V761" i="1" s="1"/>
  <c r="V760" i="1"/>
  <c r="U760" i="1"/>
  <c r="R760" i="1"/>
  <c r="P760" i="1"/>
  <c r="T760" i="1" s="1"/>
  <c r="N760" i="1"/>
  <c r="Y760" i="1" s="1"/>
  <c r="L760" i="1"/>
  <c r="J760" i="1"/>
  <c r="H760" i="1"/>
  <c r="G760" i="1"/>
  <c r="E760" i="1"/>
  <c r="B760" i="1"/>
  <c r="W760" i="1" s="1"/>
  <c r="Y759" i="1"/>
  <c r="V759" i="1"/>
  <c r="R759" i="1"/>
  <c r="P759" i="1"/>
  <c r="T759" i="1" s="1"/>
  <c r="N759" i="1"/>
  <c r="L759" i="1"/>
  <c r="J759" i="1"/>
  <c r="H759" i="1"/>
  <c r="G759" i="1"/>
  <c r="E759" i="1"/>
  <c r="B759" i="1"/>
  <c r="W759" i="1" s="1"/>
  <c r="Y758" i="1"/>
  <c r="W758" i="1"/>
  <c r="R758" i="1"/>
  <c r="T758" i="1" s="1"/>
  <c r="P758" i="1"/>
  <c r="N758" i="1"/>
  <c r="L758" i="1"/>
  <c r="J758" i="1"/>
  <c r="H758" i="1"/>
  <c r="G758" i="1"/>
  <c r="E758" i="1"/>
  <c r="B758" i="1"/>
  <c r="V758" i="1" s="1"/>
  <c r="X757" i="1" a="1"/>
  <c r="X757" i="1" s="1"/>
  <c r="U757" i="1"/>
  <c r="T757" i="1"/>
  <c r="Z757" i="1" s="1"/>
  <c r="R757" i="1"/>
  <c r="P757" i="1"/>
  <c r="N757" i="1"/>
  <c r="Y757" i="1" s="1"/>
  <c r="L757" i="1"/>
  <c r="J757" i="1"/>
  <c r="H757" i="1"/>
  <c r="G757" i="1"/>
  <c r="E757" i="1"/>
  <c r="B757" i="1"/>
  <c r="W757" i="1" s="1"/>
  <c r="V756" i="1"/>
  <c r="U756" i="1"/>
  <c r="R756" i="1"/>
  <c r="P756" i="1"/>
  <c r="T756" i="1" s="1"/>
  <c r="N756" i="1"/>
  <c r="Y756" i="1" s="1"/>
  <c r="L756" i="1"/>
  <c r="J756" i="1"/>
  <c r="H756" i="1"/>
  <c r="G756" i="1"/>
  <c r="E756" i="1"/>
  <c r="B756" i="1"/>
  <c r="W756" i="1" s="1"/>
  <c r="Y755" i="1"/>
  <c r="W755" i="1"/>
  <c r="V755" i="1"/>
  <c r="R755" i="1"/>
  <c r="P755" i="1"/>
  <c r="T755" i="1" s="1"/>
  <c r="N755" i="1"/>
  <c r="L755" i="1"/>
  <c r="J755" i="1"/>
  <c r="H755" i="1"/>
  <c r="G755" i="1"/>
  <c r="E755" i="1"/>
  <c r="B755" i="1"/>
  <c r="U755" i="1" s="1"/>
  <c r="Y754" i="1"/>
  <c r="R754" i="1"/>
  <c r="T754" i="1" s="1"/>
  <c r="P754" i="1"/>
  <c r="N754" i="1"/>
  <c r="L754" i="1"/>
  <c r="J754" i="1"/>
  <c r="H754" i="1"/>
  <c r="G754" i="1"/>
  <c r="E754" i="1"/>
  <c r="B754" i="1"/>
  <c r="W754" i="1" s="1"/>
  <c r="W753" i="1"/>
  <c r="U753" i="1"/>
  <c r="T753" i="1"/>
  <c r="X753" i="1" s="1" a="1"/>
  <c r="X753" i="1" s="1"/>
  <c r="R753" i="1"/>
  <c r="P753" i="1"/>
  <c r="N753" i="1"/>
  <c r="Y753" i="1" s="1"/>
  <c r="L753" i="1"/>
  <c r="J753" i="1"/>
  <c r="H753" i="1"/>
  <c r="G753" i="1"/>
  <c r="E753" i="1"/>
  <c r="B753" i="1"/>
  <c r="V753" i="1" s="1"/>
  <c r="V752" i="1"/>
  <c r="U752" i="1"/>
  <c r="R752" i="1"/>
  <c r="P752" i="1"/>
  <c r="T752" i="1" s="1"/>
  <c r="N752" i="1"/>
  <c r="Y752" i="1" s="1"/>
  <c r="L752" i="1"/>
  <c r="J752" i="1"/>
  <c r="H752" i="1"/>
  <c r="G752" i="1"/>
  <c r="E752" i="1"/>
  <c r="B752" i="1"/>
  <c r="W752" i="1" s="1"/>
  <c r="Y751" i="1"/>
  <c r="V751" i="1"/>
  <c r="R751" i="1"/>
  <c r="P751" i="1"/>
  <c r="T751" i="1" s="1"/>
  <c r="N751" i="1"/>
  <c r="L751" i="1"/>
  <c r="J751" i="1"/>
  <c r="H751" i="1"/>
  <c r="G751" i="1"/>
  <c r="E751" i="1"/>
  <c r="B751" i="1"/>
  <c r="W751" i="1" s="1"/>
  <c r="Y750" i="1"/>
  <c r="W750" i="1"/>
  <c r="R750" i="1"/>
  <c r="T750" i="1" s="1"/>
  <c r="P750" i="1"/>
  <c r="N750" i="1"/>
  <c r="L750" i="1"/>
  <c r="J750" i="1"/>
  <c r="H750" i="1"/>
  <c r="G750" i="1"/>
  <c r="E750" i="1"/>
  <c r="B750" i="1"/>
  <c r="V750" i="1" s="1"/>
  <c r="X749" i="1" a="1"/>
  <c r="X749" i="1" s="1"/>
  <c r="U749" i="1"/>
  <c r="T749" i="1"/>
  <c r="Z749" i="1" s="1"/>
  <c r="R749" i="1"/>
  <c r="P749" i="1"/>
  <c r="N749" i="1"/>
  <c r="Y749" i="1" s="1"/>
  <c r="L749" i="1"/>
  <c r="J749" i="1"/>
  <c r="H749" i="1"/>
  <c r="G749" i="1"/>
  <c r="E749" i="1"/>
  <c r="B749" i="1"/>
  <c r="W749" i="1" s="1"/>
  <c r="V748" i="1"/>
  <c r="U748" i="1"/>
  <c r="R748" i="1"/>
  <c r="P748" i="1"/>
  <c r="T748" i="1" s="1"/>
  <c r="N748" i="1"/>
  <c r="Y748" i="1" s="1"/>
  <c r="L748" i="1"/>
  <c r="J748" i="1"/>
  <c r="H748" i="1"/>
  <c r="G748" i="1"/>
  <c r="E748" i="1"/>
  <c r="B748" i="1"/>
  <c r="W748" i="1" s="1"/>
  <c r="Y747" i="1"/>
  <c r="W747" i="1"/>
  <c r="V747" i="1"/>
  <c r="R747" i="1"/>
  <c r="P747" i="1"/>
  <c r="T747" i="1" s="1"/>
  <c r="N747" i="1"/>
  <c r="L747" i="1"/>
  <c r="J747" i="1"/>
  <c r="H747" i="1"/>
  <c r="G747" i="1"/>
  <c r="E747" i="1"/>
  <c r="B747" i="1"/>
  <c r="U747" i="1" s="1"/>
  <c r="Y746" i="1"/>
  <c r="R746" i="1"/>
  <c r="T746" i="1" s="1"/>
  <c r="P746" i="1"/>
  <c r="N746" i="1"/>
  <c r="L746" i="1"/>
  <c r="J746" i="1"/>
  <c r="H746" i="1"/>
  <c r="G746" i="1"/>
  <c r="E746" i="1"/>
  <c r="B746" i="1"/>
  <c r="W746" i="1" s="1"/>
  <c r="W745" i="1"/>
  <c r="U745" i="1"/>
  <c r="T745" i="1"/>
  <c r="X745" i="1" s="1" a="1"/>
  <c r="X745" i="1" s="1"/>
  <c r="R745" i="1"/>
  <c r="P745" i="1"/>
  <c r="N745" i="1"/>
  <c r="Y745" i="1" s="1"/>
  <c r="L745" i="1"/>
  <c r="J745" i="1"/>
  <c r="H745" i="1"/>
  <c r="G745" i="1"/>
  <c r="E745" i="1"/>
  <c r="B745" i="1"/>
  <c r="V745" i="1" s="1"/>
  <c r="V744" i="1"/>
  <c r="U744" i="1"/>
  <c r="R744" i="1"/>
  <c r="P744" i="1"/>
  <c r="T744" i="1" s="1"/>
  <c r="N744" i="1"/>
  <c r="Y744" i="1" s="1"/>
  <c r="L744" i="1"/>
  <c r="J744" i="1"/>
  <c r="H744" i="1"/>
  <c r="G744" i="1"/>
  <c r="E744" i="1"/>
  <c r="B744" i="1"/>
  <c r="W744" i="1" s="1"/>
  <c r="Y743" i="1"/>
  <c r="V743" i="1"/>
  <c r="R743" i="1"/>
  <c r="P743" i="1"/>
  <c r="T743" i="1" s="1"/>
  <c r="N743" i="1"/>
  <c r="L743" i="1"/>
  <c r="J743" i="1"/>
  <c r="H743" i="1"/>
  <c r="G743" i="1"/>
  <c r="E743" i="1"/>
  <c r="B743" i="1"/>
  <c r="W743" i="1" s="1"/>
  <c r="Y742" i="1"/>
  <c r="W742" i="1"/>
  <c r="R742" i="1"/>
  <c r="T742" i="1" s="1"/>
  <c r="P742" i="1"/>
  <c r="N742" i="1"/>
  <c r="L742" i="1"/>
  <c r="J742" i="1"/>
  <c r="H742" i="1"/>
  <c r="G742" i="1"/>
  <c r="E742" i="1"/>
  <c r="B742" i="1"/>
  <c r="V742" i="1" s="1"/>
  <c r="X741" i="1" a="1"/>
  <c r="X741" i="1" s="1"/>
  <c r="U741" i="1"/>
  <c r="T741" i="1"/>
  <c r="Z741" i="1" s="1"/>
  <c r="R741" i="1"/>
  <c r="P741" i="1"/>
  <c r="N741" i="1"/>
  <c r="Y741" i="1" s="1"/>
  <c r="L741" i="1"/>
  <c r="J741" i="1"/>
  <c r="H741" i="1"/>
  <c r="G741" i="1"/>
  <c r="E741" i="1"/>
  <c r="B741" i="1"/>
  <c r="W741" i="1" s="1"/>
  <c r="V740" i="1"/>
  <c r="U740" i="1"/>
  <c r="R740" i="1"/>
  <c r="P740" i="1"/>
  <c r="T740" i="1" s="1"/>
  <c r="N740" i="1"/>
  <c r="Y740" i="1" s="1"/>
  <c r="L740" i="1"/>
  <c r="J740" i="1"/>
  <c r="H740" i="1"/>
  <c r="G740" i="1"/>
  <c r="E740" i="1"/>
  <c r="B740" i="1"/>
  <c r="W740" i="1" s="1"/>
  <c r="Y739" i="1"/>
  <c r="W739" i="1"/>
  <c r="V739" i="1"/>
  <c r="R739" i="1"/>
  <c r="P739" i="1"/>
  <c r="T739" i="1" s="1"/>
  <c r="N739" i="1"/>
  <c r="L739" i="1"/>
  <c r="J739" i="1"/>
  <c r="H739" i="1"/>
  <c r="G739" i="1"/>
  <c r="E739" i="1"/>
  <c r="B739" i="1"/>
  <c r="U739" i="1" s="1"/>
  <c r="Y738" i="1"/>
  <c r="R738" i="1"/>
  <c r="T738" i="1" s="1"/>
  <c r="P738" i="1"/>
  <c r="N738" i="1"/>
  <c r="L738" i="1"/>
  <c r="J738" i="1"/>
  <c r="H738" i="1"/>
  <c r="G738" i="1"/>
  <c r="E738" i="1"/>
  <c r="B738" i="1"/>
  <c r="W738" i="1" s="1"/>
  <c r="W737" i="1"/>
  <c r="U737" i="1"/>
  <c r="T737" i="1"/>
  <c r="X737" i="1" s="1" a="1"/>
  <c r="X737" i="1" s="1"/>
  <c r="R737" i="1"/>
  <c r="P737" i="1"/>
  <c r="N737" i="1"/>
  <c r="Y737" i="1" s="1"/>
  <c r="L737" i="1"/>
  <c r="J737" i="1"/>
  <c r="H737" i="1"/>
  <c r="G737" i="1"/>
  <c r="E737" i="1"/>
  <c r="B737" i="1"/>
  <c r="V737" i="1" s="1"/>
  <c r="V736" i="1"/>
  <c r="U736" i="1"/>
  <c r="R736" i="1"/>
  <c r="P736" i="1"/>
  <c r="T736" i="1" s="1"/>
  <c r="N736" i="1"/>
  <c r="Y736" i="1" s="1"/>
  <c r="L736" i="1"/>
  <c r="J736" i="1"/>
  <c r="H736" i="1"/>
  <c r="G736" i="1"/>
  <c r="E736" i="1"/>
  <c r="B736" i="1"/>
  <c r="W736" i="1" s="1"/>
  <c r="Y735" i="1"/>
  <c r="V735" i="1"/>
  <c r="R735" i="1"/>
  <c r="P735" i="1"/>
  <c r="T735" i="1" s="1"/>
  <c r="N735" i="1"/>
  <c r="L735" i="1"/>
  <c r="J735" i="1"/>
  <c r="H735" i="1"/>
  <c r="G735" i="1"/>
  <c r="E735" i="1"/>
  <c r="B735" i="1"/>
  <c r="W735" i="1" s="1"/>
  <c r="Y734" i="1"/>
  <c r="W734" i="1"/>
  <c r="R734" i="1"/>
  <c r="T734" i="1" s="1"/>
  <c r="P734" i="1"/>
  <c r="N734" i="1"/>
  <c r="L734" i="1"/>
  <c r="J734" i="1"/>
  <c r="H734" i="1"/>
  <c r="G734" i="1"/>
  <c r="E734" i="1"/>
  <c r="B734" i="1"/>
  <c r="V734" i="1" s="1"/>
  <c r="X733" i="1" a="1"/>
  <c r="X733" i="1" s="1"/>
  <c r="U733" i="1"/>
  <c r="T733" i="1"/>
  <c r="Z733" i="1" s="1"/>
  <c r="R733" i="1"/>
  <c r="P733" i="1"/>
  <c r="N733" i="1"/>
  <c r="Y733" i="1" s="1"/>
  <c r="L733" i="1"/>
  <c r="J733" i="1"/>
  <c r="H733" i="1"/>
  <c r="G733" i="1"/>
  <c r="E733" i="1"/>
  <c r="B733" i="1"/>
  <c r="W733" i="1" s="1"/>
  <c r="V732" i="1"/>
  <c r="U732" i="1"/>
  <c r="R732" i="1"/>
  <c r="P732" i="1"/>
  <c r="T732" i="1" s="1"/>
  <c r="N732" i="1"/>
  <c r="Y732" i="1" s="1"/>
  <c r="L732" i="1"/>
  <c r="J732" i="1"/>
  <c r="H732" i="1"/>
  <c r="G732" i="1"/>
  <c r="E732" i="1"/>
  <c r="B732" i="1"/>
  <c r="W732" i="1" s="1"/>
  <c r="Y731" i="1"/>
  <c r="W731" i="1"/>
  <c r="V731" i="1"/>
  <c r="R731" i="1"/>
  <c r="P731" i="1"/>
  <c r="T731" i="1" s="1"/>
  <c r="N731" i="1"/>
  <c r="L731" i="1"/>
  <c r="J731" i="1"/>
  <c r="H731" i="1"/>
  <c r="G731" i="1"/>
  <c r="E731" i="1"/>
  <c r="B731" i="1"/>
  <c r="U731" i="1" s="1"/>
  <c r="Y730" i="1"/>
  <c r="R730" i="1"/>
  <c r="T730" i="1" s="1"/>
  <c r="P730" i="1"/>
  <c r="N730" i="1"/>
  <c r="L730" i="1"/>
  <c r="J730" i="1"/>
  <c r="H730" i="1"/>
  <c r="G730" i="1"/>
  <c r="E730" i="1"/>
  <c r="B730" i="1"/>
  <c r="W730" i="1" s="1"/>
  <c r="W729" i="1"/>
  <c r="U729" i="1"/>
  <c r="T729" i="1"/>
  <c r="X729" i="1" s="1" a="1"/>
  <c r="X729" i="1" s="1"/>
  <c r="R729" i="1"/>
  <c r="P729" i="1"/>
  <c r="N729" i="1"/>
  <c r="Y729" i="1" s="1"/>
  <c r="L729" i="1"/>
  <c r="J729" i="1"/>
  <c r="H729" i="1"/>
  <c r="G729" i="1"/>
  <c r="E729" i="1"/>
  <c r="B729" i="1"/>
  <c r="V729" i="1" s="1"/>
  <c r="V728" i="1"/>
  <c r="U728" i="1"/>
  <c r="R728" i="1"/>
  <c r="P728" i="1"/>
  <c r="T728" i="1" s="1"/>
  <c r="N728" i="1"/>
  <c r="Y728" i="1" s="1"/>
  <c r="L728" i="1"/>
  <c r="J728" i="1"/>
  <c r="H728" i="1"/>
  <c r="G728" i="1"/>
  <c r="E728" i="1"/>
  <c r="B728" i="1"/>
  <c r="W728" i="1" s="1"/>
  <c r="Y727" i="1"/>
  <c r="V727" i="1"/>
  <c r="R727" i="1"/>
  <c r="P727" i="1"/>
  <c r="T727" i="1" s="1"/>
  <c r="N727" i="1"/>
  <c r="L727" i="1"/>
  <c r="J727" i="1"/>
  <c r="H727" i="1"/>
  <c r="G727" i="1"/>
  <c r="E727" i="1"/>
  <c r="B727" i="1"/>
  <c r="W727" i="1" s="1"/>
  <c r="Y726" i="1"/>
  <c r="W726" i="1"/>
  <c r="R726" i="1"/>
  <c r="T726" i="1" s="1"/>
  <c r="P726" i="1"/>
  <c r="N726" i="1"/>
  <c r="L726" i="1"/>
  <c r="J726" i="1"/>
  <c r="H726" i="1"/>
  <c r="G726" i="1"/>
  <c r="E726" i="1"/>
  <c r="B726" i="1"/>
  <c r="V726" i="1" s="1"/>
  <c r="X725" i="1" a="1"/>
  <c r="X725" i="1" s="1"/>
  <c r="U725" i="1"/>
  <c r="T725" i="1"/>
  <c r="Z725" i="1" s="1"/>
  <c r="R725" i="1"/>
  <c r="P725" i="1"/>
  <c r="N725" i="1"/>
  <c r="Y725" i="1" s="1"/>
  <c r="L725" i="1"/>
  <c r="J725" i="1"/>
  <c r="H725" i="1"/>
  <c r="G725" i="1"/>
  <c r="E725" i="1"/>
  <c r="B725" i="1"/>
  <c r="W725" i="1" s="1"/>
  <c r="V724" i="1"/>
  <c r="U724" i="1"/>
  <c r="R724" i="1"/>
  <c r="P724" i="1"/>
  <c r="T724" i="1" s="1"/>
  <c r="N724" i="1"/>
  <c r="Y724" i="1" s="1"/>
  <c r="L724" i="1"/>
  <c r="J724" i="1"/>
  <c r="H724" i="1"/>
  <c r="G724" i="1"/>
  <c r="E724" i="1"/>
  <c r="B724" i="1"/>
  <c r="W724" i="1" s="1"/>
  <c r="Y723" i="1"/>
  <c r="W723" i="1"/>
  <c r="V723" i="1"/>
  <c r="R723" i="1"/>
  <c r="P723" i="1"/>
  <c r="T723" i="1" s="1"/>
  <c r="N723" i="1"/>
  <c r="L723" i="1"/>
  <c r="J723" i="1"/>
  <c r="H723" i="1"/>
  <c r="G723" i="1"/>
  <c r="E723" i="1"/>
  <c r="B723" i="1"/>
  <c r="U723" i="1" s="1"/>
  <c r="Y722" i="1"/>
  <c r="R722" i="1"/>
  <c r="T722" i="1" s="1"/>
  <c r="P722" i="1"/>
  <c r="N722" i="1"/>
  <c r="L722" i="1"/>
  <c r="J722" i="1"/>
  <c r="H722" i="1"/>
  <c r="G722" i="1"/>
  <c r="E722" i="1"/>
  <c r="B722" i="1"/>
  <c r="W722" i="1" s="1"/>
  <c r="W721" i="1"/>
  <c r="U721" i="1"/>
  <c r="T721" i="1"/>
  <c r="X721" i="1" s="1" a="1"/>
  <c r="X721" i="1" s="1"/>
  <c r="R721" i="1"/>
  <c r="P721" i="1"/>
  <c r="N721" i="1"/>
  <c r="Y721" i="1" s="1"/>
  <c r="L721" i="1"/>
  <c r="J721" i="1"/>
  <c r="H721" i="1"/>
  <c r="G721" i="1"/>
  <c r="E721" i="1"/>
  <c r="B721" i="1"/>
  <c r="V721" i="1" s="1"/>
  <c r="V720" i="1"/>
  <c r="U720" i="1"/>
  <c r="R720" i="1"/>
  <c r="P720" i="1"/>
  <c r="T720" i="1" s="1"/>
  <c r="N720" i="1"/>
  <c r="Y720" i="1" s="1"/>
  <c r="L720" i="1"/>
  <c r="J720" i="1"/>
  <c r="H720" i="1"/>
  <c r="G720" i="1"/>
  <c r="E720" i="1"/>
  <c r="B720" i="1"/>
  <c r="W720" i="1" s="1"/>
  <c r="Y719" i="1"/>
  <c r="V719" i="1"/>
  <c r="R719" i="1"/>
  <c r="P719" i="1"/>
  <c r="T719" i="1" s="1"/>
  <c r="N719" i="1"/>
  <c r="L719" i="1"/>
  <c r="J719" i="1"/>
  <c r="H719" i="1"/>
  <c r="G719" i="1"/>
  <c r="E719" i="1"/>
  <c r="B719" i="1"/>
  <c r="W719" i="1" s="1"/>
  <c r="Y718" i="1"/>
  <c r="W718" i="1"/>
  <c r="R718" i="1"/>
  <c r="T718" i="1" s="1"/>
  <c r="P718" i="1"/>
  <c r="N718" i="1"/>
  <c r="L718" i="1"/>
  <c r="J718" i="1"/>
  <c r="H718" i="1"/>
  <c r="G718" i="1"/>
  <c r="E718" i="1"/>
  <c r="B718" i="1"/>
  <c r="V718" i="1" s="1"/>
  <c r="X717" i="1" a="1"/>
  <c r="X717" i="1" s="1"/>
  <c r="U717" i="1"/>
  <c r="T717" i="1"/>
  <c r="Z717" i="1" s="1"/>
  <c r="R717" i="1"/>
  <c r="P717" i="1"/>
  <c r="N717" i="1"/>
  <c r="Y717" i="1" s="1"/>
  <c r="L717" i="1"/>
  <c r="J717" i="1"/>
  <c r="H717" i="1"/>
  <c r="G717" i="1"/>
  <c r="E717" i="1"/>
  <c r="B717" i="1"/>
  <c r="W717" i="1" s="1"/>
  <c r="V716" i="1"/>
  <c r="U716" i="1"/>
  <c r="R716" i="1"/>
  <c r="P716" i="1"/>
  <c r="T716" i="1" s="1"/>
  <c r="N716" i="1"/>
  <c r="Y716" i="1" s="1"/>
  <c r="L716" i="1"/>
  <c r="J716" i="1"/>
  <c r="H716" i="1"/>
  <c r="G716" i="1"/>
  <c r="E716" i="1"/>
  <c r="B716" i="1"/>
  <c r="W716" i="1" s="1"/>
  <c r="Y715" i="1"/>
  <c r="W715" i="1"/>
  <c r="V715" i="1"/>
  <c r="R715" i="1"/>
  <c r="P715" i="1"/>
  <c r="T715" i="1" s="1"/>
  <c r="N715" i="1"/>
  <c r="L715" i="1"/>
  <c r="J715" i="1"/>
  <c r="H715" i="1"/>
  <c r="G715" i="1"/>
  <c r="E715" i="1"/>
  <c r="B715" i="1"/>
  <c r="U715" i="1" s="1"/>
  <c r="Z714" i="1"/>
  <c r="Y714" i="1"/>
  <c r="R714" i="1"/>
  <c r="T714" i="1" s="1"/>
  <c r="X714" i="1" s="1" a="1"/>
  <c r="X714" i="1" s="1"/>
  <c r="P714" i="1"/>
  <c r="N714" i="1"/>
  <c r="L714" i="1"/>
  <c r="J714" i="1"/>
  <c r="H714" i="1"/>
  <c r="G714" i="1"/>
  <c r="E714" i="1"/>
  <c r="B714" i="1"/>
  <c r="W713" i="1"/>
  <c r="U713" i="1"/>
  <c r="T713" i="1"/>
  <c r="R713" i="1"/>
  <c r="P713" i="1"/>
  <c r="N713" i="1"/>
  <c r="Y713" i="1" s="1"/>
  <c r="L713" i="1"/>
  <c r="J713" i="1"/>
  <c r="H713" i="1"/>
  <c r="G713" i="1"/>
  <c r="E713" i="1"/>
  <c r="B713" i="1"/>
  <c r="V713" i="1" s="1"/>
  <c r="V712" i="1"/>
  <c r="U712" i="1"/>
  <c r="R712" i="1"/>
  <c r="P712" i="1"/>
  <c r="T712" i="1" s="1"/>
  <c r="N712" i="1"/>
  <c r="Y712" i="1" s="1"/>
  <c r="L712" i="1"/>
  <c r="J712" i="1"/>
  <c r="H712" i="1"/>
  <c r="G712" i="1"/>
  <c r="E712" i="1"/>
  <c r="B712" i="1"/>
  <c r="W712" i="1" s="1"/>
  <c r="Y711" i="1"/>
  <c r="V711" i="1"/>
  <c r="R711" i="1"/>
  <c r="P711" i="1"/>
  <c r="T711" i="1" s="1"/>
  <c r="N711" i="1"/>
  <c r="L711" i="1"/>
  <c r="J711" i="1"/>
  <c r="H711" i="1"/>
  <c r="G711" i="1"/>
  <c r="E711" i="1"/>
  <c r="B711" i="1"/>
  <c r="W711" i="1" s="1"/>
  <c r="Y710" i="1"/>
  <c r="W710" i="1"/>
  <c r="R710" i="1"/>
  <c r="T710" i="1" s="1"/>
  <c r="P710" i="1"/>
  <c r="N710" i="1"/>
  <c r="L710" i="1"/>
  <c r="J710" i="1"/>
  <c r="H710" i="1"/>
  <c r="G710" i="1"/>
  <c r="E710" i="1"/>
  <c r="B710" i="1"/>
  <c r="V710" i="1" s="1"/>
  <c r="X709" i="1" a="1"/>
  <c r="X709" i="1" s="1"/>
  <c r="U709" i="1"/>
  <c r="T709" i="1"/>
  <c r="Z709" i="1" s="1"/>
  <c r="R709" i="1"/>
  <c r="P709" i="1"/>
  <c r="N709" i="1"/>
  <c r="Y709" i="1" s="1"/>
  <c r="L709" i="1"/>
  <c r="J709" i="1"/>
  <c r="H709" i="1"/>
  <c r="G709" i="1"/>
  <c r="E709" i="1"/>
  <c r="B709" i="1"/>
  <c r="W709" i="1" s="1"/>
  <c r="V708" i="1"/>
  <c r="U708" i="1"/>
  <c r="R708" i="1"/>
  <c r="P708" i="1"/>
  <c r="T708" i="1" s="1"/>
  <c r="N708" i="1"/>
  <c r="Y708" i="1" s="1"/>
  <c r="L708" i="1"/>
  <c r="J708" i="1"/>
  <c r="H708" i="1"/>
  <c r="G708" i="1"/>
  <c r="E708" i="1"/>
  <c r="B708" i="1"/>
  <c r="W708" i="1" s="1"/>
  <c r="Y707" i="1"/>
  <c r="W707" i="1"/>
  <c r="V707" i="1"/>
  <c r="R707" i="1"/>
  <c r="P707" i="1"/>
  <c r="T707" i="1" s="1"/>
  <c r="N707" i="1"/>
  <c r="L707" i="1"/>
  <c r="J707" i="1"/>
  <c r="H707" i="1"/>
  <c r="G707" i="1"/>
  <c r="E707" i="1"/>
  <c r="B707" i="1"/>
  <c r="U707" i="1" s="1"/>
  <c r="Z706" i="1"/>
  <c r="Y706" i="1"/>
  <c r="R706" i="1"/>
  <c r="T706" i="1" s="1"/>
  <c r="X706" i="1" s="1" a="1"/>
  <c r="X706" i="1" s="1"/>
  <c r="P706" i="1"/>
  <c r="N706" i="1"/>
  <c r="L706" i="1"/>
  <c r="J706" i="1"/>
  <c r="H706" i="1"/>
  <c r="G706" i="1"/>
  <c r="E706" i="1"/>
  <c r="B706" i="1"/>
  <c r="W705" i="1"/>
  <c r="U705" i="1"/>
  <c r="T705" i="1"/>
  <c r="R705" i="1"/>
  <c r="P705" i="1"/>
  <c r="N705" i="1"/>
  <c r="Y705" i="1" s="1"/>
  <c r="L705" i="1"/>
  <c r="J705" i="1"/>
  <c r="H705" i="1"/>
  <c r="G705" i="1"/>
  <c r="E705" i="1"/>
  <c r="B705" i="1"/>
  <c r="V705" i="1" s="1"/>
  <c r="V704" i="1"/>
  <c r="U704" i="1"/>
  <c r="R704" i="1"/>
  <c r="P704" i="1"/>
  <c r="T704" i="1" s="1"/>
  <c r="N704" i="1"/>
  <c r="Y704" i="1" s="1"/>
  <c r="L704" i="1"/>
  <c r="J704" i="1"/>
  <c r="H704" i="1"/>
  <c r="G704" i="1"/>
  <c r="E704" i="1"/>
  <c r="B704" i="1"/>
  <c r="W704" i="1" s="1"/>
  <c r="Y703" i="1"/>
  <c r="V703" i="1"/>
  <c r="R703" i="1"/>
  <c r="P703" i="1"/>
  <c r="T703" i="1" s="1"/>
  <c r="N703" i="1"/>
  <c r="L703" i="1"/>
  <c r="J703" i="1"/>
  <c r="H703" i="1"/>
  <c r="G703" i="1"/>
  <c r="E703" i="1"/>
  <c r="B703" i="1"/>
  <c r="W703" i="1" s="1"/>
  <c r="Y702" i="1"/>
  <c r="W702" i="1"/>
  <c r="R702" i="1"/>
  <c r="T702" i="1" s="1"/>
  <c r="P702" i="1"/>
  <c r="N702" i="1"/>
  <c r="L702" i="1"/>
  <c r="J702" i="1"/>
  <c r="H702" i="1"/>
  <c r="G702" i="1"/>
  <c r="E702" i="1"/>
  <c r="B702" i="1"/>
  <c r="V702" i="1" s="1"/>
  <c r="X701" i="1" a="1"/>
  <c r="X701" i="1" s="1"/>
  <c r="U701" i="1"/>
  <c r="T701" i="1"/>
  <c r="Z701" i="1" s="1"/>
  <c r="R701" i="1"/>
  <c r="P701" i="1"/>
  <c r="N701" i="1"/>
  <c r="Y701" i="1" s="1"/>
  <c r="L701" i="1"/>
  <c r="J701" i="1"/>
  <c r="H701" i="1"/>
  <c r="G701" i="1"/>
  <c r="E701" i="1"/>
  <c r="B701" i="1"/>
  <c r="W701" i="1" s="1"/>
  <c r="V700" i="1"/>
  <c r="U700" i="1"/>
  <c r="R700" i="1"/>
  <c r="P700" i="1"/>
  <c r="T700" i="1" s="1"/>
  <c r="N700" i="1"/>
  <c r="Y700" i="1" s="1"/>
  <c r="L700" i="1"/>
  <c r="J700" i="1"/>
  <c r="H700" i="1"/>
  <c r="G700" i="1"/>
  <c r="E700" i="1"/>
  <c r="B700" i="1"/>
  <c r="W700" i="1" s="1"/>
  <c r="Y699" i="1"/>
  <c r="W699" i="1"/>
  <c r="V699" i="1"/>
  <c r="R699" i="1"/>
  <c r="P699" i="1"/>
  <c r="T699" i="1" s="1"/>
  <c r="N699" i="1"/>
  <c r="L699" i="1"/>
  <c r="J699" i="1"/>
  <c r="H699" i="1"/>
  <c r="G699" i="1"/>
  <c r="E699" i="1"/>
  <c r="B699" i="1"/>
  <c r="U699" i="1" s="1"/>
  <c r="Y698" i="1"/>
  <c r="R698" i="1"/>
  <c r="T698" i="1" s="1"/>
  <c r="P698" i="1"/>
  <c r="N698" i="1"/>
  <c r="L698" i="1"/>
  <c r="J698" i="1"/>
  <c r="H698" i="1"/>
  <c r="G698" i="1"/>
  <c r="E698" i="1"/>
  <c r="B698" i="1"/>
  <c r="W697" i="1"/>
  <c r="U697" i="1"/>
  <c r="T697" i="1"/>
  <c r="Z697" i="1" s="1"/>
  <c r="R697" i="1"/>
  <c r="P697" i="1"/>
  <c r="N697" i="1"/>
  <c r="Y697" i="1" s="1"/>
  <c r="L697" i="1"/>
  <c r="J697" i="1"/>
  <c r="H697" i="1"/>
  <c r="G697" i="1"/>
  <c r="E697" i="1"/>
  <c r="B697" i="1"/>
  <c r="V697" i="1" s="1"/>
  <c r="V696" i="1"/>
  <c r="U696" i="1"/>
  <c r="R696" i="1"/>
  <c r="P696" i="1"/>
  <c r="T696" i="1" s="1"/>
  <c r="N696" i="1"/>
  <c r="Y696" i="1" s="1"/>
  <c r="L696" i="1"/>
  <c r="J696" i="1"/>
  <c r="H696" i="1"/>
  <c r="G696" i="1"/>
  <c r="E696" i="1"/>
  <c r="B696" i="1"/>
  <c r="W696" i="1" s="1"/>
  <c r="Y695" i="1"/>
  <c r="V695" i="1"/>
  <c r="R695" i="1"/>
  <c r="P695" i="1"/>
  <c r="T695" i="1" s="1"/>
  <c r="N695" i="1"/>
  <c r="L695" i="1"/>
  <c r="J695" i="1"/>
  <c r="H695" i="1"/>
  <c r="G695" i="1"/>
  <c r="E695" i="1"/>
  <c r="B695" i="1"/>
  <c r="W695" i="1" s="1"/>
  <c r="Y694" i="1"/>
  <c r="R694" i="1"/>
  <c r="T694" i="1" s="1"/>
  <c r="P694" i="1"/>
  <c r="N694" i="1"/>
  <c r="L694" i="1"/>
  <c r="J694" i="1"/>
  <c r="H694" i="1"/>
  <c r="G694" i="1"/>
  <c r="E694" i="1"/>
  <c r="B694" i="1"/>
  <c r="X693" i="1" a="1"/>
  <c r="X693" i="1" s="1"/>
  <c r="U693" i="1"/>
  <c r="T693" i="1"/>
  <c r="Z693" i="1" s="1"/>
  <c r="R693" i="1"/>
  <c r="P693" i="1"/>
  <c r="N693" i="1"/>
  <c r="Y693" i="1" s="1"/>
  <c r="L693" i="1"/>
  <c r="J693" i="1"/>
  <c r="H693" i="1"/>
  <c r="G693" i="1"/>
  <c r="E693" i="1"/>
  <c r="B693" i="1"/>
  <c r="W693" i="1" s="1"/>
  <c r="V692" i="1"/>
  <c r="U692" i="1"/>
  <c r="R692" i="1"/>
  <c r="P692" i="1"/>
  <c r="T692" i="1" s="1"/>
  <c r="N692" i="1"/>
  <c r="Y692" i="1" s="1"/>
  <c r="L692" i="1"/>
  <c r="J692" i="1"/>
  <c r="H692" i="1"/>
  <c r="G692" i="1"/>
  <c r="E692" i="1"/>
  <c r="B692" i="1"/>
  <c r="W692" i="1" s="1"/>
  <c r="Y691" i="1"/>
  <c r="W691" i="1"/>
  <c r="V691" i="1"/>
  <c r="R691" i="1"/>
  <c r="P691" i="1"/>
  <c r="T691" i="1" s="1"/>
  <c r="N691" i="1"/>
  <c r="L691" i="1"/>
  <c r="J691" i="1"/>
  <c r="H691" i="1"/>
  <c r="G691" i="1"/>
  <c r="E691" i="1"/>
  <c r="B691" i="1"/>
  <c r="U691" i="1" s="1"/>
  <c r="Y690" i="1"/>
  <c r="W690" i="1"/>
  <c r="R690" i="1"/>
  <c r="T690" i="1" s="1"/>
  <c r="Z690" i="1" s="1"/>
  <c r="P690" i="1"/>
  <c r="N690" i="1"/>
  <c r="L690" i="1"/>
  <c r="J690" i="1"/>
  <c r="H690" i="1"/>
  <c r="G690" i="1"/>
  <c r="E690" i="1"/>
  <c r="B690" i="1"/>
  <c r="W689" i="1"/>
  <c r="U689" i="1"/>
  <c r="T689" i="1"/>
  <c r="Z689" i="1" s="1"/>
  <c r="R689" i="1"/>
  <c r="P689" i="1"/>
  <c r="N689" i="1"/>
  <c r="Y689" i="1" s="1"/>
  <c r="L689" i="1"/>
  <c r="J689" i="1"/>
  <c r="H689" i="1"/>
  <c r="G689" i="1"/>
  <c r="E689" i="1"/>
  <c r="B689" i="1"/>
  <c r="V689" i="1" s="1"/>
  <c r="Y688" i="1"/>
  <c r="V688" i="1"/>
  <c r="U688" i="1"/>
  <c r="R688" i="1"/>
  <c r="P688" i="1"/>
  <c r="T688" i="1" s="1"/>
  <c r="N688" i="1"/>
  <c r="L688" i="1"/>
  <c r="J688" i="1"/>
  <c r="H688" i="1"/>
  <c r="G688" i="1"/>
  <c r="E688" i="1"/>
  <c r="B688" i="1"/>
  <c r="W688" i="1" s="1"/>
  <c r="Y687" i="1"/>
  <c r="V687" i="1"/>
  <c r="R687" i="1"/>
  <c r="P687" i="1"/>
  <c r="N687" i="1"/>
  <c r="L687" i="1"/>
  <c r="J687" i="1"/>
  <c r="H687" i="1"/>
  <c r="G687" i="1"/>
  <c r="E687" i="1"/>
  <c r="B687" i="1"/>
  <c r="U687" i="1" s="1"/>
  <c r="Y686" i="1"/>
  <c r="W686" i="1"/>
  <c r="T686" i="1"/>
  <c r="X686" i="1" s="1" a="1"/>
  <c r="X686" i="1" s="1"/>
  <c r="R686" i="1"/>
  <c r="P686" i="1"/>
  <c r="N686" i="1"/>
  <c r="L686" i="1"/>
  <c r="J686" i="1"/>
  <c r="H686" i="1"/>
  <c r="G686" i="1"/>
  <c r="E686" i="1"/>
  <c r="B686" i="1"/>
  <c r="X685" i="1"/>
  <c r="X685" i="1" a="1"/>
  <c r="U685" i="1"/>
  <c r="T685" i="1"/>
  <c r="Z685" i="1" s="1"/>
  <c r="R685" i="1"/>
  <c r="P685" i="1"/>
  <c r="N685" i="1"/>
  <c r="Y685" i="1" s="1"/>
  <c r="L685" i="1"/>
  <c r="J685" i="1"/>
  <c r="H685" i="1"/>
  <c r="G685" i="1"/>
  <c r="E685" i="1"/>
  <c r="B685" i="1"/>
  <c r="W685" i="1" s="1"/>
  <c r="Y684" i="1"/>
  <c r="V684" i="1"/>
  <c r="U684" i="1"/>
  <c r="R684" i="1"/>
  <c r="P684" i="1"/>
  <c r="T684" i="1" s="1"/>
  <c r="N684" i="1"/>
  <c r="L684" i="1"/>
  <c r="J684" i="1"/>
  <c r="H684" i="1"/>
  <c r="G684" i="1"/>
  <c r="E684" i="1"/>
  <c r="B684" i="1"/>
  <c r="W684" i="1" s="1"/>
  <c r="Y683" i="1"/>
  <c r="R683" i="1"/>
  <c r="P683" i="1"/>
  <c r="N683" i="1"/>
  <c r="L683" i="1"/>
  <c r="J683" i="1"/>
  <c r="H683" i="1"/>
  <c r="G683" i="1"/>
  <c r="E683" i="1"/>
  <c r="B683" i="1"/>
  <c r="U683" i="1" s="1"/>
  <c r="Y682" i="1"/>
  <c r="R682" i="1"/>
  <c r="T682" i="1" s="1"/>
  <c r="P682" i="1"/>
  <c r="N682" i="1"/>
  <c r="L682" i="1"/>
  <c r="J682" i="1"/>
  <c r="H682" i="1"/>
  <c r="G682" i="1"/>
  <c r="E682" i="1"/>
  <c r="B682" i="1"/>
  <c r="W682" i="1" s="1"/>
  <c r="X681" i="1" a="1"/>
  <c r="X681" i="1" s="1"/>
  <c r="W681" i="1"/>
  <c r="U681" i="1"/>
  <c r="T681" i="1"/>
  <c r="Z681" i="1" s="1"/>
  <c r="R681" i="1"/>
  <c r="P681" i="1"/>
  <c r="N681" i="1"/>
  <c r="Y681" i="1" s="1"/>
  <c r="L681" i="1"/>
  <c r="J681" i="1"/>
  <c r="H681" i="1"/>
  <c r="G681" i="1"/>
  <c r="E681" i="1"/>
  <c r="B681" i="1"/>
  <c r="V681" i="1" s="1"/>
  <c r="V680" i="1"/>
  <c r="U680" i="1"/>
  <c r="R680" i="1"/>
  <c r="P680" i="1"/>
  <c r="T680" i="1" s="1"/>
  <c r="N680" i="1"/>
  <c r="Y680" i="1" s="1"/>
  <c r="L680" i="1"/>
  <c r="J680" i="1"/>
  <c r="H680" i="1"/>
  <c r="G680" i="1"/>
  <c r="E680" i="1"/>
  <c r="B680" i="1"/>
  <c r="W680" i="1" s="1"/>
  <c r="Y679" i="1"/>
  <c r="R679" i="1"/>
  <c r="P679" i="1"/>
  <c r="N679" i="1"/>
  <c r="L679" i="1"/>
  <c r="J679" i="1"/>
  <c r="H679" i="1"/>
  <c r="G679" i="1"/>
  <c r="E679" i="1"/>
  <c r="B679" i="1"/>
  <c r="U679" i="1" s="1"/>
  <c r="Y678" i="1"/>
  <c r="W678" i="1"/>
  <c r="T678" i="1"/>
  <c r="Z678" i="1" s="1"/>
  <c r="R678" i="1"/>
  <c r="P678" i="1"/>
  <c r="N678" i="1"/>
  <c r="L678" i="1"/>
  <c r="J678" i="1"/>
  <c r="H678" i="1"/>
  <c r="G678" i="1"/>
  <c r="E678" i="1"/>
  <c r="B678" i="1"/>
  <c r="U677" i="1"/>
  <c r="T677" i="1"/>
  <c r="Z677" i="1" s="1"/>
  <c r="R677" i="1"/>
  <c r="P677" i="1"/>
  <c r="N677" i="1"/>
  <c r="Y677" i="1" s="1"/>
  <c r="L677" i="1"/>
  <c r="J677" i="1"/>
  <c r="H677" i="1"/>
  <c r="G677" i="1"/>
  <c r="E677" i="1"/>
  <c r="B677" i="1"/>
  <c r="W677" i="1" s="1"/>
  <c r="Y676" i="1"/>
  <c r="V676" i="1"/>
  <c r="U676" i="1"/>
  <c r="R676" i="1"/>
  <c r="P676" i="1"/>
  <c r="T676" i="1" s="1"/>
  <c r="N676" i="1"/>
  <c r="L676" i="1"/>
  <c r="J676" i="1"/>
  <c r="H676" i="1"/>
  <c r="G676" i="1"/>
  <c r="E676" i="1"/>
  <c r="B676" i="1"/>
  <c r="W676" i="1" s="1"/>
  <c r="Y675" i="1"/>
  <c r="V675" i="1"/>
  <c r="R675" i="1"/>
  <c r="P675" i="1"/>
  <c r="T675" i="1" s="1"/>
  <c r="X675" i="1" s="1" a="1"/>
  <c r="X675" i="1" s="1"/>
  <c r="N675" i="1"/>
  <c r="L675" i="1"/>
  <c r="J675" i="1"/>
  <c r="H675" i="1"/>
  <c r="G675" i="1"/>
  <c r="E675" i="1"/>
  <c r="B675" i="1"/>
  <c r="U675" i="1" s="1"/>
  <c r="Y674" i="1"/>
  <c r="W674" i="1"/>
  <c r="T674" i="1"/>
  <c r="X674" i="1" s="1" a="1"/>
  <c r="X674" i="1" s="1"/>
  <c r="R674" i="1"/>
  <c r="P674" i="1"/>
  <c r="N674" i="1"/>
  <c r="L674" i="1"/>
  <c r="J674" i="1"/>
  <c r="H674" i="1"/>
  <c r="G674" i="1"/>
  <c r="E674" i="1"/>
  <c r="B674" i="1"/>
  <c r="X673" i="1"/>
  <c r="X673" i="1" a="1"/>
  <c r="W673" i="1"/>
  <c r="U673" i="1"/>
  <c r="T673" i="1"/>
  <c r="Z673" i="1" s="1"/>
  <c r="R673" i="1"/>
  <c r="P673" i="1"/>
  <c r="N673" i="1"/>
  <c r="Y673" i="1" s="1"/>
  <c r="L673" i="1"/>
  <c r="J673" i="1"/>
  <c r="H673" i="1"/>
  <c r="G673" i="1"/>
  <c r="E673" i="1"/>
  <c r="B673" i="1"/>
  <c r="V673" i="1" s="1"/>
  <c r="Y672" i="1"/>
  <c r="V672" i="1"/>
  <c r="U672" i="1"/>
  <c r="R672" i="1"/>
  <c r="P672" i="1"/>
  <c r="T672" i="1" s="1"/>
  <c r="N672" i="1"/>
  <c r="L672" i="1"/>
  <c r="J672" i="1"/>
  <c r="H672" i="1"/>
  <c r="G672" i="1"/>
  <c r="E672" i="1"/>
  <c r="B672" i="1"/>
  <c r="W672" i="1" s="1"/>
  <c r="Y671" i="1"/>
  <c r="W671" i="1"/>
  <c r="V671" i="1"/>
  <c r="R671" i="1"/>
  <c r="P671" i="1"/>
  <c r="T671" i="1" s="1"/>
  <c r="N671" i="1"/>
  <c r="L671" i="1"/>
  <c r="J671" i="1"/>
  <c r="H671" i="1"/>
  <c r="G671" i="1"/>
  <c r="E671" i="1"/>
  <c r="B671" i="1"/>
  <c r="U671" i="1" s="1"/>
  <c r="Z670" i="1"/>
  <c r="Y670" i="1"/>
  <c r="T670" i="1"/>
  <c r="X670" i="1" s="1" a="1"/>
  <c r="X670" i="1" s="1"/>
  <c r="R670" i="1"/>
  <c r="P670" i="1"/>
  <c r="N670" i="1"/>
  <c r="L670" i="1"/>
  <c r="J670" i="1"/>
  <c r="H670" i="1"/>
  <c r="G670" i="1"/>
  <c r="E670" i="1"/>
  <c r="B670" i="1"/>
  <c r="W670" i="1" s="1"/>
  <c r="U669" i="1"/>
  <c r="T669" i="1"/>
  <c r="Z669" i="1" s="1"/>
  <c r="R669" i="1"/>
  <c r="P669" i="1"/>
  <c r="N669" i="1"/>
  <c r="Y669" i="1" s="1"/>
  <c r="L669" i="1"/>
  <c r="J669" i="1"/>
  <c r="H669" i="1"/>
  <c r="G669" i="1"/>
  <c r="E669" i="1"/>
  <c r="B669" i="1"/>
  <c r="W669" i="1" s="1"/>
  <c r="V668" i="1"/>
  <c r="U668" i="1"/>
  <c r="R668" i="1"/>
  <c r="P668" i="1"/>
  <c r="T668" i="1" s="1"/>
  <c r="N668" i="1"/>
  <c r="Y668" i="1" s="1"/>
  <c r="L668" i="1"/>
  <c r="J668" i="1"/>
  <c r="H668" i="1"/>
  <c r="G668" i="1"/>
  <c r="E668" i="1"/>
  <c r="B668" i="1"/>
  <c r="W668" i="1" s="1"/>
  <c r="Y667" i="1"/>
  <c r="R667" i="1"/>
  <c r="P667" i="1"/>
  <c r="N667" i="1"/>
  <c r="L667" i="1"/>
  <c r="J667" i="1"/>
  <c r="H667" i="1"/>
  <c r="G667" i="1"/>
  <c r="E667" i="1"/>
  <c r="B667" i="1"/>
  <c r="V667" i="1" s="1"/>
  <c r="Y666" i="1"/>
  <c r="W666" i="1"/>
  <c r="T666" i="1"/>
  <c r="Z666" i="1" s="1"/>
  <c r="R666" i="1"/>
  <c r="P666" i="1"/>
  <c r="N666" i="1"/>
  <c r="L666" i="1"/>
  <c r="J666" i="1"/>
  <c r="H666" i="1"/>
  <c r="G666" i="1"/>
  <c r="E666" i="1"/>
  <c r="B666" i="1"/>
  <c r="U666" i="1" s="1"/>
  <c r="W665" i="1"/>
  <c r="U665" i="1"/>
  <c r="T665" i="1"/>
  <c r="Z665" i="1" s="1"/>
  <c r="R665" i="1"/>
  <c r="P665" i="1"/>
  <c r="N665" i="1"/>
  <c r="Y665" i="1" s="1"/>
  <c r="L665" i="1"/>
  <c r="J665" i="1"/>
  <c r="H665" i="1"/>
  <c r="G665" i="1"/>
  <c r="E665" i="1"/>
  <c r="B665" i="1"/>
  <c r="V665" i="1" s="1"/>
  <c r="X664" i="1" a="1"/>
  <c r="X664" i="1" s="1"/>
  <c r="V664" i="1"/>
  <c r="U664" i="1"/>
  <c r="T664" i="1"/>
  <c r="Z664" i="1" s="1"/>
  <c r="R664" i="1"/>
  <c r="P664" i="1"/>
  <c r="N664" i="1"/>
  <c r="Y664" i="1" s="1"/>
  <c r="L664" i="1"/>
  <c r="J664" i="1"/>
  <c r="H664" i="1"/>
  <c r="G664" i="1"/>
  <c r="E664" i="1"/>
  <c r="B664" i="1"/>
  <c r="W664" i="1" s="1"/>
  <c r="Y663" i="1"/>
  <c r="W663" i="1"/>
  <c r="U663" i="1"/>
  <c r="R663" i="1"/>
  <c r="P663" i="1"/>
  <c r="T663" i="1" s="1"/>
  <c r="X663" i="1" s="1" a="1"/>
  <c r="X663" i="1" s="1"/>
  <c r="N663" i="1"/>
  <c r="L663" i="1"/>
  <c r="J663" i="1"/>
  <c r="H663" i="1"/>
  <c r="G663" i="1"/>
  <c r="E663" i="1"/>
  <c r="B663" i="1"/>
  <c r="V663" i="1" s="1"/>
  <c r="Y662" i="1"/>
  <c r="R662" i="1"/>
  <c r="P662" i="1"/>
  <c r="N662" i="1"/>
  <c r="L662" i="1"/>
  <c r="J662" i="1"/>
  <c r="H662" i="1"/>
  <c r="G662" i="1"/>
  <c r="E662" i="1"/>
  <c r="B662" i="1"/>
  <c r="W661" i="1"/>
  <c r="U661" i="1"/>
  <c r="T661" i="1"/>
  <c r="Z661" i="1" s="1"/>
  <c r="R661" i="1"/>
  <c r="P661" i="1"/>
  <c r="N661" i="1"/>
  <c r="Y661" i="1" s="1"/>
  <c r="L661" i="1"/>
  <c r="J661" i="1"/>
  <c r="H661" i="1"/>
  <c r="G661" i="1"/>
  <c r="E661" i="1"/>
  <c r="B661" i="1"/>
  <c r="V661" i="1" s="1"/>
  <c r="X660" i="1" a="1"/>
  <c r="X660" i="1" s="1"/>
  <c r="V660" i="1"/>
  <c r="U660" i="1"/>
  <c r="T660" i="1"/>
  <c r="Z660" i="1" s="1"/>
  <c r="R660" i="1"/>
  <c r="P660" i="1"/>
  <c r="N660" i="1"/>
  <c r="Y660" i="1" s="1"/>
  <c r="L660" i="1"/>
  <c r="J660" i="1"/>
  <c r="H660" i="1"/>
  <c r="G660" i="1"/>
  <c r="E660" i="1"/>
  <c r="B660" i="1"/>
  <c r="W660" i="1" s="1"/>
  <c r="Y659" i="1"/>
  <c r="R659" i="1"/>
  <c r="P659" i="1"/>
  <c r="T659" i="1" s="1"/>
  <c r="X659" i="1" s="1" a="1"/>
  <c r="X659" i="1" s="1"/>
  <c r="N659" i="1"/>
  <c r="L659" i="1"/>
  <c r="J659" i="1"/>
  <c r="H659" i="1"/>
  <c r="G659" i="1"/>
  <c r="E659" i="1"/>
  <c r="B659" i="1"/>
  <c r="U659" i="1" s="1"/>
  <c r="Y658" i="1"/>
  <c r="R658" i="1"/>
  <c r="P658" i="1"/>
  <c r="T658" i="1" s="1"/>
  <c r="N658" i="1"/>
  <c r="L658" i="1"/>
  <c r="J658" i="1"/>
  <c r="H658" i="1"/>
  <c r="G658" i="1"/>
  <c r="E658" i="1"/>
  <c r="B658" i="1"/>
  <c r="U658" i="1" s="1"/>
  <c r="W657" i="1"/>
  <c r="U657" i="1"/>
  <c r="T657" i="1"/>
  <c r="Z657" i="1" s="1"/>
  <c r="R657" i="1"/>
  <c r="P657" i="1"/>
  <c r="N657" i="1"/>
  <c r="Y657" i="1" s="1"/>
  <c r="L657" i="1"/>
  <c r="J657" i="1"/>
  <c r="H657" i="1"/>
  <c r="G657" i="1"/>
  <c r="E657" i="1"/>
  <c r="B657" i="1"/>
  <c r="V657" i="1" s="1"/>
  <c r="X656" i="1" a="1"/>
  <c r="X656" i="1" s="1"/>
  <c r="V656" i="1"/>
  <c r="U656" i="1"/>
  <c r="T656" i="1"/>
  <c r="Z656" i="1" s="1"/>
  <c r="R656" i="1"/>
  <c r="P656" i="1"/>
  <c r="N656" i="1"/>
  <c r="Y656" i="1" s="1"/>
  <c r="L656" i="1"/>
  <c r="J656" i="1"/>
  <c r="H656" i="1"/>
  <c r="G656" i="1"/>
  <c r="E656" i="1"/>
  <c r="B656" i="1"/>
  <c r="W656" i="1" s="1"/>
  <c r="Y655" i="1"/>
  <c r="W655" i="1"/>
  <c r="U655" i="1"/>
  <c r="R655" i="1"/>
  <c r="P655" i="1"/>
  <c r="T655" i="1" s="1"/>
  <c r="X655" i="1" s="1" a="1"/>
  <c r="X655" i="1" s="1"/>
  <c r="N655" i="1"/>
  <c r="L655" i="1"/>
  <c r="J655" i="1"/>
  <c r="H655" i="1"/>
  <c r="G655" i="1"/>
  <c r="E655" i="1"/>
  <c r="B655" i="1"/>
  <c r="V655" i="1" s="1"/>
  <c r="Y654" i="1"/>
  <c r="R654" i="1"/>
  <c r="P654" i="1"/>
  <c r="N654" i="1"/>
  <c r="L654" i="1"/>
  <c r="J654" i="1"/>
  <c r="H654" i="1"/>
  <c r="G654" i="1"/>
  <c r="E654" i="1"/>
  <c r="B654" i="1"/>
  <c r="W653" i="1"/>
  <c r="U653" i="1"/>
  <c r="T653" i="1"/>
  <c r="Z653" i="1" s="1"/>
  <c r="R653" i="1"/>
  <c r="P653" i="1"/>
  <c r="N653" i="1"/>
  <c r="Y653" i="1" s="1"/>
  <c r="L653" i="1"/>
  <c r="J653" i="1"/>
  <c r="H653" i="1"/>
  <c r="G653" i="1"/>
  <c r="E653" i="1"/>
  <c r="B653" i="1"/>
  <c r="V653" i="1" s="1"/>
  <c r="Y652" i="1"/>
  <c r="V652" i="1"/>
  <c r="U652" i="1"/>
  <c r="T652" i="1"/>
  <c r="Z652" i="1" s="1"/>
  <c r="R652" i="1"/>
  <c r="P652" i="1"/>
  <c r="N652" i="1"/>
  <c r="L652" i="1"/>
  <c r="J652" i="1"/>
  <c r="H652" i="1"/>
  <c r="G652" i="1"/>
  <c r="E652" i="1"/>
  <c r="B652" i="1"/>
  <c r="W652" i="1" s="1"/>
  <c r="Y651" i="1"/>
  <c r="R651" i="1"/>
  <c r="P651" i="1"/>
  <c r="T651" i="1" s="1"/>
  <c r="X651" i="1" s="1" a="1"/>
  <c r="X651" i="1" s="1"/>
  <c r="N651" i="1"/>
  <c r="L651" i="1"/>
  <c r="J651" i="1"/>
  <c r="H651" i="1"/>
  <c r="G651" i="1"/>
  <c r="E651" i="1"/>
  <c r="B651" i="1"/>
  <c r="U651" i="1" s="1"/>
  <c r="Y650" i="1"/>
  <c r="R650" i="1"/>
  <c r="P650" i="1"/>
  <c r="T650" i="1" s="1"/>
  <c r="Z650" i="1" s="1"/>
  <c r="N650" i="1"/>
  <c r="L650" i="1"/>
  <c r="J650" i="1"/>
  <c r="H650" i="1"/>
  <c r="G650" i="1"/>
  <c r="E650" i="1"/>
  <c r="B650" i="1"/>
  <c r="U650" i="1" s="1"/>
  <c r="Z649" i="1"/>
  <c r="W649" i="1"/>
  <c r="U649" i="1"/>
  <c r="T649" i="1"/>
  <c r="X649" i="1" s="1" a="1"/>
  <c r="X649" i="1" s="1"/>
  <c r="R649" i="1"/>
  <c r="P649" i="1"/>
  <c r="N649" i="1"/>
  <c r="Y649" i="1" s="1"/>
  <c r="L649" i="1"/>
  <c r="J649" i="1"/>
  <c r="H649" i="1"/>
  <c r="G649" i="1"/>
  <c r="E649" i="1"/>
  <c r="B649" i="1"/>
  <c r="V649" i="1" s="1"/>
  <c r="X648" i="1" a="1"/>
  <c r="X648" i="1" s="1"/>
  <c r="V648" i="1"/>
  <c r="U648" i="1"/>
  <c r="T648" i="1"/>
  <c r="Z648" i="1" s="1"/>
  <c r="R648" i="1"/>
  <c r="P648" i="1"/>
  <c r="N648" i="1"/>
  <c r="Y648" i="1" s="1"/>
  <c r="L648" i="1"/>
  <c r="J648" i="1"/>
  <c r="H648" i="1"/>
  <c r="G648" i="1"/>
  <c r="E648" i="1"/>
  <c r="B648" i="1"/>
  <c r="W648" i="1" s="1"/>
  <c r="Y647" i="1"/>
  <c r="W647" i="1"/>
  <c r="U647" i="1"/>
  <c r="R647" i="1"/>
  <c r="P647" i="1"/>
  <c r="N647" i="1"/>
  <c r="L647" i="1"/>
  <c r="J647" i="1"/>
  <c r="H647" i="1"/>
  <c r="G647" i="1"/>
  <c r="E647" i="1"/>
  <c r="B647" i="1"/>
  <c r="V647" i="1" s="1"/>
  <c r="Y646" i="1"/>
  <c r="R646" i="1"/>
  <c r="P646" i="1"/>
  <c r="N646" i="1"/>
  <c r="L646" i="1"/>
  <c r="J646" i="1"/>
  <c r="H646" i="1"/>
  <c r="G646" i="1"/>
  <c r="E646" i="1"/>
  <c r="B646" i="1"/>
  <c r="W645" i="1"/>
  <c r="U645" i="1"/>
  <c r="T645" i="1"/>
  <c r="Z645" i="1" s="1"/>
  <c r="R645" i="1"/>
  <c r="P645" i="1"/>
  <c r="N645" i="1"/>
  <c r="Y645" i="1" s="1"/>
  <c r="L645" i="1"/>
  <c r="J645" i="1"/>
  <c r="H645" i="1"/>
  <c r="G645" i="1"/>
  <c r="E645" i="1"/>
  <c r="B645" i="1"/>
  <c r="V645" i="1" s="1"/>
  <c r="Y644" i="1"/>
  <c r="W644" i="1"/>
  <c r="V644" i="1"/>
  <c r="U644" i="1"/>
  <c r="R644" i="1"/>
  <c r="P644" i="1"/>
  <c r="T644" i="1" s="1"/>
  <c r="N644" i="1"/>
  <c r="L644" i="1"/>
  <c r="J644" i="1"/>
  <c r="H644" i="1"/>
  <c r="G644" i="1"/>
  <c r="E644" i="1"/>
  <c r="B644" i="1"/>
  <c r="R643" i="1"/>
  <c r="P643" i="1"/>
  <c r="N643" i="1"/>
  <c r="Y643" i="1" s="1"/>
  <c r="L643" i="1"/>
  <c r="J643" i="1"/>
  <c r="H643" i="1"/>
  <c r="G643" i="1"/>
  <c r="E643" i="1"/>
  <c r="B643" i="1"/>
  <c r="V643" i="1" s="1"/>
  <c r="Y642" i="1"/>
  <c r="R642" i="1"/>
  <c r="P642" i="1"/>
  <c r="T642" i="1" s="1"/>
  <c r="N642" i="1"/>
  <c r="L642" i="1"/>
  <c r="J642" i="1"/>
  <c r="H642" i="1"/>
  <c r="G642" i="1"/>
  <c r="E642" i="1"/>
  <c r="B642" i="1"/>
  <c r="U642" i="1" s="1"/>
  <c r="R641" i="1"/>
  <c r="T641" i="1" s="1"/>
  <c r="Z641" i="1" s="1"/>
  <c r="P641" i="1"/>
  <c r="N641" i="1"/>
  <c r="Y641" i="1" s="1"/>
  <c r="L641" i="1"/>
  <c r="J641" i="1"/>
  <c r="H641" i="1"/>
  <c r="G641" i="1"/>
  <c r="E641" i="1"/>
  <c r="B641" i="1"/>
  <c r="V641" i="1" s="1"/>
  <c r="V640" i="1"/>
  <c r="U640" i="1"/>
  <c r="R640" i="1"/>
  <c r="P640" i="1"/>
  <c r="T640" i="1" s="1"/>
  <c r="N640" i="1"/>
  <c r="Y640" i="1" s="1"/>
  <c r="L640" i="1"/>
  <c r="J640" i="1"/>
  <c r="H640" i="1"/>
  <c r="G640" i="1"/>
  <c r="E640" i="1"/>
  <c r="B640" i="1"/>
  <c r="W640" i="1" s="1"/>
  <c r="V639" i="1"/>
  <c r="R639" i="1"/>
  <c r="P639" i="1"/>
  <c r="N639" i="1"/>
  <c r="Y639" i="1" s="1"/>
  <c r="L639" i="1"/>
  <c r="J639" i="1"/>
  <c r="H639" i="1"/>
  <c r="G639" i="1"/>
  <c r="E639" i="1"/>
  <c r="B639" i="1"/>
  <c r="W639" i="1" s="1"/>
  <c r="Y638" i="1"/>
  <c r="W638" i="1"/>
  <c r="T638" i="1"/>
  <c r="R638" i="1"/>
  <c r="P638" i="1"/>
  <c r="N638" i="1"/>
  <c r="L638" i="1"/>
  <c r="J638" i="1"/>
  <c r="H638" i="1"/>
  <c r="G638" i="1"/>
  <c r="E638" i="1"/>
  <c r="B638" i="1"/>
  <c r="U638" i="1" s="1"/>
  <c r="R637" i="1"/>
  <c r="T637" i="1" s="1"/>
  <c r="P637" i="1"/>
  <c r="N637" i="1"/>
  <c r="Y637" i="1" s="1"/>
  <c r="L637" i="1"/>
  <c r="J637" i="1"/>
  <c r="H637" i="1"/>
  <c r="G637" i="1"/>
  <c r="E637" i="1"/>
  <c r="B637" i="1"/>
  <c r="V636" i="1"/>
  <c r="U636" i="1"/>
  <c r="R636" i="1"/>
  <c r="P636" i="1"/>
  <c r="T636" i="1" s="1"/>
  <c r="N636" i="1"/>
  <c r="Y636" i="1" s="1"/>
  <c r="L636" i="1"/>
  <c r="J636" i="1"/>
  <c r="H636" i="1"/>
  <c r="G636" i="1"/>
  <c r="E636" i="1"/>
  <c r="B636" i="1"/>
  <c r="W636" i="1" s="1"/>
  <c r="R635" i="1"/>
  <c r="P635" i="1"/>
  <c r="N635" i="1"/>
  <c r="Y635" i="1" s="1"/>
  <c r="L635" i="1"/>
  <c r="J635" i="1"/>
  <c r="H635" i="1"/>
  <c r="G635" i="1"/>
  <c r="E635" i="1"/>
  <c r="B635" i="1"/>
  <c r="V635" i="1" s="1"/>
  <c r="Y634" i="1"/>
  <c r="R634" i="1"/>
  <c r="P634" i="1"/>
  <c r="T634" i="1" s="1"/>
  <c r="N634" i="1"/>
  <c r="L634" i="1"/>
  <c r="J634" i="1"/>
  <c r="H634" i="1"/>
  <c r="G634" i="1"/>
  <c r="E634" i="1"/>
  <c r="B634" i="1"/>
  <c r="U634" i="1" s="1"/>
  <c r="X633" i="1" a="1"/>
  <c r="X633" i="1" s="1"/>
  <c r="R633" i="1"/>
  <c r="T633" i="1" s="1"/>
  <c r="Z633" i="1" s="1"/>
  <c r="P633" i="1"/>
  <c r="N633" i="1"/>
  <c r="Y633" i="1" s="1"/>
  <c r="L633" i="1"/>
  <c r="J633" i="1"/>
  <c r="H633" i="1"/>
  <c r="G633" i="1"/>
  <c r="E633" i="1"/>
  <c r="B633" i="1"/>
  <c r="V633" i="1" s="1"/>
  <c r="V632" i="1"/>
  <c r="U632" i="1"/>
  <c r="R632" i="1"/>
  <c r="P632" i="1"/>
  <c r="T632" i="1" s="1"/>
  <c r="N632" i="1"/>
  <c r="Y632" i="1" s="1"/>
  <c r="L632" i="1"/>
  <c r="J632" i="1"/>
  <c r="H632" i="1"/>
  <c r="G632" i="1"/>
  <c r="E632" i="1"/>
  <c r="B632" i="1"/>
  <c r="W632" i="1" s="1"/>
  <c r="V631" i="1"/>
  <c r="R631" i="1"/>
  <c r="P631" i="1"/>
  <c r="N631" i="1"/>
  <c r="Y631" i="1" s="1"/>
  <c r="L631" i="1"/>
  <c r="J631" i="1"/>
  <c r="H631" i="1"/>
  <c r="G631" i="1"/>
  <c r="E631" i="1"/>
  <c r="B631" i="1"/>
  <c r="W631" i="1" s="1"/>
  <c r="Y630" i="1"/>
  <c r="W630" i="1"/>
  <c r="T630" i="1"/>
  <c r="R630" i="1"/>
  <c r="P630" i="1"/>
  <c r="N630" i="1"/>
  <c r="L630" i="1"/>
  <c r="J630" i="1"/>
  <c r="H630" i="1"/>
  <c r="G630" i="1"/>
  <c r="E630" i="1"/>
  <c r="B630" i="1"/>
  <c r="U630" i="1" s="1"/>
  <c r="R629" i="1"/>
  <c r="T629" i="1" s="1"/>
  <c r="P629" i="1"/>
  <c r="N629" i="1"/>
  <c r="Y629" i="1" s="1"/>
  <c r="L629" i="1"/>
  <c r="J629" i="1"/>
  <c r="H629" i="1"/>
  <c r="G629" i="1"/>
  <c r="E629" i="1"/>
  <c r="B629" i="1"/>
  <c r="V628" i="1"/>
  <c r="U628" i="1"/>
  <c r="R628" i="1"/>
  <c r="P628" i="1"/>
  <c r="T628" i="1" s="1"/>
  <c r="N628" i="1"/>
  <c r="Y628" i="1" s="1"/>
  <c r="L628" i="1"/>
  <c r="J628" i="1"/>
  <c r="H628" i="1"/>
  <c r="G628" i="1"/>
  <c r="E628" i="1"/>
  <c r="B628" i="1"/>
  <c r="W628" i="1" s="1"/>
  <c r="R627" i="1"/>
  <c r="P627" i="1"/>
  <c r="N627" i="1"/>
  <c r="Y627" i="1" s="1"/>
  <c r="L627" i="1"/>
  <c r="J627" i="1"/>
  <c r="H627" i="1"/>
  <c r="G627" i="1"/>
  <c r="E627" i="1"/>
  <c r="B627" i="1"/>
  <c r="V627" i="1" s="1"/>
  <c r="Y626" i="1"/>
  <c r="W626" i="1"/>
  <c r="R626" i="1"/>
  <c r="P626" i="1"/>
  <c r="T626" i="1" s="1"/>
  <c r="N626" i="1"/>
  <c r="L626" i="1"/>
  <c r="J626" i="1"/>
  <c r="H626" i="1"/>
  <c r="G626" i="1"/>
  <c r="E626" i="1"/>
  <c r="B626" i="1"/>
  <c r="U626" i="1" s="1"/>
  <c r="R625" i="1"/>
  <c r="T625" i="1" s="1"/>
  <c r="Z625" i="1" s="1"/>
  <c r="P625" i="1"/>
  <c r="N625" i="1"/>
  <c r="Y625" i="1" s="1"/>
  <c r="L625" i="1"/>
  <c r="J625" i="1"/>
  <c r="H625" i="1"/>
  <c r="G625" i="1"/>
  <c r="E625" i="1"/>
  <c r="B625" i="1"/>
  <c r="V625" i="1" s="1"/>
  <c r="V624" i="1"/>
  <c r="U624" i="1"/>
  <c r="R624" i="1"/>
  <c r="P624" i="1"/>
  <c r="T624" i="1" s="1"/>
  <c r="N624" i="1"/>
  <c r="Y624" i="1" s="1"/>
  <c r="L624" i="1"/>
  <c r="J624" i="1"/>
  <c r="H624" i="1"/>
  <c r="G624" i="1"/>
  <c r="E624" i="1"/>
  <c r="B624" i="1"/>
  <c r="W624" i="1" s="1"/>
  <c r="V623" i="1"/>
  <c r="R623" i="1"/>
  <c r="P623" i="1"/>
  <c r="N623" i="1"/>
  <c r="Y623" i="1" s="1"/>
  <c r="L623" i="1"/>
  <c r="J623" i="1"/>
  <c r="H623" i="1"/>
  <c r="G623" i="1"/>
  <c r="E623" i="1"/>
  <c r="B623" i="1"/>
  <c r="W623" i="1" s="1"/>
  <c r="Y622" i="1"/>
  <c r="W622" i="1"/>
  <c r="T622" i="1"/>
  <c r="R622" i="1"/>
  <c r="P622" i="1"/>
  <c r="N622" i="1"/>
  <c r="L622" i="1"/>
  <c r="J622" i="1"/>
  <c r="H622" i="1"/>
  <c r="G622" i="1"/>
  <c r="E622" i="1"/>
  <c r="B622" i="1"/>
  <c r="U622" i="1" s="1"/>
  <c r="W621" i="1"/>
  <c r="U621" i="1"/>
  <c r="R621" i="1"/>
  <c r="T621" i="1" s="1"/>
  <c r="P621" i="1"/>
  <c r="N621" i="1"/>
  <c r="Y621" i="1" s="1"/>
  <c r="L621" i="1"/>
  <c r="J621" i="1"/>
  <c r="H621" i="1"/>
  <c r="G621" i="1"/>
  <c r="E621" i="1"/>
  <c r="B621" i="1"/>
  <c r="V621" i="1" s="1"/>
  <c r="Y620" i="1"/>
  <c r="X620" i="1" a="1"/>
  <c r="X620" i="1" s="1"/>
  <c r="W620" i="1"/>
  <c r="V620" i="1"/>
  <c r="U620" i="1"/>
  <c r="R620" i="1"/>
  <c r="P620" i="1"/>
  <c r="T620" i="1" s="1"/>
  <c r="Z620" i="1" s="1"/>
  <c r="N620" i="1"/>
  <c r="L620" i="1"/>
  <c r="J620" i="1"/>
  <c r="H620" i="1"/>
  <c r="G620" i="1"/>
  <c r="E620" i="1"/>
  <c r="B620" i="1"/>
  <c r="W619" i="1"/>
  <c r="R619" i="1"/>
  <c r="P619" i="1"/>
  <c r="T619" i="1" s="1"/>
  <c r="N619" i="1"/>
  <c r="Y619" i="1" s="1"/>
  <c r="L619" i="1"/>
  <c r="J619" i="1"/>
  <c r="H619" i="1"/>
  <c r="G619" i="1"/>
  <c r="E619" i="1"/>
  <c r="B619" i="1"/>
  <c r="V619" i="1" s="1"/>
  <c r="Y618" i="1"/>
  <c r="X618" i="1" a="1"/>
  <c r="X618" i="1" s="1"/>
  <c r="V618" i="1"/>
  <c r="R618" i="1"/>
  <c r="P618" i="1"/>
  <c r="T618" i="1" s="1"/>
  <c r="Z618" i="1" s="1"/>
  <c r="N618" i="1"/>
  <c r="L618" i="1"/>
  <c r="J618" i="1"/>
  <c r="H618" i="1"/>
  <c r="G618" i="1"/>
  <c r="E618" i="1"/>
  <c r="B618" i="1"/>
  <c r="W618" i="1" s="1"/>
  <c r="R617" i="1"/>
  <c r="T617" i="1" s="1"/>
  <c r="P617" i="1"/>
  <c r="N617" i="1"/>
  <c r="Y617" i="1" s="1"/>
  <c r="L617" i="1"/>
  <c r="J617" i="1"/>
  <c r="H617" i="1"/>
  <c r="G617" i="1"/>
  <c r="E617" i="1"/>
  <c r="B617" i="1"/>
  <c r="Y616" i="1"/>
  <c r="V616" i="1"/>
  <c r="U616" i="1"/>
  <c r="T616" i="1"/>
  <c r="R616" i="1"/>
  <c r="P616" i="1"/>
  <c r="N616" i="1"/>
  <c r="L616" i="1"/>
  <c r="J616" i="1"/>
  <c r="H616" i="1"/>
  <c r="G616" i="1"/>
  <c r="E616" i="1"/>
  <c r="B616" i="1"/>
  <c r="W616" i="1" s="1"/>
  <c r="R615" i="1"/>
  <c r="P615" i="1"/>
  <c r="N615" i="1"/>
  <c r="Y615" i="1" s="1"/>
  <c r="L615" i="1"/>
  <c r="J615" i="1"/>
  <c r="H615" i="1"/>
  <c r="G615" i="1"/>
  <c r="E615" i="1"/>
  <c r="B615" i="1"/>
  <c r="Y614" i="1"/>
  <c r="V614" i="1"/>
  <c r="T614" i="1"/>
  <c r="R614" i="1"/>
  <c r="P614" i="1"/>
  <c r="N614" i="1"/>
  <c r="L614" i="1"/>
  <c r="J614" i="1"/>
  <c r="H614" i="1"/>
  <c r="G614" i="1"/>
  <c r="E614" i="1"/>
  <c r="B614" i="1"/>
  <c r="W614" i="1" s="1"/>
  <c r="W613" i="1"/>
  <c r="U613" i="1"/>
  <c r="R613" i="1"/>
  <c r="T613" i="1" s="1"/>
  <c r="P613" i="1"/>
  <c r="N613" i="1"/>
  <c r="Y613" i="1" s="1"/>
  <c r="L613" i="1"/>
  <c r="J613" i="1"/>
  <c r="H613" i="1"/>
  <c r="G613" i="1"/>
  <c r="E613" i="1"/>
  <c r="B613" i="1"/>
  <c r="V613" i="1" s="1"/>
  <c r="Y612" i="1"/>
  <c r="X612" i="1" a="1"/>
  <c r="X612" i="1" s="1"/>
  <c r="W612" i="1"/>
  <c r="V612" i="1"/>
  <c r="U612" i="1"/>
  <c r="R612" i="1"/>
  <c r="P612" i="1"/>
  <c r="T612" i="1" s="1"/>
  <c r="Z612" i="1" s="1"/>
  <c r="N612" i="1"/>
  <c r="L612" i="1"/>
  <c r="J612" i="1"/>
  <c r="H612" i="1"/>
  <c r="G612" i="1"/>
  <c r="E612" i="1"/>
  <c r="B612" i="1"/>
  <c r="W611" i="1"/>
  <c r="R611" i="1"/>
  <c r="P611" i="1"/>
  <c r="T611" i="1" s="1"/>
  <c r="N611" i="1"/>
  <c r="Y611" i="1" s="1"/>
  <c r="L611" i="1"/>
  <c r="J611" i="1"/>
  <c r="H611" i="1"/>
  <c r="G611" i="1"/>
  <c r="E611" i="1"/>
  <c r="B611" i="1"/>
  <c r="V611" i="1" s="1"/>
  <c r="Y610" i="1"/>
  <c r="V610" i="1"/>
  <c r="R610" i="1"/>
  <c r="P610" i="1"/>
  <c r="T610" i="1" s="1"/>
  <c r="Z610" i="1" s="1"/>
  <c r="N610" i="1"/>
  <c r="L610" i="1"/>
  <c r="J610" i="1"/>
  <c r="H610" i="1"/>
  <c r="G610" i="1"/>
  <c r="E610" i="1"/>
  <c r="B610" i="1"/>
  <c r="W610" i="1" s="1"/>
  <c r="Z609" i="1"/>
  <c r="X609" i="1"/>
  <c r="R609" i="1"/>
  <c r="T609" i="1" s="1"/>
  <c r="X609" i="1" s="1" a="1"/>
  <c r="P609" i="1"/>
  <c r="N609" i="1"/>
  <c r="Y609" i="1" s="1"/>
  <c r="L609" i="1"/>
  <c r="J609" i="1"/>
  <c r="H609" i="1"/>
  <c r="G609" i="1"/>
  <c r="E609" i="1"/>
  <c r="B609" i="1"/>
  <c r="Y608" i="1"/>
  <c r="V608" i="1"/>
  <c r="U608" i="1"/>
  <c r="R608" i="1"/>
  <c r="P608" i="1"/>
  <c r="T608" i="1" s="1"/>
  <c r="N608" i="1"/>
  <c r="L608" i="1"/>
  <c r="J608" i="1"/>
  <c r="H608" i="1"/>
  <c r="G608" i="1"/>
  <c r="E608" i="1"/>
  <c r="B608" i="1"/>
  <c r="W608" i="1" s="1"/>
  <c r="R607" i="1"/>
  <c r="P607" i="1"/>
  <c r="T607" i="1" s="1"/>
  <c r="N607" i="1"/>
  <c r="Y607" i="1" s="1"/>
  <c r="L607" i="1"/>
  <c r="J607" i="1"/>
  <c r="H607" i="1"/>
  <c r="G607" i="1"/>
  <c r="E607" i="1"/>
  <c r="B607" i="1"/>
  <c r="Y606" i="1"/>
  <c r="V606" i="1"/>
  <c r="T606" i="1"/>
  <c r="R606" i="1"/>
  <c r="P606" i="1"/>
  <c r="N606" i="1"/>
  <c r="L606" i="1"/>
  <c r="J606" i="1"/>
  <c r="H606" i="1"/>
  <c r="G606" i="1"/>
  <c r="E606" i="1"/>
  <c r="B606" i="1"/>
  <c r="W606" i="1" s="1"/>
  <c r="W605" i="1"/>
  <c r="U605" i="1"/>
  <c r="R605" i="1"/>
  <c r="T605" i="1" s="1"/>
  <c r="P605" i="1"/>
  <c r="N605" i="1"/>
  <c r="Y605" i="1" s="1"/>
  <c r="L605" i="1"/>
  <c r="J605" i="1"/>
  <c r="H605" i="1"/>
  <c r="G605" i="1"/>
  <c r="E605" i="1"/>
  <c r="B605" i="1"/>
  <c r="V605" i="1" s="1"/>
  <c r="Y604" i="1"/>
  <c r="X604" i="1" a="1"/>
  <c r="X604" i="1" s="1"/>
  <c r="W604" i="1"/>
  <c r="V604" i="1"/>
  <c r="U604" i="1"/>
  <c r="R604" i="1"/>
  <c r="P604" i="1"/>
  <c r="T604" i="1" s="1"/>
  <c r="Z604" i="1" s="1"/>
  <c r="N604" i="1"/>
  <c r="L604" i="1"/>
  <c r="J604" i="1"/>
  <c r="H604" i="1"/>
  <c r="G604" i="1"/>
  <c r="E604" i="1"/>
  <c r="B604" i="1"/>
  <c r="W603" i="1"/>
  <c r="R603" i="1"/>
  <c r="P603" i="1"/>
  <c r="T603" i="1" s="1"/>
  <c r="N603" i="1"/>
  <c r="Y603" i="1" s="1"/>
  <c r="L603" i="1"/>
  <c r="J603" i="1"/>
  <c r="H603" i="1"/>
  <c r="G603" i="1"/>
  <c r="E603" i="1"/>
  <c r="B603" i="1"/>
  <c r="V603" i="1" s="1"/>
  <c r="Y602" i="1"/>
  <c r="V602" i="1"/>
  <c r="R602" i="1"/>
  <c r="P602" i="1"/>
  <c r="T602" i="1" s="1"/>
  <c r="Z602" i="1" s="1"/>
  <c r="N602" i="1"/>
  <c r="L602" i="1"/>
  <c r="J602" i="1"/>
  <c r="H602" i="1"/>
  <c r="G602" i="1"/>
  <c r="E602" i="1"/>
  <c r="B602" i="1"/>
  <c r="W602" i="1" s="1"/>
  <c r="Z601" i="1"/>
  <c r="X601" i="1"/>
  <c r="R601" i="1"/>
  <c r="T601" i="1" s="1"/>
  <c r="X601" i="1" s="1" a="1"/>
  <c r="P601" i="1"/>
  <c r="N601" i="1"/>
  <c r="Y601" i="1" s="1"/>
  <c r="L601" i="1"/>
  <c r="J601" i="1"/>
  <c r="H601" i="1"/>
  <c r="G601" i="1"/>
  <c r="E601" i="1"/>
  <c r="B601" i="1"/>
  <c r="Y600" i="1"/>
  <c r="V600" i="1"/>
  <c r="U600" i="1"/>
  <c r="R600" i="1"/>
  <c r="P600" i="1"/>
  <c r="T600" i="1" s="1"/>
  <c r="N600" i="1"/>
  <c r="L600" i="1"/>
  <c r="J600" i="1"/>
  <c r="H600" i="1"/>
  <c r="G600" i="1"/>
  <c r="E600" i="1"/>
  <c r="B600" i="1"/>
  <c r="W600" i="1" s="1"/>
  <c r="U599" i="1"/>
  <c r="R599" i="1"/>
  <c r="P599" i="1"/>
  <c r="N599" i="1"/>
  <c r="Y599" i="1" s="1"/>
  <c r="L599" i="1"/>
  <c r="J599" i="1"/>
  <c r="H599" i="1"/>
  <c r="G599" i="1"/>
  <c r="E599" i="1"/>
  <c r="B599" i="1"/>
  <c r="Y598" i="1"/>
  <c r="V598" i="1"/>
  <c r="T598" i="1"/>
  <c r="R598" i="1"/>
  <c r="P598" i="1"/>
  <c r="N598" i="1"/>
  <c r="L598" i="1"/>
  <c r="J598" i="1"/>
  <c r="H598" i="1"/>
  <c r="G598" i="1"/>
  <c r="E598" i="1"/>
  <c r="B598" i="1"/>
  <c r="W598" i="1" s="1"/>
  <c r="W597" i="1"/>
  <c r="U597" i="1"/>
  <c r="R597" i="1"/>
  <c r="T597" i="1" s="1"/>
  <c r="P597" i="1"/>
  <c r="N597" i="1"/>
  <c r="Y597" i="1" s="1"/>
  <c r="L597" i="1"/>
  <c r="J597" i="1"/>
  <c r="H597" i="1"/>
  <c r="G597" i="1"/>
  <c r="E597" i="1"/>
  <c r="B597" i="1"/>
  <c r="V597" i="1" s="1"/>
  <c r="Y596" i="1"/>
  <c r="V596" i="1"/>
  <c r="U596" i="1"/>
  <c r="R596" i="1"/>
  <c r="P596" i="1"/>
  <c r="T596" i="1" s="1"/>
  <c r="Z596" i="1" s="1"/>
  <c r="N596" i="1"/>
  <c r="L596" i="1"/>
  <c r="J596" i="1"/>
  <c r="H596" i="1"/>
  <c r="G596" i="1"/>
  <c r="E596" i="1"/>
  <c r="B596" i="1"/>
  <c r="W596" i="1" s="1"/>
  <c r="W595" i="1"/>
  <c r="R595" i="1"/>
  <c r="P595" i="1"/>
  <c r="T595" i="1" s="1"/>
  <c r="N595" i="1"/>
  <c r="Y595" i="1" s="1"/>
  <c r="L595" i="1"/>
  <c r="J595" i="1"/>
  <c r="H595" i="1"/>
  <c r="G595" i="1"/>
  <c r="E595" i="1"/>
  <c r="B595" i="1"/>
  <c r="V595" i="1" s="1"/>
  <c r="Y594" i="1"/>
  <c r="V594" i="1"/>
  <c r="R594" i="1"/>
  <c r="P594" i="1"/>
  <c r="T594" i="1" s="1"/>
  <c r="Z594" i="1" s="1"/>
  <c r="N594" i="1"/>
  <c r="L594" i="1"/>
  <c r="J594" i="1"/>
  <c r="H594" i="1"/>
  <c r="G594" i="1"/>
  <c r="E594" i="1"/>
  <c r="B594" i="1"/>
  <c r="W594" i="1" s="1"/>
  <c r="R593" i="1"/>
  <c r="T593" i="1" s="1"/>
  <c r="X593" i="1" s="1" a="1"/>
  <c r="X593" i="1" s="1"/>
  <c r="P593" i="1"/>
  <c r="N593" i="1"/>
  <c r="Y593" i="1" s="1"/>
  <c r="L593" i="1"/>
  <c r="J593" i="1"/>
  <c r="H593" i="1"/>
  <c r="G593" i="1"/>
  <c r="E593" i="1"/>
  <c r="B593" i="1"/>
  <c r="Y592" i="1"/>
  <c r="V592" i="1"/>
  <c r="U592" i="1"/>
  <c r="T592" i="1"/>
  <c r="R592" i="1"/>
  <c r="P592" i="1"/>
  <c r="N592" i="1"/>
  <c r="L592" i="1"/>
  <c r="J592" i="1"/>
  <c r="H592" i="1"/>
  <c r="G592" i="1"/>
  <c r="E592" i="1"/>
  <c r="B592" i="1"/>
  <c r="W592" i="1" s="1"/>
  <c r="R591" i="1"/>
  <c r="P591" i="1"/>
  <c r="N591" i="1"/>
  <c r="Y591" i="1" s="1"/>
  <c r="L591" i="1"/>
  <c r="J591" i="1"/>
  <c r="H591" i="1"/>
  <c r="G591" i="1"/>
  <c r="E591" i="1"/>
  <c r="B591" i="1"/>
  <c r="Y590" i="1"/>
  <c r="V590" i="1"/>
  <c r="T590" i="1"/>
  <c r="R590" i="1"/>
  <c r="P590" i="1"/>
  <c r="N590" i="1"/>
  <c r="L590" i="1"/>
  <c r="J590" i="1"/>
  <c r="H590" i="1"/>
  <c r="G590" i="1"/>
  <c r="E590" i="1"/>
  <c r="B590" i="1"/>
  <c r="W590" i="1" s="1"/>
  <c r="W589" i="1"/>
  <c r="U589" i="1"/>
  <c r="R589" i="1"/>
  <c r="T589" i="1" s="1"/>
  <c r="P589" i="1"/>
  <c r="N589" i="1"/>
  <c r="Y589" i="1" s="1"/>
  <c r="L589" i="1"/>
  <c r="J589" i="1"/>
  <c r="H589" i="1"/>
  <c r="G589" i="1"/>
  <c r="E589" i="1"/>
  <c r="B589" i="1"/>
  <c r="V589" i="1" s="1"/>
  <c r="Y588" i="1"/>
  <c r="V588" i="1"/>
  <c r="U588" i="1"/>
  <c r="T588" i="1"/>
  <c r="R588" i="1"/>
  <c r="P588" i="1"/>
  <c r="N588" i="1"/>
  <c r="L588" i="1"/>
  <c r="J588" i="1"/>
  <c r="H588" i="1"/>
  <c r="G588" i="1"/>
  <c r="E588" i="1"/>
  <c r="B588" i="1"/>
  <c r="W588" i="1" s="1"/>
  <c r="U587" i="1"/>
  <c r="R587" i="1"/>
  <c r="P587" i="1"/>
  <c r="T587" i="1" s="1"/>
  <c r="N587" i="1"/>
  <c r="Y587" i="1" s="1"/>
  <c r="L587" i="1"/>
  <c r="J587" i="1"/>
  <c r="H587" i="1"/>
  <c r="G587" i="1"/>
  <c r="E587" i="1"/>
  <c r="B587" i="1"/>
  <c r="V587" i="1" s="1"/>
  <c r="Y586" i="1"/>
  <c r="V586" i="1"/>
  <c r="R586" i="1"/>
  <c r="P586" i="1"/>
  <c r="T586" i="1" s="1"/>
  <c r="N586" i="1"/>
  <c r="L586" i="1"/>
  <c r="J586" i="1"/>
  <c r="H586" i="1"/>
  <c r="G586" i="1"/>
  <c r="E586" i="1"/>
  <c r="B586" i="1"/>
  <c r="W586" i="1" s="1"/>
  <c r="Z585" i="1"/>
  <c r="X585" i="1"/>
  <c r="W585" i="1"/>
  <c r="U585" i="1"/>
  <c r="R585" i="1"/>
  <c r="T585" i="1" s="1"/>
  <c r="X585" i="1" s="1" a="1"/>
  <c r="P585" i="1"/>
  <c r="N585" i="1"/>
  <c r="Y585" i="1" s="1"/>
  <c r="L585" i="1"/>
  <c r="J585" i="1"/>
  <c r="H585" i="1"/>
  <c r="G585" i="1"/>
  <c r="E585" i="1"/>
  <c r="B585" i="1"/>
  <c r="V585" i="1" s="1"/>
  <c r="Y584" i="1"/>
  <c r="V584" i="1"/>
  <c r="U584" i="1"/>
  <c r="T584" i="1"/>
  <c r="Z584" i="1" s="1"/>
  <c r="R584" i="1"/>
  <c r="P584" i="1"/>
  <c r="N584" i="1"/>
  <c r="L584" i="1"/>
  <c r="J584" i="1"/>
  <c r="H584" i="1"/>
  <c r="G584" i="1"/>
  <c r="E584" i="1"/>
  <c r="B584" i="1"/>
  <c r="W584" i="1" s="1"/>
  <c r="W583" i="1"/>
  <c r="R583" i="1"/>
  <c r="P583" i="1"/>
  <c r="N583" i="1"/>
  <c r="Y583" i="1" s="1"/>
  <c r="L583" i="1"/>
  <c r="J583" i="1"/>
  <c r="H583" i="1"/>
  <c r="G583" i="1"/>
  <c r="E583" i="1"/>
  <c r="B583" i="1"/>
  <c r="V583" i="1" s="1"/>
  <c r="Y582" i="1"/>
  <c r="V582" i="1"/>
  <c r="R582" i="1"/>
  <c r="P582" i="1"/>
  <c r="T582" i="1" s="1"/>
  <c r="N582" i="1"/>
  <c r="L582" i="1"/>
  <c r="J582" i="1"/>
  <c r="H582" i="1"/>
  <c r="G582" i="1"/>
  <c r="E582" i="1"/>
  <c r="B582" i="1"/>
  <c r="W582" i="1" s="1"/>
  <c r="Z581" i="1"/>
  <c r="R581" i="1"/>
  <c r="T581" i="1" s="1"/>
  <c r="X581" i="1" s="1" a="1"/>
  <c r="X581" i="1" s="1"/>
  <c r="P581" i="1"/>
  <c r="N581" i="1"/>
  <c r="Y581" i="1" s="1"/>
  <c r="L581" i="1"/>
  <c r="J581" i="1"/>
  <c r="H581" i="1"/>
  <c r="G581" i="1"/>
  <c r="E581" i="1"/>
  <c r="B581" i="1"/>
  <c r="V581" i="1" s="1"/>
  <c r="Y580" i="1"/>
  <c r="V580" i="1"/>
  <c r="U580" i="1"/>
  <c r="R580" i="1"/>
  <c r="P580" i="1"/>
  <c r="T580" i="1" s="1"/>
  <c r="N580" i="1"/>
  <c r="L580" i="1"/>
  <c r="J580" i="1"/>
  <c r="H580" i="1"/>
  <c r="G580" i="1"/>
  <c r="E580" i="1"/>
  <c r="B580" i="1"/>
  <c r="W580" i="1" s="1"/>
  <c r="W579" i="1"/>
  <c r="R579" i="1"/>
  <c r="P579" i="1"/>
  <c r="T579" i="1" s="1"/>
  <c r="N579" i="1"/>
  <c r="Y579" i="1" s="1"/>
  <c r="L579" i="1"/>
  <c r="J579" i="1"/>
  <c r="H579" i="1"/>
  <c r="G579" i="1"/>
  <c r="E579" i="1"/>
  <c r="B579" i="1"/>
  <c r="V579" i="1" s="1"/>
  <c r="Y578" i="1"/>
  <c r="V578" i="1"/>
  <c r="R578" i="1"/>
  <c r="P578" i="1"/>
  <c r="T578" i="1" s="1"/>
  <c r="N578" i="1"/>
  <c r="L578" i="1"/>
  <c r="J578" i="1"/>
  <c r="H578" i="1"/>
  <c r="G578" i="1"/>
  <c r="E578" i="1"/>
  <c r="B578" i="1"/>
  <c r="W578" i="1" s="1"/>
  <c r="Z577" i="1"/>
  <c r="U577" i="1"/>
  <c r="R577" i="1"/>
  <c r="T577" i="1" s="1"/>
  <c r="X577" i="1" s="1" a="1"/>
  <c r="X577" i="1" s="1"/>
  <c r="P577" i="1"/>
  <c r="N577" i="1"/>
  <c r="Y577" i="1" s="1"/>
  <c r="L577" i="1"/>
  <c r="J577" i="1"/>
  <c r="H577" i="1"/>
  <c r="G577" i="1"/>
  <c r="E577" i="1"/>
  <c r="B577" i="1"/>
  <c r="V577" i="1" s="1"/>
  <c r="Y576" i="1"/>
  <c r="V576" i="1"/>
  <c r="U576" i="1"/>
  <c r="R576" i="1"/>
  <c r="P576" i="1"/>
  <c r="T576" i="1" s="1"/>
  <c r="N576" i="1"/>
  <c r="L576" i="1"/>
  <c r="J576" i="1"/>
  <c r="H576" i="1"/>
  <c r="G576" i="1"/>
  <c r="E576" i="1"/>
  <c r="B576" i="1"/>
  <c r="W576" i="1" s="1"/>
  <c r="R575" i="1"/>
  <c r="P575" i="1"/>
  <c r="N575" i="1"/>
  <c r="Y575" i="1" s="1"/>
  <c r="L575" i="1"/>
  <c r="J575" i="1"/>
  <c r="H575" i="1"/>
  <c r="G575" i="1"/>
  <c r="E575" i="1"/>
  <c r="B575" i="1"/>
  <c r="V575" i="1" s="1"/>
  <c r="Y574" i="1"/>
  <c r="V574" i="1"/>
  <c r="T574" i="1"/>
  <c r="R574" i="1"/>
  <c r="P574" i="1"/>
  <c r="N574" i="1"/>
  <c r="L574" i="1"/>
  <c r="J574" i="1"/>
  <c r="H574" i="1"/>
  <c r="G574" i="1"/>
  <c r="E574" i="1"/>
  <c r="B574" i="1"/>
  <c r="W574" i="1" s="1"/>
  <c r="Z573" i="1"/>
  <c r="X573" i="1"/>
  <c r="W573" i="1"/>
  <c r="U573" i="1"/>
  <c r="R573" i="1"/>
  <c r="T573" i="1" s="1"/>
  <c r="X573" i="1" s="1" a="1"/>
  <c r="P573" i="1"/>
  <c r="N573" i="1"/>
  <c r="Y573" i="1" s="1"/>
  <c r="L573" i="1"/>
  <c r="J573" i="1"/>
  <c r="H573" i="1"/>
  <c r="G573" i="1"/>
  <c r="E573" i="1"/>
  <c r="B573" i="1"/>
  <c r="V573" i="1" s="1"/>
  <c r="V572" i="1"/>
  <c r="U572" i="1"/>
  <c r="T572" i="1"/>
  <c r="Z572" i="1" s="1"/>
  <c r="R572" i="1"/>
  <c r="P572" i="1"/>
  <c r="N572" i="1"/>
  <c r="Y572" i="1" s="1"/>
  <c r="L572" i="1"/>
  <c r="J572" i="1"/>
  <c r="H572" i="1"/>
  <c r="G572" i="1"/>
  <c r="E572" i="1"/>
  <c r="B572" i="1"/>
  <c r="W572" i="1" s="1"/>
  <c r="Y571" i="1"/>
  <c r="R571" i="1"/>
  <c r="P571" i="1"/>
  <c r="N571" i="1"/>
  <c r="L571" i="1"/>
  <c r="J571" i="1"/>
  <c r="H571" i="1"/>
  <c r="G571" i="1"/>
  <c r="E571" i="1"/>
  <c r="B571" i="1"/>
  <c r="W571" i="1" s="1"/>
  <c r="Y570" i="1"/>
  <c r="W570" i="1"/>
  <c r="V570" i="1"/>
  <c r="R570" i="1"/>
  <c r="P570" i="1"/>
  <c r="T570" i="1" s="1"/>
  <c r="N570" i="1"/>
  <c r="L570" i="1"/>
  <c r="J570" i="1"/>
  <c r="H570" i="1"/>
  <c r="G570" i="1"/>
  <c r="E570" i="1"/>
  <c r="B570" i="1"/>
  <c r="U570" i="1" s="1"/>
  <c r="U569" i="1"/>
  <c r="R569" i="1"/>
  <c r="T569" i="1" s="1"/>
  <c r="P569" i="1"/>
  <c r="N569" i="1"/>
  <c r="Y569" i="1" s="1"/>
  <c r="L569" i="1"/>
  <c r="J569" i="1"/>
  <c r="H569" i="1"/>
  <c r="G569" i="1"/>
  <c r="E569" i="1"/>
  <c r="B569" i="1"/>
  <c r="V569" i="1" s="1"/>
  <c r="V568" i="1"/>
  <c r="U568" i="1"/>
  <c r="T568" i="1"/>
  <c r="R568" i="1"/>
  <c r="P568" i="1"/>
  <c r="N568" i="1"/>
  <c r="Y568" i="1" s="1"/>
  <c r="L568" i="1"/>
  <c r="J568" i="1"/>
  <c r="H568" i="1"/>
  <c r="G568" i="1"/>
  <c r="E568" i="1"/>
  <c r="B568" i="1"/>
  <c r="W568" i="1" s="1"/>
  <c r="R567" i="1"/>
  <c r="P567" i="1"/>
  <c r="N567" i="1"/>
  <c r="Y567" i="1" s="1"/>
  <c r="L567" i="1"/>
  <c r="J567" i="1"/>
  <c r="H567" i="1"/>
  <c r="G567" i="1"/>
  <c r="E567" i="1"/>
  <c r="B567" i="1"/>
  <c r="Y566" i="1"/>
  <c r="W566" i="1"/>
  <c r="V566" i="1"/>
  <c r="R566" i="1"/>
  <c r="P566" i="1"/>
  <c r="T566" i="1" s="1"/>
  <c r="N566" i="1"/>
  <c r="L566" i="1"/>
  <c r="J566" i="1"/>
  <c r="H566" i="1"/>
  <c r="G566" i="1"/>
  <c r="E566" i="1"/>
  <c r="B566" i="1"/>
  <c r="U566" i="1" s="1"/>
  <c r="Z565" i="1"/>
  <c r="X565" i="1" a="1"/>
  <c r="X565" i="1" s="1"/>
  <c r="W565" i="1"/>
  <c r="U565" i="1"/>
  <c r="T565" i="1"/>
  <c r="R565" i="1"/>
  <c r="P565" i="1"/>
  <c r="N565" i="1"/>
  <c r="Y565" i="1" s="1"/>
  <c r="L565" i="1"/>
  <c r="J565" i="1"/>
  <c r="H565" i="1"/>
  <c r="G565" i="1"/>
  <c r="E565" i="1"/>
  <c r="B565" i="1"/>
  <c r="V565" i="1" s="1"/>
  <c r="V564" i="1"/>
  <c r="U564" i="1"/>
  <c r="T564" i="1"/>
  <c r="Z564" i="1" s="1"/>
  <c r="R564" i="1"/>
  <c r="P564" i="1"/>
  <c r="N564" i="1"/>
  <c r="Y564" i="1" s="1"/>
  <c r="L564" i="1"/>
  <c r="J564" i="1"/>
  <c r="H564" i="1"/>
  <c r="G564" i="1"/>
  <c r="E564" i="1"/>
  <c r="B564" i="1"/>
  <c r="W564" i="1" s="1"/>
  <c r="R563" i="1"/>
  <c r="P563" i="1"/>
  <c r="N563" i="1"/>
  <c r="Y563" i="1" s="1"/>
  <c r="L563" i="1"/>
  <c r="J563" i="1"/>
  <c r="H563" i="1"/>
  <c r="G563" i="1"/>
  <c r="E563" i="1"/>
  <c r="B563" i="1"/>
  <c r="W563" i="1" s="1"/>
  <c r="Y562" i="1"/>
  <c r="W562" i="1"/>
  <c r="V562" i="1"/>
  <c r="R562" i="1"/>
  <c r="P562" i="1"/>
  <c r="T562" i="1" s="1"/>
  <c r="N562" i="1"/>
  <c r="L562" i="1"/>
  <c r="J562" i="1"/>
  <c r="H562" i="1"/>
  <c r="G562" i="1"/>
  <c r="E562" i="1"/>
  <c r="B562" i="1"/>
  <c r="U562" i="1" s="1"/>
  <c r="U561" i="1"/>
  <c r="R561" i="1"/>
  <c r="T561" i="1" s="1"/>
  <c r="P561" i="1"/>
  <c r="N561" i="1"/>
  <c r="Y561" i="1" s="1"/>
  <c r="L561" i="1"/>
  <c r="J561" i="1"/>
  <c r="H561" i="1"/>
  <c r="G561" i="1"/>
  <c r="E561" i="1"/>
  <c r="B561" i="1"/>
  <c r="V561" i="1" s="1"/>
  <c r="V560" i="1"/>
  <c r="U560" i="1"/>
  <c r="T560" i="1"/>
  <c r="R560" i="1"/>
  <c r="P560" i="1"/>
  <c r="N560" i="1"/>
  <c r="Y560" i="1" s="1"/>
  <c r="L560" i="1"/>
  <c r="J560" i="1"/>
  <c r="H560" i="1"/>
  <c r="G560" i="1"/>
  <c r="E560" i="1"/>
  <c r="B560" i="1"/>
  <c r="W560" i="1" s="1"/>
  <c r="R559" i="1"/>
  <c r="P559" i="1"/>
  <c r="N559" i="1"/>
  <c r="Y559" i="1" s="1"/>
  <c r="L559" i="1"/>
  <c r="J559" i="1"/>
  <c r="H559" i="1"/>
  <c r="G559" i="1"/>
  <c r="E559" i="1"/>
  <c r="B559" i="1"/>
  <c r="Y558" i="1"/>
  <c r="W558" i="1"/>
  <c r="V558" i="1"/>
  <c r="R558" i="1"/>
  <c r="P558" i="1"/>
  <c r="T558" i="1" s="1"/>
  <c r="N558" i="1"/>
  <c r="L558" i="1"/>
  <c r="J558" i="1"/>
  <c r="H558" i="1"/>
  <c r="G558" i="1"/>
  <c r="E558" i="1"/>
  <c r="B558" i="1"/>
  <c r="U558" i="1" s="1"/>
  <c r="Z557" i="1"/>
  <c r="X557" i="1" a="1"/>
  <c r="X557" i="1" s="1"/>
  <c r="W557" i="1"/>
  <c r="U557" i="1"/>
  <c r="T557" i="1"/>
  <c r="R557" i="1"/>
  <c r="P557" i="1"/>
  <c r="N557" i="1"/>
  <c r="Y557" i="1" s="1"/>
  <c r="L557" i="1"/>
  <c r="J557" i="1"/>
  <c r="H557" i="1"/>
  <c r="G557" i="1"/>
  <c r="E557" i="1"/>
  <c r="B557" i="1"/>
  <c r="V557" i="1" s="1"/>
  <c r="V556" i="1"/>
  <c r="U556" i="1"/>
  <c r="T556" i="1"/>
  <c r="Z556" i="1" s="1"/>
  <c r="R556" i="1"/>
  <c r="P556" i="1"/>
  <c r="N556" i="1"/>
  <c r="Y556" i="1" s="1"/>
  <c r="L556" i="1"/>
  <c r="J556" i="1"/>
  <c r="H556" i="1"/>
  <c r="G556" i="1"/>
  <c r="E556" i="1"/>
  <c r="B556" i="1"/>
  <c r="W556" i="1" s="1"/>
  <c r="R555" i="1"/>
  <c r="P555" i="1"/>
  <c r="N555" i="1"/>
  <c r="Y555" i="1" s="1"/>
  <c r="L555" i="1"/>
  <c r="J555" i="1"/>
  <c r="H555" i="1"/>
  <c r="G555" i="1"/>
  <c r="E555" i="1"/>
  <c r="B555" i="1"/>
  <c r="W555" i="1" s="1"/>
  <c r="Y554" i="1"/>
  <c r="W554" i="1"/>
  <c r="V554" i="1"/>
  <c r="R554" i="1"/>
  <c r="P554" i="1"/>
  <c r="T554" i="1" s="1"/>
  <c r="N554" i="1"/>
  <c r="L554" i="1"/>
  <c r="J554" i="1"/>
  <c r="H554" i="1"/>
  <c r="G554" i="1"/>
  <c r="E554" i="1"/>
  <c r="B554" i="1"/>
  <c r="U554" i="1" s="1"/>
  <c r="U553" i="1"/>
  <c r="R553" i="1"/>
  <c r="T553" i="1" s="1"/>
  <c r="P553" i="1"/>
  <c r="N553" i="1"/>
  <c r="Y553" i="1" s="1"/>
  <c r="L553" i="1"/>
  <c r="J553" i="1"/>
  <c r="H553" i="1"/>
  <c r="G553" i="1"/>
  <c r="E553" i="1"/>
  <c r="B553" i="1"/>
  <c r="V553" i="1" s="1"/>
  <c r="V552" i="1"/>
  <c r="U552" i="1"/>
  <c r="T552" i="1"/>
  <c r="R552" i="1"/>
  <c r="P552" i="1"/>
  <c r="N552" i="1"/>
  <c r="Y552" i="1" s="1"/>
  <c r="L552" i="1"/>
  <c r="J552" i="1"/>
  <c r="H552" i="1"/>
  <c r="G552" i="1"/>
  <c r="E552" i="1"/>
  <c r="B552" i="1"/>
  <c r="W552" i="1" s="1"/>
  <c r="R551" i="1"/>
  <c r="P551" i="1"/>
  <c r="N551" i="1"/>
  <c r="Y551" i="1" s="1"/>
  <c r="L551" i="1"/>
  <c r="J551" i="1"/>
  <c r="H551" i="1"/>
  <c r="G551" i="1"/>
  <c r="E551" i="1"/>
  <c r="B551" i="1"/>
  <c r="Y550" i="1"/>
  <c r="W550" i="1"/>
  <c r="V550" i="1"/>
  <c r="R550" i="1"/>
  <c r="P550" i="1"/>
  <c r="T550" i="1" s="1"/>
  <c r="N550" i="1"/>
  <c r="L550" i="1"/>
  <c r="J550" i="1"/>
  <c r="H550" i="1"/>
  <c r="G550" i="1"/>
  <c r="E550" i="1"/>
  <c r="B550" i="1"/>
  <c r="U550" i="1" s="1"/>
  <c r="Z549" i="1"/>
  <c r="X549" i="1" a="1"/>
  <c r="X549" i="1" s="1"/>
  <c r="W549" i="1"/>
  <c r="U549" i="1"/>
  <c r="T549" i="1"/>
  <c r="R549" i="1"/>
  <c r="P549" i="1"/>
  <c r="N549" i="1"/>
  <c r="Y549" i="1" s="1"/>
  <c r="L549" i="1"/>
  <c r="J549" i="1"/>
  <c r="H549" i="1"/>
  <c r="G549" i="1"/>
  <c r="E549" i="1"/>
  <c r="B549" i="1"/>
  <c r="V549" i="1" s="1"/>
  <c r="V548" i="1"/>
  <c r="U548" i="1"/>
  <c r="T548" i="1"/>
  <c r="Z548" i="1" s="1"/>
  <c r="R548" i="1"/>
  <c r="P548" i="1"/>
  <c r="N548" i="1"/>
  <c r="Y548" i="1" s="1"/>
  <c r="L548" i="1"/>
  <c r="J548" i="1"/>
  <c r="H548" i="1"/>
  <c r="G548" i="1"/>
  <c r="E548" i="1"/>
  <c r="B548" i="1"/>
  <c r="W548" i="1" s="1"/>
  <c r="R547" i="1"/>
  <c r="P547" i="1"/>
  <c r="N547" i="1"/>
  <c r="Y547" i="1" s="1"/>
  <c r="L547" i="1"/>
  <c r="J547" i="1"/>
  <c r="H547" i="1"/>
  <c r="G547" i="1"/>
  <c r="E547" i="1"/>
  <c r="B547" i="1"/>
  <c r="W547" i="1" s="1"/>
  <c r="Y546" i="1"/>
  <c r="W546" i="1"/>
  <c r="V546" i="1"/>
  <c r="R546" i="1"/>
  <c r="P546" i="1"/>
  <c r="T546" i="1" s="1"/>
  <c r="N546" i="1"/>
  <c r="L546" i="1"/>
  <c r="J546" i="1"/>
  <c r="H546" i="1"/>
  <c r="G546" i="1"/>
  <c r="E546" i="1"/>
  <c r="B546" i="1"/>
  <c r="U546" i="1" s="1"/>
  <c r="U545" i="1"/>
  <c r="R545" i="1"/>
  <c r="T545" i="1" s="1"/>
  <c r="P545" i="1"/>
  <c r="N545" i="1"/>
  <c r="Y545" i="1" s="1"/>
  <c r="L545" i="1"/>
  <c r="J545" i="1"/>
  <c r="H545" i="1"/>
  <c r="G545" i="1"/>
  <c r="E545" i="1"/>
  <c r="B545" i="1"/>
  <c r="V545" i="1" s="1"/>
  <c r="V544" i="1"/>
  <c r="U544" i="1"/>
  <c r="T544" i="1"/>
  <c r="R544" i="1"/>
  <c r="P544" i="1"/>
  <c r="N544" i="1"/>
  <c r="Y544" i="1" s="1"/>
  <c r="L544" i="1"/>
  <c r="J544" i="1"/>
  <c r="H544" i="1"/>
  <c r="G544" i="1"/>
  <c r="E544" i="1"/>
  <c r="B544" i="1"/>
  <c r="W544" i="1" s="1"/>
  <c r="R543" i="1"/>
  <c r="P543" i="1"/>
  <c r="N543" i="1"/>
  <c r="Y543" i="1" s="1"/>
  <c r="L543" i="1"/>
  <c r="J543" i="1"/>
  <c r="H543" i="1"/>
  <c r="G543" i="1"/>
  <c r="E543" i="1"/>
  <c r="B543" i="1"/>
  <c r="Y542" i="1"/>
  <c r="W542" i="1"/>
  <c r="V542" i="1"/>
  <c r="R542" i="1"/>
  <c r="P542" i="1"/>
  <c r="T542" i="1" s="1"/>
  <c r="N542" i="1"/>
  <c r="L542" i="1"/>
  <c r="J542" i="1"/>
  <c r="H542" i="1"/>
  <c r="G542" i="1"/>
  <c r="E542" i="1"/>
  <c r="B542" i="1"/>
  <c r="U542" i="1" s="1"/>
  <c r="Z541" i="1"/>
  <c r="X541" i="1" a="1"/>
  <c r="X541" i="1" s="1"/>
  <c r="W541" i="1"/>
  <c r="U541" i="1"/>
  <c r="T541" i="1"/>
  <c r="R541" i="1"/>
  <c r="P541" i="1"/>
  <c r="N541" i="1"/>
  <c r="Y541" i="1" s="1"/>
  <c r="L541" i="1"/>
  <c r="J541" i="1"/>
  <c r="H541" i="1"/>
  <c r="G541" i="1"/>
  <c r="E541" i="1"/>
  <c r="B541" i="1"/>
  <c r="V541" i="1" s="1"/>
  <c r="V540" i="1"/>
  <c r="U540" i="1"/>
  <c r="T540" i="1"/>
  <c r="Z540" i="1" s="1"/>
  <c r="R540" i="1"/>
  <c r="P540" i="1"/>
  <c r="N540" i="1"/>
  <c r="Y540" i="1" s="1"/>
  <c r="L540" i="1"/>
  <c r="J540" i="1"/>
  <c r="H540" i="1"/>
  <c r="G540" i="1"/>
  <c r="E540" i="1"/>
  <c r="B540" i="1"/>
  <c r="W540" i="1" s="1"/>
  <c r="R539" i="1"/>
  <c r="P539" i="1"/>
  <c r="N539" i="1"/>
  <c r="Y539" i="1" s="1"/>
  <c r="L539" i="1"/>
  <c r="J539" i="1"/>
  <c r="H539" i="1"/>
  <c r="G539" i="1"/>
  <c r="E539" i="1"/>
  <c r="B539" i="1"/>
  <c r="W539" i="1" s="1"/>
  <c r="Y538" i="1"/>
  <c r="W538" i="1"/>
  <c r="V538" i="1"/>
  <c r="R538" i="1"/>
  <c r="P538" i="1"/>
  <c r="T538" i="1" s="1"/>
  <c r="N538" i="1"/>
  <c r="L538" i="1"/>
  <c r="J538" i="1"/>
  <c r="H538" i="1"/>
  <c r="G538" i="1"/>
  <c r="E538" i="1"/>
  <c r="B538" i="1"/>
  <c r="U538" i="1" s="1"/>
  <c r="Y537" i="1"/>
  <c r="W537" i="1"/>
  <c r="R537" i="1"/>
  <c r="T537" i="1" s="1"/>
  <c r="P537" i="1"/>
  <c r="N537" i="1"/>
  <c r="L537" i="1"/>
  <c r="J537" i="1"/>
  <c r="H537" i="1"/>
  <c r="G537" i="1"/>
  <c r="E537" i="1"/>
  <c r="B537" i="1"/>
  <c r="V537" i="1" s="1"/>
  <c r="Y536" i="1"/>
  <c r="X536" i="1" a="1"/>
  <c r="X536" i="1" s="1"/>
  <c r="W536" i="1"/>
  <c r="V536" i="1"/>
  <c r="T536" i="1"/>
  <c r="Z536" i="1" s="1"/>
  <c r="R536" i="1"/>
  <c r="P536" i="1"/>
  <c r="N536" i="1"/>
  <c r="L536" i="1"/>
  <c r="J536" i="1"/>
  <c r="H536" i="1"/>
  <c r="G536" i="1"/>
  <c r="E536" i="1"/>
  <c r="B536" i="1"/>
  <c r="U536" i="1" s="1"/>
  <c r="X535" i="1"/>
  <c r="X535" i="1" a="1"/>
  <c r="W535" i="1"/>
  <c r="V535" i="1"/>
  <c r="U535" i="1"/>
  <c r="T535" i="1"/>
  <c r="Z535" i="1" s="1"/>
  <c r="R535" i="1"/>
  <c r="P535" i="1"/>
  <c r="N535" i="1"/>
  <c r="Y535" i="1" s="1"/>
  <c r="L535" i="1"/>
  <c r="J535" i="1"/>
  <c r="H535" i="1"/>
  <c r="G535" i="1"/>
  <c r="E535" i="1"/>
  <c r="B535" i="1"/>
  <c r="Y534" i="1"/>
  <c r="W534" i="1"/>
  <c r="V534" i="1"/>
  <c r="U534" i="1"/>
  <c r="R534" i="1"/>
  <c r="P534" i="1"/>
  <c r="T534" i="1" s="1"/>
  <c r="N534" i="1"/>
  <c r="L534" i="1"/>
  <c r="J534" i="1"/>
  <c r="H534" i="1"/>
  <c r="G534" i="1"/>
  <c r="E534" i="1"/>
  <c r="B534" i="1"/>
  <c r="R533" i="1"/>
  <c r="P533" i="1"/>
  <c r="T533" i="1" s="1"/>
  <c r="X533" i="1" s="1" a="1"/>
  <c r="X533" i="1" s="1"/>
  <c r="N533" i="1"/>
  <c r="Y533" i="1" s="1"/>
  <c r="L533" i="1"/>
  <c r="J533" i="1"/>
  <c r="H533" i="1"/>
  <c r="G533" i="1"/>
  <c r="E533" i="1"/>
  <c r="B533" i="1"/>
  <c r="Y532" i="1"/>
  <c r="T532" i="1"/>
  <c r="R532" i="1"/>
  <c r="P532" i="1"/>
  <c r="N532" i="1"/>
  <c r="L532" i="1"/>
  <c r="J532" i="1"/>
  <c r="H532" i="1"/>
  <c r="G532" i="1"/>
  <c r="E532" i="1"/>
  <c r="B532" i="1"/>
  <c r="W532" i="1" s="1"/>
  <c r="U531" i="1"/>
  <c r="R531" i="1"/>
  <c r="T531" i="1" s="1"/>
  <c r="P531" i="1"/>
  <c r="N531" i="1"/>
  <c r="Y531" i="1" s="1"/>
  <c r="L531" i="1"/>
  <c r="J531" i="1"/>
  <c r="H531" i="1"/>
  <c r="G531" i="1"/>
  <c r="E531" i="1"/>
  <c r="B531" i="1"/>
  <c r="W531" i="1" s="1"/>
  <c r="Y530" i="1"/>
  <c r="V530" i="1"/>
  <c r="U530" i="1"/>
  <c r="R530" i="1"/>
  <c r="P530" i="1"/>
  <c r="T530" i="1" s="1"/>
  <c r="N530" i="1"/>
  <c r="L530" i="1"/>
  <c r="J530" i="1"/>
  <c r="H530" i="1"/>
  <c r="G530" i="1"/>
  <c r="E530" i="1"/>
  <c r="B530" i="1"/>
  <c r="W530" i="1" s="1"/>
  <c r="Y529" i="1"/>
  <c r="W529" i="1"/>
  <c r="R529" i="1"/>
  <c r="T529" i="1" s="1"/>
  <c r="P529" i="1"/>
  <c r="N529" i="1"/>
  <c r="L529" i="1"/>
  <c r="J529" i="1"/>
  <c r="H529" i="1"/>
  <c r="G529" i="1"/>
  <c r="E529" i="1"/>
  <c r="B529" i="1"/>
  <c r="V529" i="1" s="1"/>
  <c r="Y528" i="1"/>
  <c r="X528" i="1" a="1"/>
  <c r="X528" i="1" s="1"/>
  <c r="W528" i="1"/>
  <c r="V528" i="1"/>
  <c r="U528" i="1"/>
  <c r="T528" i="1"/>
  <c r="Z528" i="1" s="1"/>
  <c r="R528" i="1"/>
  <c r="P528" i="1"/>
  <c r="N528" i="1"/>
  <c r="L528" i="1"/>
  <c r="J528" i="1"/>
  <c r="H528" i="1"/>
  <c r="G528" i="1"/>
  <c r="E528" i="1"/>
  <c r="B528" i="1"/>
  <c r="X527" i="1"/>
  <c r="X527" i="1" a="1"/>
  <c r="W527" i="1"/>
  <c r="V527" i="1"/>
  <c r="U527" i="1"/>
  <c r="T527" i="1"/>
  <c r="Z527" i="1" s="1"/>
  <c r="R527" i="1"/>
  <c r="P527" i="1"/>
  <c r="N527" i="1"/>
  <c r="Y527" i="1" s="1"/>
  <c r="L527" i="1"/>
  <c r="J527" i="1"/>
  <c r="H527" i="1"/>
  <c r="G527" i="1"/>
  <c r="E527" i="1"/>
  <c r="B527" i="1"/>
  <c r="Y526" i="1"/>
  <c r="W526" i="1"/>
  <c r="V526" i="1"/>
  <c r="U526" i="1"/>
  <c r="R526" i="1"/>
  <c r="P526" i="1"/>
  <c r="T526" i="1" s="1"/>
  <c r="N526" i="1"/>
  <c r="L526" i="1"/>
  <c r="J526" i="1"/>
  <c r="H526" i="1"/>
  <c r="G526" i="1"/>
  <c r="E526" i="1"/>
  <c r="B526" i="1"/>
  <c r="R525" i="1"/>
  <c r="P525" i="1"/>
  <c r="N525" i="1"/>
  <c r="Y525" i="1" s="1"/>
  <c r="L525" i="1"/>
  <c r="J525" i="1"/>
  <c r="H525" i="1"/>
  <c r="G525" i="1"/>
  <c r="E525" i="1"/>
  <c r="B525" i="1"/>
  <c r="Y524" i="1"/>
  <c r="T524" i="1"/>
  <c r="R524" i="1"/>
  <c r="P524" i="1"/>
  <c r="N524" i="1"/>
  <c r="L524" i="1"/>
  <c r="J524" i="1"/>
  <c r="H524" i="1"/>
  <c r="G524" i="1"/>
  <c r="E524" i="1"/>
  <c r="B524" i="1"/>
  <c r="W524" i="1" s="1"/>
  <c r="U523" i="1"/>
  <c r="R523" i="1"/>
  <c r="T523" i="1" s="1"/>
  <c r="P523" i="1"/>
  <c r="N523" i="1"/>
  <c r="Y523" i="1" s="1"/>
  <c r="L523" i="1"/>
  <c r="J523" i="1"/>
  <c r="H523" i="1"/>
  <c r="G523" i="1"/>
  <c r="E523" i="1"/>
  <c r="B523" i="1"/>
  <c r="W523" i="1" s="1"/>
  <c r="Y522" i="1"/>
  <c r="V522" i="1"/>
  <c r="U522" i="1"/>
  <c r="R522" i="1"/>
  <c r="P522" i="1"/>
  <c r="T522" i="1" s="1"/>
  <c r="N522" i="1"/>
  <c r="L522" i="1"/>
  <c r="J522" i="1"/>
  <c r="H522" i="1"/>
  <c r="G522" i="1"/>
  <c r="E522" i="1"/>
  <c r="B522" i="1"/>
  <c r="W522" i="1" s="1"/>
  <c r="Y521" i="1"/>
  <c r="W521" i="1"/>
  <c r="R521" i="1"/>
  <c r="T521" i="1" s="1"/>
  <c r="P521" i="1"/>
  <c r="N521" i="1"/>
  <c r="L521" i="1"/>
  <c r="J521" i="1"/>
  <c r="H521" i="1"/>
  <c r="G521" i="1"/>
  <c r="E521" i="1"/>
  <c r="B521" i="1"/>
  <c r="V521" i="1" s="1"/>
  <c r="Y520" i="1"/>
  <c r="X520" i="1" a="1"/>
  <c r="X520" i="1" s="1"/>
  <c r="W520" i="1"/>
  <c r="V520" i="1"/>
  <c r="U520" i="1"/>
  <c r="T520" i="1"/>
  <c r="Z520" i="1" s="1"/>
  <c r="R520" i="1"/>
  <c r="P520" i="1"/>
  <c r="N520" i="1"/>
  <c r="L520" i="1"/>
  <c r="J520" i="1"/>
  <c r="H520" i="1"/>
  <c r="G520" i="1"/>
  <c r="E520" i="1"/>
  <c r="B520" i="1"/>
  <c r="X519" i="1"/>
  <c r="X519" i="1" a="1"/>
  <c r="W519" i="1"/>
  <c r="V519" i="1"/>
  <c r="U519" i="1"/>
  <c r="T519" i="1"/>
  <c r="Z519" i="1" s="1"/>
  <c r="R519" i="1"/>
  <c r="P519" i="1"/>
  <c r="N519" i="1"/>
  <c r="Y519" i="1" s="1"/>
  <c r="L519" i="1"/>
  <c r="J519" i="1"/>
  <c r="H519" i="1"/>
  <c r="G519" i="1"/>
  <c r="E519" i="1"/>
  <c r="B519" i="1"/>
  <c r="Y518" i="1"/>
  <c r="W518" i="1"/>
  <c r="V518" i="1"/>
  <c r="U518" i="1"/>
  <c r="R518" i="1"/>
  <c r="P518" i="1"/>
  <c r="T518" i="1" s="1"/>
  <c r="N518" i="1"/>
  <c r="L518" i="1"/>
  <c r="J518" i="1"/>
  <c r="H518" i="1"/>
  <c r="G518" i="1"/>
  <c r="E518" i="1"/>
  <c r="B518" i="1"/>
  <c r="R517" i="1"/>
  <c r="P517" i="1"/>
  <c r="N517" i="1"/>
  <c r="Y517" i="1" s="1"/>
  <c r="L517" i="1"/>
  <c r="J517" i="1"/>
  <c r="H517" i="1"/>
  <c r="G517" i="1"/>
  <c r="E517" i="1"/>
  <c r="B517" i="1"/>
  <c r="Y516" i="1"/>
  <c r="T516" i="1"/>
  <c r="R516" i="1"/>
  <c r="P516" i="1"/>
  <c r="N516" i="1"/>
  <c r="L516" i="1"/>
  <c r="J516" i="1"/>
  <c r="H516" i="1"/>
  <c r="G516" i="1"/>
  <c r="E516" i="1"/>
  <c r="B516" i="1"/>
  <c r="W516" i="1" s="1"/>
  <c r="U515" i="1"/>
  <c r="R515" i="1"/>
  <c r="T515" i="1" s="1"/>
  <c r="P515" i="1"/>
  <c r="N515" i="1"/>
  <c r="Y515" i="1" s="1"/>
  <c r="L515" i="1"/>
  <c r="J515" i="1"/>
  <c r="H515" i="1"/>
  <c r="G515" i="1"/>
  <c r="E515" i="1"/>
  <c r="B515" i="1"/>
  <c r="W515" i="1" s="1"/>
  <c r="Y514" i="1"/>
  <c r="V514" i="1"/>
  <c r="T514" i="1"/>
  <c r="Z514" i="1" s="1"/>
  <c r="R514" i="1"/>
  <c r="P514" i="1"/>
  <c r="N514" i="1"/>
  <c r="L514" i="1"/>
  <c r="J514" i="1"/>
  <c r="H514" i="1"/>
  <c r="G514" i="1"/>
  <c r="E514" i="1"/>
  <c r="B514" i="1"/>
  <c r="U514" i="1" s="1"/>
  <c r="Y513" i="1"/>
  <c r="W513" i="1"/>
  <c r="R513" i="1"/>
  <c r="T513" i="1" s="1"/>
  <c r="P513" i="1"/>
  <c r="N513" i="1"/>
  <c r="L513" i="1"/>
  <c r="J513" i="1"/>
  <c r="H513" i="1"/>
  <c r="G513" i="1"/>
  <c r="E513" i="1"/>
  <c r="B513" i="1"/>
  <c r="V513" i="1" s="1"/>
  <c r="Y512" i="1"/>
  <c r="X512" i="1" a="1"/>
  <c r="X512" i="1" s="1"/>
  <c r="W512" i="1"/>
  <c r="V512" i="1"/>
  <c r="U512" i="1"/>
  <c r="T512" i="1"/>
  <c r="Z512" i="1" s="1"/>
  <c r="R512" i="1"/>
  <c r="P512" i="1"/>
  <c r="N512" i="1"/>
  <c r="L512" i="1"/>
  <c r="J512" i="1"/>
  <c r="H512" i="1"/>
  <c r="G512" i="1"/>
  <c r="E512" i="1"/>
  <c r="B512" i="1"/>
  <c r="X511" i="1"/>
  <c r="X511" i="1" a="1"/>
  <c r="W511" i="1"/>
  <c r="V511" i="1"/>
  <c r="U511" i="1"/>
  <c r="T511" i="1"/>
  <c r="Z511" i="1" s="1"/>
  <c r="R511" i="1"/>
  <c r="P511" i="1"/>
  <c r="N511" i="1"/>
  <c r="Y511" i="1" s="1"/>
  <c r="L511" i="1"/>
  <c r="J511" i="1"/>
  <c r="H511" i="1"/>
  <c r="G511" i="1"/>
  <c r="E511" i="1"/>
  <c r="B511" i="1"/>
  <c r="Y510" i="1"/>
  <c r="W510" i="1"/>
  <c r="V510" i="1"/>
  <c r="U510" i="1"/>
  <c r="R510" i="1"/>
  <c r="P510" i="1"/>
  <c r="T510" i="1" s="1"/>
  <c r="N510" i="1"/>
  <c r="L510" i="1"/>
  <c r="J510" i="1"/>
  <c r="H510" i="1"/>
  <c r="G510" i="1"/>
  <c r="E510" i="1"/>
  <c r="B510" i="1"/>
  <c r="R509" i="1"/>
  <c r="P509" i="1"/>
  <c r="T509" i="1" s="1"/>
  <c r="N509" i="1"/>
  <c r="Y509" i="1" s="1"/>
  <c r="L509" i="1"/>
  <c r="J509" i="1"/>
  <c r="H509" i="1"/>
  <c r="G509" i="1"/>
  <c r="E509" i="1"/>
  <c r="B509" i="1"/>
  <c r="Y508" i="1"/>
  <c r="T508" i="1"/>
  <c r="R508" i="1"/>
  <c r="P508" i="1"/>
  <c r="N508" i="1"/>
  <c r="L508" i="1"/>
  <c r="J508" i="1"/>
  <c r="H508" i="1"/>
  <c r="G508" i="1"/>
  <c r="E508" i="1"/>
  <c r="B508" i="1"/>
  <c r="W508" i="1" s="1"/>
  <c r="U507" i="1"/>
  <c r="R507" i="1"/>
  <c r="P507" i="1"/>
  <c r="T507" i="1" s="1"/>
  <c r="N507" i="1"/>
  <c r="Y507" i="1" s="1"/>
  <c r="L507" i="1"/>
  <c r="J507" i="1"/>
  <c r="H507" i="1"/>
  <c r="G507" i="1"/>
  <c r="E507" i="1"/>
  <c r="B507" i="1"/>
  <c r="W507" i="1" s="1"/>
  <c r="Y506" i="1"/>
  <c r="V506" i="1"/>
  <c r="T506" i="1"/>
  <c r="Z506" i="1" s="1"/>
  <c r="R506" i="1"/>
  <c r="P506" i="1"/>
  <c r="N506" i="1"/>
  <c r="L506" i="1"/>
  <c r="J506" i="1"/>
  <c r="H506" i="1"/>
  <c r="G506" i="1"/>
  <c r="E506" i="1"/>
  <c r="B506" i="1"/>
  <c r="U506" i="1" s="1"/>
  <c r="Y505" i="1"/>
  <c r="W505" i="1"/>
  <c r="R505" i="1"/>
  <c r="T505" i="1" s="1"/>
  <c r="P505" i="1"/>
  <c r="N505" i="1"/>
  <c r="L505" i="1"/>
  <c r="J505" i="1"/>
  <c r="H505" i="1"/>
  <c r="G505" i="1"/>
  <c r="E505" i="1"/>
  <c r="B505" i="1"/>
  <c r="V505" i="1" s="1"/>
  <c r="Y504" i="1"/>
  <c r="X504" i="1" a="1"/>
  <c r="X504" i="1" s="1"/>
  <c r="W504" i="1"/>
  <c r="V504" i="1"/>
  <c r="U504" i="1"/>
  <c r="T504" i="1"/>
  <c r="Z504" i="1" s="1"/>
  <c r="R504" i="1"/>
  <c r="P504" i="1"/>
  <c r="N504" i="1"/>
  <c r="L504" i="1"/>
  <c r="J504" i="1"/>
  <c r="H504" i="1"/>
  <c r="G504" i="1"/>
  <c r="E504" i="1"/>
  <c r="B504" i="1"/>
  <c r="X503" i="1"/>
  <c r="X503" i="1" a="1"/>
  <c r="W503" i="1"/>
  <c r="V503" i="1"/>
  <c r="U503" i="1"/>
  <c r="T503" i="1"/>
  <c r="Z503" i="1" s="1"/>
  <c r="R503" i="1"/>
  <c r="P503" i="1"/>
  <c r="N503" i="1"/>
  <c r="Y503" i="1" s="1"/>
  <c r="L503" i="1"/>
  <c r="J503" i="1"/>
  <c r="H503" i="1"/>
  <c r="G503" i="1"/>
  <c r="E503" i="1"/>
  <c r="B503" i="1"/>
  <c r="Y502" i="1"/>
  <c r="W502" i="1"/>
  <c r="V502" i="1"/>
  <c r="U502" i="1"/>
  <c r="R502" i="1"/>
  <c r="P502" i="1"/>
  <c r="T502" i="1" s="1"/>
  <c r="N502" i="1"/>
  <c r="L502" i="1"/>
  <c r="J502" i="1"/>
  <c r="H502" i="1"/>
  <c r="G502" i="1"/>
  <c r="E502" i="1"/>
  <c r="B502" i="1"/>
  <c r="R501" i="1"/>
  <c r="P501" i="1"/>
  <c r="N501" i="1"/>
  <c r="Y501" i="1" s="1"/>
  <c r="L501" i="1"/>
  <c r="J501" i="1"/>
  <c r="H501" i="1"/>
  <c r="G501" i="1"/>
  <c r="E501" i="1"/>
  <c r="B501" i="1"/>
  <c r="Y500" i="1"/>
  <c r="T500" i="1"/>
  <c r="R500" i="1"/>
  <c r="P500" i="1"/>
  <c r="N500" i="1"/>
  <c r="L500" i="1"/>
  <c r="J500" i="1"/>
  <c r="H500" i="1"/>
  <c r="G500" i="1"/>
  <c r="E500" i="1"/>
  <c r="B500" i="1"/>
  <c r="W500" i="1" s="1"/>
  <c r="U499" i="1"/>
  <c r="R499" i="1"/>
  <c r="P499" i="1"/>
  <c r="T499" i="1" s="1"/>
  <c r="N499" i="1"/>
  <c r="Y499" i="1" s="1"/>
  <c r="L499" i="1"/>
  <c r="J499" i="1"/>
  <c r="H499" i="1"/>
  <c r="G499" i="1"/>
  <c r="E499" i="1"/>
  <c r="B499" i="1"/>
  <c r="W499" i="1" s="1"/>
  <c r="Y498" i="1"/>
  <c r="V498" i="1"/>
  <c r="T498" i="1"/>
  <c r="Z498" i="1" s="1"/>
  <c r="R498" i="1"/>
  <c r="P498" i="1"/>
  <c r="N498" i="1"/>
  <c r="L498" i="1"/>
  <c r="J498" i="1"/>
  <c r="H498" i="1"/>
  <c r="G498" i="1"/>
  <c r="E498" i="1"/>
  <c r="B498" i="1"/>
  <c r="U498" i="1" s="1"/>
  <c r="Y497" i="1"/>
  <c r="W497" i="1"/>
  <c r="R497" i="1"/>
  <c r="T497" i="1" s="1"/>
  <c r="P497" i="1"/>
  <c r="N497" i="1"/>
  <c r="L497" i="1"/>
  <c r="J497" i="1"/>
  <c r="H497" i="1"/>
  <c r="G497" i="1"/>
  <c r="E497" i="1"/>
  <c r="B497" i="1"/>
  <c r="V497" i="1" s="1"/>
  <c r="Y496" i="1"/>
  <c r="X496" i="1" a="1"/>
  <c r="X496" i="1" s="1"/>
  <c r="W496" i="1"/>
  <c r="V496" i="1"/>
  <c r="U496" i="1"/>
  <c r="T496" i="1"/>
  <c r="Z496" i="1" s="1"/>
  <c r="R496" i="1"/>
  <c r="P496" i="1"/>
  <c r="N496" i="1"/>
  <c r="L496" i="1"/>
  <c r="J496" i="1"/>
  <c r="H496" i="1"/>
  <c r="G496" i="1"/>
  <c r="E496" i="1"/>
  <c r="B496" i="1"/>
  <c r="X495" i="1"/>
  <c r="X495" i="1" a="1"/>
  <c r="W495" i="1"/>
  <c r="V495" i="1"/>
  <c r="U495" i="1"/>
  <c r="T495" i="1"/>
  <c r="Z495" i="1" s="1"/>
  <c r="R495" i="1"/>
  <c r="P495" i="1"/>
  <c r="N495" i="1"/>
  <c r="Y495" i="1" s="1"/>
  <c r="L495" i="1"/>
  <c r="J495" i="1"/>
  <c r="H495" i="1"/>
  <c r="G495" i="1"/>
  <c r="E495" i="1"/>
  <c r="B495" i="1"/>
  <c r="Y494" i="1"/>
  <c r="W494" i="1"/>
  <c r="V494" i="1"/>
  <c r="U494" i="1"/>
  <c r="R494" i="1"/>
  <c r="P494" i="1"/>
  <c r="T494" i="1" s="1"/>
  <c r="N494" i="1"/>
  <c r="L494" i="1"/>
  <c r="J494" i="1"/>
  <c r="H494" i="1"/>
  <c r="G494" i="1"/>
  <c r="E494" i="1"/>
  <c r="B494" i="1"/>
  <c r="Z493" i="1"/>
  <c r="R493" i="1"/>
  <c r="P493" i="1"/>
  <c r="T493" i="1" s="1"/>
  <c r="X493" i="1" s="1" a="1"/>
  <c r="X493" i="1" s="1"/>
  <c r="N493" i="1"/>
  <c r="Y493" i="1" s="1"/>
  <c r="L493" i="1"/>
  <c r="J493" i="1"/>
  <c r="H493" i="1"/>
  <c r="G493" i="1"/>
  <c r="E493" i="1"/>
  <c r="B493" i="1"/>
  <c r="Y492" i="1"/>
  <c r="T492" i="1"/>
  <c r="R492" i="1"/>
  <c r="P492" i="1"/>
  <c r="N492" i="1"/>
  <c r="L492" i="1"/>
  <c r="J492" i="1"/>
  <c r="H492" i="1"/>
  <c r="G492" i="1"/>
  <c r="E492" i="1"/>
  <c r="B492" i="1"/>
  <c r="W492" i="1" s="1"/>
  <c r="U491" i="1"/>
  <c r="R491" i="1"/>
  <c r="P491" i="1"/>
  <c r="T491" i="1" s="1"/>
  <c r="N491" i="1"/>
  <c r="Y491" i="1" s="1"/>
  <c r="L491" i="1"/>
  <c r="J491" i="1"/>
  <c r="H491" i="1"/>
  <c r="G491" i="1"/>
  <c r="E491" i="1"/>
  <c r="B491" i="1"/>
  <c r="W491" i="1" s="1"/>
  <c r="Y490" i="1"/>
  <c r="V490" i="1"/>
  <c r="T490" i="1"/>
  <c r="Z490" i="1" s="1"/>
  <c r="R490" i="1"/>
  <c r="P490" i="1"/>
  <c r="N490" i="1"/>
  <c r="L490" i="1"/>
  <c r="J490" i="1"/>
  <c r="H490" i="1"/>
  <c r="G490" i="1"/>
  <c r="E490" i="1"/>
  <c r="B490" i="1"/>
  <c r="U490" i="1" s="1"/>
  <c r="Y489" i="1"/>
  <c r="W489" i="1"/>
  <c r="R489" i="1"/>
  <c r="T489" i="1" s="1"/>
  <c r="P489" i="1"/>
  <c r="N489" i="1"/>
  <c r="L489" i="1"/>
  <c r="J489" i="1"/>
  <c r="H489" i="1"/>
  <c r="G489" i="1"/>
  <c r="E489" i="1"/>
  <c r="B489" i="1"/>
  <c r="V489" i="1" s="1"/>
  <c r="Y488" i="1"/>
  <c r="X488" i="1" a="1"/>
  <c r="X488" i="1" s="1"/>
  <c r="W488" i="1"/>
  <c r="V488" i="1"/>
  <c r="U488" i="1"/>
  <c r="T488" i="1"/>
  <c r="Z488" i="1" s="1"/>
  <c r="R488" i="1"/>
  <c r="P488" i="1"/>
  <c r="N488" i="1"/>
  <c r="L488" i="1"/>
  <c r="J488" i="1"/>
  <c r="H488" i="1"/>
  <c r="G488" i="1"/>
  <c r="E488" i="1"/>
  <c r="B488" i="1"/>
  <c r="X487" i="1"/>
  <c r="X487" i="1" a="1"/>
  <c r="W487" i="1"/>
  <c r="V487" i="1"/>
  <c r="U487" i="1"/>
  <c r="T487" i="1"/>
  <c r="Z487" i="1" s="1"/>
  <c r="R487" i="1"/>
  <c r="P487" i="1"/>
  <c r="N487" i="1"/>
  <c r="Y487" i="1" s="1"/>
  <c r="L487" i="1"/>
  <c r="J487" i="1"/>
  <c r="H487" i="1"/>
  <c r="G487" i="1"/>
  <c r="E487" i="1"/>
  <c r="B487" i="1"/>
  <c r="Y486" i="1"/>
  <c r="W486" i="1"/>
  <c r="V486" i="1"/>
  <c r="U486" i="1"/>
  <c r="R486" i="1"/>
  <c r="P486" i="1"/>
  <c r="T486" i="1" s="1"/>
  <c r="N486" i="1"/>
  <c r="L486" i="1"/>
  <c r="J486" i="1"/>
  <c r="H486" i="1"/>
  <c r="G486" i="1"/>
  <c r="E486" i="1"/>
  <c r="B486" i="1"/>
  <c r="R485" i="1"/>
  <c r="P485" i="1"/>
  <c r="N485" i="1"/>
  <c r="Y485" i="1" s="1"/>
  <c r="L485" i="1"/>
  <c r="J485" i="1"/>
  <c r="H485" i="1"/>
  <c r="G485" i="1"/>
  <c r="E485" i="1"/>
  <c r="B485" i="1"/>
  <c r="Y484" i="1"/>
  <c r="T484" i="1"/>
  <c r="R484" i="1"/>
  <c r="P484" i="1"/>
  <c r="N484" i="1"/>
  <c r="L484" i="1"/>
  <c r="J484" i="1"/>
  <c r="H484" i="1"/>
  <c r="G484" i="1"/>
  <c r="E484" i="1"/>
  <c r="B484" i="1"/>
  <c r="W484" i="1" s="1"/>
  <c r="U483" i="1"/>
  <c r="R483" i="1"/>
  <c r="P483" i="1"/>
  <c r="T483" i="1" s="1"/>
  <c r="N483" i="1"/>
  <c r="Y483" i="1" s="1"/>
  <c r="L483" i="1"/>
  <c r="J483" i="1"/>
  <c r="H483" i="1"/>
  <c r="G483" i="1"/>
  <c r="E483" i="1"/>
  <c r="B483" i="1"/>
  <c r="W483" i="1" s="1"/>
  <c r="Y482" i="1"/>
  <c r="V482" i="1"/>
  <c r="T482" i="1"/>
  <c r="Z482" i="1" s="1"/>
  <c r="R482" i="1"/>
  <c r="P482" i="1"/>
  <c r="N482" i="1"/>
  <c r="L482" i="1"/>
  <c r="J482" i="1"/>
  <c r="H482" i="1"/>
  <c r="G482" i="1"/>
  <c r="E482" i="1"/>
  <c r="B482" i="1"/>
  <c r="U482" i="1" s="1"/>
  <c r="Y481" i="1"/>
  <c r="W481" i="1"/>
  <c r="R481" i="1"/>
  <c r="T481" i="1" s="1"/>
  <c r="P481" i="1"/>
  <c r="N481" i="1"/>
  <c r="L481" i="1"/>
  <c r="J481" i="1"/>
  <c r="H481" i="1"/>
  <c r="G481" i="1"/>
  <c r="E481" i="1"/>
  <c r="B481" i="1"/>
  <c r="V481" i="1" s="1"/>
  <c r="Y480" i="1"/>
  <c r="X480" i="1" a="1"/>
  <c r="X480" i="1" s="1"/>
  <c r="W480" i="1"/>
  <c r="V480" i="1"/>
  <c r="U480" i="1"/>
  <c r="T480" i="1"/>
  <c r="Z480" i="1" s="1"/>
  <c r="R480" i="1"/>
  <c r="P480" i="1"/>
  <c r="N480" i="1"/>
  <c r="L480" i="1"/>
  <c r="J480" i="1"/>
  <c r="H480" i="1"/>
  <c r="G480" i="1"/>
  <c r="E480" i="1"/>
  <c r="B480" i="1"/>
  <c r="X479" i="1"/>
  <c r="X479" i="1" a="1"/>
  <c r="W479" i="1"/>
  <c r="V479" i="1"/>
  <c r="U479" i="1"/>
  <c r="T479" i="1"/>
  <c r="Z479" i="1" s="1"/>
  <c r="R479" i="1"/>
  <c r="P479" i="1"/>
  <c r="N479" i="1"/>
  <c r="Y479" i="1" s="1"/>
  <c r="L479" i="1"/>
  <c r="J479" i="1"/>
  <c r="H479" i="1"/>
  <c r="G479" i="1"/>
  <c r="E479" i="1"/>
  <c r="B479" i="1"/>
  <c r="Y478" i="1"/>
  <c r="W478" i="1"/>
  <c r="V478" i="1"/>
  <c r="U478" i="1"/>
  <c r="R478" i="1"/>
  <c r="P478" i="1"/>
  <c r="T478" i="1" s="1"/>
  <c r="N478" i="1"/>
  <c r="L478" i="1"/>
  <c r="J478" i="1"/>
  <c r="H478" i="1"/>
  <c r="G478" i="1"/>
  <c r="E478" i="1"/>
  <c r="B478" i="1"/>
  <c r="R477" i="1"/>
  <c r="P477" i="1"/>
  <c r="N477" i="1"/>
  <c r="Y477" i="1" s="1"/>
  <c r="L477" i="1"/>
  <c r="J477" i="1"/>
  <c r="H477" i="1"/>
  <c r="G477" i="1"/>
  <c r="E477" i="1"/>
  <c r="B477" i="1"/>
  <c r="Y476" i="1"/>
  <c r="T476" i="1"/>
  <c r="R476" i="1"/>
  <c r="P476" i="1"/>
  <c r="N476" i="1"/>
  <c r="L476" i="1"/>
  <c r="J476" i="1"/>
  <c r="H476" i="1"/>
  <c r="G476" i="1"/>
  <c r="E476" i="1"/>
  <c r="B476" i="1"/>
  <c r="W476" i="1" s="1"/>
  <c r="U475" i="1"/>
  <c r="R475" i="1"/>
  <c r="P475" i="1"/>
  <c r="T475" i="1" s="1"/>
  <c r="N475" i="1"/>
  <c r="Y475" i="1" s="1"/>
  <c r="L475" i="1"/>
  <c r="J475" i="1"/>
  <c r="H475" i="1"/>
  <c r="G475" i="1"/>
  <c r="E475" i="1"/>
  <c r="B475" i="1"/>
  <c r="W475" i="1" s="1"/>
  <c r="Y474" i="1"/>
  <c r="V474" i="1"/>
  <c r="T474" i="1"/>
  <c r="Z474" i="1" s="1"/>
  <c r="R474" i="1"/>
  <c r="P474" i="1"/>
  <c r="N474" i="1"/>
  <c r="L474" i="1"/>
  <c r="J474" i="1"/>
  <c r="H474" i="1"/>
  <c r="G474" i="1"/>
  <c r="E474" i="1"/>
  <c r="B474" i="1"/>
  <c r="U474" i="1" s="1"/>
  <c r="Y473" i="1"/>
  <c r="W473" i="1"/>
  <c r="U473" i="1"/>
  <c r="R473" i="1"/>
  <c r="T473" i="1" s="1"/>
  <c r="P473" i="1"/>
  <c r="N473" i="1"/>
  <c r="L473" i="1"/>
  <c r="J473" i="1"/>
  <c r="H473" i="1"/>
  <c r="G473" i="1"/>
  <c r="E473" i="1"/>
  <c r="B473" i="1"/>
  <c r="V473" i="1" s="1"/>
  <c r="Y472" i="1"/>
  <c r="X472" i="1" a="1"/>
  <c r="X472" i="1" s="1"/>
  <c r="W472" i="1"/>
  <c r="V472" i="1"/>
  <c r="U472" i="1"/>
  <c r="T472" i="1"/>
  <c r="Z472" i="1" s="1"/>
  <c r="R472" i="1"/>
  <c r="P472" i="1"/>
  <c r="N472" i="1"/>
  <c r="L472" i="1"/>
  <c r="J472" i="1"/>
  <c r="H472" i="1"/>
  <c r="G472" i="1"/>
  <c r="E472" i="1"/>
  <c r="B472" i="1"/>
  <c r="X471" i="1"/>
  <c r="X471" i="1" a="1"/>
  <c r="W471" i="1"/>
  <c r="V471" i="1"/>
  <c r="U471" i="1"/>
  <c r="T471" i="1"/>
  <c r="Z471" i="1" s="1"/>
  <c r="R471" i="1"/>
  <c r="P471" i="1"/>
  <c r="N471" i="1"/>
  <c r="Y471" i="1" s="1"/>
  <c r="L471" i="1"/>
  <c r="J471" i="1"/>
  <c r="H471" i="1"/>
  <c r="G471" i="1"/>
  <c r="E471" i="1"/>
  <c r="B471" i="1"/>
  <c r="Y470" i="1"/>
  <c r="W470" i="1"/>
  <c r="V470" i="1"/>
  <c r="U470" i="1"/>
  <c r="R470" i="1"/>
  <c r="P470" i="1"/>
  <c r="T470" i="1" s="1"/>
  <c r="N470" i="1"/>
  <c r="L470" i="1"/>
  <c r="J470" i="1"/>
  <c r="H470" i="1"/>
  <c r="G470" i="1"/>
  <c r="E470" i="1"/>
  <c r="B470" i="1"/>
  <c r="R469" i="1"/>
  <c r="P469" i="1"/>
  <c r="T469" i="1" s="1"/>
  <c r="X469" i="1" s="1" a="1"/>
  <c r="X469" i="1" s="1"/>
  <c r="N469" i="1"/>
  <c r="Y469" i="1" s="1"/>
  <c r="L469" i="1"/>
  <c r="J469" i="1"/>
  <c r="H469" i="1"/>
  <c r="G469" i="1"/>
  <c r="E469" i="1"/>
  <c r="B469" i="1"/>
  <c r="Y468" i="1"/>
  <c r="T468" i="1"/>
  <c r="R468" i="1"/>
  <c r="P468" i="1"/>
  <c r="N468" i="1"/>
  <c r="L468" i="1"/>
  <c r="J468" i="1"/>
  <c r="H468" i="1"/>
  <c r="G468" i="1"/>
  <c r="E468" i="1"/>
  <c r="B468" i="1"/>
  <c r="W468" i="1" s="1"/>
  <c r="U467" i="1"/>
  <c r="R467" i="1"/>
  <c r="P467" i="1"/>
  <c r="T467" i="1" s="1"/>
  <c r="N467" i="1"/>
  <c r="Y467" i="1" s="1"/>
  <c r="L467" i="1"/>
  <c r="J467" i="1"/>
  <c r="H467" i="1"/>
  <c r="G467" i="1"/>
  <c r="E467" i="1"/>
  <c r="B467" i="1"/>
  <c r="W467" i="1" s="1"/>
  <c r="Y466" i="1"/>
  <c r="V466" i="1"/>
  <c r="T466" i="1"/>
  <c r="Z466" i="1" s="1"/>
  <c r="R466" i="1"/>
  <c r="P466" i="1"/>
  <c r="N466" i="1"/>
  <c r="L466" i="1"/>
  <c r="J466" i="1"/>
  <c r="H466" i="1"/>
  <c r="G466" i="1"/>
  <c r="E466" i="1"/>
  <c r="B466" i="1"/>
  <c r="U466" i="1" s="1"/>
  <c r="Y465" i="1"/>
  <c r="W465" i="1"/>
  <c r="R465" i="1"/>
  <c r="T465" i="1" s="1"/>
  <c r="P465" i="1"/>
  <c r="N465" i="1"/>
  <c r="L465" i="1"/>
  <c r="J465" i="1"/>
  <c r="H465" i="1"/>
  <c r="G465" i="1"/>
  <c r="E465" i="1"/>
  <c r="B465" i="1"/>
  <c r="V465" i="1" s="1"/>
  <c r="Y464" i="1"/>
  <c r="X464" i="1" a="1"/>
  <c r="X464" i="1" s="1"/>
  <c r="W464" i="1"/>
  <c r="V464" i="1"/>
  <c r="U464" i="1"/>
  <c r="T464" i="1"/>
  <c r="Z464" i="1" s="1"/>
  <c r="R464" i="1"/>
  <c r="P464" i="1"/>
  <c r="N464" i="1"/>
  <c r="L464" i="1"/>
  <c r="J464" i="1"/>
  <c r="H464" i="1"/>
  <c r="G464" i="1"/>
  <c r="E464" i="1"/>
  <c r="B464" i="1"/>
  <c r="X463" i="1"/>
  <c r="X463" i="1" a="1"/>
  <c r="W463" i="1"/>
  <c r="V463" i="1"/>
  <c r="U463" i="1"/>
  <c r="T463" i="1"/>
  <c r="Z463" i="1" s="1"/>
  <c r="R463" i="1"/>
  <c r="P463" i="1"/>
  <c r="N463" i="1"/>
  <c r="Y463" i="1" s="1"/>
  <c r="L463" i="1"/>
  <c r="J463" i="1"/>
  <c r="H463" i="1"/>
  <c r="G463" i="1"/>
  <c r="E463" i="1"/>
  <c r="B463" i="1"/>
  <c r="Y462" i="1"/>
  <c r="W462" i="1"/>
  <c r="V462" i="1"/>
  <c r="U462" i="1"/>
  <c r="R462" i="1"/>
  <c r="P462" i="1"/>
  <c r="T462" i="1" s="1"/>
  <c r="N462" i="1"/>
  <c r="L462" i="1"/>
  <c r="J462" i="1"/>
  <c r="H462" i="1"/>
  <c r="G462" i="1"/>
  <c r="E462" i="1"/>
  <c r="B462" i="1"/>
  <c r="R461" i="1"/>
  <c r="P461" i="1"/>
  <c r="N461" i="1"/>
  <c r="Y461" i="1" s="1"/>
  <c r="L461" i="1"/>
  <c r="J461" i="1"/>
  <c r="H461" i="1"/>
  <c r="G461" i="1"/>
  <c r="E461" i="1"/>
  <c r="B461" i="1"/>
  <c r="Y460" i="1"/>
  <c r="T460" i="1"/>
  <c r="R460" i="1"/>
  <c r="P460" i="1"/>
  <c r="N460" i="1"/>
  <c r="L460" i="1"/>
  <c r="J460" i="1"/>
  <c r="H460" i="1"/>
  <c r="G460" i="1"/>
  <c r="E460" i="1"/>
  <c r="B460" i="1"/>
  <c r="W460" i="1" s="1"/>
  <c r="U459" i="1"/>
  <c r="R459" i="1"/>
  <c r="P459" i="1"/>
  <c r="T459" i="1" s="1"/>
  <c r="N459" i="1"/>
  <c r="Y459" i="1" s="1"/>
  <c r="L459" i="1"/>
  <c r="J459" i="1"/>
  <c r="H459" i="1"/>
  <c r="G459" i="1"/>
  <c r="E459" i="1"/>
  <c r="B459" i="1"/>
  <c r="W459" i="1" s="1"/>
  <c r="Y458" i="1"/>
  <c r="V458" i="1"/>
  <c r="T458" i="1"/>
  <c r="Z458" i="1" s="1"/>
  <c r="R458" i="1"/>
  <c r="P458" i="1"/>
  <c r="N458" i="1"/>
  <c r="L458" i="1"/>
  <c r="J458" i="1"/>
  <c r="H458" i="1"/>
  <c r="G458" i="1"/>
  <c r="E458" i="1"/>
  <c r="B458" i="1"/>
  <c r="U458" i="1" s="1"/>
  <c r="Y457" i="1"/>
  <c r="W457" i="1"/>
  <c r="R457" i="1"/>
  <c r="T457" i="1" s="1"/>
  <c r="P457" i="1"/>
  <c r="N457" i="1"/>
  <c r="L457" i="1"/>
  <c r="J457" i="1"/>
  <c r="H457" i="1"/>
  <c r="G457" i="1"/>
  <c r="E457" i="1"/>
  <c r="B457" i="1"/>
  <c r="V457" i="1" s="1"/>
  <c r="Y456" i="1"/>
  <c r="X456" i="1" a="1"/>
  <c r="X456" i="1" s="1"/>
  <c r="W456" i="1"/>
  <c r="V456" i="1"/>
  <c r="U456" i="1"/>
  <c r="T456" i="1"/>
  <c r="Z456" i="1" s="1"/>
  <c r="R456" i="1"/>
  <c r="P456" i="1"/>
  <c r="N456" i="1"/>
  <c r="L456" i="1"/>
  <c r="J456" i="1"/>
  <c r="H456" i="1"/>
  <c r="G456" i="1"/>
  <c r="E456" i="1"/>
  <c r="B456" i="1"/>
  <c r="X455" i="1"/>
  <c r="X455" i="1" a="1"/>
  <c r="W455" i="1"/>
  <c r="V455" i="1"/>
  <c r="U455" i="1"/>
  <c r="T455" i="1"/>
  <c r="Z455" i="1" s="1"/>
  <c r="R455" i="1"/>
  <c r="P455" i="1"/>
  <c r="N455" i="1"/>
  <c r="Y455" i="1" s="1"/>
  <c r="L455" i="1"/>
  <c r="J455" i="1"/>
  <c r="H455" i="1"/>
  <c r="G455" i="1"/>
  <c r="E455" i="1"/>
  <c r="B455" i="1"/>
  <c r="Y454" i="1"/>
  <c r="W454" i="1"/>
  <c r="V454" i="1"/>
  <c r="U454" i="1"/>
  <c r="R454" i="1"/>
  <c r="P454" i="1"/>
  <c r="T454" i="1" s="1"/>
  <c r="N454" i="1"/>
  <c r="L454" i="1"/>
  <c r="J454" i="1"/>
  <c r="H454" i="1"/>
  <c r="G454" i="1"/>
  <c r="E454" i="1"/>
  <c r="B454" i="1"/>
  <c r="R453" i="1"/>
  <c r="P453" i="1"/>
  <c r="T453" i="1" s="1"/>
  <c r="N453" i="1"/>
  <c r="Y453" i="1" s="1"/>
  <c r="L453" i="1"/>
  <c r="J453" i="1"/>
  <c r="H453" i="1"/>
  <c r="G453" i="1"/>
  <c r="E453" i="1"/>
  <c r="B453" i="1"/>
  <c r="Y452" i="1"/>
  <c r="T452" i="1"/>
  <c r="R452" i="1"/>
  <c r="P452" i="1"/>
  <c r="N452" i="1"/>
  <c r="L452" i="1"/>
  <c r="J452" i="1"/>
  <c r="H452" i="1"/>
  <c r="G452" i="1"/>
  <c r="E452" i="1"/>
  <c r="B452" i="1"/>
  <c r="W452" i="1" s="1"/>
  <c r="U451" i="1"/>
  <c r="R451" i="1"/>
  <c r="P451" i="1"/>
  <c r="T451" i="1" s="1"/>
  <c r="N451" i="1"/>
  <c r="Y451" i="1" s="1"/>
  <c r="L451" i="1"/>
  <c r="J451" i="1"/>
  <c r="H451" i="1"/>
  <c r="G451" i="1"/>
  <c r="E451" i="1"/>
  <c r="B451" i="1"/>
  <c r="W451" i="1" s="1"/>
  <c r="Y450" i="1"/>
  <c r="V450" i="1"/>
  <c r="T450" i="1"/>
  <c r="Z450" i="1" s="1"/>
  <c r="R450" i="1"/>
  <c r="P450" i="1"/>
  <c r="N450" i="1"/>
  <c r="L450" i="1"/>
  <c r="J450" i="1"/>
  <c r="H450" i="1"/>
  <c r="G450" i="1"/>
  <c r="E450" i="1"/>
  <c r="B450" i="1"/>
  <c r="U450" i="1" s="1"/>
  <c r="Y449" i="1"/>
  <c r="W449" i="1"/>
  <c r="R449" i="1"/>
  <c r="T449" i="1" s="1"/>
  <c r="P449" i="1"/>
  <c r="N449" i="1"/>
  <c r="L449" i="1"/>
  <c r="J449" i="1"/>
  <c r="H449" i="1"/>
  <c r="G449" i="1"/>
  <c r="E449" i="1"/>
  <c r="B449" i="1"/>
  <c r="V449" i="1" s="1"/>
  <c r="X448" i="1" a="1"/>
  <c r="X448" i="1" s="1"/>
  <c r="W448" i="1"/>
  <c r="V448" i="1"/>
  <c r="U448" i="1"/>
  <c r="T448" i="1"/>
  <c r="Z448" i="1" s="1"/>
  <c r="R448" i="1"/>
  <c r="P448" i="1"/>
  <c r="N448" i="1"/>
  <c r="Y448" i="1" s="1"/>
  <c r="L448" i="1"/>
  <c r="J448" i="1"/>
  <c r="H448" i="1"/>
  <c r="G448" i="1"/>
  <c r="E448" i="1"/>
  <c r="B448" i="1"/>
  <c r="X447" i="1"/>
  <c r="X447" i="1" a="1"/>
  <c r="W447" i="1"/>
  <c r="V447" i="1"/>
  <c r="U447" i="1"/>
  <c r="T447" i="1"/>
  <c r="Z447" i="1" s="1"/>
  <c r="R447" i="1"/>
  <c r="P447" i="1"/>
  <c r="N447" i="1"/>
  <c r="Y447" i="1" s="1"/>
  <c r="L447" i="1"/>
  <c r="J447" i="1"/>
  <c r="H447" i="1"/>
  <c r="G447" i="1"/>
  <c r="E447" i="1"/>
  <c r="B447" i="1"/>
  <c r="Y446" i="1"/>
  <c r="W446" i="1"/>
  <c r="V446" i="1"/>
  <c r="U446" i="1"/>
  <c r="R446" i="1"/>
  <c r="P446" i="1"/>
  <c r="T446" i="1" s="1"/>
  <c r="N446" i="1"/>
  <c r="L446" i="1"/>
  <c r="J446" i="1"/>
  <c r="H446" i="1"/>
  <c r="G446" i="1"/>
  <c r="E446" i="1"/>
  <c r="B446" i="1"/>
  <c r="R445" i="1"/>
  <c r="P445" i="1"/>
  <c r="T445" i="1" s="1"/>
  <c r="N445" i="1"/>
  <c r="Y445" i="1" s="1"/>
  <c r="L445" i="1"/>
  <c r="J445" i="1"/>
  <c r="H445" i="1"/>
  <c r="G445" i="1"/>
  <c r="E445" i="1"/>
  <c r="B445" i="1"/>
  <c r="Y444" i="1"/>
  <c r="T444" i="1"/>
  <c r="R444" i="1"/>
  <c r="P444" i="1"/>
  <c r="N444" i="1"/>
  <c r="L444" i="1"/>
  <c r="J444" i="1"/>
  <c r="H444" i="1"/>
  <c r="G444" i="1"/>
  <c r="E444" i="1"/>
  <c r="B444" i="1"/>
  <c r="W444" i="1" s="1"/>
  <c r="U443" i="1"/>
  <c r="R443" i="1"/>
  <c r="P443" i="1"/>
  <c r="T443" i="1" s="1"/>
  <c r="N443" i="1"/>
  <c r="Y443" i="1" s="1"/>
  <c r="L443" i="1"/>
  <c r="J443" i="1"/>
  <c r="H443" i="1"/>
  <c r="G443" i="1"/>
  <c r="E443" i="1"/>
  <c r="B443" i="1"/>
  <c r="W443" i="1" s="1"/>
  <c r="Y442" i="1"/>
  <c r="V442" i="1"/>
  <c r="T442" i="1"/>
  <c r="Z442" i="1" s="1"/>
  <c r="R442" i="1"/>
  <c r="P442" i="1"/>
  <c r="N442" i="1"/>
  <c r="L442" i="1"/>
  <c r="J442" i="1"/>
  <c r="H442" i="1"/>
  <c r="G442" i="1"/>
  <c r="E442" i="1"/>
  <c r="B442" i="1"/>
  <c r="U442" i="1" s="1"/>
  <c r="Y441" i="1"/>
  <c r="W441" i="1"/>
  <c r="U441" i="1"/>
  <c r="R441" i="1"/>
  <c r="T441" i="1" s="1"/>
  <c r="P441" i="1"/>
  <c r="N441" i="1"/>
  <c r="L441" i="1"/>
  <c r="J441" i="1"/>
  <c r="H441" i="1"/>
  <c r="G441" i="1"/>
  <c r="E441" i="1"/>
  <c r="B441" i="1"/>
  <c r="V441" i="1" s="1"/>
  <c r="Y440" i="1"/>
  <c r="W440" i="1"/>
  <c r="V440" i="1"/>
  <c r="U440" i="1"/>
  <c r="T440" i="1"/>
  <c r="Z440" i="1" s="1"/>
  <c r="R440" i="1"/>
  <c r="P440" i="1"/>
  <c r="N440" i="1"/>
  <c r="L440" i="1"/>
  <c r="J440" i="1"/>
  <c r="H440" i="1"/>
  <c r="G440" i="1"/>
  <c r="E440" i="1"/>
  <c r="B440" i="1"/>
  <c r="X439" i="1"/>
  <c r="X439" i="1" a="1"/>
  <c r="W439" i="1"/>
  <c r="V439" i="1"/>
  <c r="U439" i="1"/>
  <c r="T439" i="1"/>
  <c r="Z439" i="1" s="1"/>
  <c r="R439" i="1"/>
  <c r="P439" i="1"/>
  <c r="N439" i="1"/>
  <c r="Y439" i="1" s="1"/>
  <c r="L439" i="1"/>
  <c r="J439" i="1"/>
  <c r="H439" i="1"/>
  <c r="G439" i="1"/>
  <c r="E439" i="1"/>
  <c r="B439" i="1"/>
  <c r="Y438" i="1"/>
  <c r="W438" i="1"/>
  <c r="V438" i="1"/>
  <c r="U438" i="1"/>
  <c r="R438" i="1"/>
  <c r="P438" i="1"/>
  <c r="T438" i="1" s="1"/>
  <c r="Z438" i="1" s="1"/>
  <c r="N438" i="1"/>
  <c r="L438" i="1"/>
  <c r="J438" i="1"/>
  <c r="H438" i="1"/>
  <c r="G438" i="1"/>
  <c r="E438" i="1"/>
  <c r="B438" i="1"/>
  <c r="Z437" i="1"/>
  <c r="X437" i="1"/>
  <c r="W437" i="1"/>
  <c r="R437" i="1"/>
  <c r="P437" i="1"/>
  <c r="T437" i="1" s="1"/>
  <c r="X437" i="1" s="1" a="1"/>
  <c r="N437" i="1"/>
  <c r="Y437" i="1" s="1"/>
  <c r="L437" i="1"/>
  <c r="J437" i="1"/>
  <c r="H437" i="1"/>
  <c r="G437" i="1"/>
  <c r="E437" i="1"/>
  <c r="B437" i="1"/>
  <c r="Y436" i="1"/>
  <c r="R436" i="1"/>
  <c r="P436" i="1"/>
  <c r="T436" i="1" s="1"/>
  <c r="N436" i="1"/>
  <c r="L436" i="1"/>
  <c r="J436" i="1"/>
  <c r="H436" i="1"/>
  <c r="G436" i="1"/>
  <c r="E436" i="1"/>
  <c r="B436" i="1"/>
  <c r="W436" i="1" s="1"/>
  <c r="Z435" i="1"/>
  <c r="X435" i="1"/>
  <c r="U435" i="1"/>
  <c r="R435" i="1"/>
  <c r="P435" i="1"/>
  <c r="T435" i="1" s="1"/>
  <c r="X435" i="1" s="1" a="1"/>
  <c r="N435" i="1"/>
  <c r="Y435" i="1" s="1"/>
  <c r="L435" i="1"/>
  <c r="J435" i="1"/>
  <c r="H435" i="1"/>
  <c r="G435" i="1"/>
  <c r="E435" i="1"/>
  <c r="B435" i="1"/>
  <c r="Y434" i="1"/>
  <c r="V434" i="1"/>
  <c r="R434" i="1"/>
  <c r="P434" i="1"/>
  <c r="T434" i="1" s="1"/>
  <c r="N434" i="1"/>
  <c r="L434" i="1"/>
  <c r="J434" i="1"/>
  <c r="H434" i="1"/>
  <c r="G434" i="1"/>
  <c r="E434" i="1"/>
  <c r="B434" i="1"/>
  <c r="U434" i="1" s="1"/>
  <c r="Y433" i="1"/>
  <c r="R433" i="1"/>
  <c r="T433" i="1" s="1"/>
  <c r="X433" i="1" s="1" a="1"/>
  <c r="X433" i="1" s="1"/>
  <c r="P433" i="1"/>
  <c r="N433" i="1"/>
  <c r="L433" i="1"/>
  <c r="J433" i="1"/>
  <c r="H433" i="1"/>
  <c r="G433" i="1"/>
  <c r="E433" i="1"/>
  <c r="B433" i="1"/>
  <c r="V433" i="1" s="1"/>
  <c r="W432" i="1"/>
  <c r="V432" i="1"/>
  <c r="U432" i="1"/>
  <c r="T432" i="1"/>
  <c r="Z432" i="1" s="1"/>
  <c r="R432" i="1"/>
  <c r="P432" i="1"/>
  <c r="N432" i="1"/>
  <c r="Y432" i="1" s="1"/>
  <c r="L432" i="1"/>
  <c r="J432" i="1"/>
  <c r="H432" i="1"/>
  <c r="G432" i="1"/>
  <c r="E432" i="1"/>
  <c r="B432" i="1"/>
  <c r="X431" i="1"/>
  <c r="X431" i="1" a="1"/>
  <c r="W431" i="1"/>
  <c r="V431" i="1"/>
  <c r="U431" i="1"/>
  <c r="T431" i="1"/>
  <c r="Z431" i="1" s="1"/>
  <c r="R431" i="1"/>
  <c r="P431" i="1"/>
  <c r="N431" i="1"/>
  <c r="Y431" i="1" s="1"/>
  <c r="L431" i="1"/>
  <c r="J431" i="1"/>
  <c r="H431" i="1"/>
  <c r="G431" i="1"/>
  <c r="E431" i="1"/>
  <c r="B431" i="1"/>
  <c r="Y430" i="1"/>
  <c r="W430" i="1"/>
  <c r="V430" i="1"/>
  <c r="U430" i="1"/>
  <c r="R430" i="1"/>
  <c r="P430" i="1"/>
  <c r="T430" i="1" s="1"/>
  <c r="Z430" i="1" s="1"/>
  <c r="N430" i="1"/>
  <c r="L430" i="1"/>
  <c r="J430" i="1"/>
  <c r="H430" i="1"/>
  <c r="G430" i="1"/>
  <c r="E430" i="1"/>
  <c r="B430" i="1"/>
  <c r="X429" i="1"/>
  <c r="W429" i="1"/>
  <c r="R429" i="1"/>
  <c r="P429" i="1"/>
  <c r="T429" i="1" s="1"/>
  <c r="X429" i="1" s="1" a="1"/>
  <c r="N429" i="1"/>
  <c r="Y429" i="1" s="1"/>
  <c r="L429" i="1"/>
  <c r="J429" i="1"/>
  <c r="H429" i="1"/>
  <c r="G429" i="1"/>
  <c r="E429" i="1"/>
  <c r="B429" i="1"/>
  <c r="Y428" i="1"/>
  <c r="R428" i="1"/>
  <c r="P428" i="1"/>
  <c r="T428" i="1" s="1"/>
  <c r="N428" i="1"/>
  <c r="L428" i="1"/>
  <c r="J428" i="1"/>
  <c r="H428" i="1"/>
  <c r="G428" i="1"/>
  <c r="E428" i="1"/>
  <c r="B428" i="1"/>
  <c r="W428" i="1" s="1"/>
  <c r="X427" i="1"/>
  <c r="U427" i="1"/>
  <c r="R427" i="1"/>
  <c r="P427" i="1"/>
  <c r="T427" i="1" s="1"/>
  <c r="X427" i="1" s="1" a="1"/>
  <c r="N427" i="1"/>
  <c r="Y427" i="1" s="1"/>
  <c r="L427" i="1"/>
  <c r="J427" i="1"/>
  <c r="H427" i="1"/>
  <c r="G427" i="1"/>
  <c r="E427" i="1"/>
  <c r="B427" i="1"/>
  <c r="Y426" i="1"/>
  <c r="V426" i="1"/>
  <c r="R426" i="1"/>
  <c r="P426" i="1"/>
  <c r="T426" i="1" s="1"/>
  <c r="N426" i="1"/>
  <c r="L426" i="1"/>
  <c r="J426" i="1"/>
  <c r="H426" i="1"/>
  <c r="G426" i="1"/>
  <c r="E426" i="1"/>
  <c r="B426" i="1"/>
  <c r="U426" i="1" s="1"/>
  <c r="Y425" i="1"/>
  <c r="R425" i="1"/>
  <c r="T425" i="1" s="1"/>
  <c r="X425" i="1" s="1" a="1"/>
  <c r="X425" i="1" s="1"/>
  <c r="P425" i="1"/>
  <c r="N425" i="1"/>
  <c r="L425" i="1"/>
  <c r="J425" i="1"/>
  <c r="H425" i="1"/>
  <c r="G425" i="1"/>
  <c r="E425" i="1"/>
  <c r="B425" i="1"/>
  <c r="V425" i="1" s="1"/>
  <c r="X424" i="1" a="1"/>
  <c r="X424" i="1" s="1"/>
  <c r="W424" i="1"/>
  <c r="V424" i="1"/>
  <c r="U424" i="1"/>
  <c r="T424" i="1"/>
  <c r="Z424" i="1" s="1"/>
  <c r="R424" i="1"/>
  <c r="P424" i="1"/>
  <c r="N424" i="1"/>
  <c r="Y424" i="1" s="1"/>
  <c r="L424" i="1"/>
  <c r="J424" i="1"/>
  <c r="H424" i="1"/>
  <c r="G424" i="1"/>
  <c r="E424" i="1"/>
  <c r="B424" i="1"/>
  <c r="X423" i="1"/>
  <c r="X423" i="1" a="1"/>
  <c r="W423" i="1"/>
  <c r="V423" i="1"/>
  <c r="U423" i="1"/>
  <c r="T423" i="1"/>
  <c r="Z423" i="1" s="1"/>
  <c r="R423" i="1"/>
  <c r="P423" i="1"/>
  <c r="N423" i="1"/>
  <c r="Y423" i="1" s="1"/>
  <c r="L423" i="1"/>
  <c r="J423" i="1"/>
  <c r="H423" i="1"/>
  <c r="G423" i="1"/>
  <c r="E423" i="1"/>
  <c r="B423" i="1"/>
  <c r="Y422" i="1"/>
  <c r="X422" i="1" a="1"/>
  <c r="X422" i="1" s="1"/>
  <c r="W422" i="1"/>
  <c r="V422" i="1"/>
  <c r="U422" i="1"/>
  <c r="R422" i="1"/>
  <c r="P422" i="1"/>
  <c r="T422" i="1" s="1"/>
  <c r="Z422" i="1" s="1"/>
  <c r="N422" i="1"/>
  <c r="L422" i="1"/>
  <c r="J422" i="1"/>
  <c r="H422" i="1"/>
  <c r="G422" i="1"/>
  <c r="E422" i="1"/>
  <c r="B422" i="1"/>
  <c r="R421" i="1"/>
  <c r="P421" i="1"/>
  <c r="T421" i="1" s="1"/>
  <c r="X421" i="1" s="1" a="1"/>
  <c r="X421" i="1" s="1"/>
  <c r="N421" i="1"/>
  <c r="Y421" i="1" s="1"/>
  <c r="L421" i="1"/>
  <c r="J421" i="1"/>
  <c r="H421" i="1"/>
  <c r="G421" i="1"/>
  <c r="E421" i="1"/>
  <c r="B421" i="1"/>
  <c r="Y420" i="1"/>
  <c r="R420" i="1"/>
  <c r="P420" i="1"/>
  <c r="T420" i="1" s="1"/>
  <c r="N420" i="1"/>
  <c r="L420" i="1"/>
  <c r="J420" i="1"/>
  <c r="H420" i="1"/>
  <c r="G420" i="1"/>
  <c r="E420" i="1"/>
  <c r="B420" i="1"/>
  <c r="W420" i="1" s="1"/>
  <c r="R419" i="1"/>
  <c r="P419" i="1"/>
  <c r="T419" i="1" s="1"/>
  <c r="X419" i="1" s="1" a="1"/>
  <c r="X419" i="1" s="1"/>
  <c r="N419" i="1"/>
  <c r="Y419" i="1" s="1"/>
  <c r="L419" i="1"/>
  <c r="J419" i="1"/>
  <c r="H419" i="1"/>
  <c r="G419" i="1"/>
  <c r="E419" i="1"/>
  <c r="B419" i="1"/>
  <c r="Y418" i="1"/>
  <c r="V418" i="1"/>
  <c r="R418" i="1"/>
  <c r="P418" i="1"/>
  <c r="T418" i="1" s="1"/>
  <c r="N418" i="1"/>
  <c r="L418" i="1"/>
  <c r="J418" i="1"/>
  <c r="H418" i="1"/>
  <c r="G418" i="1"/>
  <c r="E418" i="1"/>
  <c r="B418" i="1"/>
  <c r="U418" i="1" s="1"/>
  <c r="Y417" i="1"/>
  <c r="R417" i="1"/>
  <c r="T417" i="1" s="1"/>
  <c r="X417" i="1" s="1" a="1"/>
  <c r="X417" i="1" s="1"/>
  <c r="P417" i="1"/>
  <c r="N417" i="1"/>
  <c r="L417" i="1"/>
  <c r="J417" i="1"/>
  <c r="H417" i="1"/>
  <c r="G417" i="1"/>
  <c r="E417" i="1"/>
  <c r="B417" i="1"/>
  <c r="V417" i="1" s="1"/>
  <c r="X416" i="1" a="1"/>
  <c r="X416" i="1" s="1"/>
  <c r="W416" i="1"/>
  <c r="V416" i="1"/>
  <c r="U416" i="1"/>
  <c r="T416" i="1"/>
  <c r="Z416" i="1" s="1"/>
  <c r="R416" i="1"/>
  <c r="P416" i="1"/>
  <c r="N416" i="1"/>
  <c r="Y416" i="1" s="1"/>
  <c r="L416" i="1"/>
  <c r="J416" i="1"/>
  <c r="H416" i="1"/>
  <c r="G416" i="1"/>
  <c r="E416" i="1"/>
  <c r="B416" i="1"/>
  <c r="X415" i="1" a="1"/>
  <c r="X415" i="1" s="1"/>
  <c r="W415" i="1"/>
  <c r="V415" i="1"/>
  <c r="U415" i="1"/>
  <c r="T415" i="1"/>
  <c r="Z415" i="1" s="1"/>
  <c r="R415" i="1"/>
  <c r="P415" i="1"/>
  <c r="N415" i="1"/>
  <c r="Y415" i="1" s="1"/>
  <c r="L415" i="1"/>
  <c r="J415" i="1"/>
  <c r="H415" i="1"/>
  <c r="G415" i="1"/>
  <c r="E415" i="1"/>
  <c r="B415" i="1"/>
  <c r="X414" i="1" a="1"/>
  <c r="X414" i="1" s="1"/>
  <c r="W414" i="1"/>
  <c r="V414" i="1"/>
  <c r="U414" i="1"/>
  <c r="R414" i="1"/>
  <c r="P414" i="1"/>
  <c r="T414" i="1" s="1"/>
  <c r="Z414" i="1" s="1"/>
  <c r="N414" i="1"/>
  <c r="Y414" i="1" s="1"/>
  <c r="L414" i="1"/>
  <c r="J414" i="1"/>
  <c r="H414" i="1"/>
  <c r="G414" i="1"/>
  <c r="E414" i="1"/>
  <c r="B414" i="1"/>
  <c r="Y413" i="1"/>
  <c r="W413" i="1"/>
  <c r="R413" i="1"/>
  <c r="P413" i="1"/>
  <c r="T413" i="1" s="1"/>
  <c r="N413" i="1"/>
  <c r="L413" i="1"/>
  <c r="J413" i="1"/>
  <c r="H413" i="1"/>
  <c r="G413" i="1"/>
  <c r="E413" i="1"/>
  <c r="B413" i="1"/>
  <c r="Z412" i="1"/>
  <c r="Y412" i="1"/>
  <c r="R412" i="1"/>
  <c r="P412" i="1"/>
  <c r="T412" i="1" s="1"/>
  <c r="X412" i="1" s="1" a="1"/>
  <c r="X412" i="1" s="1"/>
  <c r="N412" i="1"/>
  <c r="L412" i="1"/>
  <c r="J412" i="1"/>
  <c r="H412" i="1"/>
  <c r="G412" i="1"/>
  <c r="E412" i="1"/>
  <c r="B412" i="1"/>
  <c r="Z411" i="1"/>
  <c r="X411" i="1"/>
  <c r="T411" i="1"/>
  <c r="X411" i="1" s="1" a="1"/>
  <c r="R411" i="1"/>
  <c r="P411" i="1"/>
  <c r="N411" i="1"/>
  <c r="Y411" i="1" s="1"/>
  <c r="L411" i="1"/>
  <c r="J411" i="1"/>
  <c r="H411" i="1"/>
  <c r="G411" i="1"/>
  <c r="E411" i="1"/>
  <c r="B411" i="1"/>
  <c r="Y410" i="1"/>
  <c r="V410" i="1"/>
  <c r="T410" i="1"/>
  <c r="R410" i="1"/>
  <c r="P410" i="1"/>
  <c r="N410" i="1"/>
  <c r="L410" i="1"/>
  <c r="J410" i="1"/>
  <c r="H410" i="1"/>
  <c r="G410" i="1"/>
  <c r="E410" i="1"/>
  <c r="B410" i="1"/>
  <c r="W410" i="1" s="1"/>
  <c r="Y409" i="1"/>
  <c r="R409" i="1"/>
  <c r="T409" i="1" s="1"/>
  <c r="P409" i="1"/>
  <c r="N409" i="1"/>
  <c r="L409" i="1"/>
  <c r="J409" i="1"/>
  <c r="H409" i="1"/>
  <c r="G409" i="1"/>
  <c r="E409" i="1"/>
  <c r="B409" i="1"/>
  <c r="W408" i="1"/>
  <c r="V408" i="1"/>
  <c r="U408" i="1"/>
  <c r="T408" i="1"/>
  <c r="Z408" i="1" s="1"/>
  <c r="R408" i="1"/>
  <c r="P408" i="1"/>
  <c r="N408" i="1"/>
  <c r="Y408" i="1" s="1"/>
  <c r="L408" i="1"/>
  <c r="J408" i="1"/>
  <c r="H408" i="1"/>
  <c r="G408" i="1"/>
  <c r="E408" i="1"/>
  <c r="B408" i="1"/>
  <c r="X407" i="1" a="1"/>
  <c r="X407" i="1" s="1"/>
  <c r="W407" i="1"/>
  <c r="V407" i="1"/>
  <c r="U407" i="1"/>
  <c r="T407" i="1"/>
  <c r="Z407" i="1" s="1"/>
  <c r="R407" i="1"/>
  <c r="P407" i="1"/>
  <c r="N407" i="1"/>
  <c r="Y407" i="1" s="1"/>
  <c r="L407" i="1"/>
  <c r="J407" i="1"/>
  <c r="H407" i="1"/>
  <c r="G407" i="1"/>
  <c r="E407" i="1"/>
  <c r="B407" i="1"/>
  <c r="X406" i="1" a="1"/>
  <c r="X406" i="1" s="1"/>
  <c r="W406" i="1"/>
  <c r="V406" i="1"/>
  <c r="U406" i="1"/>
  <c r="R406" i="1"/>
  <c r="P406" i="1"/>
  <c r="T406" i="1" s="1"/>
  <c r="Z406" i="1" s="1"/>
  <c r="N406" i="1"/>
  <c r="Y406" i="1" s="1"/>
  <c r="L406" i="1"/>
  <c r="J406" i="1"/>
  <c r="H406" i="1"/>
  <c r="G406" i="1"/>
  <c r="E406" i="1"/>
  <c r="B406" i="1"/>
  <c r="Y405" i="1"/>
  <c r="R405" i="1"/>
  <c r="P405" i="1"/>
  <c r="N405" i="1"/>
  <c r="L405" i="1"/>
  <c r="J405" i="1"/>
  <c r="H405" i="1"/>
  <c r="G405" i="1"/>
  <c r="E405" i="1"/>
  <c r="B405" i="1"/>
  <c r="R404" i="1"/>
  <c r="P404" i="1"/>
  <c r="N404" i="1"/>
  <c r="Y404" i="1" s="1"/>
  <c r="L404" i="1"/>
  <c r="J404" i="1"/>
  <c r="H404" i="1"/>
  <c r="G404" i="1"/>
  <c r="E404" i="1"/>
  <c r="B404" i="1"/>
  <c r="T403" i="1"/>
  <c r="X403" i="1" s="1" a="1"/>
  <c r="X403" i="1" s="1"/>
  <c r="R403" i="1"/>
  <c r="P403" i="1"/>
  <c r="N403" i="1"/>
  <c r="Y403" i="1" s="1"/>
  <c r="L403" i="1"/>
  <c r="J403" i="1"/>
  <c r="H403" i="1"/>
  <c r="G403" i="1"/>
  <c r="E403" i="1"/>
  <c r="B403" i="1"/>
  <c r="Y402" i="1"/>
  <c r="U402" i="1"/>
  <c r="R402" i="1"/>
  <c r="P402" i="1"/>
  <c r="T402" i="1" s="1"/>
  <c r="N402" i="1"/>
  <c r="L402" i="1"/>
  <c r="J402" i="1"/>
  <c r="H402" i="1"/>
  <c r="G402" i="1"/>
  <c r="E402" i="1"/>
  <c r="B402" i="1"/>
  <c r="W402" i="1" s="1"/>
  <c r="Z401" i="1"/>
  <c r="Y401" i="1"/>
  <c r="V401" i="1"/>
  <c r="T401" i="1"/>
  <c r="X401" i="1" s="1" a="1"/>
  <c r="X401" i="1" s="1"/>
  <c r="R401" i="1"/>
  <c r="P401" i="1"/>
  <c r="N401" i="1"/>
  <c r="L401" i="1"/>
  <c r="J401" i="1"/>
  <c r="H401" i="1"/>
  <c r="G401" i="1"/>
  <c r="E401" i="1"/>
  <c r="B401" i="1"/>
  <c r="U401" i="1" s="1"/>
  <c r="W400" i="1"/>
  <c r="V400" i="1"/>
  <c r="U400" i="1"/>
  <c r="T400" i="1"/>
  <c r="R400" i="1"/>
  <c r="P400" i="1"/>
  <c r="N400" i="1"/>
  <c r="Y400" i="1" s="1"/>
  <c r="L400" i="1"/>
  <c r="J400" i="1"/>
  <c r="H400" i="1"/>
  <c r="G400" i="1"/>
  <c r="E400" i="1"/>
  <c r="B400" i="1"/>
  <c r="X399" i="1"/>
  <c r="X399" i="1" a="1"/>
  <c r="W399" i="1"/>
  <c r="V399" i="1"/>
  <c r="U399" i="1"/>
  <c r="T399" i="1"/>
  <c r="Z399" i="1" s="1"/>
  <c r="R399" i="1"/>
  <c r="P399" i="1"/>
  <c r="N399" i="1"/>
  <c r="Y399" i="1" s="1"/>
  <c r="L399" i="1"/>
  <c r="J399" i="1"/>
  <c r="H399" i="1"/>
  <c r="G399" i="1"/>
  <c r="E399" i="1"/>
  <c r="B399" i="1"/>
  <c r="W398" i="1"/>
  <c r="V398" i="1"/>
  <c r="U398" i="1"/>
  <c r="R398" i="1"/>
  <c r="P398" i="1"/>
  <c r="T398" i="1" s="1"/>
  <c r="N398" i="1"/>
  <c r="Y398" i="1" s="1"/>
  <c r="L398" i="1"/>
  <c r="J398" i="1"/>
  <c r="H398" i="1"/>
  <c r="G398" i="1"/>
  <c r="E398" i="1"/>
  <c r="B398" i="1"/>
  <c r="Y397" i="1"/>
  <c r="R397" i="1"/>
  <c r="P397" i="1"/>
  <c r="N397" i="1"/>
  <c r="L397" i="1"/>
  <c r="J397" i="1"/>
  <c r="H397" i="1"/>
  <c r="G397" i="1"/>
  <c r="E397" i="1"/>
  <c r="B397" i="1"/>
  <c r="Z396" i="1"/>
  <c r="T396" i="1"/>
  <c r="X396" i="1" s="1" a="1"/>
  <c r="X396" i="1" s="1"/>
  <c r="R396" i="1"/>
  <c r="P396" i="1"/>
  <c r="N396" i="1"/>
  <c r="Y396" i="1" s="1"/>
  <c r="L396" i="1"/>
  <c r="J396" i="1"/>
  <c r="H396" i="1"/>
  <c r="G396" i="1"/>
  <c r="E396" i="1"/>
  <c r="B396" i="1"/>
  <c r="Y395" i="1"/>
  <c r="U395" i="1"/>
  <c r="R395" i="1"/>
  <c r="P395" i="1"/>
  <c r="T395" i="1" s="1"/>
  <c r="N395" i="1"/>
  <c r="L395" i="1"/>
  <c r="J395" i="1"/>
  <c r="H395" i="1"/>
  <c r="G395" i="1"/>
  <c r="E395" i="1"/>
  <c r="B395" i="1"/>
  <c r="V394" i="1"/>
  <c r="T394" i="1"/>
  <c r="R394" i="1"/>
  <c r="P394" i="1"/>
  <c r="N394" i="1"/>
  <c r="Y394" i="1" s="1"/>
  <c r="L394" i="1"/>
  <c r="J394" i="1"/>
  <c r="H394" i="1"/>
  <c r="G394" i="1"/>
  <c r="E394" i="1"/>
  <c r="B394" i="1"/>
  <c r="W394" i="1" s="1"/>
  <c r="Y393" i="1"/>
  <c r="R393" i="1"/>
  <c r="P393" i="1"/>
  <c r="T393" i="1" s="1"/>
  <c r="N393" i="1"/>
  <c r="L393" i="1"/>
  <c r="J393" i="1"/>
  <c r="H393" i="1"/>
  <c r="G393" i="1"/>
  <c r="E393" i="1"/>
  <c r="B393" i="1"/>
  <c r="W392" i="1"/>
  <c r="V392" i="1"/>
  <c r="U392" i="1"/>
  <c r="T392" i="1"/>
  <c r="Z392" i="1" s="1"/>
  <c r="R392" i="1"/>
  <c r="P392" i="1"/>
  <c r="N392" i="1"/>
  <c r="Y392" i="1" s="1"/>
  <c r="L392" i="1"/>
  <c r="J392" i="1"/>
  <c r="H392" i="1"/>
  <c r="G392" i="1"/>
  <c r="E392" i="1"/>
  <c r="B392" i="1"/>
  <c r="W391" i="1"/>
  <c r="V391" i="1"/>
  <c r="U391" i="1"/>
  <c r="T391" i="1"/>
  <c r="Z391" i="1" s="1"/>
  <c r="R391" i="1"/>
  <c r="P391" i="1"/>
  <c r="N391" i="1"/>
  <c r="Y391" i="1" s="1"/>
  <c r="L391" i="1"/>
  <c r="J391" i="1"/>
  <c r="H391" i="1"/>
  <c r="G391" i="1"/>
  <c r="E391" i="1"/>
  <c r="B391" i="1"/>
  <c r="W390" i="1"/>
  <c r="V390" i="1"/>
  <c r="U390" i="1"/>
  <c r="R390" i="1"/>
  <c r="P390" i="1"/>
  <c r="T390" i="1" s="1"/>
  <c r="Z390" i="1" s="1"/>
  <c r="N390" i="1"/>
  <c r="Y390" i="1" s="1"/>
  <c r="L390" i="1"/>
  <c r="J390" i="1"/>
  <c r="H390" i="1"/>
  <c r="G390" i="1"/>
  <c r="E390" i="1"/>
  <c r="B390" i="1"/>
  <c r="X389" i="1"/>
  <c r="W389" i="1"/>
  <c r="V389" i="1"/>
  <c r="R389" i="1"/>
  <c r="P389" i="1"/>
  <c r="T389" i="1" s="1"/>
  <c r="X389" i="1" s="1" a="1"/>
  <c r="N389" i="1"/>
  <c r="Y389" i="1" s="1"/>
  <c r="L389" i="1"/>
  <c r="J389" i="1"/>
  <c r="H389" i="1"/>
  <c r="G389" i="1"/>
  <c r="E389" i="1"/>
  <c r="B389" i="1"/>
  <c r="U389" i="1" s="1"/>
  <c r="Y388" i="1"/>
  <c r="X388" i="1" a="1"/>
  <c r="X388" i="1" s="1"/>
  <c r="R388" i="1"/>
  <c r="P388" i="1"/>
  <c r="T388" i="1" s="1"/>
  <c r="Z388" i="1" s="1"/>
  <c r="N388" i="1"/>
  <c r="L388" i="1"/>
  <c r="J388" i="1"/>
  <c r="H388" i="1"/>
  <c r="G388" i="1"/>
  <c r="E388" i="1"/>
  <c r="B388" i="1"/>
  <c r="W388" i="1" s="1"/>
  <c r="T387" i="1"/>
  <c r="X387" i="1" s="1" a="1"/>
  <c r="X387" i="1" s="1"/>
  <c r="R387" i="1"/>
  <c r="P387" i="1"/>
  <c r="N387" i="1"/>
  <c r="Y387" i="1" s="1"/>
  <c r="L387" i="1"/>
  <c r="J387" i="1"/>
  <c r="H387" i="1"/>
  <c r="G387" i="1"/>
  <c r="E387" i="1"/>
  <c r="B387" i="1"/>
  <c r="W387" i="1" s="1"/>
  <c r="Y386" i="1"/>
  <c r="W386" i="1"/>
  <c r="V386" i="1"/>
  <c r="U386" i="1"/>
  <c r="R386" i="1"/>
  <c r="P386" i="1"/>
  <c r="T386" i="1" s="1"/>
  <c r="N386" i="1"/>
  <c r="L386" i="1"/>
  <c r="J386" i="1"/>
  <c r="H386" i="1"/>
  <c r="G386" i="1"/>
  <c r="E386" i="1"/>
  <c r="B386" i="1"/>
  <c r="R385" i="1"/>
  <c r="P385" i="1"/>
  <c r="N385" i="1"/>
  <c r="Y385" i="1" s="1"/>
  <c r="L385" i="1"/>
  <c r="J385" i="1"/>
  <c r="H385" i="1"/>
  <c r="G385" i="1"/>
  <c r="E385" i="1"/>
  <c r="B385" i="1"/>
  <c r="Y384" i="1"/>
  <c r="W384" i="1"/>
  <c r="V384" i="1"/>
  <c r="T384" i="1"/>
  <c r="R384" i="1"/>
  <c r="P384" i="1"/>
  <c r="N384" i="1"/>
  <c r="L384" i="1"/>
  <c r="J384" i="1"/>
  <c r="H384" i="1"/>
  <c r="G384" i="1"/>
  <c r="E384" i="1"/>
  <c r="B384" i="1"/>
  <c r="U384" i="1" s="1"/>
  <c r="Y383" i="1"/>
  <c r="W383" i="1"/>
  <c r="U383" i="1"/>
  <c r="R383" i="1"/>
  <c r="P383" i="1"/>
  <c r="T383" i="1" s="1"/>
  <c r="N383" i="1"/>
  <c r="L383" i="1"/>
  <c r="J383" i="1"/>
  <c r="H383" i="1"/>
  <c r="G383" i="1"/>
  <c r="E383" i="1"/>
  <c r="B383" i="1"/>
  <c r="V383" i="1" s="1"/>
  <c r="X382" i="1"/>
  <c r="X382" i="1" a="1"/>
  <c r="V382" i="1"/>
  <c r="T382" i="1"/>
  <c r="Z382" i="1" s="1"/>
  <c r="R382" i="1"/>
  <c r="P382" i="1"/>
  <c r="N382" i="1"/>
  <c r="Y382" i="1" s="1"/>
  <c r="L382" i="1"/>
  <c r="J382" i="1"/>
  <c r="H382" i="1"/>
  <c r="G382" i="1"/>
  <c r="E382" i="1"/>
  <c r="B382" i="1"/>
  <c r="U382" i="1" s="1"/>
  <c r="Y381" i="1"/>
  <c r="W381" i="1"/>
  <c r="U381" i="1"/>
  <c r="R381" i="1"/>
  <c r="P381" i="1"/>
  <c r="T381" i="1" s="1"/>
  <c r="N381" i="1"/>
  <c r="L381" i="1"/>
  <c r="J381" i="1"/>
  <c r="H381" i="1"/>
  <c r="G381" i="1"/>
  <c r="E381" i="1"/>
  <c r="B381" i="1"/>
  <c r="V381" i="1" s="1"/>
  <c r="Y380" i="1"/>
  <c r="R380" i="1"/>
  <c r="P380" i="1"/>
  <c r="T380" i="1" s="1"/>
  <c r="N380" i="1"/>
  <c r="L380" i="1"/>
  <c r="J380" i="1"/>
  <c r="H380" i="1"/>
  <c r="G380" i="1"/>
  <c r="E380" i="1"/>
  <c r="B380" i="1"/>
  <c r="W380" i="1" s="1"/>
  <c r="X379" i="1"/>
  <c r="T379" i="1"/>
  <c r="X379" i="1" s="1" a="1"/>
  <c r="R379" i="1"/>
  <c r="P379" i="1"/>
  <c r="N379" i="1"/>
  <c r="Y379" i="1" s="1"/>
  <c r="L379" i="1"/>
  <c r="J379" i="1"/>
  <c r="H379" i="1"/>
  <c r="G379" i="1"/>
  <c r="E379" i="1"/>
  <c r="B379" i="1"/>
  <c r="W379" i="1" s="1"/>
  <c r="Y378" i="1"/>
  <c r="W378" i="1"/>
  <c r="V378" i="1"/>
  <c r="U378" i="1"/>
  <c r="R378" i="1"/>
  <c r="P378" i="1"/>
  <c r="T378" i="1" s="1"/>
  <c r="N378" i="1"/>
  <c r="L378" i="1"/>
  <c r="J378" i="1"/>
  <c r="H378" i="1"/>
  <c r="G378" i="1"/>
  <c r="E378" i="1"/>
  <c r="B378" i="1"/>
  <c r="Z377" i="1"/>
  <c r="R377" i="1"/>
  <c r="P377" i="1"/>
  <c r="T377" i="1" s="1"/>
  <c r="X377" i="1" s="1" a="1"/>
  <c r="X377" i="1" s="1"/>
  <c r="N377" i="1"/>
  <c r="Y377" i="1" s="1"/>
  <c r="L377" i="1"/>
  <c r="J377" i="1"/>
  <c r="H377" i="1"/>
  <c r="G377" i="1"/>
  <c r="E377" i="1"/>
  <c r="B377" i="1"/>
  <c r="Y376" i="1"/>
  <c r="W376" i="1"/>
  <c r="V376" i="1"/>
  <c r="T376" i="1"/>
  <c r="R376" i="1"/>
  <c r="P376" i="1"/>
  <c r="N376" i="1"/>
  <c r="L376" i="1"/>
  <c r="J376" i="1"/>
  <c r="H376" i="1"/>
  <c r="G376" i="1"/>
  <c r="E376" i="1"/>
  <c r="B376" i="1"/>
  <c r="U376" i="1" s="1"/>
  <c r="Y375" i="1"/>
  <c r="W375" i="1"/>
  <c r="U375" i="1"/>
  <c r="R375" i="1"/>
  <c r="P375" i="1"/>
  <c r="T375" i="1" s="1"/>
  <c r="N375" i="1"/>
  <c r="L375" i="1"/>
  <c r="J375" i="1"/>
  <c r="H375" i="1"/>
  <c r="G375" i="1"/>
  <c r="E375" i="1"/>
  <c r="B375" i="1"/>
  <c r="V375" i="1" s="1"/>
  <c r="X374" i="1"/>
  <c r="X374" i="1" a="1"/>
  <c r="V374" i="1"/>
  <c r="T374" i="1"/>
  <c r="Z374" i="1" s="1"/>
  <c r="R374" i="1"/>
  <c r="P374" i="1"/>
  <c r="N374" i="1"/>
  <c r="Y374" i="1" s="1"/>
  <c r="L374" i="1"/>
  <c r="J374" i="1"/>
  <c r="H374" i="1"/>
  <c r="G374" i="1"/>
  <c r="E374" i="1"/>
  <c r="B374" i="1"/>
  <c r="U374" i="1" s="1"/>
  <c r="Y373" i="1"/>
  <c r="W373" i="1"/>
  <c r="U373" i="1"/>
  <c r="R373" i="1"/>
  <c r="P373" i="1"/>
  <c r="T373" i="1" s="1"/>
  <c r="N373" i="1"/>
  <c r="L373" i="1"/>
  <c r="J373" i="1"/>
  <c r="H373" i="1"/>
  <c r="G373" i="1"/>
  <c r="E373" i="1"/>
  <c r="B373" i="1"/>
  <c r="V373" i="1" s="1"/>
  <c r="Y372" i="1"/>
  <c r="R372" i="1"/>
  <c r="P372" i="1"/>
  <c r="T372" i="1" s="1"/>
  <c r="Z372" i="1" s="1"/>
  <c r="N372" i="1"/>
  <c r="L372" i="1"/>
  <c r="J372" i="1"/>
  <c r="H372" i="1"/>
  <c r="G372" i="1"/>
  <c r="E372" i="1"/>
  <c r="B372" i="1"/>
  <c r="W372" i="1" s="1"/>
  <c r="T371" i="1"/>
  <c r="X371" i="1" s="1" a="1"/>
  <c r="X371" i="1" s="1"/>
  <c r="R371" i="1"/>
  <c r="P371" i="1"/>
  <c r="N371" i="1"/>
  <c r="Y371" i="1" s="1"/>
  <c r="L371" i="1"/>
  <c r="J371" i="1"/>
  <c r="H371" i="1"/>
  <c r="G371" i="1"/>
  <c r="E371" i="1"/>
  <c r="B371" i="1"/>
  <c r="W371" i="1" s="1"/>
  <c r="Y370" i="1"/>
  <c r="W370" i="1"/>
  <c r="V370" i="1"/>
  <c r="U370" i="1"/>
  <c r="R370" i="1"/>
  <c r="P370" i="1"/>
  <c r="T370" i="1" s="1"/>
  <c r="N370" i="1"/>
  <c r="L370" i="1"/>
  <c r="J370" i="1"/>
  <c r="H370" i="1"/>
  <c r="G370" i="1"/>
  <c r="E370" i="1"/>
  <c r="B370" i="1"/>
  <c r="R369" i="1"/>
  <c r="P369" i="1"/>
  <c r="N369" i="1"/>
  <c r="Y369" i="1" s="1"/>
  <c r="L369" i="1"/>
  <c r="J369" i="1"/>
  <c r="H369" i="1"/>
  <c r="G369" i="1"/>
  <c r="E369" i="1"/>
  <c r="B369" i="1"/>
  <c r="Y368" i="1"/>
  <c r="W368" i="1"/>
  <c r="V368" i="1"/>
  <c r="T368" i="1"/>
  <c r="R368" i="1"/>
  <c r="P368" i="1"/>
  <c r="N368" i="1"/>
  <c r="L368" i="1"/>
  <c r="J368" i="1"/>
  <c r="H368" i="1"/>
  <c r="G368" i="1"/>
  <c r="E368" i="1"/>
  <c r="B368" i="1"/>
  <c r="U368" i="1" s="1"/>
  <c r="Y367" i="1"/>
  <c r="W367" i="1"/>
  <c r="U367" i="1"/>
  <c r="R367" i="1"/>
  <c r="P367" i="1"/>
  <c r="T367" i="1" s="1"/>
  <c r="N367" i="1"/>
  <c r="L367" i="1"/>
  <c r="J367" i="1"/>
  <c r="H367" i="1"/>
  <c r="G367" i="1"/>
  <c r="E367" i="1"/>
  <c r="B367" i="1"/>
  <c r="V367" i="1" s="1"/>
  <c r="X366" i="1"/>
  <c r="X366" i="1" a="1"/>
  <c r="V366" i="1"/>
  <c r="T366" i="1"/>
  <c r="Z366" i="1" s="1"/>
  <c r="R366" i="1"/>
  <c r="P366" i="1"/>
  <c r="N366" i="1"/>
  <c r="Y366" i="1" s="1"/>
  <c r="L366" i="1"/>
  <c r="J366" i="1"/>
  <c r="H366" i="1"/>
  <c r="G366" i="1"/>
  <c r="E366" i="1"/>
  <c r="B366" i="1"/>
  <c r="U366" i="1" s="1"/>
  <c r="Y365" i="1"/>
  <c r="W365" i="1"/>
  <c r="U365" i="1"/>
  <c r="R365" i="1"/>
  <c r="P365" i="1"/>
  <c r="T365" i="1" s="1"/>
  <c r="N365" i="1"/>
  <c r="L365" i="1"/>
  <c r="J365" i="1"/>
  <c r="H365" i="1"/>
  <c r="G365" i="1"/>
  <c r="E365" i="1"/>
  <c r="B365" i="1"/>
  <c r="V365" i="1" s="1"/>
  <c r="Y364" i="1"/>
  <c r="R364" i="1"/>
  <c r="P364" i="1"/>
  <c r="T364" i="1" s="1"/>
  <c r="Z364" i="1" s="1"/>
  <c r="N364" i="1"/>
  <c r="L364" i="1"/>
  <c r="J364" i="1"/>
  <c r="H364" i="1"/>
  <c r="G364" i="1"/>
  <c r="E364" i="1"/>
  <c r="B364" i="1"/>
  <c r="W364" i="1" s="1"/>
  <c r="T363" i="1"/>
  <c r="X363" i="1" s="1" a="1"/>
  <c r="X363" i="1" s="1"/>
  <c r="R363" i="1"/>
  <c r="P363" i="1"/>
  <c r="N363" i="1"/>
  <c r="Y363" i="1" s="1"/>
  <c r="L363" i="1"/>
  <c r="J363" i="1"/>
  <c r="H363" i="1"/>
  <c r="G363" i="1"/>
  <c r="E363" i="1"/>
  <c r="B363" i="1"/>
  <c r="W363" i="1" s="1"/>
  <c r="Y362" i="1"/>
  <c r="W362" i="1"/>
  <c r="V362" i="1"/>
  <c r="U362" i="1"/>
  <c r="R362" i="1"/>
  <c r="P362" i="1"/>
  <c r="T362" i="1" s="1"/>
  <c r="N362" i="1"/>
  <c r="L362" i="1"/>
  <c r="J362" i="1"/>
  <c r="H362" i="1"/>
  <c r="G362" i="1"/>
  <c r="E362" i="1"/>
  <c r="B362" i="1"/>
  <c r="R361" i="1"/>
  <c r="P361" i="1"/>
  <c r="T361" i="1" s="1"/>
  <c r="N361" i="1"/>
  <c r="Y361" i="1" s="1"/>
  <c r="L361" i="1"/>
  <c r="J361" i="1"/>
  <c r="H361" i="1"/>
  <c r="G361" i="1"/>
  <c r="E361" i="1"/>
  <c r="B361" i="1"/>
  <c r="Y360" i="1"/>
  <c r="W360" i="1"/>
  <c r="V360" i="1"/>
  <c r="T360" i="1"/>
  <c r="R360" i="1"/>
  <c r="P360" i="1"/>
  <c r="N360" i="1"/>
  <c r="L360" i="1"/>
  <c r="J360" i="1"/>
  <c r="H360" i="1"/>
  <c r="G360" i="1"/>
  <c r="E360" i="1"/>
  <c r="B360" i="1"/>
  <c r="U360" i="1" s="1"/>
  <c r="X359" i="1" a="1"/>
  <c r="X359" i="1" s="1"/>
  <c r="W359" i="1"/>
  <c r="U359" i="1"/>
  <c r="T359" i="1"/>
  <c r="Z359" i="1" s="1"/>
  <c r="R359" i="1"/>
  <c r="P359" i="1"/>
  <c r="N359" i="1"/>
  <c r="Y359" i="1" s="1"/>
  <c r="L359" i="1"/>
  <c r="J359" i="1"/>
  <c r="H359" i="1"/>
  <c r="G359" i="1"/>
  <c r="E359" i="1"/>
  <c r="B359" i="1"/>
  <c r="V359" i="1" s="1"/>
  <c r="X358" i="1"/>
  <c r="X358" i="1" a="1"/>
  <c r="V358" i="1"/>
  <c r="U358" i="1"/>
  <c r="T358" i="1"/>
  <c r="Z358" i="1" s="1"/>
  <c r="R358" i="1"/>
  <c r="P358" i="1"/>
  <c r="N358" i="1"/>
  <c r="Y358" i="1" s="1"/>
  <c r="L358" i="1"/>
  <c r="J358" i="1"/>
  <c r="H358" i="1"/>
  <c r="G358" i="1"/>
  <c r="E358" i="1"/>
  <c r="B358" i="1"/>
  <c r="W358" i="1" s="1"/>
  <c r="Y357" i="1"/>
  <c r="W357" i="1"/>
  <c r="V357" i="1"/>
  <c r="U357" i="1"/>
  <c r="R357" i="1"/>
  <c r="P357" i="1"/>
  <c r="T357" i="1" s="1"/>
  <c r="N357" i="1"/>
  <c r="L357" i="1"/>
  <c r="J357" i="1"/>
  <c r="H357" i="1"/>
  <c r="G357" i="1"/>
  <c r="E357" i="1"/>
  <c r="B357" i="1"/>
  <c r="Y356" i="1"/>
  <c r="R356" i="1"/>
  <c r="P356" i="1"/>
  <c r="T356" i="1" s="1"/>
  <c r="N356" i="1"/>
  <c r="L356" i="1"/>
  <c r="J356" i="1"/>
  <c r="H356" i="1"/>
  <c r="G356" i="1"/>
  <c r="E356" i="1"/>
  <c r="B356" i="1"/>
  <c r="W356" i="1" s="1"/>
  <c r="X355" i="1"/>
  <c r="T355" i="1"/>
  <c r="X355" i="1" s="1" a="1"/>
  <c r="R355" i="1"/>
  <c r="P355" i="1"/>
  <c r="N355" i="1"/>
  <c r="Y355" i="1" s="1"/>
  <c r="L355" i="1"/>
  <c r="J355" i="1"/>
  <c r="H355" i="1"/>
  <c r="G355" i="1"/>
  <c r="E355" i="1"/>
  <c r="B355" i="1"/>
  <c r="W355" i="1" s="1"/>
  <c r="Y354" i="1"/>
  <c r="W354" i="1"/>
  <c r="V354" i="1"/>
  <c r="U354" i="1"/>
  <c r="R354" i="1"/>
  <c r="P354" i="1"/>
  <c r="T354" i="1" s="1"/>
  <c r="N354" i="1"/>
  <c r="L354" i="1"/>
  <c r="J354" i="1"/>
  <c r="H354" i="1"/>
  <c r="G354" i="1"/>
  <c r="E354" i="1"/>
  <c r="B354" i="1"/>
  <c r="Y353" i="1"/>
  <c r="R353" i="1"/>
  <c r="P353" i="1"/>
  <c r="N353" i="1"/>
  <c r="L353" i="1"/>
  <c r="J353" i="1"/>
  <c r="H353" i="1"/>
  <c r="G353" i="1"/>
  <c r="E353" i="1"/>
  <c r="B353" i="1"/>
  <c r="Y352" i="1"/>
  <c r="W352" i="1"/>
  <c r="V352" i="1"/>
  <c r="T352" i="1"/>
  <c r="R352" i="1"/>
  <c r="P352" i="1"/>
  <c r="N352" i="1"/>
  <c r="L352" i="1"/>
  <c r="J352" i="1"/>
  <c r="H352" i="1"/>
  <c r="G352" i="1"/>
  <c r="E352" i="1"/>
  <c r="B352" i="1"/>
  <c r="U352" i="1" s="1"/>
  <c r="X351" i="1" a="1"/>
  <c r="X351" i="1" s="1"/>
  <c r="W351" i="1"/>
  <c r="U351" i="1"/>
  <c r="T351" i="1"/>
  <c r="Z351" i="1" s="1"/>
  <c r="R351" i="1"/>
  <c r="P351" i="1"/>
  <c r="N351" i="1"/>
  <c r="Y351" i="1" s="1"/>
  <c r="L351" i="1"/>
  <c r="J351" i="1"/>
  <c r="H351" i="1"/>
  <c r="G351" i="1"/>
  <c r="E351" i="1"/>
  <c r="B351" i="1"/>
  <c r="V351" i="1" s="1"/>
  <c r="X350" i="1"/>
  <c r="X350" i="1" a="1"/>
  <c r="V350" i="1"/>
  <c r="U350" i="1"/>
  <c r="T350" i="1"/>
  <c r="Z350" i="1" s="1"/>
  <c r="R350" i="1"/>
  <c r="P350" i="1"/>
  <c r="N350" i="1"/>
  <c r="Y350" i="1" s="1"/>
  <c r="L350" i="1"/>
  <c r="J350" i="1"/>
  <c r="H350" i="1"/>
  <c r="G350" i="1"/>
  <c r="E350" i="1"/>
  <c r="B350" i="1"/>
  <c r="W350" i="1" s="1"/>
  <c r="Y349" i="1"/>
  <c r="W349" i="1"/>
  <c r="V349" i="1"/>
  <c r="U349" i="1"/>
  <c r="R349" i="1"/>
  <c r="P349" i="1"/>
  <c r="T349" i="1" s="1"/>
  <c r="N349" i="1"/>
  <c r="L349" i="1"/>
  <c r="J349" i="1"/>
  <c r="H349" i="1"/>
  <c r="G349" i="1"/>
  <c r="E349" i="1"/>
  <c r="B349" i="1"/>
  <c r="Y348" i="1"/>
  <c r="R348" i="1"/>
  <c r="P348" i="1"/>
  <c r="T348" i="1" s="1"/>
  <c r="Z348" i="1" s="1"/>
  <c r="N348" i="1"/>
  <c r="L348" i="1"/>
  <c r="J348" i="1"/>
  <c r="H348" i="1"/>
  <c r="G348" i="1"/>
  <c r="E348" i="1"/>
  <c r="B348" i="1"/>
  <c r="W348" i="1" s="1"/>
  <c r="T347" i="1"/>
  <c r="R347" i="1"/>
  <c r="P347" i="1"/>
  <c r="N347" i="1"/>
  <c r="Y347" i="1" s="1"/>
  <c r="L347" i="1"/>
  <c r="J347" i="1"/>
  <c r="H347" i="1"/>
  <c r="G347" i="1"/>
  <c r="E347" i="1"/>
  <c r="B347" i="1"/>
  <c r="W347" i="1" s="1"/>
  <c r="Y346" i="1"/>
  <c r="W346" i="1"/>
  <c r="V346" i="1"/>
  <c r="U346" i="1"/>
  <c r="R346" i="1"/>
  <c r="P346" i="1"/>
  <c r="T346" i="1" s="1"/>
  <c r="N346" i="1"/>
  <c r="L346" i="1"/>
  <c r="J346" i="1"/>
  <c r="H346" i="1"/>
  <c r="G346" i="1"/>
  <c r="E346" i="1"/>
  <c r="B346" i="1"/>
  <c r="Y345" i="1"/>
  <c r="R345" i="1"/>
  <c r="P345" i="1"/>
  <c r="T345" i="1" s="1"/>
  <c r="X345" i="1" s="1" a="1"/>
  <c r="X345" i="1" s="1"/>
  <c r="N345" i="1"/>
  <c r="L345" i="1"/>
  <c r="J345" i="1"/>
  <c r="H345" i="1"/>
  <c r="G345" i="1"/>
  <c r="E345" i="1"/>
  <c r="B345" i="1"/>
  <c r="Y344" i="1"/>
  <c r="W344" i="1"/>
  <c r="V344" i="1"/>
  <c r="T344" i="1"/>
  <c r="R344" i="1"/>
  <c r="P344" i="1"/>
  <c r="N344" i="1"/>
  <c r="L344" i="1"/>
  <c r="J344" i="1"/>
  <c r="H344" i="1"/>
  <c r="G344" i="1"/>
  <c r="E344" i="1"/>
  <c r="B344" i="1"/>
  <c r="U344" i="1" s="1"/>
  <c r="X343" i="1" a="1"/>
  <c r="X343" i="1" s="1"/>
  <c r="W343" i="1"/>
  <c r="U343" i="1"/>
  <c r="T343" i="1"/>
  <c r="Z343" i="1" s="1"/>
  <c r="R343" i="1"/>
  <c r="P343" i="1"/>
  <c r="N343" i="1"/>
  <c r="Y343" i="1" s="1"/>
  <c r="L343" i="1"/>
  <c r="J343" i="1"/>
  <c r="H343" i="1"/>
  <c r="G343" i="1"/>
  <c r="E343" i="1"/>
  <c r="B343" i="1"/>
  <c r="V343" i="1" s="1"/>
  <c r="X342" i="1"/>
  <c r="X342" i="1" a="1"/>
  <c r="V342" i="1"/>
  <c r="U342" i="1"/>
  <c r="T342" i="1"/>
  <c r="Z342" i="1" s="1"/>
  <c r="R342" i="1"/>
  <c r="P342" i="1"/>
  <c r="N342" i="1"/>
  <c r="Y342" i="1" s="1"/>
  <c r="L342" i="1"/>
  <c r="J342" i="1"/>
  <c r="H342" i="1"/>
  <c r="G342" i="1"/>
  <c r="E342" i="1"/>
  <c r="B342" i="1"/>
  <c r="W342" i="1" s="1"/>
  <c r="Y341" i="1"/>
  <c r="W341" i="1"/>
  <c r="V341" i="1"/>
  <c r="U341" i="1"/>
  <c r="R341" i="1"/>
  <c r="P341" i="1"/>
  <c r="T341" i="1" s="1"/>
  <c r="N341" i="1"/>
  <c r="L341" i="1"/>
  <c r="J341" i="1"/>
  <c r="H341" i="1"/>
  <c r="G341" i="1"/>
  <c r="E341" i="1"/>
  <c r="B341" i="1"/>
  <c r="Y340" i="1"/>
  <c r="R340" i="1"/>
  <c r="P340" i="1"/>
  <c r="T340" i="1" s="1"/>
  <c r="N340" i="1"/>
  <c r="L340" i="1"/>
  <c r="J340" i="1"/>
  <c r="H340" i="1"/>
  <c r="G340" i="1"/>
  <c r="E340" i="1"/>
  <c r="B340" i="1"/>
  <c r="T339" i="1"/>
  <c r="R339" i="1"/>
  <c r="P339" i="1"/>
  <c r="N339" i="1"/>
  <c r="Y339" i="1" s="1"/>
  <c r="L339" i="1"/>
  <c r="J339" i="1"/>
  <c r="H339" i="1"/>
  <c r="G339" i="1"/>
  <c r="E339" i="1"/>
  <c r="B339" i="1"/>
  <c r="W339" i="1" s="1"/>
  <c r="Y338" i="1"/>
  <c r="W338" i="1"/>
  <c r="V338" i="1"/>
  <c r="U338" i="1"/>
  <c r="R338" i="1"/>
  <c r="P338" i="1"/>
  <c r="T338" i="1" s="1"/>
  <c r="N338" i="1"/>
  <c r="L338" i="1"/>
  <c r="J338" i="1"/>
  <c r="H338" i="1"/>
  <c r="G338" i="1"/>
  <c r="E338" i="1"/>
  <c r="B338" i="1"/>
  <c r="Y337" i="1"/>
  <c r="V337" i="1"/>
  <c r="R337" i="1"/>
  <c r="P337" i="1"/>
  <c r="N337" i="1"/>
  <c r="L337" i="1"/>
  <c r="J337" i="1"/>
  <c r="H337" i="1"/>
  <c r="G337" i="1"/>
  <c r="E337" i="1"/>
  <c r="B337" i="1"/>
  <c r="Y336" i="1"/>
  <c r="W336" i="1"/>
  <c r="V336" i="1"/>
  <c r="T336" i="1"/>
  <c r="R336" i="1"/>
  <c r="P336" i="1"/>
  <c r="N336" i="1"/>
  <c r="L336" i="1"/>
  <c r="J336" i="1"/>
  <c r="H336" i="1"/>
  <c r="G336" i="1"/>
  <c r="E336" i="1"/>
  <c r="B336" i="1"/>
  <c r="U336" i="1" s="1"/>
  <c r="X335" i="1" a="1"/>
  <c r="X335" i="1" s="1"/>
  <c r="W335" i="1"/>
  <c r="U335" i="1"/>
  <c r="T335" i="1"/>
  <c r="Z335" i="1" s="1"/>
  <c r="R335" i="1"/>
  <c r="P335" i="1"/>
  <c r="N335" i="1"/>
  <c r="Y335" i="1" s="1"/>
  <c r="L335" i="1"/>
  <c r="J335" i="1"/>
  <c r="H335" i="1"/>
  <c r="G335" i="1"/>
  <c r="E335" i="1"/>
  <c r="B335" i="1"/>
  <c r="V335" i="1" s="1"/>
  <c r="X334" i="1"/>
  <c r="X334" i="1" a="1"/>
  <c r="V334" i="1"/>
  <c r="U334" i="1"/>
  <c r="T334" i="1"/>
  <c r="Z334" i="1" s="1"/>
  <c r="R334" i="1"/>
  <c r="P334" i="1"/>
  <c r="N334" i="1"/>
  <c r="Y334" i="1" s="1"/>
  <c r="L334" i="1"/>
  <c r="J334" i="1"/>
  <c r="H334" i="1"/>
  <c r="G334" i="1"/>
  <c r="E334" i="1"/>
  <c r="B334" i="1"/>
  <c r="W334" i="1" s="1"/>
  <c r="Y333" i="1"/>
  <c r="W333" i="1"/>
  <c r="V333" i="1"/>
  <c r="U333" i="1"/>
  <c r="R333" i="1"/>
  <c r="P333" i="1"/>
  <c r="T333" i="1" s="1"/>
  <c r="N333" i="1"/>
  <c r="L333" i="1"/>
  <c r="J333" i="1"/>
  <c r="H333" i="1"/>
  <c r="G333" i="1"/>
  <c r="E333" i="1"/>
  <c r="B333" i="1"/>
  <c r="Y332" i="1"/>
  <c r="R332" i="1"/>
  <c r="P332" i="1"/>
  <c r="N332" i="1"/>
  <c r="L332" i="1"/>
  <c r="J332" i="1"/>
  <c r="H332" i="1"/>
  <c r="G332" i="1"/>
  <c r="E332" i="1"/>
  <c r="B332" i="1"/>
  <c r="T331" i="1"/>
  <c r="R331" i="1"/>
  <c r="P331" i="1"/>
  <c r="N331" i="1"/>
  <c r="Y331" i="1" s="1"/>
  <c r="L331" i="1"/>
  <c r="J331" i="1"/>
  <c r="H331" i="1"/>
  <c r="G331" i="1"/>
  <c r="E331" i="1"/>
  <c r="B331" i="1"/>
  <c r="W331" i="1" s="1"/>
  <c r="Y330" i="1"/>
  <c r="W330" i="1"/>
  <c r="V330" i="1"/>
  <c r="U330" i="1"/>
  <c r="R330" i="1"/>
  <c r="P330" i="1"/>
  <c r="T330" i="1" s="1"/>
  <c r="N330" i="1"/>
  <c r="L330" i="1"/>
  <c r="J330" i="1"/>
  <c r="H330" i="1"/>
  <c r="G330" i="1"/>
  <c r="E330" i="1"/>
  <c r="B330" i="1"/>
  <c r="Y329" i="1"/>
  <c r="R329" i="1"/>
  <c r="P329" i="1"/>
  <c r="N329" i="1"/>
  <c r="L329" i="1"/>
  <c r="J329" i="1"/>
  <c r="H329" i="1"/>
  <c r="G329" i="1"/>
  <c r="E329" i="1"/>
  <c r="B329" i="1"/>
  <c r="Y328" i="1"/>
  <c r="W328" i="1"/>
  <c r="V328" i="1"/>
  <c r="T328" i="1"/>
  <c r="R328" i="1"/>
  <c r="P328" i="1"/>
  <c r="N328" i="1"/>
  <c r="L328" i="1"/>
  <c r="J328" i="1"/>
  <c r="H328" i="1"/>
  <c r="G328" i="1"/>
  <c r="E328" i="1"/>
  <c r="B328" i="1"/>
  <c r="U328" i="1" s="1"/>
  <c r="X327" i="1" a="1"/>
  <c r="X327" i="1" s="1"/>
  <c r="W327" i="1"/>
  <c r="U327" i="1"/>
  <c r="T327" i="1"/>
  <c r="Z327" i="1" s="1"/>
  <c r="R327" i="1"/>
  <c r="P327" i="1"/>
  <c r="N327" i="1"/>
  <c r="Y327" i="1" s="1"/>
  <c r="L327" i="1"/>
  <c r="J327" i="1"/>
  <c r="H327" i="1"/>
  <c r="G327" i="1"/>
  <c r="E327" i="1"/>
  <c r="B327" i="1"/>
  <c r="V327" i="1" s="1"/>
  <c r="X326" i="1"/>
  <c r="X326" i="1" a="1"/>
  <c r="V326" i="1"/>
  <c r="U326" i="1"/>
  <c r="T326" i="1"/>
  <c r="Z326" i="1" s="1"/>
  <c r="R326" i="1"/>
  <c r="P326" i="1"/>
  <c r="N326" i="1"/>
  <c r="Y326" i="1" s="1"/>
  <c r="L326" i="1"/>
  <c r="J326" i="1"/>
  <c r="H326" i="1"/>
  <c r="G326" i="1"/>
  <c r="E326" i="1"/>
  <c r="B326" i="1"/>
  <c r="W326" i="1" s="1"/>
  <c r="Y325" i="1"/>
  <c r="W325" i="1"/>
  <c r="V325" i="1"/>
  <c r="U325" i="1"/>
  <c r="R325" i="1"/>
  <c r="P325" i="1"/>
  <c r="T325" i="1" s="1"/>
  <c r="N325" i="1"/>
  <c r="L325" i="1"/>
  <c r="J325" i="1"/>
  <c r="H325" i="1"/>
  <c r="G325" i="1"/>
  <c r="E325" i="1"/>
  <c r="B325" i="1"/>
  <c r="Y324" i="1"/>
  <c r="X324" i="1" a="1"/>
  <c r="X324" i="1" s="1"/>
  <c r="R324" i="1"/>
  <c r="P324" i="1"/>
  <c r="T324" i="1" s="1"/>
  <c r="Z324" i="1" s="1"/>
  <c r="N324" i="1"/>
  <c r="L324" i="1"/>
  <c r="J324" i="1"/>
  <c r="H324" i="1"/>
  <c r="G324" i="1"/>
  <c r="E324" i="1"/>
  <c r="B324" i="1"/>
  <c r="T323" i="1"/>
  <c r="R323" i="1"/>
  <c r="P323" i="1"/>
  <c r="N323" i="1"/>
  <c r="Y323" i="1" s="1"/>
  <c r="L323" i="1"/>
  <c r="J323" i="1"/>
  <c r="H323" i="1"/>
  <c r="G323" i="1"/>
  <c r="E323" i="1"/>
  <c r="B323" i="1"/>
  <c r="W323" i="1" s="1"/>
  <c r="Y322" i="1"/>
  <c r="W322" i="1"/>
  <c r="V322" i="1"/>
  <c r="U322" i="1"/>
  <c r="R322" i="1"/>
  <c r="P322" i="1"/>
  <c r="T322" i="1" s="1"/>
  <c r="N322" i="1"/>
  <c r="L322" i="1"/>
  <c r="J322" i="1"/>
  <c r="H322" i="1"/>
  <c r="G322" i="1"/>
  <c r="E322" i="1"/>
  <c r="B322" i="1"/>
  <c r="Z321" i="1"/>
  <c r="Y321" i="1"/>
  <c r="V321" i="1"/>
  <c r="R321" i="1"/>
  <c r="P321" i="1"/>
  <c r="T321" i="1" s="1"/>
  <c r="X321" i="1" s="1" a="1"/>
  <c r="X321" i="1" s="1"/>
  <c r="N321" i="1"/>
  <c r="L321" i="1"/>
  <c r="J321" i="1"/>
  <c r="H321" i="1"/>
  <c r="G321" i="1"/>
  <c r="E321" i="1"/>
  <c r="B321" i="1"/>
  <c r="Y320" i="1"/>
  <c r="W320" i="1"/>
  <c r="V320" i="1"/>
  <c r="T320" i="1"/>
  <c r="R320" i="1"/>
  <c r="P320" i="1"/>
  <c r="N320" i="1"/>
  <c r="L320" i="1"/>
  <c r="J320" i="1"/>
  <c r="H320" i="1"/>
  <c r="G320" i="1"/>
  <c r="E320" i="1"/>
  <c r="B320" i="1"/>
  <c r="U320" i="1" s="1"/>
  <c r="X319" i="1" a="1"/>
  <c r="X319" i="1" s="1"/>
  <c r="W319" i="1"/>
  <c r="U319" i="1"/>
  <c r="T319" i="1"/>
  <c r="Z319" i="1" s="1"/>
  <c r="R319" i="1"/>
  <c r="P319" i="1"/>
  <c r="N319" i="1"/>
  <c r="Y319" i="1" s="1"/>
  <c r="L319" i="1"/>
  <c r="J319" i="1"/>
  <c r="H319" i="1"/>
  <c r="G319" i="1"/>
  <c r="E319" i="1"/>
  <c r="B319" i="1"/>
  <c r="V319" i="1" s="1"/>
  <c r="X318" i="1"/>
  <c r="X318" i="1" a="1"/>
  <c r="V318" i="1"/>
  <c r="U318" i="1"/>
  <c r="T318" i="1"/>
  <c r="Z318" i="1" s="1"/>
  <c r="R318" i="1"/>
  <c r="P318" i="1"/>
  <c r="N318" i="1"/>
  <c r="Y318" i="1" s="1"/>
  <c r="L318" i="1"/>
  <c r="J318" i="1"/>
  <c r="H318" i="1"/>
  <c r="G318" i="1"/>
  <c r="E318" i="1"/>
  <c r="B318" i="1"/>
  <c r="W318" i="1" s="1"/>
  <c r="Y317" i="1"/>
  <c r="W317" i="1"/>
  <c r="V317" i="1"/>
  <c r="U317" i="1"/>
  <c r="R317" i="1"/>
  <c r="P317" i="1"/>
  <c r="T317" i="1" s="1"/>
  <c r="N317" i="1"/>
  <c r="L317" i="1"/>
  <c r="J317" i="1"/>
  <c r="H317" i="1"/>
  <c r="G317" i="1"/>
  <c r="E317" i="1"/>
  <c r="B317" i="1"/>
  <c r="Y316" i="1"/>
  <c r="R316" i="1"/>
  <c r="P316" i="1"/>
  <c r="T316" i="1" s="1"/>
  <c r="Z316" i="1" s="1"/>
  <c r="N316" i="1"/>
  <c r="L316" i="1"/>
  <c r="J316" i="1"/>
  <c r="H316" i="1"/>
  <c r="G316" i="1"/>
  <c r="E316" i="1"/>
  <c r="B316" i="1"/>
  <c r="T315" i="1"/>
  <c r="R315" i="1"/>
  <c r="P315" i="1"/>
  <c r="N315" i="1"/>
  <c r="Y315" i="1" s="1"/>
  <c r="L315" i="1"/>
  <c r="J315" i="1"/>
  <c r="H315" i="1"/>
  <c r="G315" i="1"/>
  <c r="E315" i="1"/>
  <c r="B315" i="1"/>
  <c r="W315" i="1" s="1"/>
  <c r="Y314" i="1"/>
  <c r="W314" i="1"/>
  <c r="V314" i="1"/>
  <c r="U314" i="1"/>
  <c r="R314" i="1"/>
  <c r="P314" i="1"/>
  <c r="T314" i="1" s="1"/>
  <c r="N314" i="1"/>
  <c r="L314" i="1"/>
  <c r="J314" i="1"/>
  <c r="H314" i="1"/>
  <c r="G314" i="1"/>
  <c r="E314" i="1"/>
  <c r="B314" i="1"/>
  <c r="Y313" i="1"/>
  <c r="R313" i="1"/>
  <c r="P313" i="1"/>
  <c r="N313" i="1"/>
  <c r="L313" i="1"/>
  <c r="J313" i="1"/>
  <c r="H313" i="1"/>
  <c r="G313" i="1"/>
  <c r="E313" i="1"/>
  <c r="B313" i="1"/>
  <c r="Y312" i="1"/>
  <c r="W312" i="1"/>
  <c r="T312" i="1"/>
  <c r="R312" i="1"/>
  <c r="P312" i="1"/>
  <c r="N312" i="1"/>
  <c r="L312" i="1"/>
  <c r="J312" i="1"/>
  <c r="H312" i="1"/>
  <c r="G312" i="1"/>
  <c r="E312" i="1"/>
  <c r="B312" i="1"/>
  <c r="V312" i="1" s="1"/>
  <c r="X311" i="1" a="1"/>
  <c r="X311" i="1" s="1"/>
  <c r="W311" i="1"/>
  <c r="U311" i="1"/>
  <c r="T311" i="1"/>
  <c r="Z311" i="1" s="1"/>
  <c r="R311" i="1"/>
  <c r="P311" i="1"/>
  <c r="N311" i="1"/>
  <c r="Y311" i="1" s="1"/>
  <c r="L311" i="1"/>
  <c r="J311" i="1"/>
  <c r="H311" i="1"/>
  <c r="G311" i="1"/>
  <c r="E311" i="1"/>
  <c r="B311" i="1"/>
  <c r="V311" i="1" s="1"/>
  <c r="X310" i="1"/>
  <c r="X310" i="1" a="1"/>
  <c r="V310" i="1"/>
  <c r="U310" i="1"/>
  <c r="T310" i="1"/>
  <c r="Z310" i="1" s="1"/>
  <c r="R310" i="1"/>
  <c r="P310" i="1"/>
  <c r="N310" i="1"/>
  <c r="Y310" i="1" s="1"/>
  <c r="L310" i="1"/>
  <c r="J310" i="1"/>
  <c r="H310" i="1"/>
  <c r="G310" i="1"/>
  <c r="E310" i="1"/>
  <c r="B310" i="1"/>
  <c r="W310" i="1" s="1"/>
  <c r="Y309" i="1"/>
  <c r="W309" i="1"/>
  <c r="V309" i="1"/>
  <c r="U309" i="1"/>
  <c r="R309" i="1"/>
  <c r="P309" i="1"/>
  <c r="T309" i="1" s="1"/>
  <c r="N309" i="1"/>
  <c r="L309" i="1"/>
  <c r="J309" i="1"/>
  <c r="H309" i="1"/>
  <c r="G309" i="1"/>
  <c r="E309" i="1"/>
  <c r="B309" i="1"/>
  <c r="Y308" i="1"/>
  <c r="R308" i="1"/>
  <c r="P308" i="1"/>
  <c r="N308" i="1"/>
  <c r="L308" i="1"/>
  <c r="J308" i="1"/>
  <c r="H308" i="1"/>
  <c r="G308" i="1"/>
  <c r="E308" i="1"/>
  <c r="B308" i="1"/>
  <c r="T307" i="1"/>
  <c r="R307" i="1"/>
  <c r="P307" i="1"/>
  <c r="N307" i="1"/>
  <c r="Y307" i="1" s="1"/>
  <c r="L307" i="1"/>
  <c r="J307" i="1"/>
  <c r="H307" i="1"/>
  <c r="G307" i="1"/>
  <c r="E307" i="1"/>
  <c r="B307" i="1"/>
  <c r="W307" i="1" s="1"/>
  <c r="Y306" i="1"/>
  <c r="W306" i="1"/>
  <c r="V306" i="1"/>
  <c r="U306" i="1"/>
  <c r="R306" i="1"/>
  <c r="P306" i="1"/>
  <c r="T306" i="1" s="1"/>
  <c r="N306" i="1"/>
  <c r="L306" i="1"/>
  <c r="J306" i="1"/>
  <c r="H306" i="1"/>
  <c r="G306" i="1"/>
  <c r="E306" i="1"/>
  <c r="B306" i="1"/>
  <c r="Y305" i="1"/>
  <c r="R305" i="1"/>
  <c r="P305" i="1"/>
  <c r="T305" i="1" s="1"/>
  <c r="X305" i="1" s="1" a="1"/>
  <c r="X305" i="1" s="1"/>
  <c r="N305" i="1"/>
  <c r="L305" i="1"/>
  <c r="J305" i="1"/>
  <c r="H305" i="1"/>
  <c r="G305" i="1"/>
  <c r="E305" i="1"/>
  <c r="B305" i="1"/>
  <c r="Y304" i="1"/>
  <c r="W304" i="1"/>
  <c r="T304" i="1"/>
  <c r="R304" i="1"/>
  <c r="P304" i="1"/>
  <c r="N304" i="1"/>
  <c r="L304" i="1"/>
  <c r="J304" i="1"/>
  <c r="H304" i="1"/>
  <c r="G304" i="1"/>
  <c r="E304" i="1"/>
  <c r="B304" i="1"/>
  <c r="V304" i="1" s="1"/>
  <c r="X303" i="1" a="1"/>
  <c r="X303" i="1" s="1"/>
  <c r="W303" i="1"/>
  <c r="U303" i="1"/>
  <c r="T303" i="1"/>
  <c r="Z303" i="1" s="1"/>
  <c r="R303" i="1"/>
  <c r="P303" i="1"/>
  <c r="N303" i="1"/>
  <c r="Y303" i="1" s="1"/>
  <c r="L303" i="1"/>
  <c r="J303" i="1"/>
  <c r="H303" i="1"/>
  <c r="G303" i="1"/>
  <c r="E303" i="1"/>
  <c r="B303" i="1"/>
  <c r="V303" i="1" s="1"/>
  <c r="X302" i="1"/>
  <c r="X302" i="1" a="1"/>
  <c r="V302" i="1"/>
  <c r="U302" i="1"/>
  <c r="T302" i="1"/>
  <c r="Z302" i="1" s="1"/>
  <c r="R302" i="1"/>
  <c r="P302" i="1"/>
  <c r="N302" i="1"/>
  <c r="Y302" i="1" s="1"/>
  <c r="L302" i="1"/>
  <c r="J302" i="1"/>
  <c r="H302" i="1"/>
  <c r="G302" i="1"/>
  <c r="E302" i="1"/>
  <c r="B302" i="1"/>
  <c r="W302" i="1" s="1"/>
  <c r="Y301" i="1"/>
  <c r="W301" i="1"/>
  <c r="V301" i="1"/>
  <c r="U301" i="1"/>
  <c r="R301" i="1"/>
  <c r="P301" i="1"/>
  <c r="T301" i="1" s="1"/>
  <c r="N301" i="1"/>
  <c r="L301" i="1"/>
  <c r="J301" i="1"/>
  <c r="H301" i="1"/>
  <c r="G301" i="1"/>
  <c r="E301" i="1"/>
  <c r="B301" i="1"/>
  <c r="Y300" i="1"/>
  <c r="R300" i="1"/>
  <c r="P300" i="1"/>
  <c r="T300" i="1" s="1"/>
  <c r="Z300" i="1" s="1"/>
  <c r="N300" i="1"/>
  <c r="L300" i="1"/>
  <c r="J300" i="1"/>
  <c r="H300" i="1"/>
  <c r="G300" i="1"/>
  <c r="E300" i="1"/>
  <c r="B300" i="1"/>
  <c r="T299" i="1"/>
  <c r="R299" i="1"/>
  <c r="P299" i="1"/>
  <c r="N299" i="1"/>
  <c r="Y299" i="1" s="1"/>
  <c r="L299" i="1"/>
  <c r="J299" i="1"/>
  <c r="H299" i="1"/>
  <c r="G299" i="1"/>
  <c r="E299" i="1"/>
  <c r="B299" i="1"/>
  <c r="W299" i="1" s="1"/>
  <c r="Y298" i="1"/>
  <c r="W298" i="1"/>
  <c r="V298" i="1"/>
  <c r="U298" i="1"/>
  <c r="R298" i="1"/>
  <c r="P298" i="1"/>
  <c r="T298" i="1" s="1"/>
  <c r="N298" i="1"/>
  <c r="L298" i="1"/>
  <c r="J298" i="1"/>
  <c r="H298" i="1"/>
  <c r="G298" i="1"/>
  <c r="E298" i="1"/>
  <c r="B298" i="1"/>
  <c r="Y297" i="1"/>
  <c r="R297" i="1"/>
  <c r="P297" i="1"/>
  <c r="N297" i="1"/>
  <c r="L297" i="1"/>
  <c r="J297" i="1"/>
  <c r="H297" i="1"/>
  <c r="G297" i="1"/>
  <c r="E297" i="1"/>
  <c r="B297" i="1"/>
  <c r="Y296" i="1"/>
  <c r="W296" i="1"/>
  <c r="T296" i="1"/>
  <c r="R296" i="1"/>
  <c r="P296" i="1"/>
  <c r="N296" i="1"/>
  <c r="L296" i="1"/>
  <c r="J296" i="1"/>
  <c r="H296" i="1"/>
  <c r="G296" i="1"/>
  <c r="E296" i="1"/>
  <c r="B296" i="1"/>
  <c r="V296" i="1" s="1"/>
  <c r="X295" i="1" a="1"/>
  <c r="X295" i="1" s="1"/>
  <c r="W295" i="1"/>
  <c r="U295" i="1"/>
  <c r="T295" i="1"/>
  <c r="Z295" i="1" s="1"/>
  <c r="R295" i="1"/>
  <c r="P295" i="1"/>
  <c r="N295" i="1"/>
  <c r="Y295" i="1" s="1"/>
  <c r="L295" i="1"/>
  <c r="J295" i="1"/>
  <c r="H295" i="1"/>
  <c r="G295" i="1"/>
  <c r="E295" i="1"/>
  <c r="B295" i="1"/>
  <c r="V295" i="1" s="1"/>
  <c r="X294" i="1"/>
  <c r="X294" i="1" a="1"/>
  <c r="V294" i="1"/>
  <c r="U294" i="1"/>
  <c r="T294" i="1"/>
  <c r="Z294" i="1" s="1"/>
  <c r="R294" i="1"/>
  <c r="P294" i="1"/>
  <c r="N294" i="1"/>
  <c r="Y294" i="1" s="1"/>
  <c r="L294" i="1"/>
  <c r="J294" i="1"/>
  <c r="H294" i="1"/>
  <c r="G294" i="1"/>
  <c r="E294" i="1"/>
  <c r="B294" i="1"/>
  <c r="W294" i="1" s="1"/>
  <c r="Y293" i="1"/>
  <c r="W293" i="1"/>
  <c r="V293" i="1"/>
  <c r="R293" i="1"/>
  <c r="P293" i="1"/>
  <c r="T293" i="1" s="1"/>
  <c r="N293" i="1"/>
  <c r="L293" i="1"/>
  <c r="J293" i="1"/>
  <c r="H293" i="1"/>
  <c r="G293" i="1"/>
  <c r="E293" i="1"/>
  <c r="B293" i="1"/>
  <c r="U293" i="1" s="1"/>
  <c r="Y292" i="1"/>
  <c r="X292" i="1" a="1"/>
  <c r="X292" i="1" s="1"/>
  <c r="R292" i="1"/>
  <c r="P292" i="1"/>
  <c r="T292" i="1" s="1"/>
  <c r="Z292" i="1" s="1"/>
  <c r="N292" i="1"/>
  <c r="L292" i="1"/>
  <c r="J292" i="1"/>
  <c r="H292" i="1"/>
  <c r="G292" i="1"/>
  <c r="E292" i="1"/>
  <c r="B292" i="1"/>
  <c r="T291" i="1"/>
  <c r="R291" i="1"/>
  <c r="P291" i="1"/>
  <c r="N291" i="1"/>
  <c r="Y291" i="1" s="1"/>
  <c r="L291" i="1"/>
  <c r="J291" i="1"/>
  <c r="H291" i="1"/>
  <c r="G291" i="1"/>
  <c r="E291" i="1"/>
  <c r="B291" i="1"/>
  <c r="W291" i="1" s="1"/>
  <c r="Y290" i="1"/>
  <c r="W290" i="1"/>
  <c r="V290" i="1"/>
  <c r="U290" i="1"/>
  <c r="R290" i="1"/>
  <c r="P290" i="1"/>
  <c r="T290" i="1" s="1"/>
  <c r="N290" i="1"/>
  <c r="L290" i="1"/>
  <c r="J290" i="1"/>
  <c r="H290" i="1"/>
  <c r="G290" i="1"/>
  <c r="E290" i="1"/>
  <c r="B290" i="1"/>
  <c r="Z289" i="1"/>
  <c r="Y289" i="1"/>
  <c r="V289" i="1"/>
  <c r="R289" i="1"/>
  <c r="P289" i="1"/>
  <c r="T289" i="1" s="1"/>
  <c r="X289" i="1" s="1" a="1"/>
  <c r="X289" i="1" s="1"/>
  <c r="N289" i="1"/>
  <c r="L289" i="1"/>
  <c r="J289" i="1"/>
  <c r="H289" i="1"/>
  <c r="G289" i="1"/>
  <c r="E289" i="1"/>
  <c r="B289" i="1"/>
  <c r="Y288" i="1"/>
  <c r="W288" i="1"/>
  <c r="T288" i="1"/>
  <c r="R288" i="1"/>
  <c r="P288" i="1"/>
  <c r="N288" i="1"/>
  <c r="L288" i="1"/>
  <c r="J288" i="1"/>
  <c r="H288" i="1"/>
  <c r="G288" i="1"/>
  <c r="E288" i="1"/>
  <c r="B288" i="1"/>
  <c r="V288" i="1" s="1"/>
  <c r="X287" i="1" a="1"/>
  <c r="X287" i="1" s="1"/>
  <c r="W287" i="1"/>
  <c r="U287" i="1"/>
  <c r="T287" i="1"/>
  <c r="Z287" i="1" s="1"/>
  <c r="R287" i="1"/>
  <c r="P287" i="1"/>
  <c r="N287" i="1"/>
  <c r="Y287" i="1" s="1"/>
  <c r="L287" i="1"/>
  <c r="J287" i="1"/>
  <c r="H287" i="1"/>
  <c r="G287" i="1"/>
  <c r="E287" i="1"/>
  <c r="B287" i="1"/>
  <c r="V287" i="1" s="1"/>
  <c r="V286" i="1"/>
  <c r="U286" i="1"/>
  <c r="R286" i="1"/>
  <c r="P286" i="1"/>
  <c r="T286" i="1" s="1"/>
  <c r="N286" i="1"/>
  <c r="Y286" i="1" s="1"/>
  <c r="L286" i="1"/>
  <c r="J286" i="1"/>
  <c r="H286" i="1"/>
  <c r="G286" i="1"/>
  <c r="E286" i="1"/>
  <c r="B286" i="1"/>
  <c r="W286" i="1" s="1"/>
  <c r="Y285" i="1"/>
  <c r="W285" i="1"/>
  <c r="V285" i="1"/>
  <c r="R285" i="1"/>
  <c r="P285" i="1"/>
  <c r="T285" i="1" s="1"/>
  <c r="N285" i="1"/>
  <c r="L285" i="1"/>
  <c r="J285" i="1"/>
  <c r="H285" i="1"/>
  <c r="G285" i="1"/>
  <c r="E285" i="1"/>
  <c r="B285" i="1"/>
  <c r="U285" i="1" s="1"/>
  <c r="Y284" i="1"/>
  <c r="R284" i="1"/>
  <c r="P284" i="1"/>
  <c r="N284" i="1"/>
  <c r="L284" i="1"/>
  <c r="J284" i="1"/>
  <c r="H284" i="1"/>
  <c r="G284" i="1"/>
  <c r="E284" i="1"/>
  <c r="B284" i="1"/>
  <c r="T283" i="1"/>
  <c r="R283" i="1"/>
  <c r="P283" i="1"/>
  <c r="N283" i="1"/>
  <c r="Y283" i="1" s="1"/>
  <c r="L283" i="1"/>
  <c r="J283" i="1"/>
  <c r="H283" i="1"/>
  <c r="G283" i="1"/>
  <c r="E283" i="1"/>
  <c r="B283" i="1"/>
  <c r="W283" i="1" s="1"/>
  <c r="Y282" i="1"/>
  <c r="W282" i="1"/>
  <c r="V282" i="1"/>
  <c r="U282" i="1"/>
  <c r="R282" i="1"/>
  <c r="P282" i="1"/>
  <c r="T282" i="1" s="1"/>
  <c r="N282" i="1"/>
  <c r="L282" i="1"/>
  <c r="J282" i="1"/>
  <c r="H282" i="1"/>
  <c r="G282" i="1"/>
  <c r="E282" i="1"/>
  <c r="B282" i="1"/>
  <c r="Y281" i="1"/>
  <c r="R281" i="1"/>
  <c r="P281" i="1"/>
  <c r="T281" i="1" s="1"/>
  <c r="X281" i="1" s="1" a="1"/>
  <c r="X281" i="1" s="1"/>
  <c r="N281" i="1"/>
  <c r="L281" i="1"/>
  <c r="J281" i="1"/>
  <c r="H281" i="1"/>
  <c r="G281" i="1"/>
  <c r="E281" i="1"/>
  <c r="B281" i="1"/>
  <c r="W280" i="1"/>
  <c r="T280" i="1"/>
  <c r="R280" i="1"/>
  <c r="P280" i="1"/>
  <c r="N280" i="1"/>
  <c r="Y280" i="1" s="1"/>
  <c r="L280" i="1"/>
  <c r="J280" i="1"/>
  <c r="H280" i="1"/>
  <c r="G280" i="1"/>
  <c r="E280" i="1"/>
  <c r="B280" i="1"/>
  <c r="V280" i="1" s="1"/>
  <c r="X279" i="1" a="1"/>
  <c r="X279" i="1" s="1"/>
  <c r="W279" i="1"/>
  <c r="U279" i="1"/>
  <c r="T279" i="1"/>
  <c r="Z279" i="1" s="1"/>
  <c r="R279" i="1"/>
  <c r="P279" i="1"/>
  <c r="N279" i="1"/>
  <c r="Y279" i="1" s="1"/>
  <c r="L279" i="1"/>
  <c r="J279" i="1"/>
  <c r="H279" i="1"/>
  <c r="G279" i="1"/>
  <c r="E279" i="1"/>
  <c r="B279" i="1"/>
  <c r="V279" i="1" s="1"/>
  <c r="V278" i="1"/>
  <c r="U278" i="1"/>
  <c r="R278" i="1"/>
  <c r="P278" i="1"/>
  <c r="T278" i="1" s="1"/>
  <c r="N278" i="1"/>
  <c r="Y278" i="1" s="1"/>
  <c r="L278" i="1"/>
  <c r="J278" i="1"/>
  <c r="H278" i="1"/>
  <c r="G278" i="1"/>
  <c r="E278" i="1"/>
  <c r="B278" i="1"/>
  <c r="W278" i="1" s="1"/>
  <c r="Y277" i="1"/>
  <c r="W277" i="1"/>
  <c r="V277" i="1"/>
  <c r="R277" i="1"/>
  <c r="P277" i="1"/>
  <c r="T277" i="1" s="1"/>
  <c r="N277" i="1"/>
  <c r="L277" i="1"/>
  <c r="J277" i="1"/>
  <c r="H277" i="1"/>
  <c r="G277" i="1"/>
  <c r="E277" i="1"/>
  <c r="B277" i="1"/>
  <c r="U277" i="1" s="1"/>
  <c r="Y276" i="1"/>
  <c r="R276" i="1"/>
  <c r="P276" i="1"/>
  <c r="N276" i="1"/>
  <c r="L276" i="1"/>
  <c r="J276" i="1"/>
  <c r="H276" i="1"/>
  <c r="G276" i="1"/>
  <c r="E276" i="1"/>
  <c r="B276" i="1"/>
  <c r="T275" i="1"/>
  <c r="R275" i="1"/>
  <c r="P275" i="1"/>
  <c r="N275" i="1"/>
  <c r="Y275" i="1" s="1"/>
  <c r="L275" i="1"/>
  <c r="J275" i="1"/>
  <c r="H275" i="1"/>
  <c r="G275" i="1"/>
  <c r="E275" i="1"/>
  <c r="B275" i="1"/>
  <c r="W275" i="1" s="1"/>
  <c r="Y274" i="1"/>
  <c r="W274" i="1"/>
  <c r="V274" i="1"/>
  <c r="U274" i="1"/>
  <c r="R274" i="1"/>
  <c r="P274" i="1"/>
  <c r="T274" i="1" s="1"/>
  <c r="N274" i="1"/>
  <c r="L274" i="1"/>
  <c r="J274" i="1"/>
  <c r="H274" i="1"/>
  <c r="G274" i="1"/>
  <c r="E274" i="1"/>
  <c r="B274" i="1"/>
  <c r="Y273" i="1"/>
  <c r="R273" i="1"/>
  <c r="P273" i="1"/>
  <c r="T273" i="1" s="1"/>
  <c r="X273" i="1" s="1" a="1"/>
  <c r="X273" i="1" s="1"/>
  <c r="N273" i="1"/>
  <c r="L273" i="1"/>
  <c r="J273" i="1"/>
  <c r="H273" i="1"/>
  <c r="G273" i="1"/>
  <c r="E273" i="1"/>
  <c r="B273" i="1"/>
  <c r="W272" i="1"/>
  <c r="T272" i="1"/>
  <c r="R272" i="1"/>
  <c r="P272" i="1"/>
  <c r="N272" i="1"/>
  <c r="Y272" i="1" s="1"/>
  <c r="L272" i="1"/>
  <c r="J272" i="1"/>
  <c r="H272" i="1"/>
  <c r="G272" i="1"/>
  <c r="E272" i="1"/>
  <c r="B272" i="1"/>
  <c r="V272" i="1" s="1"/>
  <c r="X271" i="1" a="1"/>
  <c r="X271" i="1" s="1"/>
  <c r="W271" i="1"/>
  <c r="U271" i="1"/>
  <c r="T271" i="1"/>
  <c r="Z271" i="1" s="1"/>
  <c r="R271" i="1"/>
  <c r="P271" i="1"/>
  <c r="N271" i="1"/>
  <c r="Y271" i="1" s="1"/>
  <c r="L271" i="1"/>
  <c r="J271" i="1"/>
  <c r="H271" i="1"/>
  <c r="G271" i="1"/>
  <c r="E271" i="1"/>
  <c r="B271" i="1"/>
  <c r="V271" i="1" s="1"/>
  <c r="V270" i="1"/>
  <c r="U270" i="1"/>
  <c r="R270" i="1"/>
  <c r="P270" i="1"/>
  <c r="T270" i="1" s="1"/>
  <c r="N270" i="1"/>
  <c r="Y270" i="1" s="1"/>
  <c r="L270" i="1"/>
  <c r="J270" i="1"/>
  <c r="H270" i="1"/>
  <c r="G270" i="1"/>
  <c r="E270" i="1"/>
  <c r="B270" i="1"/>
  <c r="W270" i="1" s="1"/>
  <c r="Y269" i="1"/>
  <c r="W269" i="1"/>
  <c r="V269" i="1"/>
  <c r="R269" i="1"/>
  <c r="P269" i="1"/>
  <c r="T269" i="1" s="1"/>
  <c r="N269" i="1"/>
  <c r="L269" i="1"/>
  <c r="J269" i="1"/>
  <c r="H269" i="1"/>
  <c r="G269" i="1"/>
  <c r="E269" i="1"/>
  <c r="B269" i="1"/>
  <c r="U269" i="1" s="1"/>
  <c r="Y268" i="1"/>
  <c r="R268" i="1"/>
  <c r="P268" i="1"/>
  <c r="N268" i="1"/>
  <c r="L268" i="1"/>
  <c r="J268" i="1"/>
  <c r="H268" i="1"/>
  <c r="G268" i="1"/>
  <c r="E268" i="1"/>
  <c r="B268" i="1"/>
  <c r="T267" i="1"/>
  <c r="R267" i="1"/>
  <c r="P267" i="1"/>
  <c r="N267" i="1"/>
  <c r="Y267" i="1" s="1"/>
  <c r="L267" i="1"/>
  <c r="J267" i="1"/>
  <c r="H267" i="1"/>
  <c r="G267" i="1"/>
  <c r="E267" i="1"/>
  <c r="B267" i="1"/>
  <c r="W267" i="1" s="1"/>
  <c r="Y266" i="1"/>
  <c r="W266" i="1"/>
  <c r="V266" i="1"/>
  <c r="U266" i="1"/>
  <c r="R266" i="1"/>
  <c r="P266" i="1"/>
  <c r="T266" i="1" s="1"/>
  <c r="N266" i="1"/>
  <c r="L266" i="1"/>
  <c r="J266" i="1"/>
  <c r="H266" i="1"/>
  <c r="G266" i="1"/>
  <c r="E266" i="1"/>
  <c r="B266" i="1"/>
  <c r="Y265" i="1"/>
  <c r="R265" i="1"/>
  <c r="P265" i="1"/>
  <c r="T265" i="1" s="1"/>
  <c r="X265" i="1" s="1" a="1"/>
  <c r="X265" i="1" s="1"/>
  <c r="N265" i="1"/>
  <c r="L265" i="1"/>
  <c r="J265" i="1"/>
  <c r="H265" i="1"/>
  <c r="G265" i="1"/>
  <c r="E265" i="1"/>
  <c r="B265" i="1"/>
  <c r="W264" i="1"/>
  <c r="T264" i="1"/>
  <c r="R264" i="1"/>
  <c r="P264" i="1"/>
  <c r="N264" i="1"/>
  <c r="Y264" i="1" s="1"/>
  <c r="L264" i="1"/>
  <c r="J264" i="1"/>
  <c r="H264" i="1"/>
  <c r="G264" i="1"/>
  <c r="E264" i="1"/>
  <c r="B264" i="1"/>
  <c r="V264" i="1" s="1"/>
  <c r="X263" i="1" a="1"/>
  <c r="X263" i="1" s="1"/>
  <c r="W263" i="1"/>
  <c r="U263" i="1"/>
  <c r="T263" i="1"/>
  <c r="Z263" i="1" s="1"/>
  <c r="R263" i="1"/>
  <c r="P263" i="1"/>
  <c r="N263" i="1"/>
  <c r="Y263" i="1" s="1"/>
  <c r="L263" i="1"/>
  <c r="J263" i="1"/>
  <c r="H263" i="1"/>
  <c r="G263" i="1"/>
  <c r="E263" i="1"/>
  <c r="B263" i="1"/>
  <c r="V263" i="1" s="1"/>
  <c r="V262" i="1"/>
  <c r="U262" i="1"/>
  <c r="R262" i="1"/>
  <c r="P262" i="1"/>
  <c r="T262" i="1" s="1"/>
  <c r="N262" i="1"/>
  <c r="Y262" i="1" s="1"/>
  <c r="L262" i="1"/>
  <c r="J262" i="1"/>
  <c r="H262" i="1"/>
  <c r="G262" i="1"/>
  <c r="E262" i="1"/>
  <c r="B262" i="1"/>
  <c r="W262" i="1" s="1"/>
  <c r="Y261" i="1"/>
  <c r="W261" i="1"/>
  <c r="V261" i="1"/>
  <c r="R261" i="1"/>
  <c r="P261" i="1"/>
  <c r="T261" i="1" s="1"/>
  <c r="N261" i="1"/>
  <c r="L261" i="1"/>
  <c r="J261" i="1"/>
  <c r="H261" i="1"/>
  <c r="G261" i="1"/>
  <c r="E261" i="1"/>
  <c r="B261" i="1"/>
  <c r="U261" i="1" s="1"/>
  <c r="Y260" i="1"/>
  <c r="R260" i="1"/>
  <c r="P260" i="1"/>
  <c r="N260" i="1"/>
  <c r="L260" i="1"/>
  <c r="J260" i="1"/>
  <c r="H260" i="1"/>
  <c r="G260" i="1"/>
  <c r="E260" i="1"/>
  <c r="B260" i="1"/>
  <c r="T259" i="1"/>
  <c r="R259" i="1"/>
  <c r="P259" i="1"/>
  <c r="N259" i="1"/>
  <c r="Y259" i="1" s="1"/>
  <c r="L259" i="1"/>
  <c r="J259" i="1"/>
  <c r="H259" i="1"/>
  <c r="G259" i="1"/>
  <c r="E259" i="1"/>
  <c r="B259" i="1"/>
  <c r="W259" i="1" s="1"/>
  <c r="Y258" i="1"/>
  <c r="W258" i="1"/>
  <c r="V258" i="1"/>
  <c r="U258" i="1"/>
  <c r="R258" i="1"/>
  <c r="P258" i="1"/>
  <c r="T258" i="1" s="1"/>
  <c r="N258" i="1"/>
  <c r="L258" i="1"/>
  <c r="J258" i="1"/>
  <c r="H258" i="1"/>
  <c r="G258" i="1"/>
  <c r="E258" i="1"/>
  <c r="B258" i="1"/>
  <c r="Y257" i="1"/>
  <c r="R257" i="1"/>
  <c r="P257" i="1"/>
  <c r="T257" i="1" s="1"/>
  <c r="X257" i="1" s="1" a="1"/>
  <c r="X257" i="1" s="1"/>
  <c r="N257" i="1"/>
  <c r="L257" i="1"/>
  <c r="J257" i="1"/>
  <c r="H257" i="1"/>
  <c r="G257" i="1"/>
  <c r="E257" i="1"/>
  <c r="B257" i="1"/>
  <c r="W256" i="1"/>
  <c r="T256" i="1"/>
  <c r="R256" i="1"/>
  <c r="P256" i="1"/>
  <c r="N256" i="1"/>
  <c r="Y256" i="1" s="1"/>
  <c r="L256" i="1"/>
  <c r="J256" i="1"/>
  <c r="H256" i="1"/>
  <c r="G256" i="1"/>
  <c r="E256" i="1"/>
  <c r="B256" i="1"/>
  <c r="V256" i="1" s="1"/>
  <c r="X255" i="1" a="1"/>
  <c r="X255" i="1" s="1"/>
  <c r="W255" i="1"/>
  <c r="U255" i="1"/>
  <c r="T255" i="1"/>
  <c r="Z255" i="1" s="1"/>
  <c r="R255" i="1"/>
  <c r="P255" i="1"/>
  <c r="N255" i="1"/>
  <c r="Y255" i="1" s="1"/>
  <c r="L255" i="1"/>
  <c r="J255" i="1"/>
  <c r="H255" i="1"/>
  <c r="G255" i="1"/>
  <c r="E255" i="1"/>
  <c r="B255" i="1"/>
  <c r="V255" i="1" s="1"/>
  <c r="V254" i="1"/>
  <c r="U254" i="1"/>
  <c r="R254" i="1"/>
  <c r="P254" i="1"/>
  <c r="T254" i="1" s="1"/>
  <c r="N254" i="1"/>
  <c r="Y254" i="1" s="1"/>
  <c r="L254" i="1"/>
  <c r="J254" i="1"/>
  <c r="H254" i="1"/>
  <c r="G254" i="1"/>
  <c r="E254" i="1"/>
  <c r="B254" i="1"/>
  <c r="W254" i="1" s="1"/>
  <c r="Y253" i="1"/>
  <c r="W253" i="1"/>
  <c r="V253" i="1"/>
  <c r="R253" i="1"/>
  <c r="P253" i="1"/>
  <c r="T253" i="1" s="1"/>
  <c r="N253" i="1"/>
  <c r="L253" i="1"/>
  <c r="J253" i="1"/>
  <c r="H253" i="1"/>
  <c r="G253" i="1"/>
  <c r="E253" i="1"/>
  <c r="B253" i="1"/>
  <c r="U253" i="1" s="1"/>
  <c r="Y252" i="1"/>
  <c r="R252" i="1"/>
  <c r="P252" i="1"/>
  <c r="N252" i="1"/>
  <c r="L252" i="1"/>
  <c r="J252" i="1"/>
  <c r="H252" i="1"/>
  <c r="G252" i="1"/>
  <c r="E252" i="1"/>
  <c r="B252" i="1"/>
  <c r="T251" i="1"/>
  <c r="R251" i="1"/>
  <c r="P251" i="1"/>
  <c r="N251" i="1"/>
  <c r="Y251" i="1" s="1"/>
  <c r="L251" i="1"/>
  <c r="J251" i="1"/>
  <c r="H251" i="1"/>
  <c r="G251" i="1"/>
  <c r="E251" i="1"/>
  <c r="B251" i="1"/>
  <c r="W251" i="1" s="1"/>
  <c r="Y250" i="1"/>
  <c r="W250" i="1"/>
  <c r="V250" i="1"/>
  <c r="U250" i="1"/>
  <c r="R250" i="1"/>
  <c r="P250" i="1"/>
  <c r="T250" i="1" s="1"/>
  <c r="N250" i="1"/>
  <c r="L250" i="1"/>
  <c r="J250" i="1"/>
  <c r="H250" i="1"/>
  <c r="G250" i="1"/>
  <c r="E250" i="1"/>
  <c r="B250" i="1"/>
  <c r="Y249" i="1"/>
  <c r="R249" i="1"/>
  <c r="P249" i="1"/>
  <c r="T249" i="1" s="1"/>
  <c r="X249" i="1" s="1" a="1"/>
  <c r="X249" i="1" s="1"/>
  <c r="N249" i="1"/>
  <c r="L249" i="1"/>
  <c r="J249" i="1"/>
  <c r="H249" i="1"/>
  <c r="G249" i="1"/>
  <c r="E249" i="1"/>
  <c r="B249" i="1"/>
  <c r="W248" i="1"/>
  <c r="T248" i="1"/>
  <c r="R248" i="1"/>
  <c r="P248" i="1"/>
  <c r="N248" i="1"/>
  <c r="Y248" i="1" s="1"/>
  <c r="L248" i="1"/>
  <c r="J248" i="1"/>
  <c r="H248" i="1"/>
  <c r="G248" i="1"/>
  <c r="E248" i="1"/>
  <c r="B248" i="1"/>
  <c r="V248" i="1" s="1"/>
  <c r="X247" i="1" a="1"/>
  <c r="X247" i="1" s="1"/>
  <c r="W247" i="1"/>
  <c r="U247" i="1"/>
  <c r="T247" i="1"/>
  <c r="Z247" i="1" s="1"/>
  <c r="R247" i="1"/>
  <c r="P247" i="1"/>
  <c r="N247" i="1"/>
  <c r="Y247" i="1" s="1"/>
  <c r="L247" i="1"/>
  <c r="J247" i="1"/>
  <c r="H247" i="1"/>
  <c r="G247" i="1"/>
  <c r="E247" i="1"/>
  <c r="B247" i="1"/>
  <c r="V247" i="1" s="1"/>
  <c r="V246" i="1"/>
  <c r="U246" i="1"/>
  <c r="R246" i="1"/>
  <c r="P246" i="1"/>
  <c r="T246" i="1" s="1"/>
  <c r="N246" i="1"/>
  <c r="Y246" i="1" s="1"/>
  <c r="L246" i="1"/>
  <c r="J246" i="1"/>
  <c r="H246" i="1"/>
  <c r="G246" i="1"/>
  <c r="E246" i="1"/>
  <c r="B246" i="1"/>
  <c r="W246" i="1" s="1"/>
  <c r="Y245" i="1"/>
  <c r="W245" i="1"/>
  <c r="V245" i="1"/>
  <c r="R245" i="1"/>
  <c r="P245" i="1"/>
  <c r="T245" i="1" s="1"/>
  <c r="N245" i="1"/>
  <c r="L245" i="1"/>
  <c r="J245" i="1"/>
  <c r="H245" i="1"/>
  <c r="G245" i="1"/>
  <c r="E245" i="1"/>
  <c r="B245" i="1"/>
  <c r="U245" i="1" s="1"/>
  <c r="Y244" i="1"/>
  <c r="W244" i="1"/>
  <c r="R244" i="1"/>
  <c r="P244" i="1"/>
  <c r="N244" i="1"/>
  <c r="L244" i="1"/>
  <c r="J244" i="1"/>
  <c r="H244" i="1"/>
  <c r="G244" i="1"/>
  <c r="E244" i="1"/>
  <c r="B244" i="1"/>
  <c r="R243" i="1"/>
  <c r="T243" i="1" s="1"/>
  <c r="P243" i="1"/>
  <c r="N243" i="1"/>
  <c r="Y243" i="1" s="1"/>
  <c r="L243" i="1"/>
  <c r="J243" i="1"/>
  <c r="H243" i="1"/>
  <c r="G243" i="1"/>
  <c r="E243" i="1"/>
  <c r="B243" i="1"/>
  <c r="W242" i="1"/>
  <c r="V242" i="1"/>
  <c r="U242" i="1"/>
  <c r="R242" i="1"/>
  <c r="P242" i="1"/>
  <c r="T242" i="1" s="1"/>
  <c r="N242" i="1"/>
  <c r="Y242" i="1" s="1"/>
  <c r="L242" i="1"/>
  <c r="J242" i="1"/>
  <c r="H242" i="1"/>
  <c r="G242" i="1"/>
  <c r="E242" i="1"/>
  <c r="B242" i="1"/>
  <c r="Y241" i="1"/>
  <c r="V241" i="1"/>
  <c r="U241" i="1"/>
  <c r="R241" i="1"/>
  <c r="P241" i="1"/>
  <c r="N241" i="1"/>
  <c r="L241" i="1"/>
  <c r="J241" i="1"/>
  <c r="H241" i="1"/>
  <c r="G241" i="1"/>
  <c r="E241" i="1"/>
  <c r="B241" i="1"/>
  <c r="W241" i="1" s="1"/>
  <c r="W240" i="1"/>
  <c r="V240" i="1"/>
  <c r="T240" i="1"/>
  <c r="R240" i="1"/>
  <c r="P240" i="1"/>
  <c r="N240" i="1"/>
  <c r="Y240" i="1" s="1"/>
  <c r="L240" i="1"/>
  <c r="J240" i="1"/>
  <c r="H240" i="1"/>
  <c r="G240" i="1"/>
  <c r="E240" i="1"/>
  <c r="B240" i="1"/>
  <c r="U240" i="1" s="1"/>
  <c r="X239" i="1" a="1"/>
  <c r="X239" i="1" s="1"/>
  <c r="W239" i="1"/>
  <c r="U239" i="1"/>
  <c r="T239" i="1"/>
  <c r="Z239" i="1" s="1"/>
  <c r="R239" i="1"/>
  <c r="P239" i="1"/>
  <c r="N239" i="1"/>
  <c r="Y239" i="1" s="1"/>
  <c r="L239" i="1"/>
  <c r="J239" i="1"/>
  <c r="H239" i="1"/>
  <c r="G239" i="1"/>
  <c r="E239" i="1"/>
  <c r="B239" i="1"/>
  <c r="V239" i="1" s="1"/>
  <c r="X238" i="1" a="1"/>
  <c r="X238" i="1" s="1"/>
  <c r="V238" i="1"/>
  <c r="U238" i="1"/>
  <c r="R238" i="1"/>
  <c r="P238" i="1"/>
  <c r="T238" i="1" s="1"/>
  <c r="Z238" i="1" s="1"/>
  <c r="N238" i="1"/>
  <c r="Y238" i="1" s="1"/>
  <c r="L238" i="1"/>
  <c r="J238" i="1"/>
  <c r="H238" i="1"/>
  <c r="G238" i="1"/>
  <c r="E238" i="1"/>
  <c r="B238" i="1"/>
  <c r="W238" i="1" s="1"/>
  <c r="W237" i="1"/>
  <c r="V237" i="1"/>
  <c r="R237" i="1"/>
  <c r="P237" i="1"/>
  <c r="T237" i="1" s="1"/>
  <c r="N237" i="1"/>
  <c r="Y237" i="1" s="1"/>
  <c r="L237" i="1"/>
  <c r="J237" i="1"/>
  <c r="H237" i="1"/>
  <c r="G237" i="1"/>
  <c r="E237" i="1"/>
  <c r="B237" i="1"/>
  <c r="U237" i="1" s="1"/>
  <c r="Y236" i="1"/>
  <c r="W236" i="1"/>
  <c r="R236" i="1"/>
  <c r="P236" i="1"/>
  <c r="T236" i="1" s="1"/>
  <c r="Z236" i="1" s="1"/>
  <c r="N236" i="1"/>
  <c r="L236" i="1"/>
  <c r="J236" i="1"/>
  <c r="H236" i="1"/>
  <c r="G236" i="1"/>
  <c r="E236" i="1"/>
  <c r="B236" i="1"/>
  <c r="R235" i="1"/>
  <c r="T235" i="1" s="1"/>
  <c r="Z235" i="1" s="1"/>
  <c r="P235" i="1"/>
  <c r="N235" i="1"/>
  <c r="Y235" i="1" s="1"/>
  <c r="L235" i="1"/>
  <c r="J235" i="1"/>
  <c r="H235" i="1"/>
  <c r="G235" i="1"/>
  <c r="E235" i="1"/>
  <c r="B235" i="1"/>
  <c r="W234" i="1"/>
  <c r="V234" i="1"/>
  <c r="U234" i="1"/>
  <c r="T234" i="1"/>
  <c r="R234" i="1"/>
  <c r="P234" i="1"/>
  <c r="N234" i="1"/>
  <c r="Y234" i="1" s="1"/>
  <c r="L234" i="1"/>
  <c r="J234" i="1"/>
  <c r="H234" i="1"/>
  <c r="G234" i="1"/>
  <c r="E234" i="1"/>
  <c r="B234" i="1"/>
  <c r="Z233" i="1"/>
  <c r="Y233" i="1"/>
  <c r="R233" i="1"/>
  <c r="P233" i="1"/>
  <c r="T233" i="1" s="1"/>
  <c r="X233" i="1" s="1" a="1"/>
  <c r="X233" i="1" s="1"/>
  <c r="N233" i="1"/>
  <c r="L233" i="1"/>
  <c r="J233" i="1"/>
  <c r="H233" i="1"/>
  <c r="G233" i="1"/>
  <c r="E233" i="1"/>
  <c r="B233" i="1"/>
  <c r="W233" i="1" s="1"/>
  <c r="W232" i="1"/>
  <c r="T232" i="1"/>
  <c r="X232" i="1" s="1" a="1"/>
  <c r="X232" i="1" s="1"/>
  <c r="R232" i="1"/>
  <c r="P232" i="1"/>
  <c r="N232" i="1"/>
  <c r="Y232" i="1" s="1"/>
  <c r="L232" i="1"/>
  <c r="J232" i="1"/>
  <c r="H232" i="1"/>
  <c r="G232" i="1"/>
  <c r="E232" i="1"/>
  <c r="B232" i="1"/>
  <c r="U232" i="1" s="1"/>
  <c r="W231" i="1"/>
  <c r="U231" i="1"/>
  <c r="T231" i="1"/>
  <c r="Z231" i="1" s="1"/>
  <c r="R231" i="1"/>
  <c r="P231" i="1"/>
  <c r="N231" i="1"/>
  <c r="Y231" i="1" s="1"/>
  <c r="L231" i="1"/>
  <c r="J231" i="1"/>
  <c r="H231" i="1"/>
  <c r="G231" i="1"/>
  <c r="E231" i="1"/>
  <c r="B231" i="1"/>
  <c r="V231" i="1" s="1"/>
  <c r="X230" i="1" a="1"/>
  <c r="X230" i="1" s="1"/>
  <c r="V230" i="1"/>
  <c r="U230" i="1"/>
  <c r="T230" i="1"/>
  <c r="Z230" i="1" s="1"/>
  <c r="R230" i="1"/>
  <c r="P230" i="1"/>
  <c r="N230" i="1"/>
  <c r="Y230" i="1" s="1"/>
  <c r="L230" i="1"/>
  <c r="J230" i="1"/>
  <c r="H230" i="1"/>
  <c r="G230" i="1"/>
  <c r="E230" i="1"/>
  <c r="B230" i="1"/>
  <c r="W230" i="1" s="1"/>
  <c r="Y229" i="1"/>
  <c r="W229" i="1"/>
  <c r="V229" i="1"/>
  <c r="U229" i="1"/>
  <c r="R229" i="1"/>
  <c r="P229" i="1"/>
  <c r="T229" i="1" s="1"/>
  <c r="N229" i="1"/>
  <c r="L229" i="1"/>
  <c r="J229" i="1"/>
  <c r="H229" i="1"/>
  <c r="G229" i="1"/>
  <c r="E229" i="1"/>
  <c r="B229" i="1"/>
  <c r="Y228" i="1"/>
  <c r="W228" i="1"/>
  <c r="R228" i="1"/>
  <c r="P228" i="1"/>
  <c r="N228" i="1"/>
  <c r="L228" i="1"/>
  <c r="J228" i="1"/>
  <c r="H228" i="1"/>
  <c r="G228" i="1"/>
  <c r="E228" i="1"/>
  <c r="B228" i="1"/>
  <c r="U228" i="1" s="1"/>
  <c r="R227" i="1"/>
  <c r="T227" i="1" s="1"/>
  <c r="P227" i="1"/>
  <c r="N227" i="1"/>
  <c r="Y227" i="1" s="1"/>
  <c r="L227" i="1"/>
  <c r="J227" i="1"/>
  <c r="H227" i="1"/>
  <c r="G227" i="1"/>
  <c r="E227" i="1"/>
  <c r="B227" i="1"/>
  <c r="W226" i="1"/>
  <c r="V226" i="1"/>
  <c r="U226" i="1"/>
  <c r="T226" i="1"/>
  <c r="Z226" i="1" s="1"/>
  <c r="R226" i="1"/>
  <c r="P226" i="1"/>
  <c r="N226" i="1"/>
  <c r="Y226" i="1" s="1"/>
  <c r="L226" i="1"/>
  <c r="J226" i="1"/>
  <c r="H226" i="1"/>
  <c r="G226" i="1"/>
  <c r="E226" i="1"/>
  <c r="B226" i="1"/>
  <c r="R225" i="1"/>
  <c r="P225" i="1"/>
  <c r="T225" i="1" s="1"/>
  <c r="X225" i="1" s="1" a="1"/>
  <c r="X225" i="1" s="1"/>
  <c r="N225" i="1"/>
  <c r="Y225" i="1" s="1"/>
  <c r="L225" i="1"/>
  <c r="J225" i="1"/>
  <c r="H225" i="1"/>
  <c r="G225" i="1"/>
  <c r="E225" i="1"/>
  <c r="B225" i="1"/>
  <c r="W225" i="1" s="1"/>
  <c r="Z224" i="1"/>
  <c r="Y224" i="1"/>
  <c r="W224" i="1"/>
  <c r="V224" i="1"/>
  <c r="T224" i="1"/>
  <c r="X224" i="1" s="1" a="1"/>
  <c r="X224" i="1" s="1"/>
  <c r="R224" i="1"/>
  <c r="P224" i="1"/>
  <c r="N224" i="1"/>
  <c r="L224" i="1"/>
  <c r="J224" i="1"/>
  <c r="H224" i="1"/>
  <c r="G224" i="1"/>
  <c r="E224" i="1"/>
  <c r="B224" i="1"/>
  <c r="U224" i="1" s="1"/>
  <c r="U223" i="1"/>
  <c r="R223" i="1"/>
  <c r="T223" i="1" s="1"/>
  <c r="P223" i="1"/>
  <c r="N223" i="1"/>
  <c r="Y223" i="1" s="1"/>
  <c r="L223" i="1"/>
  <c r="J223" i="1"/>
  <c r="H223" i="1"/>
  <c r="G223" i="1"/>
  <c r="E223" i="1"/>
  <c r="B223" i="1"/>
  <c r="V223" i="1" s="1"/>
  <c r="V222" i="1"/>
  <c r="U222" i="1"/>
  <c r="T222" i="1"/>
  <c r="Z222" i="1" s="1"/>
  <c r="R222" i="1"/>
  <c r="P222" i="1"/>
  <c r="N222" i="1"/>
  <c r="Y222" i="1" s="1"/>
  <c r="L222" i="1"/>
  <c r="J222" i="1"/>
  <c r="H222" i="1"/>
  <c r="G222" i="1"/>
  <c r="E222" i="1"/>
  <c r="B222" i="1"/>
  <c r="W222" i="1" s="1"/>
  <c r="W221" i="1"/>
  <c r="V221" i="1"/>
  <c r="U221" i="1"/>
  <c r="R221" i="1"/>
  <c r="P221" i="1"/>
  <c r="T221" i="1" s="1"/>
  <c r="N221" i="1"/>
  <c r="Y221" i="1" s="1"/>
  <c r="L221" i="1"/>
  <c r="J221" i="1"/>
  <c r="H221" i="1"/>
  <c r="G221" i="1"/>
  <c r="E221" i="1"/>
  <c r="B221" i="1"/>
  <c r="Y220" i="1"/>
  <c r="W220" i="1"/>
  <c r="V220" i="1"/>
  <c r="R220" i="1"/>
  <c r="P220" i="1"/>
  <c r="N220" i="1"/>
  <c r="L220" i="1"/>
  <c r="J220" i="1"/>
  <c r="H220" i="1"/>
  <c r="G220" i="1"/>
  <c r="E220" i="1"/>
  <c r="B220" i="1"/>
  <c r="U220" i="1" s="1"/>
  <c r="W219" i="1"/>
  <c r="R219" i="1"/>
  <c r="T219" i="1" s="1"/>
  <c r="P219" i="1"/>
  <c r="N219" i="1"/>
  <c r="Y219" i="1" s="1"/>
  <c r="L219" i="1"/>
  <c r="J219" i="1"/>
  <c r="H219" i="1"/>
  <c r="G219" i="1"/>
  <c r="E219" i="1"/>
  <c r="B219" i="1"/>
  <c r="Y218" i="1"/>
  <c r="W218" i="1"/>
  <c r="V218" i="1"/>
  <c r="U218" i="1"/>
  <c r="R218" i="1"/>
  <c r="P218" i="1"/>
  <c r="T218" i="1" s="1"/>
  <c r="N218" i="1"/>
  <c r="L218" i="1"/>
  <c r="J218" i="1"/>
  <c r="H218" i="1"/>
  <c r="G218" i="1"/>
  <c r="E218" i="1"/>
  <c r="B218" i="1"/>
  <c r="W217" i="1"/>
  <c r="V217" i="1"/>
  <c r="U217" i="1"/>
  <c r="R217" i="1"/>
  <c r="P217" i="1"/>
  <c r="T217" i="1" s="1"/>
  <c r="X217" i="1" s="1" a="1"/>
  <c r="X217" i="1" s="1"/>
  <c r="N217" i="1"/>
  <c r="Y217" i="1" s="1"/>
  <c r="L217" i="1"/>
  <c r="J217" i="1"/>
  <c r="H217" i="1"/>
  <c r="G217" i="1"/>
  <c r="E217" i="1"/>
  <c r="B217" i="1"/>
  <c r="R216" i="1"/>
  <c r="T216" i="1" s="1"/>
  <c r="P216" i="1"/>
  <c r="N216" i="1"/>
  <c r="Y216" i="1" s="1"/>
  <c r="L216" i="1"/>
  <c r="J216" i="1"/>
  <c r="H216" i="1"/>
  <c r="G216" i="1"/>
  <c r="E216" i="1"/>
  <c r="B216" i="1"/>
  <c r="R215" i="1"/>
  <c r="T215" i="1" s="1"/>
  <c r="P215" i="1"/>
  <c r="N215" i="1"/>
  <c r="Y215" i="1" s="1"/>
  <c r="L215" i="1"/>
  <c r="J215" i="1"/>
  <c r="H215" i="1"/>
  <c r="G215" i="1"/>
  <c r="E215" i="1"/>
  <c r="B215" i="1"/>
  <c r="R214" i="1"/>
  <c r="T214" i="1" s="1"/>
  <c r="P214" i="1"/>
  <c r="N214" i="1"/>
  <c r="Y214" i="1" s="1"/>
  <c r="L214" i="1"/>
  <c r="J214" i="1"/>
  <c r="H214" i="1"/>
  <c r="G214" i="1"/>
  <c r="E214" i="1"/>
  <c r="B214" i="1"/>
  <c r="R213" i="1"/>
  <c r="T213" i="1" s="1"/>
  <c r="P213" i="1"/>
  <c r="N213" i="1"/>
  <c r="Y213" i="1" s="1"/>
  <c r="L213" i="1"/>
  <c r="J213" i="1"/>
  <c r="H213" i="1"/>
  <c r="G213" i="1"/>
  <c r="E213" i="1"/>
  <c r="B213" i="1"/>
  <c r="Y212" i="1"/>
  <c r="R212" i="1"/>
  <c r="T212" i="1" s="1"/>
  <c r="P212" i="1"/>
  <c r="N212" i="1"/>
  <c r="L212" i="1"/>
  <c r="J212" i="1"/>
  <c r="H212" i="1"/>
  <c r="G212" i="1"/>
  <c r="E212" i="1"/>
  <c r="B212" i="1"/>
  <c r="R211" i="1"/>
  <c r="T211" i="1" s="1"/>
  <c r="P211" i="1"/>
  <c r="N211" i="1"/>
  <c r="Y211" i="1" s="1"/>
  <c r="L211" i="1"/>
  <c r="J211" i="1"/>
  <c r="H211" i="1"/>
  <c r="G211" i="1"/>
  <c r="E211" i="1"/>
  <c r="B211" i="1"/>
  <c r="W210" i="1"/>
  <c r="V210" i="1"/>
  <c r="U210" i="1"/>
  <c r="T210" i="1"/>
  <c r="Z210" i="1" s="1"/>
  <c r="R210" i="1"/>
  <c r="P210" i="1"/>
  <c r="N210" i="1"/>
  <c r="Y210" i="1" s="1"/>
  <c r="L210" i="1"/>
  <c r="J210" i="1"/>
  <c r="H210" i="1"/>
  <c r="G210" i="1"/>
  <c r="E210" i="1"/>
  <c r="B210" i="1"/>
  <c r="R209" i="1"/>
  <c r="P209" i="1"/>
  <c r="N209" i="1"/>
  <c r="Y209" i="1" s="1"/>
  <c r="L209" i="1"/>
  <c r="J209" i="1"/>
  <c r="H209" i="1"/>
  <c r="G209" i="1"/>
  <c r="E209" i="1"/>
  <c r="B209" i="1"/>
  <c r="Y208" i="1"/>
  <c r="V208" i="1"/>
  <c r="U208" i="1"/>
  <c r="T208" i="1"/>
  <c r="R208" i="1"/>
  <c r="P208" i="1"/>
  <c r="N208" i="1"/>
  <c r="L208" i="1"/>
  <c r="J208" i="1"/>
  <c r="H208" i="1"/>
  <c r="G208" i="1"/>
  <c r="E208" i="1"/>
  <c r="B208" i="1"/>
  <c r="W208" i="1" s="1"/>
  <c r="Y207" i="1"/>
  <c r="U207" i="1"/>
  <c r="R207" i="1"/>
  <c r="P207" i="1"/>
  <c r="T207" i="1" s="1"/>
  <c r="N207" i="1"/>
  <c r="L207" i="1"/>
  <c r="J207" i="1"/>
  <c r="H207" i="1"/>
  <c r="G207" i="1"/>
  <c r="E207" i="1"/>
  <c r="B207" i="1"/>
  <c r="W207" i="1" s="1"/>
  <c r="Y206" i="1"/>
  <c r="W206" i="1"/>
  <c r="V206" i="1"/>
  <c r="T206" i="1"/>
  <c r="Z206" i="1" s="1"/>
  <c r="R206" i="1"/>
  <c r="P206" i="1"/>
  <c r="N206" i="1"/>
  <c r="L206" i="1"/>
  <c r="J206" i="1"/>
  <c r="H206" i="1"/>
  <c r="G206" i="1"/>
  <c r="E206" i="1"/>
  <c r="B206" i="1"/>
  <c r="U206" i="1" s="1"/>
  <c r="X205" i="1" a="1"/>
  <c r="X205" i="1" s="1"/>
  <c r="W205" i="1"/>
  <c r="U205" i="1"/>
  <c r="T205" i="1"/>
  <c r="Z205" i="1" s="1"/>
  <c r="R205" i="1"/>
  <c r="P205" i="1"/>
  <c r="N205" i="1"/>
  <c r="Y205" i="1" s="1"/>
  <c r="L205" i="1"/>
  <c r="J205" i="1"/>
  <c r="H205" i="1"/>
  <c r="G205" i="1"/>
  <c r="E205" i="1"/>
  <c r="B205" i="1"/>
  <c r="V205" i="1" s="1"/>
  <c r="X204" i="1" a="1"/>
  <c r="X204" i="1" s="1"/>
  <c r="V204" i="1"/>
  <c r="U204" i="1"/>
  <c r="R204" i="1"/>
  <c r="P204" i="1"/>
  <c r="T204" i="1" s="1"/>
  <c r="Z204" i="1" s="1"/>
  <c r="N204" i="1"/>
  <c r="Y204" i="1" s="1"/>
  <c r="L204" i="1"/>
  <c r="J204" i="1"/>
  <c r="H204" i="1"/>
  <c r="G204" i="1"/>
  <c r="E204" i="1"/>
  <c r="B204" i="1"/>
  <c r="W204" i="1" s="1"/>
  <c r="W203" i="1"/>
  <c r="R203" i="1"/>
  <c r="P203" i="1"/>
  <c r="T203" i="1" s="1"/>
  <c r="N203" i="1"/>
  <c r="Y203" i="1" s="1"/>
  <c r="L203" i="1"/>
  <c r="J203" i="1"/>
  <c r="H203" i="1"/>
  <c r="G203" i="1"/>
  <c r="E203" i="1"/>
  <c r="B203" i="1"/>
  <c r="V203" i="1" s="1"/>
  <c r="Y202" i="1"/>
  <c r="R202" i="1"/>
  <c r="P202" i="1"/>
  <c r="T202" i="1" s="1"/>
  <c r="N202" i="1"/>
  <c r="L202" i="1"/>
  <c r="J202" i="1"/>
  <c r="H202" i="1"/>
  <c r="G202" i="1"/>
  <c r="E202" i="1"/>
  <c r="B202" i="1"/>
  <c r="W202" i="1" s="1"/>
  <c r="Z201" i="1"/>
  <c r="R201" i="1"/>
  <c r="T201" i="1" s="1"/>
  <c r="X201" i="1" s="1" a="1"/>
  <c r="X201" i="1" s="1"/>
  <c r="P201" i="1"/>
  <c r="N201" i="1"/>
  <c r="Y201" i="1" s="1"/>
  <c r="L201" i="1"/>
  <c r="J201" i="1"/>
  <c r="H201" i="1"/>
  <c r="G201" i="1"/>
  <c r="E201" i="1"/>
  <c r="B201" i="1"/>
  <c r="Y200" i="1"/>
  <c r="V200" i="1"/>
  <c r="U200" i="1"/>
  <c r="T200" i="1"/>
  <c r="R200" i="1"/>
  <c r="P200" i="1"/>
  <c r="N200" i="1"/>
  <c r="L200" i="1"/>
  <c r="J200" i="1"/>
  <c r="H200" i="1"/>
  <c r="G200" i="1"/>
  <c r="E200" i="1"/>
  <c r="B200" i="1"/>
  <c r="W200" i="1" s="1"/>
  <c r="Y199" i="1"/>
  <c r="U199" i="1"/>
  <c r="R199" i="1"/>
  <c r="P199" i="1"/>
  <c r="T199" i="1" s="1"/>
  <c r="N199" i="1"/>
  <c r="L199" i="1"/>
  <c r="J199" i="1"/>
  <c r="H199" i="1"/>
  <c r="G199" i="1"/>
  <c r="E199" i="1"/>
  <c r="B199" i="1"/>
  <c r="W199" i="1" s="1"/>
  <c r="W198" i="1"/>
  <c r="V198" i="1"/>
  <c r="T198" i="1"/>
  <c r="Z198" i="1" s="1"/>
  <c r="R198" i="1"/>
  <c r="P198" i="1"/>
  <c r="N198" i="1"/>
  <c r="Y198" i="1" s="1"/>
  <c r="L198" i="1"/>
  <c r="J198" i="1"/>
  <c r="H198" i="1"/>
  <c r="G198" i="1"/>
  <c r="E198" i="1"/>
  <c r="B198" i="1"/>
  <c r="U198" i="1" s="1"/>
  <c r="X197" i="1" a="1"/>
  <c r="X197" i="1" s="1"/>
  <c r="W197" i="1"/>
  <c r="U197" i="1"/>
  <c r="T197" i="1"/>
  <c r="Z197" i="1" s="1"/>
  <c r="R197" i="1"/>
  <c r="P197" i="1"/>
  <c r="N197" i="1"/>
  <c r="Y197" i="1" s="1"/>
  <c r="L197" i="1"/>
  <c r="J197" i="1"/>
  <c r="H197" i="1"/>
  <c r="G197" i="1"/>
  <c r="E197" i="1"/>
  <c r="B197" i="1"/>
  <c r="V197" i="1" s="1"/>
  <c r="X196" i="1" a="1"/>
  <c r="X196" i="1" s="1"/>
  <c r="W196" i="1"/>
  <c r="V196" i="1"/>
  <c r="U196" i="1"/>
  <c r="R196" i="1"/>
  <c r="P196" i="1"/>
  <c r="T196" i="1" s="1"/>
  <c r="Z196" i="1" s="1"/>
  <c r="N196" i="1"/>
  <c r="Y196" i="1" s="1"/>
  <c r="L196" i="1"/>
  <c r="J196" i="1"/>
  <c r="H196" i="1"/>
  <c r="G196" i="1"/>
  <c r="E196" i="1"/>
  <c r="B196" i="1"/>
  <c r="W195" i="1"/>
  <c r="V195" i="1"/>
  <c r="R195" i="1"/>
  <c r="P195" i="1"/>
  <c r="T195" i="1" s="1"/>
  <c r="N195" i="1"/>
  <c r="Y195" i="1" s="1"/>
  <c r="L195" i="1"/>
  <c r="J195" i="1"/>
  <c r="H195" i="1"/>
  <c r="G195" i="1"/>
  <c r="E195" i="1"/>
  <c r="B195" i="1"/>
  <c r="U195" i="1" s="1"/>
  <c r="Y194" i="1"/>
  <c r="R194" i="1"/>
  <c r="P194" i="1"/>
  <c r="T194" i="1" s="1"/>
  <c r="N194" i="1"/>
  <c r="L194" i="1"/>
  <c r="J194" i="1"/>
  <c r="H194" i="1"/>
  <c r="G194" i="1"/>
  <c r="E194" i="1"/>
  <c r="B194" i="1"/>
  <c r="W194" i="1" s="1"/>
  <c r="R193" i="1"/>
  <c r="T193" i="1" s="1"/>
  <c r="X193" i="1" s="1" a="1"/>
  <c r="X193" i="1" s="1"/>
  <c r="P193" i="1"/>
  <c r="N193" i="1"/>
  <c r="Y193" i="1" s="1"/>
  <c r="L193" i="1"/>
  <c r="J193" i="1"/>
  <c r="H193" i="1"/>
  <c r="G193" i="1"/>
  <c r="E193" i="1"/>
  <c r="B193" i="1"/>
  <c r="Y192" i="1"/>
  <c r="U192" i="1"/>
  <c r="T192" i="1"/>
  <c r="R192" i="1"/>
  <c r="P192" i="1"/>
  <c r="N192" i="1"/>
  <c r="L192" i="1"/>
  <c r="J192" i="1"/>
  <c r="H192" i="1"/>
  <c r="G192" i="1"/>
  <c r="E192" i="1"/>
  <c r="B192" i="1"/>
  <c r="W192" i="1" s="1"/>
  <c r="Y191" i="1"/>
  <c r="U191" i="1"/>
  <c r="R191" i="1"/>
  <c r="P191" i="1"/>
  <c r="T191" i="1" s="1"/>
  <c r="N191" i="1"/>
  <c r="L191" i="1"/>
  <c r="J191" i="1"/>
  <c r="H191" i="1"/>
  <c r="G191" i="1"/>
  <c r="E191" i="1"/>
  <c r="B191" i="1"/>
  <c r="W191" i="1" s="1"/>
  <c r="W190" i="1"/>
  <c r="V190" i="1"/>
  <c r="T190" i="1"/>
  <c r="Z190" i="1" s="1"/>
  <c r="R190" i="1"/>
  <c r="P190" i="1"/>
  <c r="N190" i="1"/>
  <c r="Y190" i="1" s="1"/>
  <c r="L190" i="1"/>
  <c r="J190" i="1"/>
  <c r="H190" i="1"/>
  <c r="G190" i="1"/>
  <c r="E190" i="1"/>
  <c r="B190" i="1"/>
  <c r="U190" i="1" s="1"/>
  <c r="X189" i="1" a="1"/>
  <c r="X189" i="1" s="1"/>
  <c r="W189" i="1"/>
  <c r="U189" i="1"/>
  <c r="T189" i="1"/>
  <c r="Z189" i="1" s="1"/>
  <c r="R189" i="1"/>
  <c r="P189" i="1"/>
  <c r="N189" i="1"/>
  <c r="Y189" i="1" s="1"/>
  <c r="L189" i="1"/>
  <c r="J189" i="1"/>
  <c r="H189" i="1"/>
  <c r="G189" i="1"/>
  <c r="E189" i="1"/>
  <c r="B189" i="1"/>
  <c r="V189" i="1" s="1"/>
  <c r="V188" i="1"/>
  <c r="R188" i="1"/>
  <c r="P188" i="1"/>
  <c r="T188" i="1" s="1"/>
  <c r="Z188" i="1" s="1"/>
  <c r="N188" i="1"/>
  <c r="Y188" i="1" s="1"/>
  <c r="L188" i="1"/>
  <c r="J188" i="1"/>
  <c r="H188" i="1"/>
  <c r="G188" i="1"/>
  <c r="E188" i="1"/>
  <c r="B188" i="1"/>
  <c r="W188" i="1" s="1"/>
  <c r="W187" i="1"/>
  <c r="R187" i="1"/>
  <c r="P187" i="1"/>
  <c r="T187" i="1" s="1"/>
  <c r="N187" i="1"/>
  <c r="Y187" i="1" s="1"/>
  <c r="L187" i="1"/>
  <c r="J187" i="1"/>
  <c r="H187" i="1"/>
  <c r="G187" i="1"/>
  <c r="E187" i="1"/>
  <c r="B187" i="1"/>
  <c r="V187" i="1" s="1"/>
  <c r="Y186" i="1"/>
  <c r="R186" i="1"/>
  <c r="P186" i="1"/>
  <c r="T186" i="1" s="1"/>
  <c r="N186" i="1"/>
  <c r="L186" i="1"/>
  <c r="J186" i="1"/>
  <c r="H186" i="1"/>
  <c r="G186" i="1"/>
  <c r="E186" i="1"/>
  <c r="B186" i="1"/>
  <c r="W186" i="1" s="1"/>
  <c r="Z185" i="1"/>
  <c r="R185" i="1"/>
  <c r="T185" i="1" s="1"/>
  <c r="X185" i="1" s="1" a="1"/>
  <c r="X185" i="1" s="1"/>
  <c r="P185" i="1"/>
  <c r="N185" i="1"/>
  <c r="Y185" i="1" s="1"/>
  <c r="L185" i="1"/>
  <c r="J185" i="1"/>
  <c r="H185" i="1"/>
  <c r="G185" i="1"/>
  <c r="E185" i="1"/>
  <c r="B185" i="1"/>
  <c r="Y184" i="1"/>
  <c r="U184" i="1"/>
  <c r="T184" i="1"/>
  <c r="R184" i="1"/>
  <c r="P184" i="1"/>
  <c r="N184" i="1"/>
  <c r="L184" i="1"/>
  <c r="J184" i="1"/>
  <c r="H184" i="1"/>
  <c r="G184" i="1"/>
  <c r="E184" i="1"/>
  <c r="B184" i="1"/>
  <c r="W184" i="1" s="1"/>
  <c r="U183" i="1"/>
  <c r="R183" i="1"/>
  <c r="P183" i="1"/>
  <c r="T183" i="1" s="1"/>
  <c r="N183" i="1"/>
  <c r="Y183" i="1" s="1"/>
  <c r="L183" i="1"/>
  <c r="J183" i="1"/>
  <c r="H183" i="1"/>
  <c r="G183" i="1"/>
  <c r="E183" i="1"/>
  <c r="B183" i="1"/>
  <c r="W183" i="1" s="1"/>
  <c r="W182" i="1"/>
  <c r="V182" i="1"/>
  <c r="T182" i="1"/>
  <c r="Z182" i="1" s="1"/>
  <c r="R182" i="1"/>
  <c r="P182" i="1"/>
  <c r="N182" i="1"/>
  <c r="Y182" i="1" s="1"/>
  <c r="L182" i="1"/>
  <c r="J182" i="1"/>
  <c r="H182" i="1"/>
  <c r="G182" i="1"/>
  <c r="E182" i="1"/>
  <c r="B182" i="1"/>
  <c r="U182" i="1" s="1"/>
  <c r="W181" i="1"/>
  <c r="U181" i="1"/>
  <c r="R181" i="1"/>
  <c r="P181" i="1"/>
  <c r="T181" i="1" s="1"/>
  <c r="N181" i="1"/>
  <c r="Y181" i="1" s="1"/>
  <c r="L181" i="1"/>
  <c r="J181" i="1"/>
  <c r="H181" i="1"/>
  <c r="G181" i="1"/>
  <c r="E181" i="1"/>
  <c r="B181" i="1"/>
  <c r="V181" i="1" s="1"/>
  <c r="X180" i="1" a="1"/>
  <c r="X180" i="1" s="1"/>
  <c r="V180" i="1"/>
  <c r="T180" i="1"/>
  <c r="Z180" i="1" s="1"/>
  <c r="R180" i="1"/>
  <c r="P180" i="1"/>
  <c r="N180" i="1"/>
  <c r="Y180" i="1" s="1"/>
  <c r="L180" i="1"/>
  <c r="J180" i="1"/>
  <c r="H180" i="1"/>
  <c r="G180" i="1"/>
  <c r="E180" i="1"/>
  <c r="B180" i="1"/>
  <c r="W180" i="1" s="1"/>
  <c r="W179" i="1"/>
  <c r="U179" i="1"/>
  <c r="R179" i="1"/>
  <c r="P179" i="1"/>
  <c r="T179" i="1" s="1"/>
  <c r="N179" i="1"/>
  <c r="Y179" i="1" s="1"/>
  <c r="L179" i="1"/>
  <c r="J179" i="1"/>
  <c r="H179" i="1"/>
  <c r="G179" i="1"/>
  <c r="E179" i="1"/>
  <c r="B179" i="1"/>
  <c r="V179" i="1" s="1"/>
  <c r="Y178" i="1"/>
  <c r="R178" i="1"/>
  <c r="P178" i="1"/>
  <c r="T178" i="1" s="1"/>
  <c r="N178" i="1"/>
  <c r="L178" i="1"/>
  <c r="J178" i="1"/>
  <c r="H178" i="1"/>
  <c r="G178" i="1"/>
  <c r="E178" i="1"/>
  <c r="B178" i="1"/>
  <c r="W178" i="1" s="1"/>
  <c r="R177" i="1"/>
  <c r="T177" i="1" s="1"/>
  <c r="X177" i="1" s="1" a="1"/>
  <c r="X177" i="1" s="1"/>
  <c r="P177" i="1"/>
  <c r="N177" i="1"/>
  <c r="Y177" i="1" s="1"/>
  <c r="L177" i="1"/>
  <c r="J177" i="1"/>
  <c r="H177" i="1"/>
  <c r="G177" i="1"/>
  <c r="E177" i="1"/>
  <c r="B177" i="1"/>
  <c r="Y176" i="1"/>
  <c r="U176" i="1"/>
  <c r="T176" i="1"/>
  <c r="R176" i="1"/>
  <c r="P176" i="1"/>
  <c r="N176" i="1"/>
  <c r="L176" i="1"/>
  <c r="J176" i="1"/>
  <c r="H176" i="1"/>
  <c r="G176" i="1"/>
  <c r="E176" i="1"/>
  <c r="B176" i="1"/>
  <c r="W176" i="1" s="1"/>
  <c r="U175" i="1"/>
  <c r="R175" i="1"/>
  <c r="P175" i="1"/>
  <c r="T175" i="1" s="1"/>
  <c r="N175" i="1"/>
  <c r="Y175" i="1" s="1"/>
  <c r="L175" i="1"/>
  <c r="J175" i="1"/>
  <c r="H175" i="1"/>
  <c r="G175" i="1"/>
  <c r="E175" i="1"/>
  <c r="B175" i="1"/>
  <c r="W175" i="1" s="1"/>
  <c r="W174" i="1"/>
  <c r="V174" i="1"/>
  <c r="T174" i="1"/>
  <c r="Z174" i="1" s="1"/>
  <c r="R174" i="1"/>
  <c r="P174" i="1"/>
  <c r="N174" i="1"/>
  <c r="Y174" i="1" s="1"/>
  <c r="L174" i="1"/>
  <c r="J174" i="1"/>
  <c r="H174" i="1"/>
  <c r="G174" i="1"/>
  <c r="E174" i="1"/>
  <c r="B174" i="1"/>
  <c r="U174" i="1" s="1"/>
  <c r="X173" i="1" a="1"/>
  <c r="X173" i="1" s="1"/>
  <c r="W173" i="1"/>
  <c r="U173" i="1"/>
  <c r="T173" i="1"/>
  <c r="Z173" i="1" s="1"/>
  <c r="R173" i="1"/>
  <c r="P173" i="1"/>
  <c r="N173" i="1"/>
  <c r="Y173" i="1" s="1"/>
  <c r="L173" i="1"/>
  <c r="J173" i="1"/>
  <c r="H173" i="1"/>
  <c r="G173" i="1"/>
  <c r="E173" i="1"/>
  <c r="B173" i="1"/>
  <c r="V173" i="1" s="1"/>
  <c r="X172" i="1" a="1"/>
  <c r="X172" i="1" s="1"/>
  <c r="V172" i="1"/>
  <c r="R172" i="1"/>
  <c r="P172" i="1"/>
  <c r="T172" i="1" s="1"/>
  <c r="Z172" i="1" s="1"/>
  <c r="N172" i="1"/>
  <c r="Y172" i="1" s="1"/>
  <c r="L172" i="1"/>
  <c r="J172" i="1"/>
  <c r="H172" i="1"/>
  <c r="G172" i="1"/>
  <c r="E172" i="1"/>
  <c r="B172" i="1"/>
  <c r="W172" i="1" s="1"/>
  <c r="W171" i="1"/>
  <c r="U171" i="1"/>
  <c r="R171" i="1"/>
  <c r="P171" i="1"/>
  <c r="T171" i="1" s="1"/>
  <c r="N171" i="1"/>
  <c r="Y171" i="1" s="1"/>
  <c r="L171" i="1"/>
  <c r="J171" i="1"/>
  <c r="H171" i="1"/>
  <c r="G171" i="1"/>
  <c r="E171" i="1"/>
  <c r="B171" i="1"/>
  <c r="V171" i="1" s="1"/>
  <c r="Y170" i="1"/>
  <c r="R170" i="1"/>
  <c r="P170" i="1"/>
  <c r="T170" i="1" s="1"/>
  <c r="N170" i="1"/>
  <c r="L170" i="1"/>
  <c r="J170" i="1"/>
  <c r="H170" i="1"/>
  <c r="G170" i="1"/>
  <c r="E170" i="1"/>
  <c r="B170" i="1"/>
  <c r="W170" i="1" s="1"/>
  <c r="R169" i="1"/>
  <c r="T169" i="1" s="1"/>
  <c r="X169" i="1" s="1" a="1"/>
  <c r="X169" i="1" s="1"/>
  <c r="P169" i="1"/>
  <c r="N169" i="1"/>
  <c r="Y169" i="1" s="1"/>
  <c r="L169" i="1"/>
  <c r="J169" i="1"/>
  <c r="H169" i="1"/>
  <c r="G169" i="1"/>
  <c r="E169" i="1"/>
  <c r="B169" i="1"/>
  <c r="Y168" i="1"/>
  <c r="T168" i="1"/>
  <c r="R168" i="1"/>
  <c r="P168" i="1"/>
  <c r="N168" i="1"/>
  <c r="L168" i="1"/>
  <c r="J168" i="1"/>
  <c r="H168" i="1"/>
  <c r="G168" i="1"/>
  <c r="E168" i="1"/>
  <c r="B168" i="1"/>
  <c r="W168" i="1" s="1"/>
  <c r="U167" i="1"/>
  <c r="R167" i="1"/>
  <c r="P167" i="1"/>
  <c r="T167" i="1" s="1"/>
  <c r="N167" i="1"/>
  <c r="Y167" i="1" s="1"/>
  <c r="L167" i="1"/>
  <c r="J167" i="1"/>
  <c r="H167" i="1"/>
  <c r="G167" i="1"/>
  <c r="E167" i="1"/>
  <c r="B167" i="1"/>
  <c r="W167" i="1" s="1"/>
  <c r="V166" i="1"/>
  <c r="T166" i="1"/>
  <c r="Z166" i="1" s="1"/>
  <c r="R166" i="1"/>
  <c r="P166" i="1"/>
  <c r="N166" i="1"/>
  <c r="Y166" i="1" s="1"/>
  <c r="L166" i="1"/>
  <c r="J166" i="1"/>
  <c r="H166" i="1"/>
  <c r="G166" i="1"/>
  <c r="E166" i="1"/>
  <c r="B166" i="1"/>
  <c r="U166" i="1" s="1"/>
  <c r="X165" i="1" a="1"/>
  <c r="X165" i="1" s="1"/>
  <c r="W165" i="1"/>
  <c r="U165" i="1"/>
  <c r="T165" i="1"/>
  <c r="Z165" i="1" s="1"/>
  <c r="R165" i="1"/>
  <c r="P165" i="1"/>
  <c r="N165" i="1"/>
  <c r="Y165" i="1" s="1"/>
  <c r="L165" i="1"/>
  <c r="J165" i="1"/>
  <c r="H165" i="1"/>
  <c r="G165" i="1"/>
  <c r="E165" i="1"/>
  <c r="B165" i="1"/>
  <c r="V165" i="1" s="1"/>
  <c r="X164" i="1" a="1"/>
  <c r="X164" i="1" s="1"/>
  <c r="V164" i="1"/>
  <c r="R164" i="1"/>
  <c r="P164" i="1"/>
  <c r="T164" i="1" s="1"/>
  <c r="Z164" i="1" s="1"/>
  <c r="N164" i="1"/>
  <c r="Y164" i="1" s="1"/>
  <c r="L164" i="1"/>
  <c r="J164" i="1"/>
  <c r="H164" i="1"/>
  <c r="G164" i="1"/>
  <c r="E164" i="1"/>
  <c r="B164" i="1"/>
  <c r="W164" i="1" s="1"/>
  <c r="W163" i="1"/>
  <c r="R163" i="1"/>
  <c r="P163" i="1"/>
  <c r="T163" i="1" s="1"/>
  <c r="N163" i="1"/>
  <c r="Y163" i="1" s="1"/>
  <c r="L163" i="1"/>
  <c r="J163" i="1"/>
  <c r="H163" i="1"/>
  <c r="G163" i="1"/>
  <c r="E163" i="1"/>
  <c r="B163" i="1"/>
  <c r="V163" i="1" s="1"/>
  <c r="Y162" i="1"/>
  <c r="R162" i="1"/>
  <c r="P162" i="1"/>
  <c r="T162" i="1" s="1"/>
  <c r="N162" i="1"/>
  <c r="L162" i="1"/>
  <c r="J162" i="1"/>
  <c r="H162" i="1"/>
  <c r="G162" i="1"/>
  <c r="E162" i="1"/>
  <c r="B162" i="1"/>
  <c r="W162" i="1" s="1"/>
  <c r="Z161" i="1"/>
  <c r="R161" i="1"/>
  <c r="T161" i="1" s="1"/>
  <c r="X161" i="1" s="1" a="1"/>
  <c r="X161" i="1" s="1"/>
  <c r="P161" i="1"/>
  <c r="N161" i="1"/>
  <c r="Y161" i="1" s="1"/>
  <c r="L161" i="1"/>
  <c r="J161" i="1"/>
  <c r="H161" i="1"/>
  <c r="G161" i="1"/>
  <c r="E161" i="1"/>
  <c r="B161" i="1"/>
  <c r="Y160" i="1"/>
  <c r="U160" i="1"/>
  <c r="T160" i="1"/>
  <c r="R160" i="1"/>
  <c r="P160" i="1"/>
  <c r="N160" i="1"/>
  <c r="L160" i="1"/>
  <c r="J160" i="1"/>
  <c r="H160" i="1"/>
  <c r="G160" i="1"/>
  <c r="E160" i="1"/>
  <c r="B160" i="1"/>
  <c r="W160" i="1" s="1"/>
  <c r="U159" i="1"/>
  <c r="R159" i="1"/>
  <c r="P159" i="1"/>
  <c r="T159" i="1" s="1"/>
  <c r="N159" i="1"/>
  <c r="Y159" i="1" s="1"/>
  <c r="L159" i="1"/>
  <c r="J159" i="1"/>
  <c r="H159" i="1"/>
  <c r="G159" i="1"/>
  <c r="E159" i="1"/>
  <c r="B159" i="1"/>
  <c r="W159" i="1" s="1"/>
  <c r="W158" i="1"/>
  <c r="V158" i="1"/>
  <c r="T158" i="1"/>
  <c r="Z158" i="1" s="1"/>
  <c r="R158" i="1"/>
  <c r="P158" i="1"/>
  <c r="N158" i="1"/>
  <c r="Y158" i="1" s="1"/>
  <c r="L158" i="1"/>
  <c r="J158" i="1"/>
  <c r="H158" i="1"/>
  <c r="G158" i="1"/>
  <c r="E158" i="1"/>
  <c r="B158" i="1"/>
  <c r="U158" i="1" s="1"/>
  <c r="X157" i="1" a="1"/>
  <c r="X157" i="1" s="1"/>
  <c r="W157" i="1"/>
  <c r="U157" i="1"/>
  <c r="T157" i="1"/>
  <c r="Z157" i="1" s="1"/>
  <c r="R157" i="1"/>
  <c r="P157" i="1"/>
  <c r="N157" i="1"/>
  <c r="Y157" i="1" s="1"/>
  <c r="L157" i="1"/>
  <c r="J157" i="1"/>
  <c r="H157" i="1"/>
  <c r="G157" i="1"/>
  <c r="E157" i="1"/>
  <c r="B157" i="1"/>
  <c r="V157" i="1" s="1"/>
  <c r="X156" i="1" a="1"/>
  <c r="X156" i="1" s="1"/>
  <c r="W156" i="1"/>
  <c r="V156" i="1"/>
  <c r="U156" i="1"/>
  <c r="T156" i="1"/>
  <c r="Z156" i="1" s="1"/>
  <c r="R156" i="1"/>
  <c r="P156" i="1"/>
  <c r="N156" i="1"/>
  <c r="Y156" i="1" s="1"/>
  <c r="L156" i="1"/>
  <c r="J156" i="1"/>
  <c r="H156" i="1"/>
  <c r="G156" i="1"/>
  <c r="E156" i="1"/>
  <c r="B156" i="1"/>
  <c r="W155" i="1"/>
  <c r="R155" i="1"/>
  <c r="P155" i="1"/>
  <c r="T155" i="1" s="1"/>
  <c r="N155" i="1"/>
  <c r="Y155" i="1" s="1"/>
  <c r="L155" i="1"/>
  <c r="J155" i="1"/>
  <c r="H155" i="1"/>
  <c r="G155" i="1"/>
  <c r="E155" i="1"/>
  <c r="B155" i="1"/>
  <c r="V155" i="1" s="1"/>
  <c r="Y154" i="1"/>
  <c r="R154" i="1"/>
  <c r="P154" i="1"/>
  <c r="T154" i="1" s="1"/>
  <c r="N154" i="1"/>
  <c r="L154" i="1"/>
  <c r="J154" i="1"/>
  <c r="H154" i="1"/>
  <c r="G154" i="1"/>
  <c r="E154" i="1"/>
  <c r="B154" i="1"/>
  <c r="W154" i="1" s="1"/>
  <c r="R153" i="1"/>
  <c r="T153" i="1" s="1"/>
  <c r="X153" i="1" s="1" a="1"/>
  <c r="X153" i="1" s="1"/>
  <c r="P153" i="1"/>
  <c r="N153" i="1"/>
  <c r="Y153" i="1" s="1"/>
  <c r="L153" i="1"/>
  <c r="J153" i="1"/>
  <c r="H153" i="1"/>
  <c r="G153" i="1"/>
  <c r="E153" i="1"/>
  <c r="B153" i="1"/>
  <c r="Y152" i="1"/>
  <c r="U152" i="1"/>
  <c r="T152" i="1"/>
  <c r="R152" i="1"/>
  <c r="P152" i="1"/>
  <c r="N152" i="1"/>
  <c r="L152" i="1"/>
  <c r="J152" i="1"/>
  <c r="H152" i="1"/>
  <c r="G152" i="1"/>
  <c r="E152" i="1"/>
  <c r="B152" i="1"/>
  <c r="W152" i="1" s="1"/>
  <c r="U151" i="1"/>
  <c r="R151" i="1"/>
  <c r="P151" i="1"/>
  <c r="T151" i="1" s="1"/>
  <c r="N151" i="1"/>
  <c r="Y151" i="1" s="1"/>
  <c r="L151" i="1"/>
  <c r="J151" i="1"/>
  <c r="H151" i="1"/>
  <c r="G151" i="1"/>
  <c r="E151" i="1"/>
  <c r="B151" i="1"/>
  <c r="W151" i="1" s="1"/>
  <c r="W150" i="1"/>
  <c r="V150" i="1"/>
  <c r="T150" i="1"/>
  <c r="Z150" i="1" s="1"/>
  <c r="R150" i="1"/>
  <c r="P150" i="1"/>
  <c r="N150" i="1"/>
  <c r="Y150" i="1" s="1"/>
  <c r="L150" i="1"/>
  <c r="J150" i="1"/>
  <c r="H150" i="1"/>
  <c r="G150" i="1"/>
  <c r="E150" i="1"/>
  <c r="B150" i="1"/>
  <c r="U150" i="1" s="1"/>
  <c r="X149" i="1" a="1"/>
  <c r="X149" i="1" s="1"/>
  <c r="W149" i="1"/>
  <c r="U149" i="1"/>
  <c r="T149" i="1"/>
  <c r="Z149" i="1" s="1"/>
  <c r="R149" i="1"/>
  <c r="P149" i="1"/>
  <c r="N149" i="1"/>
  <c r="Y149" i="1" s="1"/>
  <c r="L149" i="1"/>
  <c r="J149" i="1"/>
  <c r="H149" i="1"/>
  <c r="G149" i="1"/>
  <c r="E149" i="1"/>
  <c r="B149" i="1"/>
  <c r="V149" i="1" s="1"/>
  <c r="X148" i="1" a="1"/>
  <c r="X148" i="1" s="1"/>
  <c r="W148" i="1"/>
  <c r="V148" i="1"/>
  <c r="U148" i="1"/>
  <c r="R148" i="1"/>
  <c r="P148" i="1"/>
  <c r="T148" i="1" s="1"/>
  <c r="Z148" i="1" s="1"/>
  <c r="N148" i="1"/>
  <c r="Y148" i="1" s="1"/>
  <c r="L148" i="1"/>
  <c r="J148" i="1"/>
  <c r="H148" i="1"/>
  <c r="G148" i="1"/>
  <c r="E148" i="1"/>
  <c r="B148" i="1"/>
  <c r="W147" i="1"/>
  <c r="R147" i="1"/>
  <c r="P147" i="1"/>
  <c r="T147" i="1" s="1"/>
  <c r="N147" i="1"/>
  <c r="Y147" i="1" s="1"/>
  <c r="L147" i="1"/>
  <c r="J147" i="1"/>
  <c r="H147" i="1"/>
  <c r="G147" i="1"/>
  <c r="E147" i="1"/>
  <c r="B147" i="1"/>
  <c r="V147" i="1" s="1"/>
  <c r="Y146" i="1"/>
  <c r="R146" i="1"/>
  <c r="P146" i="1"/>
  <c r="T146" i="1" s="1"/>
  <c r="N146" i="1"/>
  <c r="L146" i="1"/>
  <c r="J146" i="1"/>
  <c r="H146" i="1"/>
  <c r="G146" i="1"/>
  <c r="E146" i="1"/>
  <c r="B146" i="1"/>
  <c r="W146" i="1" s="1"/>
  <c r="R145" i="1"/>
  <c r="T145" i="1" s="1"/>
  <c r="X145" i="1" s="1" a="1"/>
  <c r="X145" i="1" s="1"/>
  <c r="P145" i="1"/>
  <c r="N145" i="1"/>
  <c r="Y145" i="1" s="1"/>
  <c r="L145" i="1"/>
  <c r="J145" i="1"/>
  <c r="H145" i="1"/>
  <c r="G145" i="1"/>
  <c r="E145" i="1"/>
  <c r="B145" i="1"/>
  <c r="Y144" i="1"/>
  <c r="U144" i="1"/>
  <c r="T144" i="1"/>
  <c r="R144" i="1"/>
  <c r="P144" i="1"/>
  <c r="N144" i="1"/>
  <c r="L144" i="1"/>
  <c r="J144" i="1"/>
  <c r="H144" i="1"/>
  <c r="G144" i="1"/>
  <c r="E144" i="1"/>
  <c r="B144" i="1"/>
  <c r="W144" i="1" s="1"/>
  <c r="U143" i="1"/>
  <c r="R143" i="1"/>
  <c r="P143" i="1"/>
  <c r="T143" i="1" s="1"/>
  <c r="N143" i="1"/>
  <c r="Y143" i="1" s="1"/>
  <c r="L143" i="1"/>
  <c r="J143" i="1"/>
  <c r="H143" i="1"/>
  <c r="G143" i="1"/>
  <c r="E143" i="1"/>
  <c r="B143" i="1"/>
  <c r="W143" i="1" s="1"/>
  <c r="Y142" i="1"/>
  <c r="W142" i="1"/>
  <c r="V142" i="1"/>
  <c r="T142" i="1"/>
  <c r="Z142" i="1" s="1"/>
  <c r="R142" i="1"/>
  <c r="P142" i="1"/>
  <c r="N142" i="1"/>
  <c r="L142" i="1"/>
  <c r="J142" i="1"/>
  <c r="H142" i="1"/>
  <c r="G142" i="1"/>
  <c r="E142" i="1"/>
  <c r="B142" i="1"/>
  <c r="U142" i="1" s="1"/>
  <c r="X141" i="1" a="1"/>
  <c r="X141" i="1" s="1"/>
  <c r="W141" i="1"/>
  <c r="U141" i="1"/>
  <c r="T141" i="1"/>
  <c r="Z141" i="1" s="1"/>
  <c r="R141" i="1"/>
  <c r="P141" i="1"/>
  <c r="N141" i="1"/>
  <c r="Y141" i="1" s="1"/>
  <c r="L141" i="1"/>
  <c r="J141" i="1"/>
  <c r="H141" i="1"/>
  <c r="G141" i="1"/>
  <c r="E141" i="1"/>
  <c r="B141" i="1"/>
  <c r="V141" i="1" s="1"/>
  <c r="X140" i="1" a="1"/>
  <c r="X140" i="1" s="1"/>
  <c r="W140" i="1"/>
  <c r="V140" i="1"/>
  <c r="U140" i="1"/>
  <c r="T140" i="1"/>
  <c r="Z140" i="1" s="1"/>
  <c r="R140" i="1"/>
  <c r="P140" i="1"/>
  <c r="N140" i="1"/>
  <c r="Y140" i="1" s="1"/>
  <c r="L140" i="1"/>
  <c r="J140" i="1"/>
  <c r="H140" i="1"/>
  <c r="G140" i="1"/>
  <c r="E140" i="1"/>
  <c r="B140" i="1"/>
  <c r="W139" i="1"/>
  <c r="R139" i="1"/>
  <c r="P139" i="1"/>
  <c r="T139" i="1" s="1"/>
  <c r="N139" i="1"/>
  <c r="Y139" i="1" s="1"/>
  <c r="L139" i="1"/>
  <c r="J139" i="1"/>
  <c r="H139" i="1"/>
  <c r="G139" i="1"/>
  <c r="E139" i="1"/>
  <c r="B139" i="1"/>
  <c r="V139" i="1" s="1"/>
  <c r="Y138" i="1"/>
  <c r="R138" i="1"/>
  <c r="P138" i="1"/>
  <c r="T138" i="1" s="1"/>
  <c r="N138" i="1"/>
  <c r="L138" i="1"/>
  <c r="J138" i="1"/>
  <c r="H138" i="1"/>
  <c r="G138" i="1"/>
  <c r="E138" i="1"/>
  <c r="B138" i="1"/>
  <c r="W138" i="1" s="1"/>
  <c r="R137" i="1"/>
  <c r="T137" i="1" s="1"/>
  <c r="X137" i="1" s="1" a="1"/>
  <c r="X137" i="1" s="1"/>
  <c r="P137" i="1"/>
  <c r="N137" i="1"/>
  <c r="Y137" i="1" s="1"/>
  <c r="L137" i="1"/>
  <c r="J137" i="1"/>
  <c r="H137" i="1"/>
  <c r="G137" i="1"/>
  <c r="E137" i="1"/>
  <c r="B137" i="1"/>
  <c r="Y136" i="1"/>
  <c r="U136" i="1"/>
  <c r="T136" i="1"/>
  <c r="R136" i="1"/>
  <c r="P136" i="1"/>
  <c r="N136" i="1"/>
  <c r="L136" i="1"/>
  <c r="J136" i="1"/>
  <c r="H136" i="1"/>
  <c r="G136" i="1"/>
  <c r="E136" i="1"/>
  <c r="B136" i="1"/>
  <c r="W136" i="1" s="1"/>
  <c r="U135" i="1"/>
  <c r="R135" i="1"/>
  <c r="P135" i="1"/>
  <c r="T135" i="1" s="1"/>
  <c r="N135" i="1"/>
  <c r="Y135" i="1" s="1"/>
  <c r="L135" i="1"/>
  <c r="J135" i="1"/>
  <c r="H135" i="1"/>
  <c r="G135" i="1"/>
  <c r="E135" i="1"/>
  <c r="B135" i="1"/>
  <c r="W135" i="1" s="1"/>
  <c r="Y134" i="1"/>
  <c r="W134" i="1"/>
  <c r="V134" i="1"/>
  <c r="T134" i="1"/>
  <c r="Z134" i="1" s="1"/>
  <c r="R134" i="1"/>
  <c r="P134" i="1"/>
  <c r="N134" i="1"/>
  <c r="L134" i="1"/>
  <c r="J134" i="1"/>
  <c r="H134" i="1"/>
  <c r="G134" i="1"/>
  <c r="E134" i="1"/>
  <c r="B134" i="1"/>
  <c r="U134" i="1" s="1"/>
  <c r="X133" i="1" a="1"/>
  <c r="X133" i="1" s="1"/>
  <c r="W133" i="1"/>
  <c r="U133" i="1"/>
  <c r="T133" i="1"/>
  <c r="Z133" i="1" s="1"/>
  <c r="R133" i="1"/>
  <c r="P133" i="1"/>
  <c r="N133" i="1"/>
  <c r="Y133" i="1" s="1"/>
  <c r="L133" i="1"/>
  <c r="J133" i="1"/>
  <c r="H133" i="1"/>
  <c r="G133" i="1"/>
  <c r="E133" i="1"/>
  <c r="B133" i="1"/>
  <c r="V133" i="1" s="1"/>
  <c r="W132" i="1"/>
  <c r="V132" i="1"/>
  <c r="U132" i="1"/>
  <c r="R132" i="1"/>
  <c r="P132" i="1"/>
  <c r="T132" i="1" s="1"/>
  <c r="Z132" i="1" s="1"/>
  <c r="N132" i="1"/>
  <c r="Y132" i="1" s="1"/>
  <c r="L132" i="1"/>
  <c r="J132" i="1"/>
  <c r="H132" i="1"/>
  <c r="G132" i="1"/>
  <c r="E132" i="1"/>
  <c r="B132" i="1"/>
  <c r="W131" i="1"/>
  <c r="R131" i="1"/>
  <c r="P131" i="1"/>
  <c r="T131" i="1" s="1"/>
  <c r="N131" i="1"/>
  <c r="Y131" i="1" s="1"/>
  <c r="L131" i="1"/>
  <c r="J131" i="1"/>
  <c r="H131" i="1"/>
  <c r="G131" i="1"/>
  <c r="E131" i="1"/>
  <c r="B131" i="1"/>
  <c r="V131" i="1" s="1"/>
  <c r="Y130" i="1"/>
  <c r="R130" i="1"/>
  <c r="P130" i="1"/>
  <c r="T130" i="1" s="1"/>
  <c r="N130" i="1"/>
  <c r="L130" i="1"/>
  <c r="J130" i="1"/>
  <c r="H130" i="1"/>
  <c r="G130" i="1"/>
  <c r="E130" i="1"/>
  <c r="B130" i="1"/>
  <c r="W130" i="1" s="1"/>
  <c r="Z129" i="1"/>
  <c r="R129" i="1"/>
  <c r="T129" i="1" s="1"/>
  <c r="X129" i="1" s="1" a="1"/>
  <c r="X129" i="1" s="1"/>
  <c r="P129" i="1"/>
  <c r="N129" i="1"/>
  <c r="Y129" i="1" s="1"/>
  <c r="L129" i="1"/>
  <c r="J129" i="1"/>
  <c r="H129" i="1"/>
  <c r="G129" i="1"/>
  <c r="E129" i="1"/>
  <c r="B129" i="1"/>
  <c r="Y128" i="1"/>
  <c r="U128" i="1"/>
  <c r="T128" i="1"/>
  <c r="R128" i="1"/>
  <c r="P128" i="1"/>
  <c r="N128" i="1"/>
  <c r="L128" i="1"/>
  <c r="J128" i="1"/>
  <c r="H128" i="1"/>
  <c r="G128" i="1"/>
  <c r="E128" i="1"/>
  <c r="B128" i="1"/>
  <c r="W128" i="1" s="1"/>
  <c r="U127" i="1"/>
  <c r="R127" i="1"/>
  <c r="T127" i="1" s="1"/>
  <c r="P127" i="1"/>
  <c r="N127" i="1"/>
  <c r="Y127" i="1" s="1"/>
  <c r="L127" i="1"/>
  <c r="J127" i="1"/>
  <c r="H127" i="1"/>
  <c r="G127" i="1"/>
  <c r="E127" i="1"/>
  <c r="B127" i="1"/>
  <c r="W127" i="1" s="1"/>
  <c r="W126" i="1"/>
  <c r="V126" i="1"/>
  <c r="T126" i="1"/>
  <c r="Z126" i="1" s="1"/>
  <c r="R126" i="1"/>
  <c r="P126" i="1"/>
  <c r="N126" i="1"/>
  <c r="Y126" i="1" s="1"/>
  <c r="L126" i="1"/>
  <c r="J126" i="1"/>
  <c r="H126" i="1"/>
  <c r="G126" i="1"/>
  <c r="E126" i="1"/>
  <c r="B126" i="1"/>
  <c r="U126" i="1" s="1"/>
  <c r="X125" i="1" a="1"/>
  <c r="X125" i="1" s="1"/>
  <c r="W125" i="1"/>
  <c r="U125" i="1"/>
  <c r="T125" i="1"/>
  <c r="Z125" i="1" s="1"/>
  <c r="R125" i="1"/>
  <c r="P125" i="1"/>
  <c r="N125" i="1"/>
  <c r="Y125" i="1" s="1"/>
  <c r="L125" i="1"/>
  <c r="J125" i="1"/>
  <c r="H125" i="1"/>
  <c r="G125" i="1"/>
  <c r="E125" i="1"/>
  <c r="B125" i="1"/>
  <c r="V125" i="1" s="1"/>
  <c r="X124" i="1" a="1"/>
  <c r="X124" i="1" s="1"/>
  <c r="V124" i="1"/>
  <c r="R124" i="1"/>
  <c r="P124" i="1"/>
  <c r="T124" i="1" s="1"/>
  <c r="Z124" i="1" s="1"/>
  <c r="N124" i="1"/>
  <c r="Y124" i="1" s="1"/>
  <c r="L124" i="1"/>
  <c r="J124" i="1"/>
  <c r="H124" i="1"/>
  <c r="G124" i="1"/>
  <c r="E124" i="1"/>
  <c r="B124" i="1"/>
  <c r="W124" i="1" s="1"/>
  <c r="W123" i="1"/>
  <c r="R123" i="1"/>
  <c r="P123" i="1"/>
  <c r="T123" i="1" s="1"/>
  <c r="N123" i="1"/>
  <c r="Y123" i="1" s="1"/>
  <c r="L123" i="1"/>
  <c r="J123" i="1"/>
  <c r="H123" i="1"/>
  <c r="G123" i="1"/>
  <c r="E123" i="1"/>
  <c r="B123" i="1"/>
  <c r="V123" i="1" s="1"/>
  <c r="Y122" i="1"/>
  <c r="R122" i="1"/>
  <c r="P122" i="1"/>
  <c r="T122" i="1" s="1"/>
  <c r="N122" i="1"/>
  <c r="L122" i="1"/>
  <c r="J122" i="1"/>
  <c r="H122" i="1"/>
  <c r="G122" i="1"/>
  <c r="E122" i="1"/>
  <c r="B122" i="1"/>
  <c r="W122" i="1" s="1"/>
  <c r="Z121" i="1"/>
  <c r="R121" i="1"/>
  <c r="T121" i="1" s="1"/>
  <c r="X121" i="1" s="1" a="1"/>
  <c r="X121" i="1" s="1"/>
  <c r="P121" i="1"/>
  <c r="N121" i="1"/>
  <c r="Y121" i="1" s="1"/>
  <c r="L121" i="1"/>
  <c r="J121" i="1"/>
  <c r="H121" i="1"/>
  <c r="G121" i="1"/>
  <c r="E121" i="1"/>
  <c r="B121" i="1"/>
  <c r="Y120" i="1"/>
  <c r="U120" i="1"/>
  <c r="T120" i="1"/>
  <c r="R120" i="1"/>
  <c r="P120" i="1"/>
  <c r="N120" i="1"/>
  <c r="L120" i="1"/>
  <c r="J120" i="1"/>
  <c r="H120" i="1"/>
  <c r="G120" i="1"/>
  <c r="E120" i="1"/>
  <c r="B120" i="1"/>
  <c r="W120" i="1" s="1"/>
  <c r="U119" i="1"/>
  <c r="R119" i="1"/>
  <c r="T119" i="1" s="1"/>
  <c r="P119" i="1"/>
  <c r="N119" i="1"/>
  <c r="Y119" i="1" s="1"/>
  <c r="L119" i="1"/>
  <c r="J119" i="1"/>
  <c r="H119" i="1"/>
  <c r="G119" i="1"/>
  <c r="E119" i="1"/>
  <c r="B119" i="1"/>
  <c r="W119" i="1" s="1"/>
  <c r="W118" i="1"/>
  <c r="V118" i="1"/>
  <c r="T118" i="1"/>
  <c r="Z118" i="1" s="1"/>
  <c r="R118" i="1"/>
  <c r="P118" i="1"/>
  <c r="N118" i="1"/>
  <c r="Y118" i="1" s="1"/>
  <c r="L118" i="1"/>
  <c r="J118" i="1"/>
  <c r="H118" i="1"/>
  <c r="G118" i="1"/>
  <c r="E118" i="1"/>
  <c r="B118" i="1"/>
  <c r="U118" i="1" s="1"/>
  <c r="W117" i="1"/>
  <c r="U117" i="1"/>
  <c r="R117" i="1"/>
  <c r="P117" i="1"/>
  <c r="T117" i="1" s="1"/>
  <c r="N117" i="1"/>
  <c r="Y117" i="1" s="1"/>
  <c r="L117" i="1"/>
  <c r="J117" i="1"/>
  <c r="H117" i="1"/>
  <c r="G117" i="1"/>
  <c r="E117" i="1"/>
  <c r="B117" i="1"/>
  <c r="V117" i="1" s="1"/>
  <c r="X116" i="1" a="1"/>
  <c r="X116" i="1" s="1"/>
  <c r="W116" i="1"/>
  <c r="V116" i="1"/>
  <c r="T116" i="1"/>
  <c r="Z116" i="1" s="1"/>
  <c r="R116" i="1"/>
  <c r="P116" i="1"/>
  <c r="N116" i="1"/>
  <c r="Y116" i="1" s="1"/>
  <c r="L116" i="1"/>
  <c r="J116" i="1"/>
  <c r="H116" i="1"/>
  <c r="G116" i="1"/>
  <c r="E116" i="1"/>
  <c r="B116" i="1"/>
  <c r="U116" i="1" s="1"/>
  <c r="W115" i="1"/>
  <c r="R115" i="1"/>
  <c r="P115" i="1"/>
  <c r="T115" i="1" s="1"/>
  <c r="N115" i="1"/>
  <c r="Y115" i="1" s="1"/>
  <c r="L115" i="1"/>
  <c r="J115" i="1"/>
  <c r="H115" i="1"/>
  <c r="G115" i="1"/>
  <c r="E115" i="1"/>
  <c r="B115" i="1"/>
  <c r="V115" i="1" s="1"/>
  <c r="Y114" i="1"/>
  <c r="R114" i="1"/>
  <c r="P114" i="1"/>
  <c r="T114" i="1" s="1"/>
  <c r="N114" i="1"/>
  <c r="L114" i="1"/>
  <c r="J114" i="1"/>
  <c r="H114" i="1"/>
  <c r="G114" i="1"/>
  <c r="E114" i="1"/>
  <c r="B114" i="1"/>
  <c r="W114" i="1" s="1"/>
  <c r="R113" i="1"/>
  <c r="T113" i="1" s="1"/>
  <c r="X113" i="1" s="1" a="1"/>
  <c r="X113" i="1" s="1"/>
  <c r="P113" i="1"/>
  <c r="N113" i="1"/>
  <c r="Y113" i="1" s="1"/>
  <c r="L113" i="1"/>
  <c r="J113" i="1"/>
  <c r="H113" i="1"/>
  <c r="G113" i="1"/>
  <c r="E113" i="1"/>
  <c r="B113" i="1"/>
  <c r="Y112" i="1"/>
  <c r="U112" i="1"/>
  <c r="T112" i="1"/>
  <c r="R112" i="1"/>
  <c r="P112" i="1"/>
  <c r="N112" i="1"/>
  <c r="L112" i="1"/>
  <c r="J112" i="1"/>
  <c r="H112" i="1"/>
  <c r="G112" i="1"/>
  <c r="E112" i="1"/>
  <c r="B112" i="1"/>
  <c r="W112" i="1" s="1"/>
  <c r="U111" i="1"/>
  <c r="R111" i="1"/>
  <c r="T111" i="1" s="1"/>
  <c r="P111" i="1"/>
  <c r="N111" i="1"/>
  <c r="Y111" i="1" s="1"/>
  <c r="L111" i="1"/>
  <c r="J111" i="1"/>
  <c r="H111" i="1"/>
  <c r="G111" i="1"/>
  <c r="E111" i="1"/>
  <c r="B111" i="1"/>
  <c r="W111" i="1" s="1"/>
  <c r="Y110" i="1"/>
  <c r="W110" i="1"/>
  <c r="V110" i="1"/>
  <c r="T110" i="1"/>
  <c r="Z110" i="1" s="1"/>
  <c r="R110" i="1"/>
  <c r="P110" i="1"/>
  <c r="N110" i="1"/>
  <c r="L110" i="1"/>
  <c r="J110" i="1"/>
  <c r="H110" i="1"/>
  <c r="G110" i="1"/>
  <c r="E110" i="1"/>
  <c r="B110" i="1"/>
  <c r="U110" i="1" s="1"/>
  <c r="W109" i="1"/>
  <c r="U109" i="1"/>
  <c r="R109" i="1"/>
  <c r="T109" i="1" s="1"/>
  <c r="P109" i="1"/>
  <c r="N109" i="1"/>
  <c r="Y109" i="1" s="1"/>
  <c r="L109" i="1"/>
  <c r="J109" i="1"/>
  <c r="H109" i="1"/>
  <c r="G109" i="1"/>
  <c r="E109" i="1"/>
  <c r="B109" i="1"/>
  <c r="V109" i="1" s="1"/>
  <c r="X108" i="1" a="1"/>
  <c r="X108" i="1" s="1"/>
  <c r="W108" i="1"/>
  <c r="V108" i="1"/>
  <c r="T108" i="1"/>
  <c r="Z108" i="1" s="1"/>
  <c r="R108" i="1"/>
  <c r="P108" i="1"/>
  <c r="N108" i="1"/>
  <c r="Y108" i="1" s="1"/>
  <c r="L108" i="1"/>
  <c r="J108" i="1"/>
  <c r="H108" i="1"/>
  <c r="G108" i="1"/>
  <c r="E108" i="1"/>
  <c r="B108" i="1"/>
  <c r="U108" i="1" s="1"/>
  <c r="W107" i="1"/>
  <c r="R107" i="1"/>
  <c r="P107" i="1"/>
  <c r="T107" i="1" s="1"/>
  <c r="N107" i="1"/>
  <c r="Y107" i="1" s="1"/>
  <c r="L107" i="1"/>
  <c r="J107" i="1"/>
  <c r="H107" i="1"/>
  <c r="G107" i="1"/>
  <c r="E107" i="1"/>
  <c r="B107" i="1"/>
  <c r="V107" i="1" s="1"/>
  <c r="Y106" i="1"/>
  <c r="R106" i="1"/>
  <c r="P106" i="1"/>
  <c r="T106" i="1" s="1"/>
  <c r="N106" i="1"/>
  <c r="L106" i="1"/>
  <c r="J106" i="1"/>
  <c r="H106" i="1"/>
  <c r="G106" i="1"/>
  <c r="E106" i="1"/>
  <c r="B106" i="1"/>
  <c r="W106" i="1" s="1"/>
  <c r="R105" i="1"/>
  <c r="T105" i="1" s="1"/>
  <c r="X105" i="1" s="1" a="1"/>
  <c r="X105" i="1" s="1"/>
  <c r="P105" i="1"/>
  <c r="N105" i="1"/>
  <c r="Y105" i="1" s="1"/>
  <c r="L105" i="1"/>
  <c r="J105" i="1"/>
  <c r="H105" i="1"/>
  <c r="G105" i="1"/>
  <c r="E105" i="1"/>
  <c r="B105" i="1"/>
  <c r="Y104" i="1"/>
  <c r="U104" i="1"/>
  <c r="T104" i="1"/>
  <c r="R104" i="1"/>
  <c r="P104" i="1"/>
  <c r="N104" i="1"/>
  <c r="L104" i="1"/>
  <c r="J104" i="1"/>
  <c r="H104" i="1"/>
  <c r="G104" i="1"/>
  <c r="E104" i="1"/>
  <c r="B104" i="1"/>
  <c r="W104" i="1" s="1"/>
  <c r="U103" i="1"/>
  <c r="R103" i="1"/>
  <c r="T103" i="1" s="1"/>
  <c r="P103" i="1"/>
  <c r="N103" i="1"/>
  <c r="Y103" i="1" s="1"/>
  <c r="L103" i="1"/>
  <c r="J103" i="1"/>
  <c r="H103" i="1"/>
  <c r="G103" i="1"/>
  <c r="E103" i="1"/>
  <c r="B103" i="1"/>
  <c r="W103" i="1" s="1"/>
  <c r="Y102" i="1"/>
  <c r="W102" i="1"/>
  <c r="V102" i="1"/>
  <c r="T102" i="1"/>
  <c r="Z102" i="1" s="1"/>
  <c r="R102" i="1"/>
  <c r="P102" i="1"/>
  <c r="N102" i="1"/>
  <c r="L102" i="1"/>
  <c r="J102" i="1"/>
  <c r="H102" i="1"/>
  <c r="G102" i="1"/>
  <c r="E102" i="1"/>
  <c r="B102" i="1"/>
  <c r="U102" i="1" s="1"/>
  <c r="W101" i="1"/>
  <c r="U101" i="1"/>
  <c r="R101" i="1"/>
  <c r="T101" i="1" s="1"/>
  <c r="P101" i="1"/>
  <c r="N101" i="1"/>
  <c r="Y101" i="1" s="1"/>
  <c r="L101" i="1"/>
  <c r="J101" i="1"/>
  <c r="H101" i="1"/>
  <c r="G101" i="1"/>
  <c r="E101" i="1"/>
  <c r="B101" i="1"/>
  <c r="V101" i="1" s="1"/>
  <c r="X100" i="1" a="1"/>
  <c r="X100" i="1" s="1"/>
  <c r="W100" i="1"/>
  <c r="V100" i="1"/>
  <c r="U100" i="1"/>
  <c r="T100" i="1"/>
  <c r="Z100" i="1" s="1"/>
  <c r="R100" i="1"/>
  <c r="P100" i="1"/>
  <c r="N100" i="1"/>
  <c r="Y100" i="1" s="1"/>
  <c r="L100" i="1"/>
  <c r="J100" i="1"/>
  <c r="H100" i="1"/>
  <c r="G100" i="1"/>
  <c r="E100" i="1"/>
  <c r="B100" i="1"/>
  <c r="W99" i="1"/>
  <c r="R99" i="1"/>
  <c r="P99" i="1"/>
  <c r="T99" i="1" s="1"/>
  <c r="N99" i="1"/>
  <c r="Y99" i="1" s="1"/>
  <c r="L99" i="1"/>
  <c r="J99" i="1"/>
  <c r="H99" i="1"/>
  <c r="G99" i="1"/>
  <c r="E99" i="1"/>
  <c r="B99" i="1"/>
  <c r="V99" i="1" s="1"/>
  <c r="Y98" i="1"/>
  <c r="R98" i="1"/>
  <c r="P98" i="1"/>
  <c r="T98" i="1" s="1"/>
  <c r="N98" i="1"/>
  <c r="L98" i="1"/>
  <c r="J98" i="1"/>
  <c r="H98" i="1"/>
  <c r="G98" i="1"/>
  <c r="E98" i="1"/>
  <c r="B98" i="1"/>
  <c r="W98" i="1" s="1"/>
  <c r="R97" i="1"/>
  <c r="T97" i="1" s="1"/>
  <c r="X97" i="1" s="1" a="1"/>
  <c r="X97" i="1" s="1"/>
  <c r="P97" i="1"/>
  <c r="N97" i="1"/>
  <c r="Y97" i="1" s="1"/>
  <c r="L97" i="1"/>
  <c r="J97" i="1"/>
  <c r="H97" i="1"/>
  <c r="G97" i="1"/>
  <c r="E97" i="1"/>
  <c r="B97" i="1"/>
  <c r="Y96" i="1"/>
  <c r="U96" i="1"/>
  <c r="T96" i="1"/>
  <c r="R96" i="1"/>
  <c r="P96" i="1"/>
  <c r="N96" i="1"/>
  <c r="L96" i="1"/>
  <c r="J96" i="1"/>
  <c r="H96" i="1"/>
  <c r="G96" i="1"/>
  <c r="E96" i="1"/>
  <c r="B96" i="1"/>
  <c r="W96" i="1" s="1"/>
  <c r="U95" i="1"/>
  <c r="R95" i="1"/>
  <c r="T95" i="1" s="1"/>
  <c r="P95" i="1"/>
  <c r="N95" i="1"/>
  <c r="Y95" i="1" s="1"/>
  <c r="L95" i="1"/>
  <c r="J95" i="1"/>
  <c r="H95" i="1"/>
  <c r="G95" i="1"/>
  <c r="E95" i="1"/>
  <c r="B95" i="1"/>
  <c r="W95" i="1" s="1"/>
  <c r="Y94" i="1"/>
  <c r="W94" i="1"/>
  <c r="V94" i="1"/>
  <c r="U94" i="1"/>
  <c r="T94" i="1"/>
  <c r="Z94" i="1" s="1"/>
  <c r="R94" i="1"/>
  <c r="P94" i="1"/>
  <c r="N94" i="1"/>
  <c r="L94" i="1"/>
  <c r="J94" i="1"/>
  <c r="H94" i="1"/>
  <c r="G94" i="1"/>
  <c r="E94" i="1"/>
  <c r="B94" i="1"/>
  <c r="W93" i="1"/>
  <c r="U93" i="1"/>
  <c r="R93" i="1"/>
  <c r="T93" i="1" s="1"/>
  <c r="P93" i="1"/>
  <c r="N93" i="1"/>
  <c r="Y93" i="1" s="1"/>
  <c r="L93" i="1"/>
  <c r="J93" i="1"/>
  <c r="H93" i="1"/>
  <c r="G93" i="1"/>
  <c r="E93" i="1"/>
  <c r="B93" i="1"/>
  <c r="V93" i="1" s="1"/>
  <c r="X92" i="1" a="1"/>
  <c r="X92" i="1" s="1"/>
  <c r="W92" i="1"/>
  <c r="V92" i="1"/>
  <c r="U92" i="1"/>
  <c r="T92" i="1"/>
  <c r="Z92" i="1" s="1"/>
  <c r="R92" i="1"/>
  <c r="P92" i="1"/>
  <c r="N92" i="1"/>
  <c r="Y92" i="1" s="1"/>
  <c r="L92" i="1"/>
  <c r="J92" i="1"/>
  <c r="H92" i="1"/>
  <c r="G92" i="1"/>
  <c r="E92" i="1"/>
  <c r="B92" i="1"/>
  <c r="W91" i="1"/>
  <c r="U91" i="1"/>
  <c r="R91" i="1"/>
  <c r="P91" i="1"/>
  <c r="T91" i="1" s="1"/>
  <c r="N91" i="1"/>
  <c r="Y91" i="1" s="1"/>
  <c r="L91" i="1"/>
  <c r="J91" i="1"/>
  <c r="H91" i="1"/>
  <c r="G91" i="1"/>
  <c r="E91" i="1"/>
  <c r="B91" i="1"/>
  <c r="V91" i="1" s="1"/>
  <c r="Y90" i="1"/>
  <c r="R90" i="1"/>
  <c r="P90" i="1"/>
  <c r="T90" i="1" s="1"/>
  <c r="N90" i="1"/>
  <c r="L90" i="1"/>
  <c r="J90" i="1"/>
  <c r="H90" i="1"/>
  <c r="G90" i="1"/>
  <c r="E90" i="1"/>
  <c r="B90" i="1"/>
  <c r="W90" i="1" s="1"/>
  <c r="R89" i="1"/>
  <c r="T89" i="1" s="1"/>
  <c r="X89" i="1" s="1" a="1"/>
  <c r="X89" i="1" s="1"/>
  <c r="P89" i="1"/>
  <c r="N89" i="1"/>
  <c r="Y89" i="1" s="1"/>
  <c r="L89" i="1"/>
  <c r="J89" i="1"/>
  <c r="H89" i="1"/>
  <c r="G89" i="1"/>
  <c r="E89" i="1"/>
  <c r="B89" i="1"/>
  <c r="Y88" i="1"/>
  <c r="U88" i="1"/>
  <c r="T88" i="1"/>
  <c r="R88" i="1"/>
  <c r="P88" i="1"/>
  <c r="N88" i="1"/>
  <c r="L88" i="1"/>
  <c r="J88" i="1"/>
  <c r="H88" i="1"/>
  <c r="G88" i="1"/>
  <c r="E88" i="1"/>
  <c r="B88" i="1"/>
  <c r="W88" i="1" s="1"/>
  <c r="U87" i="1"/>
  <c r="R87" i="1"/>
  <c r="T87" i="1" s="1"/>
  <c r="P87" i="1"/>
  <c r="N87" i="1"/>
  <c r="Y87" i="1" s="1"/>
  <c r="L87" i="1"/>
  <c r="J87" i="1"/>
  <c r="H87" i="1"/>
  <c r="G87" i="1"/>
  <c r="E87" i="1"/>
  <c r="B87" i="1"/>
  <c r="W87" i="1" s="1"/>
  <c r="Y86" i="1"/>
  <c r="W86" i="1"/>
  <c r="V86" i="1"/>
  <c r="U86" i="1"/>
  <c r="T86" i="1"/>
  <c r="Z86" i="1" s="1"/>
  <c r="R86" i="1"/>
  <c r="P86" i="1"/>
  <c r="N86" i="1"/>
  <c r="L86" i="1"/>
  <c r="J86" i="1"/>
  <c r="H86" i="1"/>
  <c r="G86" i="1"/>
  <c r="E86" i="1"/>
  <c r="B86" i="1"/>
  <c r="W85" i="1"/>
  <c r="U85" i="1"/>
  <c r="R85" i="1"/>
  <c r="T85" i="1" s="1"/>
  <c r="P85" i="1"/>
  <c r="N85" i="1"/>
  <c r="Y85" i="1" s="1"/>
  <c r="L85" i="1"/>
  <c r="J85" i="1"/>
  <c r="H85" i="1"/>
  <c r="G85" i="1"/>
  <c r="E85" i="1"/>
  <c r="B85" i="1"/>
  <c r="V85" i="1" s="1"/>
  <c r="X84" i="1" a="1"/>
  <c r="X84" i="1" s="1"/>
  <c r="W84" i="1"/>
  <c r="V84" i="1"/>
  <c r="U84" i="1"/>
  <c r="T84" i="1"/>
  <c r="Z84" i="1" s="1"/>
  <c r="R84" i="1"/>
  <c r="P84" i="1"/>
  <c r="N84" i="1"/>
  <c r="Y84" i="1" s="1"/>
  <c r="L84" i="1"/>
  <c r="J84" i="1"/>
  <c r="H84" i="1"/>
  <c r="G84" i="1"/>
  <c r="E84" i="1"/>
  <c r="B84" i="1"/>
  <c r="W83" i="1"/>
  <c r="U83" i="1"/>
  <c r="R83" i="1"/>
  <c r="P83" i="1"/>
  <c r="T83" i="1" s="1"/>
  <c r="N83" i="1"/>
  <c r="Y83" i="1" s="1"/>
  <c r="L83" i="1"/>
  <c r="J83" i="1"/>
  <c r="H83" i="1"/>
  <c r="G83" i="1"/>
  <c r="E83" i="1"/>
  <c r="B83" i="1"/>
  <c r="V83" i="1" s="1"/>
  <c r="Y82" i="1"/>
  <c r="R82" i="1"/>
  <c r="P82" i="1"/>
  <c r="T82" i="1" s="1"/>
  <c r="N82" i="1"/>
  <c r="L82" i="1"/>
  <c r="J82" i="1"/>
  <c r="H82" i="1"/>
  <c r="G82" i="1"/>
  <c r="E82" i="1"/>
  <c r="B82" i="1"/>
  <c r="W82" i="1" s="1"/>
  <c r="Z81" i="1"/>
  <c r="R81" i="1"/>
  <c r="T81" i="1" s="1"/>
  <c r="X81" i="1" s="1" a="1"/>
  <c r="X81" i="1" s="1"/>
  <c r="P81" i="1"/>
  <c r="N81" i="1"/>
  <c r="Y81" i="1" s="1"/>
  <c r="L81" i="1"/>
  <c r="J81" i="1"/>
  <c r="H81" i="1"/>
  <c r="G81" i="1"/>
  <c r="E81" i="1"/>
  <c r="B81" i="1"/>
  <c r="Y80" i="1"/>
  <c r="U80" i="1"/>
  <c r="T80" i="1"/>
  <c r="R80" i="1"/>
  <c r="P80" i="1"/>
  <c r="N80" i="1"/>
  <c r="L80" i="1"/>
  <c r="J80" i="1"/>
  <c r="H80" i="1"/>
  <c r="G80" i="1"/>
  <c r="E80" i="1"/>
  <c r="B80" i="1"/>
  <c r="W80" i="1" s="1"/>
  <c r="U79" i="1"/>
  <c r="R79" i="1"/>
  <c r="T79" i="1" s="1"/>
  <c r="X79" i="1" s="1" a="1"/>
  <c r="X79" i="1" s="1"/>
  <c r="P79" i="1"/>
  <c r="N79" i="1"/>
  <c r="Y79" i="1" s="1"/>
  <c r="L79" i="1"/>
  <c r="J79" i="1"/>
  <c r="H79" i="1"/>
  <c r="G79" i="1"/>
  <c r="E79" i="1"/>
  <c r="B79" i="1"/>
  <c r="Y78" i="1"/>
  <c r="W78" i="1"/>
  <c r="V78" i="1"/>
  <c r="U78" i="1"/>
  <c r="T78" i="1"/>
  <c r="R78" i="1"/>
  <c r="P78" i="1"/>
  <c r="N78" i="1"/>
  <c r="L78" i="1"/>
  <c r="J78" i="1"/>
  <c r="H78" i="1"/>
  <c r="G78" i="1"/>
  <c r="E78" i="1"/>
  <c r="B78" i="1"/>
  <c r="W77" i="1"/>
  <c r="U77" i="1"/>
  <c r="R77" i="1"/>
  <c r="T77" i="1" s="1"/>
  <c r="P77" i="1"/>
  <c r="N77" i="1"/>
  <c r="Y77" i="1" s="1"/>
  <c r="L77" i="1"/>
  <c r="J77" i="1"/>
  <c r="H77" i="1"/>
  <c r="G77" i="1"/>
  <c r="E77" i="1"/>
  <c r="B77" i="1"/>
  <c r="V77" i="1" s="1"/>
  <c r="X76" i="1" a="1"/>
  <c r="X76" i="1" s="1"/>
  <c r="W76" i="1"/>
  <c r="V76" i="1"/>
  <c r="U76" i="1"/>
  <c r="T76" i="1"/>
  <c r="Z76" i="1" s="1"/>
  <c r="R76" i="1"/>
  <c r="P76" i="1"/>
  <c r="N76" i="1"/>
  <c r="Y76" i="1" s="1"/>
  <c r="L76" i="1"/>
  <c r="J76" i="1"/>
  <c r="H76" i="1"/>
  <c r="G76" i="1"/>
  <c r="E76" i="1"/>
  <c r="B76" i="1"/>
  <c r="W75" i="1"/>
  <c r="U75" i="1"/>
  <c r="R75" i="1"/>
  <c r="P75" i="1"/>
  <c r="T75" i="1" s="1"/>
  <c r="N75" i="1"/>
  <c r="Y75" i="1" s="1"/>
  <c r="L75" i="1"/>
  <c r="J75" i="1"/>
  <c r="H75" i="1"/>
  <c r="G75" i="1"/>
  <c r="E75" i="1"/>
  <c r="B75" i="1"/>
  <c r="V75" i="1" s="1"/>
  <c r="Y74" i="1"/>
  <c r="R74" i="1"/>
  <c r="P74" i="1"/>
  <c r="T74" i="1" s="1"/>
  <c r="Z74" i="1" s="1"/>
  <c r="N74" i="1"/>
  <c r="L74" i="1"/>
  <c r="J74" i="1"/>
  <c r="H74" i="1"/>
  <c r="G74" i="1"/>
  <c r="E74" i="1"/>
  <c r="B74" i="1"/>
  <c r="W74" i="1" s="1"/>
  <c r="Z73" i="1"/>
  <c r="X73" i="1"/>
  <c r="R73" i="1"/>
  <c r="T73" i="1" s="1"/>
  <c r="X73" i="1" s="1" a="1"/>
  <c r="P73" i="1"/>
  <c r="N73" i="1"/>
  <c r="Y73" i="1" s="1"/>
  <c r="L73" i="1"/>
  <c r="J73" i="1"/>
  <c r="H73" i="1"/>
  <c r="G73" i="1"/>
  <c r="E73" i="1"/>
  <c r="B73" i="1"/>
  <c r="Y72" i="1"/>
  <c r="U72" i="1"/>
  <c r="T72" i="1"/>
  <c r="R72" i="1"/>
  <c r="P72" i="1"/>
  <c r="N72" i="1"/>
  <c r="L72" i="1"/>
  <c r="J72" i="1"/>
  <c r="H72" i="1"/>
  <c r="G72" i="1"/>
  <c r="E72" i="1"/>
  <c r="B72" i="1"/>
  <c r="W72" i="1" s="1"/>
  <c r="U71" i="1"/>
  <c r="R71" i="1"/>
  <c r="T71" i="1" s="1"/>
  <c r="X71" i="1" s="1" a="1"/>
  <c r="X71" i="1" s="1"/>
  <c r="P71" i="1"/>
  <c r="N71" i="1"/>
  <c r="Y71" i="1" s="1"/>
  <c r="L71" i="1"/>
  <c r="J71" i="1"/>
  <c r="H71" i="1"/>
  <c r="G71" i="1"/>
  <c r="E71" i="1"/>
  <c r="B71" i="1"/>
  <c r="Y70" i="1"/>
  <c r="W70" i="1"/>
  <c r="V70" i="1"/>
  <c r="U70" i="1"/>
  <c r="T70" i="1"/>
  <c r="R70" i="1"/>
  <c r="P70" i="1"/>
  <c r="N70" i="1"/>
  <c r="L70" i="1"/>
  <c r="J70" i="1"/>
  <c r="H70" i="1"/>
  <c r="G70" i="1"/>
  <c r="E70" i="1"/>
  <c r="B70" i="1"/>
  <c r="W69" i="1"/>
  <c r="U69" i="1"/>
  <c r="R69" i="1"/>
  <c r="T69" i="1" s="1"/>
  <c r="P69" i="1"/>
  <c r="N69" i="1"/>
  <c r="Y69" i="1" s="1"/>
  <c r="L69" i="1"/>
  <c r="J69" i="1"/>
  <c r="H69" i="1"/>
  <c r="G69" i="1"/>
  <c r="E69" i="1"/>
  <c r="B69" i="1"/>
  <c r="V69" i="1" s="1"/>
  <c r="X68" i="1" a="1"/>
  <c r="X68" i="1" s="1"/>
  <c r="W68" i="1"/>
  <c r="V68" i="1"/>
  <c r="T68" i="1"/>
  <c r="Z68" i="1" s="1"/>
  <c r="R68" i="1"/>
  <c r="P68" i="1"/>
  <c r="N68" i="1"/>
  <c r="Y68" i="1" s="1"/>
  <c r="L68" i="1"/>
  <c r="J68" i="1"/>
  <c r="H68" i="1"/>
  <c r="G68" i="1"/>
  <c r="E68" i="1"/>
  <c r="B68" i="1"/>
  <c r="U68" i="1" s="1"/>
  <c r="W67" i="1"/>
  <c r="U67" i="1"/>
  <c r="R67" i="1"/>
  <c r="P67" i="1"/>
  <c r="T67" i="1" s="1"/>
  <c r="N67" i="1"/>
  <c r="Y67" i="1" s="1"/>
  <c r="L67" i="1"/>
  <c r="J67" i="1"/>
  <c r="H67" i="1"/>
  <c r="G67" i="1"/>
  <c r="E67" i="1"/>
  <c r="B67" i="1"/>
  <c r="V67" i="1" s="1"/>
  <c r="Y66" i="1"/>
  <c r="R66" i="1"/>
  <c r="P66" i="1"/>
  <c r="T66" i="1" s="1"/>
  <c r="Z66" i="1" s="1"/>
  <c r="N66" i="1"/>
  <c r="L66" i="1"/>
  <c r="J66" i="1"/>
  <c r="H66" i="1"/>
  <c r="G66" i="1"/>
  <c r="E66" i="1"/>
  <c r="B66" i="1"/>
  <c r="R65" i="1"/>
  <c r="T65" i="1" s="1"/>
  <c r="P65" i="1"/>
  <c r="N65" i="1"/>
  <c r="Y65" i="1" s="1"/>
  <c r="L65" i="1"/>
  <c r="J65" i="1"/>
  <c r="H65" i="1"/>
  <c r="G65" i="1"/>
  <c r="E65" i="1"/>
  <c r="B65" i="1"/>
  <c r="Y64" i="1"/>
  <c r="R64" i="1"/>
  <c r="P64" i="1"/>
  <c r="T64" i="1" s="1"/>
  <c r="N64" i="1"/>
  <c r="L64" i="1"/>
  <c r="J64" i="1"/>
  <c r="H64" i="1"/>
  <c r="G64" i="1"/>
  <c r="E64" i="1"/>
  <c r="B64" i="1"/>
  <c r="V63" i="1"/>
  <c r="T63" i="1"/>
  <c r="X63" i="1" s="1" a="1"/>
  <c r="X63" i="1" s="1"/>
  <c r="R63" i="1"/>
  <c r="P63" i="1"/>
  <c r="N63" i="1"/>
  <c r="Y63" i="1" s="1"/>
  <c r="L63" i="1"/>
  <c r="J63" i="1"/>
  <c r="H63" i="1"/>
  <c r="G63" i="1"/>
  <c r="E63" i="1"/>
  <c r="B63" i="1"/>
  <c r="W63" i="1" s="1"/>
  <c r="Y62" i="1"/>
  <c r="W62" i="1"/>
  <c r="V62" i="1"/>
  <c r="U62" i="1"/>
  <c r="R62" i="1"/>
  <c r="P62" i="1"/>
  <c r="T62" i="1" s="1"/>
  <c r="N62" i="1"/>
  <c r="L62" i="1"/>
  <c r="J62" i="1"/>
  <c r="H62" i="1"/>
  <c r="G62" i="1"/>
  <c r="E62" i="1"/>
  <c r="B62" i="1"/>
  <c r="Y61" i="1"/>
  <c r="V61" i="1"/>
  <c r="R61" i="1"/>
  <c r="P61" i="1"/>
  <c r="T61" i="1" s="1"/>
  <c r="N61" i="1"/>
  <c r="L61" i="1"/>
  <c r="J61" i="1"/>
  <c r="H61" i="1"/>
  <c r="G61" i="1"/>
  <c r="E61" i="1"/>
  <c r="B61" i="1"/>
  <c r="W61" i="1" s="1"/>
  <c r="W60" i="1"/>
  <c r="T60" i="1"/>
  <c r="Z60" i="1" s="1"/>
  <c r="R60" i="1"/>
  <c r="P60" i="1"/>
  <c r="N60" i="1"/>
  <c r="Y60" i="1" s="1"/>
  <c r="L60" i="1"/>
  <c r="J60" i="1"/>
  <c r="H60" i="1"/>
  <c r="G60" i="1"/>
  <c r="E60" i="1"/>
  <c r="B60" i="1"/>
  <c r="V60" i="1" s="1"/>
  <c r="Y59" i="1"/>
  <c r="X59" i="1" a="1"/>
  <c r="X59" i="1" s="1"/>
  <c r="U59" i="1"/>
  <c r="T59" i="1"/>
  <c r="Z59" i="1" s="1"/>
  <c r="R59" i="1"/>
  <c r="P59" i="1"/>
  <c r="N59" i="1"/>
  <c r="L59" i="1"/>
  <c r="J59" i="1"/>
  <c r="H59" i="1"/>
  <c r="G59" i="1"/>
  <c r="E59" i="1"/>
  <c r="B59" i="1"/>
  <c r="W59" i="1" s="1"/>
  <c r="V58" i="1"/>
  <c r="U58" i="1"/>
  <c r="R58" i="1"/>
  <c r="T58" i="1" s="1"/>
  <c r="P58" i="1"/>
  <c r="N58" i="1"/>
  <c r="Y58" i="1" s="1"/>
  <c r="L58" i="1"/>
  <c r="J58" i="1"/>
  <c r="H58" i="1"/>
  <c r="G58" i="1"/>
  <c r="E58" i="1"/>
  <c r="B58" i="1"/>
  <c r="W58" i="1" s="1"/>
  <c r="Y57" i="1"/>
  <c r="W57" i="1"/>
  <c r="V57" i="1"/>
  <c r="U57" i="1"/>
  <c r="R57" i="1"/>
  <c r="P57" i="1"/>
  <c r="T57" i="1" s="1"/>
  <c r="N57" i="1"/>
  <c r="L57" i="1"/>
  <c r="J57" i="1"/>
  <c r="H57" i="1"/>
  <c r="G57" i="1"/>
  <c r="E57" i="1"/>
  <c r="B57" i="1"/>
  <c r="Y56" i="1"/>
  <c r="R56" i="1"/>
  <c r="P56" i="1"/>
  <c r="T56" i="1" s="1"/>
  <c r="N56" i="1"/>
  <c r="L56" i="1"/>
  <c r="J56" i="1"/>
  <c r="H56" i="1"/>
  <c r="G56" i="1"/>
  <c r="E56" i="1"/>
  <c r="B56" i="1"/>
  <c r="W56" i="1" s="1"/>
  <c r="V55" i="1"/>
  <c r="T55" i="1"/>
  <c r="X55" i="1" s="1" a="1"/>
  <c r="X55" i="1" s="1"/>
  <c r="R55" i="1"/>
  <c r="P55" i="1"/>
  <c r="N55" i="1"/>
  <c r="Y55" i="1" s="1"/>
  <c r="L55" i="1"/>
  <c r="J55" i="1"/>
  <c r="H55" i="1"/>
  <c r="G55" i="1"/>
  <c r="E55" i="1"/>
  <c r="B55" i="1"/>
  <c r="W55" i="1" s="1"/>
  <c r="Y54" i="1"/>
  <c r="W54" i="1"/>
  <c r="V54" i="1"/>
  <c r="U54" i="1"/>
  <c r="R54" i="1"/>
  <c r="P54" i="1"/>
  <c r="T54" i="1" s="1"/>
  <c r="N54" i="1"/>
  <c r="L54" i="1"/>
  <c r="J54" i="1"/>
  <c r="H54" i="1"/>
  <c r="G54" i="1"/>
  <c r="E54" i="1"/>
  <c r="B54" i="1"/>
  <c r="Y53" i="1"/>
  <c r="V53" i="1"/>
  <c r="R53" i="1"/>
  <c r="P53" i="1"/>
  <c r="T53" i="1" s="1"/>
  <c r="N53" i="1"/>
  <c r="L53" i="1"/>
  <c r="J53" i="1"/>
  <c r="H53" i="1"/>
  <c r="G53" i="1"/>
  <c r="E53" i="1"/>
  <c r="B53" i="1"/>
  <c r="W53" i="1" s="1"/>
  <c r="W52" i="1"/>
  <c r="T52" i="1"/>
  <c r="Z52" i="1" s="1"/>
  <c r="R52" i="1"/>
  <c r="P52" i="1"/>
  <c r="N52" i="1"/>
  <c r="Y52" i="1" s="1"/>
  <c r="L52" i="1"/>
  <c r="J52" i="1"/>
  <c r="H52" i="1"/>
  <c r="G52" i="1"/>
  <c r="E52" i="1"/>
  <c r="B52" i="1"/>
  <c r="V52" i="1" s="1"/>
  <c r="Y51" i="1"/>
  <c r="X51" i="1" a="1"/>
  <c r="X51" i="1" s="1"/>
  <c r="U51" i="1"/>
  <c r="T51" i="1"/>
  <c r="Z51" i="1" s="1"/>
  <c r="R51" i="1"/>
  <c r="P51" i="1"/>
  <c r="N51" i="1"/>
  <c r="L51" i="1"/>
  <c r="J51" i="1"/>
  <c r="H51" i="1"/>
  <c r="G51" i="1"/>
  <c r="E51" i="1"/>
  <c r="B51" i="1"/>
  <c r="W51" i="1" s="1"/>
  <c r="V50" i="1"/>
  <c r="U50" i="1"/>
  <c r="R50" i="1"/>
  <c r="T50" i="1" s="1"/>
  <c r="P50" i="1"/>
  <c r="N50" i="1"/>
  <c r="Y50" i="1" s="1"/>
  <c r="L50" i="1"/>
  <c r="J50" i="1"/>
  <c r="H50" i="1"/>
  <c r="G50" i="1"/>
  <c r="E50" i="1"/>
  <c r="B50" i="1"/>
  <c r="W50" i="1" s="1"/>
  <c r="Y49" i="1"/>
  <c r="W49" i="1"/>
  <c r="V49" i="1"/>
  <c r="U49" i="1"/>
  <c r="R49" i="1"/>
  <c r="P49" i="1"/>
  <c r="T49" i="1" s="1"/>
  <c r="N49" i="1"/>
  <c r="L49" i="1"/>
  <c r="J49" i="1"/>
  <c r="H49" i="1"/>
  <c r="G49" i="1"/>
  <c r="E49" i="1"/>
  <c r="B49" i="1"/>
  <c r="Y48" i="1"/>
  <c r="R48" i="1"/>
  <c r="P48" i="1"/>
  <c r="T48" i="1" s="1"/>
  <c r="N48" i="1"/>
  <c r="L48" i="1"/>
  <c r="J48" i="1"/>
  <c r="H48" i="1"/>
  <c r="G48" i="1"/>
  <c r="E48" i="1"/>
  <c r="B48" i="1"/>
  <c r="W48" i="1" s="1"/>
  <c r="V47" i="1"/>
  <c r="T47" i="1"/>
  <c r="X47" i="1" s="1" a="1"/>
  <c r="X47" i="1" s="1"/>
  <c r="R47" i="1"/>
  <c r="P47" i="1"/>
  <c r="N47" i="1"/>
  <c r="Y47" i="1" s="1"/>
  <c r="L47" i="1"/>
  <c r="J47" i="1"/>
  <c r="H47" i="1"/>
  <c r="G47" i="1"/>
  <c r="E47" i="1"/>
  <c r="B47" i="1"/>
  <c r="W47" i="1" s="1"/>
  <c r="Y46" i="1"/>
  <c r="W46" i="1"/>
  <c r="V46" i="1"/>
  <c r="U46" i="1"/>
  <c r="R46" i="1"/>
  <c r="P46" i="1"/>
  <c r="T46" i="1" s="1"/>
  <c r="N46" i="1"/>
  <c r="L46" i="1"/>
  <c r="J46" i="1"/>
  <c r="H46" i="1"/>
  <c r="G46" i="1"/>
  <c r="E46" i="1"/>
  <c r="B46" i="1"/>
  <c r="Y45" i="1"/>
  <c r="V45" i="1"/>
  <c r="R45" i="1"/>
  <c r="P45" i="1"/>
  <c r="T45" i="1" s="1"/>
  <c r="N45" i="1"/>
  <c r="L45" i="1"/>
  <c r="J45" i="1"/>
  <c r="H45" i="1"/>
  <c r="G45" i="1"/>
  <c r="E45" i="1"/>
  <c r="B45" i="1"/>
  <c r="W45" i="1" s="1"/>
  <c r="W44" i="1"/>
  <c r="T44" i="1"/>
  <c r="Z44" i="1" s="1"/>
  <c r="R44" i="1"/>
  <c r="P44" i="1"/>
  <c r="N44" i="1"/>
  <c r="Y44" i="1" s="1"/>
  <c r="L44" i="1"/>
  <c r="J44" i="1"/>
  <c r="H44" i="1"/>
  <c r="G44" i="1"/>
  <c r="E44" i="1"/>
  <c r="B44" i="1"/>
  <c r="V44" i="1" s="1"/>
  <c r="Y43" i="1"/>
  <c r="X43" i="1" a="1"/>
  <c r="X43" i="1" s="1"/>
  <c r="W43" i="1"/>
  <c r="U43" i="1"/>
  <c r="T43" i="1"/>
  <c r="Z43" i="1" s="1"/>
  <c r="R43" i="1"/>
  <c r="P43" i="1"/>
  <c r="N43" i="1"/>
  <c r="L43" i="1"/>
  <c r="J43" i="1"/>
  <c r="H43" i="1"/>
  <c r="G43" i="1"/>
  <c r="E43" i="1"/>
  <c r="B43" i="1"/>
  <c r="V43" i="1" s="1"/>
  <c r="V42" i="1"/>
  <c r="U42" i="1"/>
  <c r="R42" i="1"/>
  <c r="T42" i="1" s="1"/>
  <c r="P42" i="1"/>
  <c r="N42" i="1"/>
  <c r="Y42" i="1" s="1"/>
  <c r="L42" i="1"/>
  <c r="J42" i="1"/>
  <c r="H42" i="1"/>
  <c r="G42" i="1"/>
  <c r="E42" i="1"/>
  <c r="B42" i="1"/>
  <c r="W42" i="1" s="1"/>
  <c r="Y41" i="1"/>
  <c r="W41" i="1"/>
  <c r="V41" i="1"/>
  <c r="U41" i="1"/>
  <c r="R41" i="1"/>
  <c r="P41" i="1"/>
  <c r="T41" i="1" s="1"/>
  <c r="N41" i="1"/>
  <c r="L41" i="1"/>
  <c r="J41" i="1"/>
  <c r="H41" i="1"/>
  <c r="G41" i="1"/>
  <c r="E41" i="1"/>
  <c r="B41" i="1"/>
  <c r="Y40" i="1"/>
  <c r="R40" i="1"/>
  <c r="P40" i="1"/>
  <c r="T40" i="1" s="1"/>
  <c r="N40" i="1"/>
  <c r="L40" i="1"/>
  <c r="J40" i="1"/>
  <c r="H40" i="1"/>
  <c r="G40" i="1"/>
  <c r="E40" i="1"/>
  <c r="B40" i="1"/>
  <c r="W40" i="1" s="1"/>
  <c r="V39" i="1"/>
  <c r="T39" i="1"/>
  <c r="X39" i="1" s="1" a="1"/>
  <c r="X39" i="1" s="1"/>
  <c r="R39" i="1"/>
  <c r="P39" i="1"/>
  <c r="N39" i="1"/>
  <c r="Y39" i="1" s="1"/>
  <c r="L39" i="1"/>
  <c r="J39" i="1"/>
  <c r="H39" i="1"/>
  <c r="G39" i="1"/>
  <c r="E39" i="1"/>
  <c r="B39" i="1"/>
  <c r="W39" i="1" s="1"/>
  <c r="Y38" i="1"/>
  <c r="W38" i="1"/>
  <c r="V38" i="1"/>
  <c r="U38" i="1"/>
  <c r="R38" i="1"/>
  <c r="P38" i="1"/>
  <c r="T38" i="1" s="1"/>
  <c r="N38" i="1"/>
  <c r="L38" i="1"/>
  <c r="J38" i="1"/>
  <c r="H38" i="1"/>
  <c r="G38" i="1"/>
  <c r="E38" i="1"/>
  <c r="B38" i="1"/>
  <c r="Y37" i="1"/>
  <c r="V37" i="1"/>
  <c r="R37" i="1"/>
  <c r="P37" i="1"/>
  <c r="T37" i="1" s="1"/>
  <c r="N37" i="1"/>
  <c r="L37" i="1"/>
  <c r="J37" i="1"/>
  <c r="H37" i="1"/>
  <c r="G37" i="1"/>
  <c r="E37" i="1"/>
  <c r="B37" i="1"/>
  <c r="W37" i="1" s="1"/>
  <c r="W36" i="1"/>
  <c r="T36" i="1"/>
  <c r="Z36" i="1" s="1"/>
  <c r="R36" i="1"/>
  <c r="P36" i="1"/>
  <c r="N36" i="1"/>
  <c r="Y36" i="1" s="1"/>
  <c r="L36" i="1"/>
  <c r="J36" i="1"/>
  <c r="H36" i="1"/>
  <c r="G36" i="1"/>
  <c r="E36" i="1"/>
  <c r="B36" i="1"/>
  <c r="V36" i="1" s="1"/>
  <c r="Y35" i="1"/>
  <c r="X35" i="1" a="1"/>
  <c r="X35" i="1" s="1"/>
  <c r="W35" i="1"/>
  <c r="U35" i="1"/>
  <c r="T35" i="1"/>
  <c r="Z35" i="1" s="1"/>
  <c r="R35" i="1"/>
  <c r="P35" i="1"/>
  <c r="N35" i="1"/>
  <c r="L35" i="1"/>
  <c r="J35" i="1"/>
  <c r="H35" i="1"/>
  <c r="G35" i="1"/>
  <c r="E35" i="1"/>
  <c r="B35" i="1"/>
  <c r="V35" i="1" s="1"/>
  <c r="V34" i="1"/>
  <c r="U34" i="1"/>
  <c r="R34" i="1"/>
  <c r="T34" i="1" s="1"/>
  <c r="P34" i="1"/>
  <c r="N34" i="1"/>
  <c r="Y34" i="1" s="1"/>
  <c r="L34" i="1"/>
  <c r="J34" i="1"/>
  <c r="H34" i="1"/>
  <c r="G34" i="1"/>
  <c r="E34" i="1"/>
  <c r="B34" i="1"/>
  <c r="W34" i="1" s="1"/>
  <c r="Y33" i="1"/>
  <c r="W33" i="1"/>
  <c r="V33" i="1"/>
  <c r="U33" i="1"/>
  <c r="R33" i="1"/>
  <c r="P33" i="1"/>
  <c r="T33" i="1" s="1"/>
  <c r="N33" i="1"/>
  <c r="L33" i="1"/>
  <c r="J33" i="1"/>
  <c r="H33" i="1"/>
  <c r="G33" i="1"/>
  <c r="E33" i="1"/>
  <c r="B33" i="1"/>
  <c r="Y32" i="1"/>
  <c r="R32" i="1"/>
  <c r="P32" i="1"/>
  <c r="T32" i="1" s="1"/>
  <c r="N32" i="1"/>
  <c r="L32" i="1"/>
  <c r="J32" i="1"/>
  <c r="H32" i="1"/>
  <c r="G32" i="1"/>
  <c r="E32" i="1"/>
  <c r="B32" i="1"/>
  <c r="W32" i="1" s="1"/>
  <c r="V31" i="1"/>
  <c r="T31" i="1"/>
  <c r="X31" i="1" s="1" a="1"/>
  <c r="X31" i="1" s="1"/>
  <c r="R31" i="1"/>
  <c r="P31" i="1"/>
  <c r="N31" i="1"/>
  <c r="Y31" i="1" s="1"/>
  <c r="L31" i="1"/>
  <c r="J31" i="1"/>
  <c r="H31" i="1"/>
  <c r="G31" i="1"/>
  <c r="E31" i="1"/>
  <c r="B31" i="1"/>
  <c r="W31" i="1" s="1"/>
  <c r="Y30" i="1"/>
  <c r="W30" i="1"/>
  <c r="V30" i="1"/>
  <c r="U30" i="1"/>
  <c r="R30" i="1"/>
  <c r="P30" i="1"/>
  <c r="T30" i="1" s="1"/>
  <c r="N30" i="1"/>
  <c r="L30" i="1"/>
  <c r="J30" i="1"/>
  <c r="H30" i="1"/>
  <c r="G30" i="1"/>
  <c r="E30" i="1"/>
  <c r="B30" i="1"/>
  <c r="Y29" i="1"/>
  <c r="V29" i="1"/>
  <c r="R29" i="1"/>
  <c r="P29" i="1"/>
  <c r="T29" i="1" s="1"/>
  <c r="N29" i="1"/>
  <c r="L29" i="1"/>
  <c r="J29" i="1"/>
  <c r="H29" i="1"/>
  <c r="G29" i="1"/>
  <c r="E29" i="1"/>
  <c r="B29" i="1"/>
  <c r="W29" i="1" s="1"/>
  <c r="W28" i="1"/>
  <c r="T28" i="1"/>
  <c r="Z28" i="1" s="1"/>
  <c r="R28" i="1"/>
  <c r="P28" i="1"/>
  <c r="N28" i="1"/>
  <c r="Y28" i="1" s="1"/>
  <c r="L28" i="1"/>
  <c r="J28" i="1"/>
  <c r="H28" i="1"/>
  <c r="G28" i="1"/>
  <c r="E28" i="1"/>
  <c r="B28" i="1"/>
  <c r="V28" i="1" s="1"/>
  <c r="Y27" i="1"/>
  <c r="X27" i="1" a="1"/>
  <c r="X27" i="1" s="1"/>
  <c r="W27" i="1"/>
  <c r="U27" i="1"/>
  <c r="T27" i="1"/>
  <c r="Z27" i="1" s="1"/>
  <c r="R27" i="1"/>
  <c r="P27" i="1"/>
  <c r="N27" i="1"/>
  <c r="L27" i="1"/>
  <c r="J27" i="1"/>
  <c r="H27" i="1"/>
  <c r="G27" i="1"/>
  <c r="E27" i="1"/>
  <c r="B27" i="1"/>
  <c r="V27" i="1" s="1"/>
  <c r="V26" i="1"/>
  <c r="U26" i="1"/>
  <c r="R26" i="1"/>
  <c r="T26" i="1" s="1"/>
  <c r="P26" i="1"/>
  <c r="N26" i="1"/>
  <c r="Y26" i="1" s="1"/>
  <c r="L26" i="1"/>
  <c r="J26" i="1"/>
  <c r="H26" i="1"/>
  <c r="G26" i="1"/>
  <c r="E26" i="1"/>
  <c r="B26" i="1"/>
  <c r="W26" i="1" s="1"/>
  <c r="Y25" i="1"/>
  <c r="W25" i="1"/>
  <c r="V25" i="1"/>
  <c r="R25" i="1"/>
  <c r="P25" i="1"/>
  <c r="T25" i="1" s="1"/>
  <c r="N25" i="1"/>
  <c r="L25" i="1"/>
  <c r="J25" i="1"/>
  <c r="H25" i="1"/>
  <c r="G25" i="1"/>
  <c r="E25" i="1"/>
  <c r="B25" i="1"/>
  <c r="U25" i="1" s="1"/>
  <c r="Y24" i="1"/>
  <c r="R24" i="1"/>
  <c r="P24" i="1"/>
  <c r="T24" i="1" s="1"/>
  <c r="N24" i="1"/>
  <c r="L24" i="1"/>
  <c r="J24" i="1"/>
  <c r="H24" i="1"/>
  <c r="G24" i="1"/>
  <c r="E24" i="1"/>
  <c r="B24" i="1"/>
  <c r="W24" i="1" s="1"/>
  <c r="V23" i="1"/>
  <c r="T23" i="1"/>
  <c r="X23" i="1" s="1" a="1"/>
  <c r="X23" i="1" s="1"/>
  <c r="R23" i="1"/>
  <c r="P23" i="1"/>
  <c r="N23" i="1"/>
  <c r="Y23" i="1" s="1"/>
  <c r="L23" i="1"/>
  <c r="J23" i="1"/>
  <c r="H23" i="1"/>
  <c r="G23" i="1"/>
  <c r="E23" i="1"/>
  <c r="B23" i="1"/>
  <c r="W23" i="1" s="1"/>
  <c r="Y22" i="1"/>
  <c r="W22" i="1"/>
  <c r="V22" i="1"/>
  <c r="U22" i="1"/>
  <c r="R22" i="1"/>
  <c r="P22" i="1"/>
  <c r="T22" i="1" s="1"/>
  <c r="N22" i="1"/>
  <c r="L22" i="1"/>
  <c r="J22" i="1"/>
  <c r="H22" i="1"/>
  <c r="G22" i="1"/>
  <c r="E22" i="1"/>
  <c r="B22" i="1"/>
  <c r="Y21" i="1"/>
  <c r="V21" i="1"/>
  <c r="R21" i="1"/>
  <c r="P21" i="1"/>
  <c r="T21" i="1" s="1"/>
  <c r="N21" i="1"/>
  <c r="L21" i="1"/>
  <c r="J21" i="1"/>
  <c r="H21" i="1"/>
  <c r="G21" i="1"/>
  <c r="E21" i="1"/>
  <c r="B21" i="1"/>
  <c r="W21" i="1" s="1"/>
  <c r="W20" i="1"/>
  <c r="T20" i="1"/>
  <c r="Z20" i="1" s="1"/>
  <c r="R20" i="1"/>
  <c r="P20" i="1"/>
  <c r="N20" i="1"/>
  <c r="Y20" i="1" s="1"/>
  <c r="L20" i="1"/>
  <c r="J20" i="1"/>
  <c r="H20" i="1"/>
  <c r="G20" i="1"/>
  <c r="E20" i="1"/>
  <c r="B20" i="1"/>
  <c r="V20" i="1" s="1"/>
  <c r="Y19" i="1"/>
  <c r="X19" i="1" a="1"/>
  <c r="X19" i="1" s="1"/>
  <c r="W19" i="1"/>
  <c r="U19" i="1"/>
  <c r="T19" i="1"/>
  <c r="Z19" i="1" s="1"/>
  <c r="R19" i="1"/>
  <c r="P19" i="1"/>
  <c r="N19" i="1"/>
  <c r="L19" i="1"/>
  <c r="J19" i="1"/>
  <c r="H19" i="1"/>
  <c r="G19" i="1"/>
  <c r="E19" i="1"/>
  <c r="B19" i="1"/>
  <c r="V19" i="1" s="1"/>
  <c r="V18" i="1"/>
  <c r="U18" i="1"/>
  <c r="R18" i="1"/>
  <c r="P18" i="1"/>
  <c r="T18" i="1" s="1"/>
  <c r="N18" i="1"/>
  <c r="Y18" i="1" s="1"/>
  <c r="L18" i="1"/>
  <c r="J18" i="1"/>
  <c r="H18" i="1"/>
  <c r="G18" i="1"/>
  <c r="E18" i="1"/>
  <c r="B18" i="1"/>
  <c r="W18" i="1" s="1"/>
  <c r="Y17" i="1"/>
  <c r="W17" i="1"/>
  <c r="V17" i="1"/>
  <c r="R17" i="1"/>
  <c r="P17" i="1"/>
  <c r="T17" i="1" s="1"/>
  <c r="N17" i="1"/>
  <c r="L17" i="1"/>
  <c r="J17" i="1"/>
  <c r="H17" i="1"/>
  <c r="G17" i="1"/>
  <c r="E17" i="1"/>
  <c r="B17" i="1"/>
  <c r="U17" i="1" s="1"/>
  <c r="Y16" i="1"/>
  <c r="R16" i="1"/>
  <c r="P16" i="1"/>
  <c r="T16" i="1" s="1"/>
  <c r="N16" i="1"/>
  <c r="L16" i="1"/>
  <c r="J16" i="1"/>
  <c r="H16" i="1"/>
  <c r="G16" i="1"/>
  <c r="E16" i="1"/>
  <c r="B16" i="1"/>
  <c r="W16" i="1" s="1"/>
  <c r="V15" i="1"/>
  <c r="T15" i="1"/>
  <c r="X15" i="1" s="1" a="1"/>
  <c r="X15" i="1" s="1"/>
  <c r="R15" i="1"/>
  <c r="P15" i="1"/>
  <c r="N15" i="1"/>
  <c r="Y15" i="1" s="1"/>
  <c r="L15" i="1"/>
  <c r="J15" i="1"/>
  <c r="H15" i="1"/>
  <c r="G15" i="1"/>
  <c r="E15" i="1"/>
  <c r="B15" i="1"/>
  <c r="W15" i="1" s="1"/>
  <c r="Y14" i="1"/>
  <c r="W14" i="1"/>
  <c r="V14" i="1"/>
  <c r="U14" i="1"/>
  <c r="R14" i="1"/>
  <c r="P14" i="1"/>
  <c r="T14" i="1" s="1"/>
  <c r="N14" i="1"/>
  <c r="L14" i="1"/>
  <c r="J14" i="1"/>
  <c r="H14" i="1"/>
  <c r="G14" i="1"/>
  <c r="E14" i="1"/>
  <c r="B14" i="1"/>
  <c r="Y13" i="1"/>
  <c r="V13" i="1"/>
  <c r="R13" i="1"/>
  <c r="P13" i="1"/>
  <c r="T13" i="1" s="1"/>
  <c r="N13" i="1"/>
  <c r="L13" i="1"/>
  <c r="J13" i="1"/>
  <c r="H13" i="1"/>
  <c r="G13" i="1"/>
  <c r="E13" i="1"/>
  <c r="B13" i="1"/>
  <c r="W13" i="1" s="1"/>
  <c r="W12" i="1"/>
  <c r="T12" i="1"/>
  <c r="Z12" i="1" s="1"/>
  <c r="R12" i="1"/>
  <c r="P12" i="1"/>
  <c r="N12" i="1"/>
  <c r="Y12" i="1" s="1"/>
  <c r="L12" i="1"/>
  <c r="J12" i="1"/>
  <c r="H12" i="1"/>
  <c r="G12" i="1"/>
  <c r="E12" i="1"/>
  <c r="B12" i="1"/>
  <c r="V12" i="1" s="1"/>
  <c r="Y11" i="1"/>
  <c r="X11" i="1" a="1"/>
  <c r="X11" i="1" s="1"/>
  <c r="W11" i="1"/>
  <c r="U11" i="1"/>
  <c r="T11" i="1"/>
  <c r="Z11" i="1" s="1"/>
  <c r="R11" i="1"/>
  <c r="P11" i="1"/>
  <c r="N11" i="1"/>
  <c r="L11" i="1"/>
  <c r="J11" i="1"/>
  <c r="H11" i="1"/>
  <c r="G11" i="1"/>
  <c r="E11" i="1"/>
  <c r="B11" i="1"/>
  <c r="V11" i="1" s="1"/>
  <c r="V10" i="1"/>
  <c r="U10" i="1"/>
  <c r="R10" i="1"/>
  <c r="P10" i="1"/>
  <c r="T10" i="1" s="1"/>
  <c r="N10" i="1"/>
  <c r="Y10" i="1" s="1"/>
  <c r="L10" i="1"/>
  <c r="J10" i="1"/>
  <c r="H10" i="1"/>
  <c r="G10" i="1"/>
  <c r="E10" i="1"/>
  <c r="B10" i="1"/>
  <c r="W10" i="1" s="1"/>
  <c r="Y9" i="1"/>
  <c r="W9" i="1"/>
  <c r="V9" i="1"/>
  <c r="R9" i="1"/>
  <c r="P9" i="1"/>
  <c r="T9" i="1" s="1"/>
  <c r="N9" i="1"/>
  <c r="L9" i="1"/>
  <c r="J9" i="1"/>
  <c r="H9" i="1"/>
  <c r="G9" i="1"/>
  <c r="E9" i="1"/>
  <c r="B9" i="1"/>
  <c r="U9" i="1" s="1"/>
  <c r="Y8" i="1"/>
  <c r="R8" i="1"/>
  <c r="P8" i="1"/>
  <c r="T8" i="1" s="1"/>
  <c r="N8" i="1"/>
  <c r="L8" i="1"/>
  <c r="J8" i="1"/>
  <c r="H8" i="1"/>
  <c r="G8" i="1"/>
  <c r="E8" i="1"/>
  <c r="B8" i="1"/>
  <c r="W8" i="1" s="1"/>
  <c r="V7" i="1"/>
  <c r="T7" i="1"/>
  <c r="X7" i="1" s="1" a="1"/>
  <c r="X7" i="1" s="1"/>
  <c r="R7" i="1"/>
  <c r="P7" i="1"/>
  <c r="N7" i="1"/>
  <c r="Y7" i="1" s="1"/>
  <c r="L7" i="1"/>
  <c r="J7" i="1"/>
  <c r="H7" i="1"/>
  <c r="G7" i="1"/>
  <c r="E7" i="1"/>
  <c r="B7" i="1"/>
  <c r="W7" i="1" s="1"/>
  <c r="Y6" i="1"/>
  <c r="W6" i="1"/>
  <c r="V6" i="1"/>
  <c r="U6" i="1"/>
  <c r="R6" i="1"/>
  <c r="P6" i="1"/>
  <c r="T6" i="1" s="1"/>
  <c r="N6" i="1"/>
  <c r="L6" i="1"/>
  <c r="J6" i="1"/>
  <c r="H6" i="1"/>
  <c r="G6" i="1"/>
  <c r="E6" i="1"/>
  <c r="B6" i="1"/>
  <c r="Y5" i="1"/>
  <c r="V5" i="1"/>
  <c r="R5" i="1"/>
  <c r="P5" i="1"/>
  <c r="T5" i="1" s="1"/>
  <c r="N5" i="1"/>
  <c r="L5" i="1"/>
  <c r="J5" i="1"/>
  <c r="H5" i="1"/>
  <c r="G5" i="1"/>
  <c r="E5" i="1"/>
  <c r="B5" i="1"/>
  <c r="W5" i="1" s="1"/>
  <c r="W4" i="1"/>
  <c r="T4" i="1"/>
  <c r="Z4" i="1" s="1"/>
  <c r="R4" i="1"/>
  <c r="P4" i="1"/>
  <c r="N4" i="1"/>
  <c r="Y4" i="1" s="1"/>
  <c r="L4" i="1"/>
  <c r="J4" i="1"/>
  <c r="H4" i="1"/>
  <c r="G4" i="1"/>
  <c r="E4" i="1"/>
  <c r="B4" i="1"/>
  <c r="V4" i="1" s="1"/>
  <c r="Y3" i="1"/>
  <c r="X3" i="1" a="1"/>
  <c r="X3" i="1" s="1"/>
  <c r="W3" i="1"/>
  <c r="U3" i="1"/>
  <c r="T3" i="1"/>
  <c r="Z3" i="1" s="1"/>
  <c r="R3" i="1"/>
  <c r="P3" i="1"/>
  <c r="N3" i="1"/>
  <c r="L3" i="1"/>
  <c r="J3" i="1"/>
  <c r="H3" i="1"/>
  <c r="G3" i="1"/>
  <c r="E3" i="1"/>
  <c r="B3" i="1"/>
  <c r="V3" i="1" s="1"/>
  <c r="V2" i="1"/>
  <c r="U2" i="1"/>
  <c r="R2" i="1"/>
  <c r="P2" i="1"/>
  <c r="T2" i="1" s="1"/>
  <c r="N2" i="1"/>
  <c r="Y2" i="1" s="1"/>
  <c r="L2" i="1"/>
  <c r="J2" i="1"/>
  <c r="H2" i="1"/>
  <c r="G2" i="1"/>
  <c r="E2" i="1"/>
  <c r="B2" i="1"/>
  <c r="W2" i="1" s="1"/>
  <c r="Z17" i="1" l="1"/>
  <c r="X17" i="1" a="1"/>
  <c r="X17" i="1" s="1"/>
  <c r="X21" i="1" a="1"/>
  <c r="X21" i="1" s="1"/>
  <c r="Z21" i="1"/>
  <c r="X30" i="1" a="1"/>
  <c r="X30" i="1" s="1"/>
  <c r="Z30" i="1"/>
  <c r="Z32" i="1"/>
  <c r="X32" i="1" a="1"/>
  <c r="X32" i="1" s="1"/>
  <c r="Z34" i="1"/>
  <c r="X34" i="1" a="1"/>
  <c r="X34" i="1" s="1"/>
  <c r="Z41" i="1"/>
  <c r="X41" i="1" a="1"/>
  <c r="X41" i="1" s="1"/>
  <c r="X6" i="1" a="1"/>
  <c r="X6" i="1" s="1"/>
  <c r="Z6" i="1"/>
  <c r="X8" i="1" a="1"/>
  <c r="X8" i="1" s="1"/>
  <c r="Z8" i="1"/>
  <c r="X45" i="1" a="1"/>
  <c r="X45" i="1" s="1"/>
  <c r="Z45" i="1"/>
  <c r="X54" i="1" a="1"/>
  <c r="X54" i="1" s="1"/>
  <c r="Z54" i="1"/>
  <c r="Z56" i="1"/>
  <c r="X56" i="1" a="1"/>
  <c r="X56" i="1" s="1"/>
  <c r="Z58" i="1"/>
  <c r="X58" i="1" a="1"/>
  <c r="X58" i="1" s="1"/>
  <c r="X65" i="1" a="1"/>
  <c r="X65" i="1" s="1"/>
  <c r="Z65" i="1"/>
  <c r="Z2" i="1"/>
  <c r="X2" i="1" a="1"/>
  <c r="X2" i="1" s="1"/>
  <c r="Z26" i="1"/>
  <c r="X26" i="1" a="1"/>
  <c r="X26" i="1" s="1"/>
  <c r="Z33" i="1"/>
  <c r="X33" i="1" a="1"/>
  <c r="X33" i="1" s="1"/>
  <c r="Z9" i="1"/>
  <c r="X9" i="1" a="1"/>
  <c r="X9" i="1" s="1"/>
  <c r="X13" i="1" a="1"/>
  <c r="X13" i="1" s="1"/>
  <c r="Z13" i="1"/>
  <c r="X22" i="1" a="1"/>
  <c r="X22" i="1" s="1"/>
  <c r="Z22" i="1"/>
  <c r="Z24" i="1"/>
  <c r="X24" i="1" a="1"/>
  <c r="X24" i="1" s="1"/>
  <c r="X37" i="1" a="1"/>
  <c r="X37" i="1" s="1"/>
  <c r="Z37" i="1"/>
  <c r="Z57" i="1"/>
  <c r="X57" i="1" a="1"/>
  <c r="X57" i="1" s="1"/>
  <c r="X61" i="1" a="1"/>
  <c r="X61" i="1" s="1"/>
  <c r="Z61" i="1"/>
  <c r="Z18" i="1"/>
  <c r="X18" i="1" a="1"/>
  <c r="X18" i="1" s="1"/>
  <c r="X46" i="1" a="1"/>
  <c r="X46" i="1" s="1"/>
  <c r="Z46" i="1"/>
  <c r="Z48" i="1"/>
  <c r="X48" i="1" a="1"/>
  <c r="X48" i="1" s="1"/>
  <c r="Z50" i="1"/>
  <c r="X50" i="1" a="1"/>
  <c r="X50" i="1" s="1"/>
  <c r="Z25" i="1"/>
  <c r="X25" i="1" a="1"/>
  <c r="X25" i="1" s="1"/>
  <c r="X29" i="1" a="1"/>
  <c r="X29" i="1" s="1"/>
  <c r="Z29" i="1"/>
  <c r="X5" i="1" a="1"/>
  <c r="X5" i="1" s="1"/>
  <c r="Z5" i="1"/>
  <c r="X14" i="1" a="1"/>
  <c r="X14" i="1" s="1"/>
  <c r="Z14" i="1"/>
  <c r="Z16" i="1"/>
  <c r="X16" i="1" a="1"/>
  <c r="X16" i="1" s="1"/>
  <c r="X38" i="1" a="1"/>
  <c r="X38" i="1" s="1"/>
  <c r="Z38" i="1"/>
  <c r="Z40" i="1"/>
  <c r="X40" i="1" a="1"/>
  <c r="X40" i="1" s="1"/>
  <c r="Z42" i="1"/>
  <c r="X42" i="1" a="1"/>
  <c r="X42" i="1" s="1"/>
  <c r="Z49" i="1"/>
  <c r="X49" i="1" a="1"/>
  <c r="X49" i="1" s="1"/>
  <c r="X53" i="1" a="1"/>
  <c r="X53" i="1" s="1"/>
  <c r="Z53" i="1"/>
  <c r="X62" i="1" a="1"/>
  <c r="X62" i="1" s="1"/>
  <c r="Z62" i="1"/>
  <c r="Z64" i="1"/>
  <c r="X64" i="1" a="1"/>
  <c r="X64" i="1" s="1"/>
  <c r="Z10" i="1"/>
  <c r="X10" i="1" a="1"/>
  <c r="X10" i="1" s="1"/>
  <c r="W153" i="1"/>
  <c r="V153" i="1"/>
  <c r="U153" i="1"/>
  <c r="Z191" i="1"/>
  <c r="X191" i="1" a="1"/>
  <c r="X191" i="1" s="1"/>
  <c r="W64" i="1"/>
  <c r="V64" i="1"/>
  <c r="Z88" i="1"/>
  <c r="X88" i="1" a="1"/>
  <c r="X88" i="1" s="1"/>
  <c r="W97" i="1"/>
  <c r="V97" i="1"/>
  <c r="U97" i="1"/>
  <c r="Z104" i="1"/>
  <c r="X104" i="1" a="1"/>
  <c r="X104" i="1" s="1"/>
  <c r="X115" i="1" a="1"/>
  <c r="X115" i="1" s="1"/>
  <c r="Z115" i="1"/>
  <c r="Z117" i="1"/>
  <c r="X117" i="1" a="1"/>
  <c r="X117" i="1" s="1"/>
  <c r="Z119" i="1"/>
  <c r="X119" i="1" a="1"/>
  <c r="X119" i="1" s="1"/>
  <c r="X130" i="1" a="1"/>
  <c r="X130" i="1" s="1"/>
  <c r="Z130" i="1"/>
  <c r="Z136" i="1"/>
  <c r="X136" i="1" a="1"/>
  <c r="X136" i="1" s="1"/>
  <c r="W145" i="1"/>
  <c r="V145" i="1"/>
  <c r="U145" i="1"/>
  <c r="Z152" i="1"/>
  <c r="X152" i="1" a="1"/>
  <c r="X152" i="1" s="1"/>
  <c r="Z159" i="1"/>
  <c r="X159" i="1" a="1"/>
  <c r="X159" i="1" s="1"/>
  <c r="X162" i="1" a="1"/>
  <c r="X162" i="1" s="1"/>
  <c r="Z162" i="1"/>
  <c r="Z167" i="1"/>
  <c r="X167" i="1" a="1"/>
  <c r="X167" i="1" s="1"/>
  <c r="W177" i="1"/>
  <c r="V177" i="1"/>
  <c r="U177" i="1"/>
  <c r="Z192" i="1"/>
  <c r="X192" i="1" a="1"/>
  <c r="X192" i="1" s="1"/>
  <c r="Z199" i="1"/>
  <c r="X199" i="1" a="1"/>
  <c r="X199" i="1" s="1"/>
  <c r="W214" i="1"/>
  <c r="V214" i="1"/>
  <c r="U214" i="1"/>
  <c r="Z214" i="1"/>
  <c r="X214" i="1" a="1"/>
  <c r="X214" i="1" s="1"/>
  <c r="V227" i="1"/>
  <c r="U227" i="1"/>
  <c r="W227" i="1"/>
  <c r="Z227" i="1"/>
  <c r="X227" i="1" a="1"/>
  <c r="X227" i="1" s="1"/>
  <c r="X240" i="1" a="1"/>
  <c r="X240" i="1" s="1"/>
  <c r="Z240" i="1"/>
  <c r="X361" i="1" a="1"/>
  <c r="X361" i="1" s="1"/>
  <c r="Z361" i="1"/>
  <c r="W105" i="1"/>
  <c r="V105" i="1"/>
  <c r="U105" i="1"/>
  <c r="W137" i="1"/>
  <c r="V137" i="1"/>
  <c r="U137" i="1"/>
  <c r="U4" i="1"/>
  <c r="U12" i="1"/>
  <c r="U20" i="1"/>
  <c r="U28" i="1"/>
  <c r="U36" i="1"/>
  <c r="U44" i="1"/>
  <c r="V51" i="1"/>
  <c r="U52" i="1"/>
  <c r="V59" i="1"/>
  <c r="U60" i="1"/>
  <c r="W66" i="1"/>
  <c r="V66" i="1"/>
  <c r="U66" i="1"/>
  <c r="Z71" i="1"/>
  <c r="Z79" i="1"/>
  <c r="X83" i="1" a="1"/>
  <c r="X83" i="1" s="1"/>
  <c r="Z83" i="1"/>
  <c r="Z93" i="1"/>
  <c r="X93" i="1" a="1"/>
  <c r="X93" i="1" s="1"/>
  <c r="Z97" i="1"/>
  <c r="X98" i="1" a="1"/>
  <c r="X98" i="1" s="1"/>
  <c r="Z98" i="1"/>
  <c r="X123" i="1" a="1"/>
  <c r="X123" i="1" s="1"/>
  <c r="Z123" i="1"/>
  <c r="Z127" i="1"/>
  <c r="X127" i="1" a="1"/>
  <c r="X127" i="1" s="1"/>
  <c r="Z143" i="1"/>
  <c r="X143" i="1" a="1"/>
  <c r="X143" i="1" s="1"/>
  <c r="Z145" i="1"/>
  <c r="X146" i="1" a="1"/>
  <c r="X146" i="1" s="1"/>
  <c r="Z146" i="1"/>
  <c r="X171" i="1" a="1"/>
  <c r="X171" i="1" s="1"/>
  <c r="Z171" i="1"/>
  <c r="Z175" i="1"/>
  <c r="X175" i="1" a="1"/>
  <c r="X175" i="1" s="1"/>
  <c r="Z177" i="1"/>
  <c r="X178" i="1" a="1"/>
  <c r="X178" i="1" s="1"/>
  <c r="Z178" i="1"/>
  <c r="W185" i="1"/>
  <c r="V185" i="1"/>
  <c r="U185" i="1"/>
  <c r="W201" i="1"/>
  <c r="V201" i="1"/>
  <c r="U201" i="1"/>
  <c r="V215" i="1"/>
  <c r="W215" i="1"/>
  <c r="U215" i="1"/>
  <c r="Z215" i="1"/>
  <c r="X215" i="1" a="1"/>
  <c r="X215" i="1" s="1"/>
  <c r="Z264" i="1"/>
  <c r="X264" i="1" a="1"/>
  <c r="X264" i="1" s="1"/>
  <c r="X315" i="1" a="1"/>
  <c r="X315" i="1" s="1"/>
  <c r="Z315" i="1"/>
  <c r="Z349" i="1"/>
  <c r="X349" i="1" a="1"/>
  <c r="X349" i="1" s="1"/>
  <c r="X354" i="1" a="1"/>
  <c r="X354" i="1" s="1"/>
  <c r="Z354" i="1"/>
  <c r="Z356" i="1"/>
  <c r="X356" i="1" a="1"/>
  <c r="X356" i="1" s="1"/>
  <c r="W543" i="1"/>
  <c r="V543" i="1"/>
  <c r="U543" i="1"/>
  <c r="Z272" i="1"/>
  <c r="X272" i="1" a="1"/>
  <c r="X272" i="1" s="1"/>
  <c r="U5" i="1"/>
  <c r="Z7" i="1"/>
  <c r="U13" i="1"/>
  <c r="Z15" i="1"/>
  <c r="U21" i="1"/>
  <c r="Z23" i="1"/>
  <c r="U29" i="1"/>
  <c r="Z31" i="1"/>
  <c r="U37" i="1"/>
  <c r="Z39" i="1"/>
  <c r="U45" i="1"/>
  <c r="Z47" i="1"/>
  <c r="U53" i="1"/>
  <c r="Z55" i="1"/>
  <c r="U61" i="1"/>
  <c r="U64" i="1"/>
  <c r="X66" i="1" a="1"/>
  <c r="X66" i="1" s="1"/>
  <c r="Z70" i="1"/>
  <c r="X70" i="1" a="1"/>
  <c r="X70" i="1" s="1"/>
  <c r="X74" i="1" a="1"/>
  <c r="X74" i="1" s="1"/>
  <c r="Z78" i="1"/>
  <c r="X78" i="1" a="1"/>
  <c r="X78" i="1" s="1"/>
  <c r="Z95" i="1"/>
  <c r="X95" i="1" a="1"/>
  <c r="X95" i="1" s="1"/>
  <c r="Z112" i="1"/>
  <c r="X112" i="1" a="1"/>
  <c r="X112" i="1" s="1"/>
  <c r="X131" i="1" a="1"/>
  <c r="X131" i="1" s="1"/>
  <c r="Z131" i="1"/>
  <c r="X132" i="1" a="1"/>
  <c r="X132" i="1" s="1"/>
  <c r="X163" i="1" a="1"/>
  <c r="X163" i="1" s="1"/>
  <c r="Z163" i="1"/>
  <c r="Z183" i="1"/>
  <c r="X183" i="1" a="1"/>
  <c r="X183" i="1" s="1"/>
  <c r="X186" i="1" a="1"/>
  <c r="X186" i="1" s="1"/>
  <c r="Z186" i="1"/>
  <c r="X188" i="1" a="1"/>
  <c r="X188" i="1" s="1"/>
  <c r="X202" i="1" a="1"/>
  <c r="X202" i="1" s="1"/>
  <c r="Z202" i="1"/>
  <c r="Z208" i="1"/>
  <c r="X208" i="1" a="1"/>
  <c r="X208" i="1" s="1"/>
  <c r="U216" i="1"/>
  <c r="W216" i="1"/>
  <c r="V216" i="1"/>
  <c r="Z216" i="1"/>
  <c r="X216" i="1" a="1"/>
  <c r="X216" i="1" s="1"/>
  <c r="Z223" i="1"/>
  <c r="X223" i="1" a="1"/>
  <c r="X223" i="1" s="1"/>
  <c r="X234" i="1" a="1"/>
  <c r="X234" i="1" s="1"/>
  <c r="Z234" i="1"/>
  <c r="X378" i="1" a="1"/>
  <c r="X378" i="1" s="1"/>
  <c r="Z378" i="1"/>
  <c r="Z380" i="1"/>
  <c r="X380" i="1" a="1"/>
  <c r="X380" i="1" s="1"/>
  <c r="Z413" i="1"/>
  <c r="X413" i="1" a="1"/>
  <c r="X413" i="1" s="1"/>
  <c r="Z428" i="1"/>
  <c r="X428" i="1" a="1"/>
  <c r="X428" i="1" s="1"/>
  <c r="Z434" i="1"/>
  <c r="X434" i="1" a="1"/>
  <c r="X434" i="1" s="1"/>
  <c r="Z473" i="1"/>
  <c r="X473" i="1" a="1"/>
  <c r="X473" i="1" s="1"/>
  <c r="X4" i="1" a="1"/>
  <c r="X4" i="1" s="1"/>
  <c r="U7" i="1"/>
  <c r="X12" i="1" a="1"/>
  <c r="X12" i="1" s="1"/>
  <c r="U15" i="1"/>
  <c r="X20" i="1" a="1"/>
  <c r="X20" i="1" s="1"/>
  <c r="U23" i="1"/>
  <c r="X28" i="1" a="1"/>
  <c r="X28" i="1" s="1"/>
  <c r="U31" i="1"/>
  <c r="X36" i="1" a="1"/>
  <c r="X36" i="1" s="1"/>
  <c r="U39" i="1"/>
  <c r="X44" i="1" a="1"/>
  <c r="X44" i="1" s="1"/>
  <c r="U47" i="1"/>
  <c r="X52" i="1" a="1"/>
  <c r="X52" i="1" s="1"/>
  <c r="U55" i="1"/>
  <c r="X60" i="1" a="1"/>
  <c r="X60" i="1" s="1"/>
  <c r="U63" i="1"/>
  <c r="X67" i="1" a="1"/>
  <c r="X67" i="1" s="1"/>
  <c r="Z67" i="1"/>
  <c r="Z85" i="1"/>
  <c r="X85" i="1" a="1"/>
  <c r="X85" i="1" s="1"/>
  <c r="Z89" i="1"/>
  <c r="X90" i="1" a="1"/>
  <c r="X90" i="1" s="1"/>
  <c r="Z90" i="1"/>
  <c r="Z105" i="1"/>
  <c r="X106" i="1" a="1"/>
  <c r="X106" i="1" s="1"/>
  <c r="Z106" i="1"/>
  <c r="Z128" i="1"/>
  <c r="X128" i="1" a="1"/>
  <c r="X128" i="1" s="1"/>
  <c r="Z135" i="1"/>
  <c r="X135" i="1" a="1"/>
  <c r="X135" i="1" s="1"/>
  <c r="Z137" i="1"/>
  <c r="X138" i="1" a="1"/>
  <c r="X138" i="1" s="1"/>
  <c r="Z138" i="1"/>
  <c r="Z151" i="1"/>
  <c r="X151" i="1" a="1"/>
  <c r="X151" i="1" s="1"/>
  <c r="Z153" i="1"/>
  <c r="X154" i="1" a="1"/>
  <c r="X154" i="1" s="1"/>
  <c r="Z154" i="1"/>
  <c r="Z160" i="1"/>
  <c r="X160" i="1" a="1"/>
  <c r="X160" i="1" s="1"/>
  <c r="Z168" i="1"/>
  <c r="X168" i="1" a="1"/>
  <c r="X168" i="1" s="1"/>
  <c r="X187" i="1" a="1"/>
  <c r="X187" i="1" s="1"/>
  <c r="Z187" i="1"/>
  <c r="Z193" i="1"/>
  <c r="X194" i="1" a="1"/>
  <c r="X194" i="1" s="1"/>
  <c r="Z194" i="1"/>
  <c r="X203" i="1" a="1"/>
  <c r="X203" i="1" s="1"/>
  <c r="Z203" i="1"/>
  <c r="W211" i="1"/>
  <c r="V211" i="1"/>
  <c r="U211" i="1"/>
  <c r="Z211" i="1"/>
  <c r="X211" i="1" a="1"/>
  <c r="X211" i="1" s="1"/>
  <c r="Z219" i="1"/>
  <c r="X219" i="1" a="1"/>
  <c r="X219" i="1" s="1"/>
  <c r="W243" i="1"/>
  <c r="V243" i="1"/>
  <c r="U243" i="1"/>
  <c r="Z243" i="1"/>
  <c r="X243" i="1" a="1"/>
  <c r="X243" i="1" s="1"/>
  <c r="W329" i="1"/>
  <c r="U329" i="1"/>
  <c r="V329" i="1"/>
  <c r="Z72" i="1"/>
  <c r="X72" i="1" a="1"/>
  <c r="X72" i="1" s="1"/>
  <c r="X75" i="1" a="1"/>
  <c r="X75" i="1" s="1"/>
  <c r="Z75" i="1"/>
  <c r="W89" i="1"/>
  <c r="V89" i="1"/>
  <c r="U89" i="1"/>
  <c r="Z120" i="1"/>
  <c r="X120" i="1" a="1"/>
  <c r="X120" i="1" s="1"/>
  <c r="X147" i="1" a="1"/>
  <c r="X147" i="1" s="1"/>
  <c r="Z147" i="1"/>
  <c r="Z181" i="1"/>
  <c r="X181" i="1" a="1"/>
  <c r="X181" i="1" s="1"/>
  <c r="W404" i="1"/>
  <c r="V404" i="1"/>
  <c r="U404" i="1"/>
  <c r="U8" i="1"/>
  <c r="U16" i="1"/>
  <c r="U24" i="1"/>
  <c r="U32" i="1"/>
  <c r="U40" i="1"/>
  <c r="U48" i="1"/>
  <c r="U56" i="1"/>
  <c r="W65" i="1"/>
  <c r="V65" i="1"/>
  <c r="U65" i="1"/>
  <c r="Z87" i="1"/>
  <c r="X87" i="1" a="1"/>
  <c r="X87" i="1" s="1"/>
  <c r="Z96" i="1"/>
  <c r="X96" i="1" a="1"/>
  <c r="X96" i="1" s="1"/>
  <c r="Z101" i="1"/>
  <c r="X101" i="1" a="1"/>
  <c r="X101" i="1" s="1"/>
  <c r="Z103" i="1"/>
  <c r="X103" i="1" a="1"/>
  <c r="X103" i="1" s="1"/>
  <c r="W113" i="1"/>
  <c r="V113" i="1"/>
  <c r="U113" i="1"/>
  <c r="Z144" i="1"/>
  <c r="X144" i="1" a="1"/>
  <c r="X144" i="1" s="1"/>
  <c r="Z176" i="1"/>
  <c r="X176" i="1" a="1"/>
  <c r="X176" i="1" s="1"/>
  <c r="Z200" i="1"/>
  <c r="X200" i="1" a="1"/>
  <c r="X200" i="1" s="1"/>
  <c r="Z207" i="1"/>
  <c r="X207" i="1" a="1"/>
  <c r="X207" i="1" s="1"/>
  <c r="W212" i="1"/>
  <c r="V212" i="1"/>
  <c r="U212" i="1"/>
  <c r="Z212" i="1"/>
  <c r="X212" i="1" a="1"/>
  <c r="X212" i="1" s="1"/>
  <c r="Z248" i="1"/>
  <c r="X248" i="1" a="1"/>
  <c r="X248" i="1" s="1"/>
  <c r="Z280" i="1"/>
  <c r="X280" i="1" a="1"/>
  <c r="X280" i="1" s="1"/>
  <c r="W369" i="1"/>
  <c r="V369" i="1"/>
  <c r="U369" i="1"/>
  <c r="X99" i="1" a="1"/>
  <c r="X99" i="1" s="1"/>
  <c r="Z99" i="1"/>
  <c r="X179" i="1" a="1"/>
  <c r="X179" i="1" s="1"/>
  <c r="Z179" i="1"/>
  <c r="V8" i="1"/>
  <c r="V16" i="1"/>
  <c r="V24" i="1"/>
  <c r="V32" i="1"/>
  <c r="V40" i="1"/>
  <c r="V48" i="1"/>
  <c r="V56" i="1"/>
  <c r="Z69" i="1"/>
  <c r="X69" i="1" a="1"/>
  <c r="X69" i="1" s="1"/>
  <c r="W73" i="1"/>
  <c r="V73" i="1"/>
  <c r="U73" i="1"/>
  <c r="Z77" i="1"/>
  <c r="X77" i="1" a="1"/>
  <c r="X77" i="1" s="1"/>
  <c r="W81" i="1"/>
  <c r="V81" i="1"/>
  <c r="U81" i="1"/>
  <c r="X91" i="1" a="1"/>
  <c r="X91" i="1" s="1"/>
  <c r="Z91" i="1"/>
  <c r="X107" i="1" a="1"/>
  <c r="X107" i="1" s="1"/>
  <c r="Z107" i="1"/>
  <c r="Z113" i="1"/>
  <c r="X114" i="1" a="1"/>
  <c r="X114" i="1" s="1"/>
  <c r="Z114" i="1"/>
  <c r="W121" i="1"/>
  <c r="V121" i="1"/>
  <c r="U121" i="1"/>
  <c r="X139" i="1" a="1"/>
  <c r="X139" i="1" s="1"/>
  <c r="Z139" i="1"/>
  <c r="X155" i="1" a="1"/>
  <c r="X155" i="1" s="1"/>
  <c r="Z155" i="1"/>
  <c r="W169" i="1"/>
  <c r="V169" i="1"/>
  <c r="U169" i="1"/>
  <c r="Z184" i="1"/>
  <c r="X184" i="1" a="1"/>
  <c r="X184" i="1" s="1"/>
  <c r="X195" i="1" a="1"/>
  <c r="X195" i="1" s="1"/>
  <c r="Z195" i="1"/>
  <c r="W209" i="1"/>
  <c r="V209" i="1"/>
  <c r="U209" i="1"/>
  <c r="Z218" i="1"/>
  <c r="X218" i="1" a="1"/>
  <c r="X218" i="1" s="1"/>
  <c r="Z80" i="1"/>
  <c r="X80" i="1" a="1"/>
  <c r="X80" i="1" s="1"/>
  <c r="W193" i="1"/>
  <c r="V193" i="1"/>
  <c r="U193" i="1"/>
  <c r="X299" i="1" a="1"/>
  <c r="X299" i="1" s="1"/>
  <c r="Z299" i="1"/>
  <c r="Z63" i="1"/>
  <c r="W71" i="1"/>
  <c r="V71" i="1"/>
  <c r="W79" i="1"/>
  <c r="V79" i="1"/>
  <c r="X82" i="1" a="1"/>
  <c r="X82" i="1" s="1"/>
  <c r="Z82" i="1"/>
  <c r="Z109" i="1"/>
  <c r="X109" i="1" a="1"/>
  <c r="X109" i="1" s="1"/>
  <c r="Z111" i="1"/>
  <c r="X111" i="1" a="1"/>
  <c r="X111" i="1" s="1"/>
  <c r="X122" i="1" a="1"/>
  <c r="X122" i="1" s="1"/>
  <c r="Z122" i="1"/>
  <c r="W129" i="1"/>
  <c r="V129" i="1"/>
  <c r="U129" i="1"/>
  <c r="W161" i="1"/>
  <c r="V161" i="1"/>
  <c r="U161" i="1"/>
  <c r="Z169" i="1"/>
  <c r="X170" i="1" a="1"/>
  <c r="X170" i="1" s="1"/>
  <c r="Z170" i="1"/>
  <c r="W213" i="1"/>
  <c r="V213" i="1"/>
  <c r="U213" i="1"/>
  <c r="X213" i="1" a="1"/>
  <c r="X213" i="1" s="1"/>
  <c r="Z213" i="1"/>
  <c r="X235" i="1" a="1"/>
  <c r="X235" i="1" s="1"/>
  <c r="X242" i="1" a="1"/>
  <c r="X242" i="1" s="1"/>
  <c r="Z242" i="1"/>
  <c r="Z256" i="1"/>
  <c r="X256" i="1" a="1"/>
  <c r="X256" i="1" s="1"/>
  <c r="Z288" i="1"/>
  <c r="X288" i="1" a="1"/>
  <c r="X288" i="1" s="1"/>
  <c r="X338" i="1" a="1"/>
  <c r="X338" i="1" s="1"/>
  <c r="Z338" i="1"/>
  <c r="Z340" i="1"/>
  <c r="X340" i="1" a="1"/>
  <c r="X340" i="1" s="1"/>
  <c r="V87" i="1"/>
  <c r="V95" i="1"/>
  <c r="V103" i="1"/>
  <c r="V111" i="1"/>
  <c r="V119" i="1"/>
  <c r="V127" i="1"/>
  <c r="V135" i="1"/>
  <c r="V143" i="1"/>
  <c r="V151" i="1"/>
  <c r="V159" i="1"/>
  <c r="W166" i="1"/>
  <c r="V167" i="1"/>
  <c r="U168" i="1"/>
  <c r="V175" i="1"/>
  <c r="V183" i="1"/>
  <c r="V191" i="1"/>
  <c r="V199" i="1"/>
  <c r="V207" i="1"/>
  <c r="Z221" i="1"/>
  <c r="X221" i="1" a="1"/>
  <c r="X221" i="1" s="1"/>
  <c r="W223" i="1"/>
  <c r="Z232" i="1"/>
  <c r="Z245" i="1"/>
  <c r="X245" i="1" a="1"/>
  <c r="X245" i="1" s="1"/>
  <c r="Z253" i="1"/>
  <c r="X253" i="1" a="1"/>
  <c r="X253" i="1" s="1"/>
  <c r="Z261" i="1"/>
  <c r="X261" i="1" a="1"/>
  <c r="X261" i="1" s="1"/>
  <c r="Z269" i="1"/>
  <c r="X269" i="1" a="1"/>
  <c r="X269" i="1" s="1"/>
  <c r="Z277" i="1"/>
  <c r="X277" i="1" a="1"/>
  <c r="X277" i="1" s="1"/>
  <c r="Z285" i="1"/>
  <c r="X285" i="1" a="1"/>
  <c r="X285" i="1" s="1"/>
  <c r="X298" i="1" a="1"/>
  <c r="X298" i="1" s="1"/>
  <c r="Z298" i="1"/>
  <c r="Z309" i="1"/>
  <c r="X309" i="1" a="1"/>
  <c r="X309" i="1" s="1"/>
  <c r="X314" i="1" a="1"/>
  <c r="X314" i="1" s="1"/>
  <c r="Z314" i="1"/>
  <c r="Z336" i="1"/>
  <c r="X336" i="1" a="1"/>
  <c r="X336" i="1" s="1"/>
  <c r="W340" i="1"/>
  <c r="V340" i="1"/>
  <c r="U340" i="1"/>
  <c r="W361" i="1"/>
  <c r="V361" i="1"/>
  <c r="U361" i="1"/>
  <c r="X370" i="1" a="1"/>
  <c r="X370" i="1" s="1"/>
  <c r="Z370" i="1"/>
  <c r="Z537" i="1"/>
  <c r="X537" i="1" a="1"/>
  <c r="X537" i="1" s="1"/>
  <c r="Z578" i="1"/>
  <c r="X578" i="1" a="1"/>
  <c r="X578" i="1" s="1"/>
  <c r="W615" i="1"/>
  <c r="V615" i="1"/>
  <c r="U615" i="1"/>
  <c r="V698" i="1"/>
  <c r="U698" i="1"/>
  <c r="W698" i="1"/>
  <c r="X698" i="1" a="1"/>
  <c r="X698" i="1" s="1"/>
  <c r="Z698" i="1"/>
  <c r="V72" i="1"/>
  <c r="V80" i="1"/>
  <c r="X86" i="1" a="1"/>
  <c r="X86" i="1" s="1"/>
  <c r="V88" i="1"/>
  <c r="X94" i="1" a="1"/>
  <c r="X94" i="1" s="1"/>
  <c r="V96" i="1"/>
  <c r="X102" i="1" a="1"/>
  <c r="X102" i="1" s="1"/>
  <c r="V104" i="1"/>
  <c r="X110" i="1" a="1"/>
  <c r="X110" i="1" s="1"/>
  <c r="V112" i="1"/>
  <c r="X118" i="1" a="1"/>
  <c r="X118" i="1" s="1"/>
  <c r="V120" i="1"/>
  <c r="X126" i="1" a="1"/>
  <c r="X126" i="1" s="1"/>
  <c r="V128" i="1"/>
  <c r="X134" i="1" a="1"/>
  <c r="X134" i="1" s="1"/>
  <c r="V136" i="1"/>
  <c r="X142" i="1" a="1"/>
  <c r="X142" i="1" s="1"/>
  <c r="V144" i="1"/>
  <c r="X150" i="1" a="1"/>
  <c r="X150" i="1" s="1"/>
  <c r="V152" i="1"/>
  <c r="X158" i="1" a="1"/>
  <c r="X158" i="1" s="1"/>
  <c r="V160" i="1"/>
  <c r="X166" i="1" a="1"/>
  <c r="X166" i="1" s="1"/>
  <c r="V168" i="1"/>
  <c r="X174" i="1" a="1"/>
  <c r="X174" i="1" s="1"/>
  <c r="V176" i="1"/>
  <c r="X182" i="1" a="1"/>
  <c r="X182" i="1" s="1"/>
  <c r="V184" i="1"/>
  <c r="X190" i="1" a="1"/>
  <c r="X190" i="1" s="1"/>
  <c r="V192" i="1"/>
  <c r="X198" i="1" a="1"/>
  <c r="X198" i="1" s="1"/>
  <c r="X206" i="1" a="1"/>
  <c r="X206" i="1" s="1"/>
  <c r="W249" i="1"/>
  <c r="U249" i="1"/>
  <c r="W257" i="1"/>
  <c r="U257" i="1"/>
  <c r="W265" i="1"/>
  <c r="U265" i="1"/>
  <c r="W273" i="1"/>
  <c r="U273" i="1"/>
  <c r="W281" i="1"/>
  <c r="U281" i="1"/>
  <c r="Z293" i="1"/>
  <c r="X293" i="1" a="1"/>
  <c r="X293" i="1" s="1"/>
  <c r="W300" i="1"/>
  <c r="V300" i="1"/>
  <c r="U300" i="1"/>
  <c r="W305" i="1"/>
  <c r="U305" i="1"/>
  <c r="W316" i="1"/>
  <c r="V316" i="1"/>
  <c r="U316" i="1"/>
  <c r="Z325" i="1"/>
  <c r="X325" i="1" a="1"/>
  <c r="X325" i="1" s="1"/>
  <c r="X331" i="1" a="1"/>
  <c r="X331" i="1" s="1"/>
  <c r="Z331" i="1"/>
  <c r="W345" i="1"/>
  <c r="U345" i="1"/>
  <c r="Z352" i="1"/>
  <c r="X352" i="1" a="1"/>
  <c r="X352" i="1" s="1"/>
  <c r="X362" i="1" a="1"/>
  <c r="X362" i="1" s="1"/>
  <c r="Z362" i="1"/>
  <c r="Z384" i="1"/>
  <c r="X384" i="1" a="1"/>
  <c r="X384" i="1" s="1"/>
  <c r="X394" i="1" a="1"/>
  <c r="X394" i="1" s="1"/>
  <c r="Z394" i="1"/>
  <c r="Z400" i="1"/>
  <c r="X400" i="1" a="1"/>
  <c r="X400" i="1" s="1"/>
  <c r="X402" i="1" a="1"/>
  <c r="X402" i="1" s="1"/>
  <c r="Z402" i="1"/>
  <c r="Z420" i="1"/>
  <c r="X420" i="1" a="1"/>
  <c r="X420" i="1" s="1"/>
  <c r="Z426" i="1"/>
  <c r="X426" i="1" a="1"/>
  <c r="X426" i="1" s="1"/>
  <c r="Z460" i="1"/>
  <c r="X460" i="1" a="1"/>
  <c r="X460" i="1" s="1"/>
  <c r="Z529" i="1"/>
  <c r="X529" i="1" a="1"/>
  <c r="X529" i="1" s="1"/>
  <c r="U74" i="1"/>
  <c r="U82" i="1"/>
  <c r="U90" i="1"/>
  <c r="U98" i="1"/>
  <c r="U106" i="1"/>
  <c r="U114" i="1"/>
  <c r="U122" i="1"/>
  <c r="U130" i="1"/>
  <c r="U138" i="1"/>
  <c r="U146" i="1"/>
  <c r="U154" i="1"/>
  <c r="U162" i="1"/>
  <c r="U170" i="1"/>
  <c r="U178" i="1"/>
  <c r="U186" i="1"/>
  <c r="U194" i="1"/>
  <c r="U202" i="1"/>
  <c r="T220" i="1"/>
  <c r="U225" i="1"/>
  <c r="Z229" i="1"/>
  <c r="X229" i="1" a="1"/>
  <c r="X229" i="1" s="1"/>
  <c r="U233" i="1"/>
  <c r="V236" i="1"/>
  <c r="U236" i="1"/>
  <c r="T241" i="1"/>
  <c r="V249" i="1"/>
  <c r="V257" i="1"/>
  <c r="V265" i="1"/>
  <c r="V273" i="1"/>
  <c r="V281" i="1"/>
  <c r="W289" i="1"/>
  <c r="U289" i="1"/>
  <c r="Z296" i="1"/>
  <c r="X296" i="1" a="1"/>
  <c r="X296" i="1" s="1"/>
  <c r="X300" i="1" a="1"/>
  <c r="X300" i="1" s="1"/>
  <c r="V305" i="1"/>
  <c r="Z312" i="1"/>
  <c r="X312" i="1" a="1"/>
  <c r="X312" i="1" s="1"/>
  <c r="X316" i="1" a="1"/>
  <c r="X316" i="1" s="1"/>
  <c r="W321" i="1"/>
  <c r="U321" i="1"/>
  <c r="X330" i="1" a="1"/>
  <c r="X330" i="1" s="1"/>
  <c r="Z330" i="1"/>
  <c r="T332" i="1"/>
  <c r="V345" i="1"/>
  <c r="Z357" i="1"/>
  <c r="X357" i="1" a="1"/>
  <c r="X357" i="1" s="1"/>
  <c r="X372" i="1" a="1"/>
  <c r="X372" i="1" s="1"/>
  <c r="Z376" i="1"/>
  <c r="X376" i="1" a="1"/>
  <c r="X376" i="1" s="1"/>
  <c r="Z381" i="1"/>
  <c r="X381" i="1" a="1"/>
  <c r="X381" i="1" s="1"/>
  <c r="Z395" i="1"/>
  <c r="X395" i="1" a="1"/>
  <c r="X395" i="1" s="1"/>
  <c r="X453" i="1" a="1"/>
  <c r="X453" i="1" s="1"/>
  <c r="Z453" i="1"/>
  <c r="V74" i="1"/>
  <c r="V82" i="1"/>
  <c r="V90" i="1"/>
  <c r="V98" i="1"/>
  <c r="U99" i="1"/>
  <c r="V106" i="1"/>
  <c r="U107" i="1"/>
  <c r="V114" i="1"/>
  <c r="U115" i="1"/>
  <c r="V122" i="1"/>
  <c r="U123" i="1"/>
  <c r="V130" i="1"/>
  <c r="U131" i="1"/>
  <c r="V138" i="1"/>
  <c r="U139" i="1"/>
  <c r="V146" i="1"/>
  <c r="U147" i="1"/>
  <c r="V154" i="1"/>
  <c r="U155" i="1"/>
  <c r="V162" i="1"/>
  <c r="U163" i="1"/>
  <c r="V170" i="1"/>
  <c r="V178" i="1"/>
  <c r="V186" i="1"/>
  <c r="U187" i="1"/>
  <c r="V194" i="1"/>
  <c r="V202" i="1"/>
  <c r="U203" i="1"/>
  <c r="X222" i="1" a="1"/>
  <c r="X222" i="1" s="1"/>
  <c r="V225" i="1"/>
  <c r="X231" i="1" a="1"/>
  <c r="X231" i="1" s="1"/>
  <c r="V233" i="1"/>
  <c r="T244" i="1"/>
  <c r="X251" i="1" a="1"/>
  <c r="X251" i="1" s="1"/>
  <c r="Z251" i="1"/>
  <c r="X259" i="1" a="1"/>
  <c r="X259" i="1" s="1"/>
  <c r="Z259" i="1"/>
  <c r="X267" i="1" a="1"/>
  <c r="X267" i="1" s="1"/>
  <c r="Z267" i="1"/>
  <c r="X275" i="1" a="1"/>
  <c r="X275" i="1" s="1"/>
  <c r="Z275" i="1"/>
  <c r="X283" i="1" a="1"/>
  <c r="X283" i="1" s="1"/>
  <c r="Z283" i="1"/>
  <c r="X307" i="1" a="1"/>
  <c r="X307" i="1" s="1"/>
  <c r="Z307" i="1"/>
  <c r="Z328" i="1"/>
  <c r="X328" i="1" a="1"/>
  <c r="X328" i="1" s="1"/>
  <c r="W332" i="1"/>
  <c r="V332" i="1"/>
  <c r="U332" i="1"/>
  <c r="T337" i="1"/>
  <c r="Z341" i="1"/>
  <c r="X341" i="1" a="1"/>
  <c r="X341" i="1" s="1"/>
  <c r="X347" i="1" a="1"/>
  <c r="X347" i="1" s="1"/>
  <c r="Z347" i="1"/>
  <c r="X364" i="1" a="1"/>
  <c r="X364" i="1" s="1"/>
  <c r="Z368" i="1"/>
  <c r="X368" i="1" a="1"/>
  <c r="X368" i="1" s="1"/>
  <c r="Z373" i="1"/>
  <c r="X373" i="1" a="1"/>
  <c r="X373" i="1" s="1"/>
  <c r="Z383" i="1"/>
  <c r="X383" i="1" a="1"/>
  <c r="X383" i="1" s="1"/>
  <c r="W409" i="1"/>
  <c r="V409" i="1"/>
  <c r="U409" i="1"/>
  <c r="X409" i="1" a="1"/>
  <c r="X409" i="1" s="1"/>
  <c r="Z409" i="1"/>
  <c r="X445" i="1" a="1"/>
  <c r="X445" i="1" s="1"/>
  <c r="Z445" i="1"/>
  <c r="Z516" i="1"/>
  <c r="X516" i="1" a="1"/>
  <c r="X516" i="1" s="1"/>
  <c r="U124" i="1"/>
  <c r="U164" i="1"/>
  <c r="U172" i="1"/>
  <c r="U180" i="1"/>
  <c r="U188" i="1"/>
  <c r="X210" i="1" a="1"/>
  <c r="X210" i="1" s="1"/>
  <c r="Z217" i="1"/>
  <c r="X226" i="1" a="1"/>
  <c r="X226" i="1" s="1"/>
  <c r="T228" i="1"/>
  <c r="X236" i="1" a="1"/>
  <c r="X236" i="1" s="1"/>
  <c r="V244" i="1"/>
  <c r="U244" i="1"/>
  <c r="Z246" i="1"/>
  <c r="X246" i="1" a="1"/>
  <c r="X246" i="1" s="1"/>
  <c r="Z249" i="1"/>
  <c r="X250" i="1" a="1"/>
  <c r="X250" i="1" s="1"/>
  <c r="Z250" i="1"/>
  <c r="T252" i="1"/>
  <c r="Z254" i="1"/>
  <c r="X254" i="1" a="1"/>
  <c r="X254" i="1" s="1"/>
  <c r="Z257" i="1"/>
  <c r="X258" i="1" a="1"/>
  <c r="X258" i="1" s="1"/>
  <c r="Z258" i="1"/>
  <c r="T260" i="1"/>
  <c r="Z262" i="1"/>
  <c r="X262" i="1" a="1"/>
  <c r="X262" i="1" s="1"/>
  <c r="Z265" i="1"/>
  <c r="X266" i="1" a="1"/>
  <c r="X266" i="1" s="1"/>
  <c r="Z266" i="1"/>
  <c r="T268" i="1"/>
  <c r="Z270" i="1"/>
  <c r="X270" i="1" a="1"/>
  <c r="X270" i="1" s="1"/>
  <c r="Z273" i="1"/>
  <c r="X274" i="1" a="1"/>
  <c r="X274" i="1" s="1"/>
  <c r="Z274" i="1"/>
  <c r="T276" i="1"/>
  <c r="Z278" i="1"/>
  <c r="X278" i="1" a="1"/>
  <c r="X278" i="1" s="1"/>
  <c r="Z281" i="1"/>
  <c r="X282" i="1" a="1"/>
  <c r="X282" i="1" s="1"/>
  <c r="Z282" i="1"/>
  <c r="T284" i="1"/>
  <c r="Z286" i="1"/>
  <c r="X286" i="1" a="1"/>
  <c r="X286" i="1" s="1"/>
  <c r="X291" i="1" a="1"/>
  <c r="X291" i="1" s="1"/>
  <c r="Z291" i="1"/>
  <c r="T297" i="1"/>
  <c r="Z301" i="1"/>
  <c r="X301" i="1" a="1"/>
  <c r="X301" i="1" s="1"/>
  <c r="Z305" i="1"/>
  <c r="X306" i="1" a="1"/>
  <c r="X306" i="1" s="1"/>
  <c r="Z306" i="1"/>
  <c r="T308" i="1"/>
  <c r="T313" i="1"/>
  <c r="Z317" i="1"/>
  <c r="X317" i="1" a="1"/>
  <c r="X317" i="1" s="1"/>
  <c r="X323" i="1" a="1"/>
  <c r="X323" i="1" s="1"/>
  <c r="Z323" i="1"/>
  <c r="W337" i="1"/>
  <c r="U337" i="1"/>
  <c r="Z345" i="1"/>
  <c r="X346" i="1" a="1"/>
  <c r="X346" i="1" s="1"/>
  <c r="Z346" i="1"/>
  <c r="T353" i="1"/>
  <c r="Z360" i="1"/>
  <c r="X360" i="1" a="1"/>
  <c r="X360" i="1" s="1"/>
  <c r="Z365" i="1"/>
  <c r="X365" i="1" a="1"/>
  <c r="X365" i="1" s="1"/>
  <c r="Z375" i="1"/>
  <c r="X375" i="1" a="1"/>
  <c r="X375" i="1" s="1"/>
  <c r="T385" i="1"/>
  <c r="Z398" i="1"/>
  <c r="X398" i="1" a="1"/>
  <c r="X398" i="1" s="1"/>
  <c r="X509" i="1" a="1"/>
  <c r="X509" i="1" s="1"/>
  <c r="Z509" i="1"/>
  <c r="W559" i="1"/>
  <c r="V559" i="1"/>
  <c r="U559" i="1"/>
  <c r="V219" i="1"/>
  <c r="U219" i="1"/>
  <c r="W235" i="1"/>
  <c r="V235" i="1"/>
  <c r="U235" i="1"/>
  <c r="W252" i="1"/>
  <c r="V252" i="1"/>
  <c r="U252" i="1"/>
  <c r="W260" i="1"/>
  <c r="V260" i="1"/>
  <c r="U260" i="1"/>
  <c r="W268" i="1"/>
  <c r="V268" i="1"/>
  <c r="U268" i="1"/>
  <c r="W276" i="1"/>
  <c r="V276" i="1"/>
  <c r="U276" i="1"/>
  <c r="W284" i="1"/>
  <c r="V284" i="1"/>
  <c r="U284" i="1"/>
  <c r="X290" i="1" a="1"/>
  <c r="X290" i="1" s="1"/>
  <c r="Z290" i="1"/>
  <c r="W297" i="1"/>
  <c r="U297" i="1"/>
  <c r="W308" i="1"/>
  <c r="V308" i="1"/>
  <c r="U308" i="1"/>
  <c r="W313" i="1"/>
  <c r="U313" i="1"/>
  <c r="X322" i="1" a="1"/>
  <c r="X322" i="1" s="1"/>
  <c r="Z322" i="1"/>
  <c r="Z344" i="1"/>
  <c r="X344" i="1" a="1"/>
  <c r="X344" i="1" s="1"/>
  <c r="W353" i="1"/>
  <c r="V353" i="1"/>
  <c r="U353" i="1"/>
  <c r="Z367" i="1"/>
  <c r="X367" i="1" a="1"/>
  <c r="X367" i="1" s="1"/>
  <c r="W385" i="1"/>
  <c r="V385" i="1"/>
  <c r="U385" i="1"/>
  <c r="X393" i="1" a="1"/>
  <c r="X393" i="1" s="1"/>
  <c r="Z393" i="1"/>
  <c r="Z418" i="1"/>
  <c r="X418" i="1" a="1"/>
  <c r="X418" i="1" s="1"/>
  <c r="X494" i="1" a="1"/>
  <c r="X494" i="1" s="1"/>
  <c r="Z494" i="1"/>
  <c r="W501" i="1"/>
  <c r="V501" i="1"/>
  <c r="U501" i="1"/>
  <c r="T209" i="1"/>
  <c r="Z225" i="1"/>
  <c r="V228" i="1"/>
  <c r="V232" i="1"/>
  <c r="Z237" i="1"/>
  <c r="X237" i="1" a="1"/>
  <c r="X237" i="1" s="1"/>
  <c r="W292" i="1"/>
  <c r="V292" i="1"/>
  <c r="U292" i="1"/>
  <c r="V297" i="1"/>
  <c r="Z304" i="1"/>
  <c r="X304" i="1" a="1"/>
  <c r="X304" i="1" s="1"/>
  <c r="V313" i="1"/>
  <c r="Z320" i="1"/>
  <c r="X320" i="1" a="1"/>
  <c r="X320" i="1" s="1"/>
  <c r="W324" i="1"/>
  <c r="V324" i="1"/>
  <c r="U324" i="1"/>
  <c r="T329" i="1"/>
  <c r="Z333" i="1"/>
  <c r="X333" i="1" a="1"/>
  <c r="X333" i="1" s="1"/>
  <c r="X339" i="1" a="1"/>
  <c r="X339" i="1" s="1"/>
  <c r="Z339" i="1"/>
  <c r="X348" i="1" a="1"/>
  <c r="X348" i="1" s="1"/>
  <c r="T369" i="1"/>
  <c r="W377" i="1"/>
  <c r="V377" i="1"/>
  <c r="U377" i="1"/>
  <c r="X386" i="1" a="1"/>
  <c r="X386" i="1" s="1"/>
  <c r="Z386" i="1"/>
  <c r="W393" i="1"/>
  <c r="V393" i="1"/>
  <c r="U393" i="1"/>
  <c r="T404" i="1"/>
  <c r="X410" i="1" a="1"/>
  <c r="X410" i="1" s="1"/>
  <c r="Z410" i="1"/>
  <c r="Z436" i="1"/>
  <c r="X436" i="1" a="1"/>
  <c r="X436" i="1" s="1"/>
  <c r="Z483" i="1"/>
  <c r="X483" i="1" a="1"/>
  <c r="X483" i="1" s="1"/>
  <c r="U248" i="1"/>
  <c r="U256" i="1"/>
  <c r="U264" i="1"/>
  <c r="U272" i="1"/>
  <c r="U280" i="1"/>
  <c r="U288" i="1"/>
  <c r="U296" i="1"/>
  <c r="U304" i="1"/>
  <c r="U312" i="1"/>
  <c r="W366" i="1"/>
  <c r="W374" i="1"/>
  <c r="W382" i="1"/>
  <c r="U394" i="1"/>
  <c r="W401" i="1"/>
  <c r="U410" i="1"/>
  <c r="V413" i="1"/>
  <c r="U413" i="1"/>
  <c r="W445" i="1"/>
  <c r="V445" i="1"/>
  <c r="U445" i="1"/>
  <c r="W453" i="1"/>
  <c r="V453" i="1"/>
  <c r="U453" i="1"/>
  <c r="T461" i="1"/>
  <c r="Z468" i="1"/>
  <c r="X468" i="1" a="1"/>
  <c r="X468" i="1" s="1"/>
  <c r="Z491" i="1"/>
  <c r="X491" i="1" a="1"/>
  <c r="X491" i="1" s="1"/>
  <c r="X502" i="1" a="1"/>
  <c r="X502" i="1" s="1"/>
  <c r="Z502" i="1"/>
  <c r="W509" i="1"/>
  <c r="V509" i="1"/>
  <c r="U509" i="1"/>
  <c r="T517" i="1"/>
  <c r="Z522" i="1"/>
  <c r="X522" i="1" a="1"/>
  <c r="X522" i="1" s="1"/>
  <c r="Z524" i="1"/>
  <c r="X524" i="1" a="1"/>
  <c r="X524" i="1" s="1"/>
  <c r="Z553" i="1"/>
  <c r="X553" i="1" a="1"/>
  <c r="X553" i="1" s="1"/>
  <c r="Z569" i="1"/>
  <c r="X569" i="1" a="1"/>
  <c r="X569" i="1" s="1"/>
  <c r="Z576" i="1"/>
  <c r="X576" i="1" a="1"/>
  <c r="X576" i="1" s="1"/>
  <c r="Z588" i="1"/>
  <c r="X588" i="1" a="1"/>
  <c r="X588" i="1" s="1"/>
  <c r="U662" i="1"/>
  <c r="W662" i="1"/>
  <c r="V662" i="1"/>
  <c r="Z355" i="1"/>
  <c r="Z363" i="1"/>
  <c r="Z371" i="1"/>
  <c r="Z379" i="1"/>
  <c r="Z387" i="1"/>
  <c r="Z389" i="1"/>
  <c r="T397" i="1"/>
  <c r="W403" i="1"/>
  <c r="V403" i="1"/>
  <c r="X432" i="1" a="1"/>
  <c r="X432" i="1" s="1"/>
  <c r="X440" i="1" a="1"/>
  <c r="X440" i="1" s="1"/>
  <c r="X446" i="1" a="1"/>
  <c r="X446" i="1" s="1"/>
  <c r="Z446" i="1"/>
  <c r="X454" i="1" a="1"/>
  <c r="X454" i="1" s="1"/>
  <c r="Z454" i="1"/>
  <c r="W461" i="1"/>
  <c r="V461" i="1"/>
  <c r="U461" i="1"/>
  <c r="Z481" i="1"/>
  <c r="X481" i="1" a="1"/>
  <c r="X481" i="1" s="1"/>
  <c r="Z499" i="1"/>
  <c r="X499" i="1" a="1"/>
  <c r="X499" i="1" s="1"/>
  <c r="X510" i="1" a="1"/>
  <c r="X510" i="1" s="1"/>
  <c r="Z510" i="1"/>
  <c r="W517" i="1"/>
  <c r="V517" i="1"/>
  <c r="U517" i="1"/>
  <c r="T525" i="1"/>
  <c r="Z530" i="1"/>
  <c r="X530" i="1" a="1"/>
  <c r="X530" i="1" s="1"/>
  <c r="Z532" i="1"/>
  <c r="X532" i="1" a="1"/>
  <c r="X532" i="1" s="1"/>
  <c r="Z538" i="1"/>
  <c r="X538" i="1" a="1"/>
  <c r="X538" i="1" s="1"/>
  <c r="Z544" i="1"/>
  <c r="X544" i="1" a="1"/>
  <c r="X544" i="1" s="1"/>
  <c r="Z554" i="1"/>
  <c r="X554" i="1" a="1"/>
  <c r="X554" i="1" s="1"/>
  <c r="Z560" i="1"/>
  <c r="X560" i="1" a="1"/>
  <c r="X560" i="1" s="1"/>
  <c r="Z570" i="1"/>
  <c r="X570" i="1" a="1"/>
  <c r="X570" i="1" s="1"/>
  <c r="Z586" i="1"/>
  <c r="X586" i="1" a="1"/>
  <c r="X586" i="1" s="1"/>
  <c r="V397" i="1"/>
  <c r="U397" i="1"/>
  <c r="W412" i="1"/>
  <c r="V412" i="1"/>
  <c r="U412" i="1"/>
  <c r="Z443" i="1"/>
  <c r="X443" i="1" a="1"/>
  <c r="X443" i="1" s="1"/>
  <c r="Z451" i="1"/>
  <c r="X451" i="1" a="1"/>
  <c r="X451" i="1" s="1"/>
  <c r="X462" i="1" a="1"/>
  <c r="X462" i="1" s="1"/>
  <c r="Z462" i="1"/>
  <c r="W469" i="1"/>
  <c r="V469" i="1"/>
  <c r="U469" i="1"/>
  <c r="Z476" i="1"/>
  <c r="X476" i="1" a="1"/>
  <c r="X476" i="1" s="1"/>
  <c r="Z489" i="1"/>
  <c r="X489" i="1" a="1"/>
  <c r="X489" i="1" s="1"/>
  <c r="Z507" i="1"/>
  <c r="X507" i="1" a="1"/>
  <c r="X507" i="1" s="1"/>
  <c r="X518" i="1" a="1"/>
  <c r="X518" i="1" s="1"/>
  <c r="Z518" i="1"/>
  <c r="W525" i="1"/>
  <c r="V525" i="1"/>
  <c r="U525" i="1"/>
  <c r="Z542" i="1"/>
  <c r="X542" i="1" a="1"/>
  <c r="X542" i="1" s="1"/>
  <c r="Z558" i="1"/>
  <c r="X558" i="1" a="1"/>
  <c r="X558" i="1" s="1"/>
  <c r="X579" i="1" a="1"/>
  <c r="X579" i="1" s="1"/>
  <c r="Z579" i="1"/>
  <c r="Z582" i="1"/>
  <c r="X582" i="1" a="1"/>
  <c r="X582" i="1" s="1"/>
  <c r="X621" i="1" a="1"/>
  <c r="X621" i="1" s="1"/>
  <c r="Z621" i="1"/>
  <c r="Z658" i="1"/>
  <c r="X658" i="1" a="1"/>
  <c r="X658" i="1" s="1"/>
  <c r="U251" i="1"/>
  <c r="U259" i="1"/>
  <c r="U267" i="1"/>
  <c r="U275" i="1"/>
  <c r="U283" i="1"/>
  <c r="U291" i="1"/>
  <c r="U299" i="1"/>
  <c r="U307" i="1"/>
  <c r="U315" i="1"/>
  <c r="U323" i="1"/>
  <c r="U331" i="1"/>
  <c r="U339" i="1"/>
  <c r="U347" i="1"/>
  <c r="U355" i="1"/>
  <c r="U363" i="1"/>
  <c r="U371" i="1"/>
  <c r="U379" i="1"/>
  <c r="U387" i="1"/>
  <c r="W397" i="1"/>
  <c r="U403" i="1"/>
  <c r="U417" i="1"/>
  <c r="W419" i="1"/>
  <c r="V419" i="1"/>
  <c r="V421" i="1"/>
  <c r="U421" i="1"/>
  <c r="U425" i="1"/>
  <c r="W427" i="1"/>
  <c r="V427" i="1"/>
  <c r="V429" i="1"/>
  <c r="U429" i="1"/>
  <c r="X430" i="1" a="1"/>
  <c r="X430" i="1" s="1"/>
  <c r="U433" i="1"/>
  <c r="W435" i="1"/>
  <c r="V435" i="1"/>
  <c r="V437" i="1"/>
  <c r="U437" i="1"/>
  <c r="X438" i="1" a="1"/>
  <c r="X438" i="1" s="1"/>
  <c r="Z441" i="1"/>
  <c r="X441" i="1" a="1"/>
  <c r="X441" i="1" s="1"/>
  <c r="Z459" i="1"/>
  <c r="X459" i="1" a="1"/>
  <c r="X459" i="1" s="1"/>
  <c r="Z469" i="1"/>
  <c r="X470" i="1" a="1"/>
  <c r="X470" i="1" s="1"/>
  <c r="Z470" i="1"/>
  <c r="T477" i="1"/>
  <c r="Z484" i="1"/>
  <c r="X484" i="1" a="1"/>
  <c r="X484" i="1" s="1"/>
  <c r="Z497" i="1"/>
  <c r="X497" i="1" a="1"/>
  <c r="X497" i="1" s="1"/>
  <c r="X526" i="1" a="1"/>
  <c r="X526" i="1" s="1"/>
  <c r="Z526" i="1"/>
  <c r="W533" i="1"/>
  <c r="V533" i="1"/>
  <c r="U533" i="1"/>
  <c r="W551" i="1"/>
  <c r="V551" i="1"/>
  <c r="U551" i="1"/>
  <c r="W567" i="1"/>
  <c r="V567" i="1"/>
  <c r="U567" i="1"/>
  <c r="Z600" i="1"/>
  <c r="X600" i="1" a="1"/>
  <c r="X600" i="1" s="1"/>
  <c r="V251" i="1"/>
  <c r="V259" i="1"/>
  <c r="V267" i="1"/>
  <c r="V275" i="1"/>
  <c r="V283" i="1"/>
  <c r="V291" i="1"/>
  <c r="V299" i="1"/>
  <c r="V307" i="1"/>
  <c r="V315" i="1"/>
  <c r="V323" i="1"/>
  <c r="V331" i="1"/>
  <c r="V339" i="1"/>
  <c r="V347" i="1"/>
  <c r="U348" i="1"/>
  <c r="V355" i="1"/>
  <c r="U356" i="1"/>
  <c r="V363" i="1"/>
  <c r="U364" i="1"/>
  <c r="V371" i="1"/>
  <c r="U372" i="1"/>
  <c r="V379" i="1"/>
  <c r="U380" i="1"/>
  <c r="V387" i="1"/>
  <c r="U388" i="1"/>
  <c r="W396" i="1"/>
  <c r="V396" i="1"/>
  <c r="U396" i="1"/>
  <c r="T405" i="1"/>
  <c r="W411" i="1"/>
  <c r="V411" i="1"/>
  <c r="W417" i="1"/>
  <c r="U419" i="1"/>
  <c r="W421" i="1"/>
  <c r="W425" i="1"/>
  <c r="W433" i="1"/>
  <c r="Z449" i="1"/>
  <c r="X449" i="1" a="1"/>
  <c r="X449" i="1" s="1"/>
  <c r="Z467" i="1"/>
  <c r="X467" i="1" a="1"/>
  <c r="X467" i="1" s="1"/>
  <c r="W477" i="1"/>
  <c r="V477" i="1"/>
  <c r="U477" i="1"/>
  <c r="T485" i="1"/>
  <c r="Z492" i="1"/>
  <c r="X492" i="1" a="1"/>
  <c r="X492" i="1" s="1"/>
  <c r="Z505" i="1"/>
  <c r="X505" i="1" a="1"/>
  <c r="X505" i="1" s="1"/>
  <c r="Z515" i="1"/>
  <c r="X515" i="1" a="1"/>
  <c r="X515" i="1" s="1"/>
  <c r="Z533" i="1"/>
  <c r="X534" i="1" a="1"/>
  <c r="X534" i="1" s="1"/>
  <c r="Z534" i="1"/>
  <c r="Z545" i="1"/>
  <c r="X545" i="1" a="1"/>
  <c r="X545" i="1" s="1"/>
  <c r="Z561" i="1"/>
  <c r="X561" i="1" a="1"/>
  <c r="X561" i="1" s="1"/>
  <c r="Z574" i="1"/>
  <c r="X574" i="1" a="1"/>
  <c r="X574" i="1" s="1"/>
  <c r="Z580" i="1"/>
  <c r="X580" i="1" a="1"/>
  <c r="X580" i="1" s="1"/>
  <c r="X607" i="1" a="1"/>
  <c r="X607" i="1" s="1"/>
  <c r="Z607" i="1"/>
  <c r="V348" i="1"/>
  <c r="V356" i="1"/>
  <c r="V364" i="1"/>
  <c r="V372" i="1"/>
  <c r="V380" i="1"/>
  <c r="V388" i="1"/>
  <c r="X392" i="1" a="1"/>
  <c r="X392" i="1" s="1"/>
  <c r="W395" i="1"/>
  <c r="V395" i="1"/>
  <c r="V405" i="1"/>
  <c r="U405" i="1"/>
  <c r="Z457" i="1"/>
  <c r="X457" i="1" a="1"/>
  <c r="X457" i="1" s="1"/>
  <c r="X478" i="1" a="1"/>
  <c r="X478" i="1" s="1"/>
  <c r="Z478" i="1"/>
  <c r="W485" i="1"/>
  <c r="V485" i="1"/>
  <c r="U485" i="1"/>
  <c r="Z500" i="1"/>
  <c r="X500" i="1" a="1"/>
  <c r="X500" i="1" s="1"/>
  <c r="Z513" i="1"/>
  <c r="X513" i="1" a="1"/>
  <c r="X513" i="1" s="1"/>
  <c r="Z523" i="1"/>
  <c r="X523" i="1" a="1"/>
  <c r="X523" i="1" s="1"/>
  <c r="Z546" i="1"/>
  <c r="X546" i="1" a="1"/>
  <c r="X546" i="1" s="1"/>
  <c r="Z552" i="1"/>
  <c r="X552" i="1" a="1"/>
  <c r="X552" i="1" s="1"/>
  <c r="Z562" i="1"/>
  <c r="X562" i="1" a="1"/>
  <c r="X562" i="1" s="1"/>
  <c r="Z568" i="1"/>
  <c r="X568" i="1" a="1"/>
  <c r="X568" i="1" s="1"/>
  <c r="Z592" i="1"/>
  <c r="X592" i="1" a="1"/>
  <c r="X592" i="1" s="1"/>
  <c r="Z603" i="1"/>
  <c r="X603" i="1" a="1"/>
  <c r="X603" i="1" s="1"/>
  <c r="Z608" i="1"/>
  <c r="X608" i="1" a="1"/>
  <c r="X608" i="1" s="1"/>
  <c r="U617" i="1"/>
  <c r="W617" i="1"/>
  <c r="V617" i="1"/>
  <c r="X617" i="1" a="1"/>
  <c r="X617" i="1" s="1"/>
  <c r="Z617" i="1"/>
  <c r="X390" i="1" a="1"/>
  <c r="X390" i="1" s="1"/>
  <c r="X391" i="1" a="1"/>
  <c r="X391" i="1" s="1"/>
  <c r="V402" i="1"/>
  <c r="Z403" i="1"/>
  <c r="W405" i="1"/>
  <c r="X408" i="1" a="1"/>
  <c r="X408" i="1" s="1"/>
  <c r="U411" i="1"/>
  <c r="Z417" i="1"/>
  <c r="Z419" i="1"/>
  <c r="Z421" i="1"/>
  <c r="Z425" i="1"/>
  <c r="Z427" i="1"/>
  <c r="Z429" i="1"/>
  <c r="Z433" i="1"/>
  <c r="Z444" i="1"/>
  <c r="X444" i="1" a="1"/>
  <c r="X444" i="1" s="1"/>
  <c r="Z452" i="1"/>
  <c r="X452" i="1" a="1"/>
  <c r="X452" i="1" s="1"/>
  <c r="Z465" i="1"/>
  <c r="X465" i="1" a="1"/>
  <c r="X465" i="1" s="1"/>
  <c r="Z475" i="1"/>
  <c r="X475" i="1" a="1"/>
  <c r="X475" i="1" s="1"/>
  <c r="X486" i="1" a="1"/>
  <c r="X486" i="1" s="1"/>
  <c r="Z486" i="1"/>
  <c r="W493" i="1"/>
  <c r="V493" i="1"/>
  <c r="U493" i="1"/>
  <c r="T501" i="1"/>
  <c r="Z508" i="1"/>
  <c r="X508" i="1" a="1"/>
  <c r="X508" i="1" s="1"/>
  <c r="Z521" i="1"/>
  <c r="X521" i="1" a="1"/>
  <c r="X521" i="1" s="1"/>
  <c r="Z531" i="1"/>
  <c r="X531" i="1" a="1"/>
  <c r="X531" i="1" s="1"/>
  <c r="Z550" i="1"/>
  <c r="X550" i="1" a="1"/>
  <c r="X550" i="1" s="1"/>
  <c r="Z566" i="1"/>
  <c r="X566" i="1" a="1"/>
  <c r="X566" i="1" s="1"/>
  <c r="V629" i="1"/>
  <c r="W629" i="1"/>
  <c r="U629" i="1"/>
  <c r="X629" i="1" a="1"/>
  <c r="X629" i="1" s="1"/>
  <c r="Z629" i="1"/>
  <c r="W418" i="1"/>
  <c r="U420" i="1"/>
  <c r="W426" i="1"/>
  <c r="U428" i="1"/>
  <c r="W434" i="1"/>
  <c r="U436" i="1"/>
  <c r="W442" i="1"/>
  <c r="V443" i="1"/>
  <c r="U444" i="1"/>
  <c r="W450" i="1"/>
  <c r="V451" i="1"/>
  <c r="U452" i="1"/>
  <c r="W458" i="1"/>
  <c r="V459" i="1"/>
  <c r="U460" i="1"/>
  <c r="W466" i="1"/>
  <c r="V467" i="1"/>
  <c r="U468" i="1"/>
  <c r="W474" i="1"/>
  <c r="V475" i="1"/>
  <c r="U476" i="1"/>
  <c r="W482" i="1"/>
  <c r="V483" i="1"/>
  <c r="U484" i="1"/>
  <c r="W490" i="1"/>
  <c r="V491" i="1"/>
  <c r="U492" i="1"/>
  <c r="W498" i="1"/>
  <c r="V499" i="1"/>
  <c r="U500" i="1"/>
  <c r="W506" i="1"/>
  <c r="V507" i="1"/>
  <c r="U508" i="1"/>
  <c r="W514" i="1"/>
  <c r="V515" i="1"/>
  <c r="U516" i="1"/>
  <c r="V523" i="1"/>
  <c r="U524" i="1"/>
  <c r="V531" i="1"/>
  <c r="U532" i="1"/>
  <c r="W545" i="1"/>
  <c r="W553" i="1"/>
  <c r="W561" i="1"/>
  <c r="W569" i="1"/>
  <c r="W577" i="1"/>
  <c r="X590" i="1" a="1"/>
  <c r="X590" i="1" s="1"/>
  <c r="Z590" i="1"/>
  <c r="X594" i="1" a="1"/>
  <c r="X594" i="1" s="1"/>
  <c r="X596" i="1" a="1"/>
  <c r="X596" i="1" s="1"/>
  <c r="T599" i="1"/>
  <c r="W607" i="1"/>
  <c r="V607" i="1"/>
  <c r="U609" i="1"/>
  <c r="W609" i="1"/>
  <c r="V609" i="1"/>
  <c r="X613" i="1" a="1"/>
  <c r="X613" i="1" s="1"/>
  <c r="Z613" i="1"/>
  <c r="Z624" i="1"/>
  <c r="X624" i="1" a="1"/>
  <c r="X624" i="1" s="1"/>
  <c r="Z640" i="1"/>
  <c r="X640" i="1" a="1"/>
  <c r="X640" i="1" s="1"/>
  <c r="T654" i="1"/>
  <c r="X680" i="1" a="1"/>
  <c r="X680" i="1" s="1"/>
  <c r="Z680" i="1"/>
  <c r="V420" i="1"/>
  <c r="V428" i="1"/>
  <c r="V436" i="1"/>
  <c r="X442" i="1" a="1"/>
  <c r="X442" i="1" s="1"/>
  <c r="V444" i="1"/>
  <c r="X450" i="1" a="1"/>
  <c r="X450" i="1" s="1"/>
  <c r="V452" i="1"/>
  <c r="X458" i="1" a="1"/>
  <c r="X458" i="1" s="1"/>
  <c r="V460" i="1"/>
  <c r="X466" i="1" a="1"/>
  <c r="X466" i="1" s="1"/>
  <c r="V468" i="1"/>
  <c r="X474" i="1" a="1"/>
  <c r="X474" i="1" s="1"/>
  <c r="V476" i="1"/>
  <c r="X482" i="1" a="1"/>
  <c r="X482" i="1" s="1"/>
  <c r="V484" i="1"/>
  <c r="X490" i="1" a="1"/>
  <c r="X490" i="1" s="1"/>
  <c r="V492" i="1"/>
  <c r="X498" i="1" a="1"/>
  <c r="X498" i="1" s="1"/>
  <c r="V500" i="1"/>
  <c r="X506" i="1" a="1"/>
  <c r="X506" i="1" s="1"/>
  <c r="V508" i="1"/>
  <c r="X514" i="1" a="1"/>
  <c r="X514" i="1" s="1"/>
  <c r="V516" i="1"/>
  <c r="V524" i="1"/>
  <c r="V532" i="1"/>
  <c r="U579" i="1"/>
  <c r="Z587" i="1"/>
  <c r="X587" i="1" a="1"/>
  <c r="X587" i="1" s="1"/>
  <c r="Z595" i="1"/>
  <c r="X595" i="1" a="1"/>
  <c r="X595" i="1" s="1"/>
  <c r="W599" i="1"/>
  <c r="V599" i="1"/>
  <c r="U601" i="1"/>
  <c r="W601" i="1"/>
  <c r="V601" i="1"/>
  <c r="X605" i="1" a="1"/>
  <c r="X605" i="1" s="1"/>
  <c r="Z605" i="1"/>
  <c r="U607" i="1"/>
  <c r="X630" i="1" a="1"/>
  <c r="X630" i="1" s="1"/>
  <c r="Z630" i="1"/>
  <c r="Z644" i="1"/>
  <c r="X644" i="1" a="1"/>
  <c r="X644" i="1" s="1"/>
  <c r="U654" i="1"/>
  <c r="W654" i="1"/>
  <c r="V654" i="1"/>
  <c r="Z682" i="1"/>
  <c r="X682" i="1" a="1"/>
  <c r="X682" i="1" s="1"/>
  <c r="T539" i="1"/>
  <c r="T547" i="1"/>
  <c r="T555" i="1"/>
  <c r="T563" i="1"/>
  <c r="T571" i="1"/>
  <c r="T575" i="1"/>
  <c r="T591" i="1"/>
  <c r="X597" i="1" a="1"/>
  <c r="X597" i="1" s="1"/>
  <c r="Z597" i="1"/>
  <c r="Z634" i="1"/>
  <c r="X634" i="1" a="1"/>
  <c r="X634" i="1" s="1"/>
  <c r="V637" i="1"/>
  <c r="W637" i="1"/>
  <c r="U637" i="1"/>
  <c r="X637" i="1" a="1"/>
  <c r="X637" i="1" s="1"/>
  <c r="Z637" i="1"/>
  <c r="T646" i="1"/>
  <c r="Z718" i="1"/>
  <c r="X718" i="1" a="1"/>
  <c r="X718" i="1" s="1"/>
  <c r="Z731" i="1"/>
  <c r="X731" i="1" a="1"/>
  <c r="X731" i="1" s="1"/>
  <c r="Z743" i="1"/>
  <c r="X743" i="1" a="1"/>
  <c r="X743" i="1" s="1"/>
  <c r="Z748" i="1"/>
  <c r="X748" i="1" a="1"/>
  <c r="X748" i="1" s="1"/>
  <c r="Z750" i="1"/>
  <c r="X750" i="1" a="1"/>
  <c r="X750" i="1" s="1"/>
  <c r="Z763" i="1"/>
  <c r="X763" i="1" a="1"/>
  <c r="X763" i="1" s="1"/>
  <c r="Z775" i="1"/>
  <c r="X775" i="1" a="1"/>
  <c r="X775" i="1" s="1"/>
  <c r="Z780" i="1"/>
  <c r="X780" i="1" a="1"/>
  <c r="X780" i="1" s="1"/>
  <c r="Z782" i="1"/>
  <c r="X782" i="1" a="1"/>
  <c r="X782" i="1" s="1"/>
  <c r="Z795" i="1"/>
  <c r="X795" i="1" a="1"/>
  <c r="X795" i="1" s="1"/>
  <c r="Z819" i="1"/>
  <c r="X819" i="1" a="1"/>
  <c r="X819" i="1" s="1"/>
  <c r="W591" i="1"/>
  <c r="V591" i="1"/>
  <c r="U593" i="1"/>
  <c r="W593" i="1"/>
  <c r="V593" i="1"/>
  <c r="Z616" i="1"/>
  <c r="X616" i="1" a="1"/>
  <c r="X616" i="1" s="1"/>
  <c r="X622" i="1" a="1"/>
  <c r="X622" i="1" s="1"/>
  <c r="Z622" i="1"/>
  <c r="Z628" i="1"/>
  <c r="X628" i="1" a="1"/>
  <c r="X628" i="1" s="1"/>
  <c r="U646" i="1"/>
  <c r="W646" i="1"/>
  <c r="V646" i="1"/>
  <c r="Z668" i="1"/>
  <c r="X668" i="1" a="1"/>
  <c r="X668" i="1" s="1"/>
  <c r="V694" i="1"/>
  <c r="U694" i="1"/>
  <c r="W694" i="1"/>
  <c r="X694" i="1" a="1"/>
  <c r="X694" i="1" s="1"/>
  <c r="Z694" i="1"/>
  <c r="U539" i="1"/>
  <c r="U547" i="1"/>
  <c r="U555" i="1"/>
  <c r="U563" i="1"/>
  <c r="U571" i="1"/>
  <c r="U575" i="1"/>
  <c r="U581" i="1"/>
  <c r="T583" i="1"/>
  <c r="W587" i="1"/>
  <c r="X589" i="1" a="1"/>
  <c r="X589" i="1" s="1"/>
  <c r="Z589" i="1"/>
  <c r="U591" i="1"/>
  <c r="X614" i="1" a="1"/>
  <c r="X614" i="1" s="1"/>
  <c r="Z614" i="1"/>
  <c r="X638" i="1" a="1"/>
  <c r="X638" i="1" s="1"/>
  <c r="Z638" i="1"/>
  <c r="X650" i="1" a="1"/>
  <c r="X650" i="1" s="1"/>
  <c r="Z702" i="1"/>
  <c r="X702" i="1" a="1"/>
  <c r="X702" i="1" s="1"/>
  <c r="U449" i="1"/>
  <c r="U457" i="1"/>
  <c r="U465" i="1"/>
  <c r="U481" i="1"/>
  <c r="U489" i="1"/>
  <c r="U497" i="1"/>
  <c r="U505" i="1"/>
  <c r="U513" i="1"/>
  <c r="U521" i="1"/>
  <c r="U529" i="1"/>
  <c r="U537" i="1"/>
  <c r="V539" i="1"/>
  <c r="V547" i="1"/>
  <c r="V555" i="1"/>
  <c r="V563" i="1"/>
  <c r="V571" i="1"/>
  <c r="W575" i="1"/>
  <c r="W581" i="1"/>
  <c r="Z593" i="1"/>
  <c r="X606" i="1" a="1"/>
  <c r="X606" i="1" s="1"/>
  <c r="Z606" i="1"/>
  <c r="X610" i="1" a="1"/>
  <c r="X610" i="1" s="1"/>
  <c r="Z619" i="1"/>
  <c r="X619" i="1" a="1"/>
  <c r="X619" i="1" s="1"/>
  <c r="Z632" i="1"/>
  <c r="X632" i="1" a="1"/>
  <c r="X632" i="1" s="1"/>
  <c r="X641" i="1" a="1"/>
  <c r="X641" i="1" s="1"/>
  <c r="Z642" i="1"/>
  <c r="X642" i="1" a="1"/>
  <c r="X642" i="1" s="1"/>
  <c r="X671" i="1" a="1"/>
  <c r="X671" i="1" s="1"/>
  <c r="Z671" i="1"/>
  <c r="X540" i="1" a="1"/>
  <c r="X540" i="1" s="1"/>
  <c r="T543" i="1"/>
  <c r="X548" i="1" a="1"/>
  <c r="X548" i="1" s="1"/>
  <c r="T551" i="1"/>
  <c r="X556" i="1" a="1"/>
  <c r="X556" i="1" s="1"/>
  <c r="T559" i="1"/>
  <c r="X564" i="1" a="1"/>
  <c r="X564" i="1" s="1"/>
  <c r="T567" i="1"/>
  <c r="X572" i="1" a="1"/>
  <c r="X572" i="1" s="1"/>
  <c r="U583" i="1"/>
  <c r="X584" i="1" a="1"/>
  <c r="X584" i="1" s="1"/>
  <c r="X598" i="1" a="1"/>
  <c r="X598" i="1" s="1"/>
  <c r="Z598" i="1"/>
  <c r="X602" i="1" a="1"/>
  <c r="X602" i="1" s="1"/>
  <c r="Z611" i="1"/>
  <c r="X611" i="1" a="1"/>
  <c r="X611" i="1" s="1"/>
  <c r="T615" i="1"/>
  <c r="X625" i="1" a="1"/>
  <c r="X625" i="1" s="1"/>
  <c r="Z626" i="1"/>
  <c r="X626" i="1" a="1"/>
  <c r="X626" i="1" s="1"/>
  <c r="Z636" i="1"/>
  <c r="X636" i="1" a="1"/>
  <c r="X636" i="1" s="1"/>
  <c r="T662" i="1"/>
  <c r="U578" i="1"/>
  <c r="U586" i="1"/>
  <c r="U594" i="1"/>
  <c r="U602" i="1"/>
  <c r="U610" i="1"/>
  <c r="U618" i="1"/>
  <c r="T623" i="1"/>
  <c r="V626" i="1"/>
  <c r="W627" i="1"/>
  <c r="T631" i="1"/>
  <c r="V634" i="1"/>
  <c r="W635" i="1"/>
  <c r="T639" i="1"/>
  <c r="V642" i="1"/>
  <c r="W643" i="1"/>
  <c r="X645" i="1" a="1"/>
  <c r="X645" i="1" s="1"/>
  <c r="V651" i="1"/>
  <c r="X653" i="1" a="1"/>
  <c r="X653" i="1" s="1"/>
  <c r="Z655" i="1"/>
  <c r="V659" i="1"/>
  <c r="X661" i="1" a="1"/>
  <c r="X661" i="1" s="1"/>
  <c r="Z663" i="1"/>
  <c r="V666" i="1"/>
  <c r="W667" i="1"/>
  <c r="X672" i="1" a="1"/>
  <c r="X672" i="1" s="1"/>
  <c r="Z672" i="1"/>
  <c r="V679" i="1"/>
  <c r="X689" i="1" a="1"/>
  <c r="X689" i="1" s="1"/>
  <c r="X704" i="1" a="1"/>
  <c r="X704" i="1" s="1"/>
  <c r="Z704" i="1"/>
  <c r="W706" i="1"/>
  <c r="V706" i="1"/>
  <c r="U706" i="1"/>
  <c r="X720" i="1" a="1"/>
  <c r="X720" i="1" s="1"/>
  <c r="Z720" i="1"/>
  <c r="X722" i="1" a="1"/>
  <c r="X722" i="1" s="1"/>
  <c r="Z722" i="1"/>
  <c r="X752" i="1" a="1"/>
  <c r="X752" i="1" s="1"/>
  <c r="Z752" i="1"/>
  <c r="X754" i="1" a="1"/>
  <c r="X754" i="1" s="1"/>
  <c r="Z754" i="1"/>
  <c r="X784" i="1" a="1"/>
  <c r="X784" i="1" s="1"/>
  <c r="Z784" i="1"/>
  <c r="X786" i="1" a="1"/>
  <c r="X786" i="1" s="1"/>
  <c r="Z786" i="1"/>
  <c r="Z811" i="1"/>
  <c r="X811" i="1" a="1"/>
  <c r="X811" i="1" s="1"/>
  <c r="Z822" i="1"/>
  <c r="X822" i="1" a="1"/>
  <c r="X822" i="1" s="1"/>
  <c r="X832" i="1" a="1"/>
  <c r="X832" i="1" s="1"/>
  <c r="Z832" i="1"/>
  <c r="X834" i="1" a="1"/>
  <c r="X834" i="1" s="1"/>
  <c r="Z834" i="1"/>
  <c r="Z839" i="1"/>
  <c r="X839" i="1" a="1"/>
  <c r="X839" i="1" s="1"/>
  <c r="U595" i="1"/>
  <c r="U603" i="1"/>
  <c r="U611" i="1"/>
  <c r="U619" i="1"/>
  <c r="U625" i="1"/>
  <c r="U633" i="1"/>
  <c r="W634" i="1"/>
  <c r="U641" i="1"/>
  <c r="W642" i="1"/>
  <c r="T647" i="1"/>
  <c r="V650" i="1"/>
  <c r="W651" i="1"/>
  <c r="X652" i="1" a="1"/>
  <c r="X652" i="1" s="1"/>
  <c r="V658" i="1"/>
  <c r="W659" i="1"/>
  <c r="Z674" i="1"/>
  <c r="V678" i="1"/>
  <c r="U678" i="1"/>
  <c r="W679" i="1"/>
  <c r="Z684" i="1"/>
  <c r="X684" i="1" a="1"/>
  <c r="X684" i="1" s="1"/>
  <c r="Z686" i="1"/>
  <c r="T687" i="1"/>
  <c r="X696" i="1" a="1"/>
  <c r="X696" i="1" s="1"/>
  <c r="Z696" i="1"/>
  <c r="Z711" i="1"/>
  <c r="X711" i="1" a="1"/>
  <c r="X711" i="1" s="1"/>
  <c r="X713" i="1" a="1"/>
  <c r="X713" i="1" s="1"/>
  <c r="Z713" i="1"/>
  <c r="Z723" i="1"/>
  <c r="X723" i="1" a="1"/>
  <c r="X723" i="1" s="1"/>
  <c r="Z735" i="1"/>
  <c r="X735" i="1" a="1"/>
  <c r="X735" i="1" s="1"/>
  <c r="Z740" i="1"/>
  <c r="X740" i="1" a="1"/>
  <c r="X740" i="1" s="1"/>
  <c r="Z742" i="1"/>
  <c r="X742" i="1" a="1"/>
  <c r="X742" i="1" s="1"/>
  <c r="Z755" i="1"/>
  <c r="X755" i="1" a="1"/>
  <c r="X755" i="1" s="1"/>
  <c r="Z767" i="1"/>
  <c r="X767" i="1" a="1"/>
  <c r="X767" i="1" s="1"/>
  <c r="Z772" i="1"/>
  <c r="X772" i="1" a="1"/>
  <c r="X772" i="1" s="1"/>
  <c r="Z774" i="1"/>
  <c r="X774" i="1" a="1"/>
  <c r="X774" i="1" s="1"/>
  <c r="Z787" i="1"/>
  <c r="X787" i="1" a="1"/>
  <c r="X787" i="1" s="1"/>
  <c r="Z799" i="1"/>
  <c r="X799" i="1" a="1"/>
  <c r="X799" i="1" s="1"/>
  <c r="Z804" i="1"/>
  <c r="X804" i="1" a="1"/>
  <c r="X804" i="1" s="1"/>
  <c r="Z835" i="1"/>
  <c r="X835" i="1" a="1"/>
  <c r="X835" i="1" s="1"/>
  <c r="U623" i="1"/>
  <c r="W625" i="1"/>
  <c r="U631" i="1"/>
  <c r="W633" i="1"/>
  <c r="U639" i="1"/>
  <c r="W641" i="1"/>
  <c r="W650" i="1"/>
  <c r="W658" i="1"/>
  <c r="X666" i="1" a="1"/>
  <c r="X666" i="1" s="1"/>
  <c r="V690" i="1"/>
  <c r="U690" i="1"/>
  <c r="Z692" i="1"/>
  <c r="X692" i="1" a="1"/>
  <c r="X692" i="1" s="1"/>
  <c r="X697" i="1" a="1"/>
  <c r="X697" i="1" s="1"/>
  <c r="Z700" i="1"/>
  <c r="X700" i="1" a="1"/>
  <c r="X700" i="1" s="1"/>
  <c r="Z707" i="1"/>
  <c r="X707" i="1" a="1"/>
  <c r="X707" i="1" s="1"/>
  <c r="Z716" i="1"/>
  <c r="X716" i="1" a="1"/>
  <c r="X716" i="1" s="1"/>
  <c r="X728" i="1" a="1"/>
  <c r="X728" i="1" s="1"/>
  <c r="Z728" i="1"/>
  <c r="X730" i="1" a="1"/>
  <c r="X730" i="1" s="1"/>
  <c r="Z730" i="1"/>
  <c r="X760" i="1" a="1"/>
  <c r="X760" i="1" s="1"/>
  <c r="Z760" i="1"/>
  <c r="X762" i="1" a="1"/>
  <c r="X762" i="1" s="1"/>
  <c r="Z762" i="1"/>
  <c r="X792" i="1" a="1"/>
  <c r="X792" i="1" s="1"/>
  <c r="Z792" i="1"/>
  <c r="X794" i="1" a="1"/>
  <c r="X794" i="1" s="1"/>
  <c r="Z794" i="1"/>
  <c r="Z806" i="1"/>
  <c r="X806" i="1" a="1"/>
  <c r="X806" i="1" s="1"/>
  <c r="X816" i="1" a="1"/>
  <c r="X816" i="1" s="1"/>
  <c r="Z816" i="1"/>
  <c r="X818" i="1" a="1"/>
  <c r="X818" i="1" s="1"/>
  <c r="Z818" i="1"/>
  <c r="Z823" i="1"/>
  <c r="X823" i="1" a="1"/>
  <c r="X823" i="1" s="1"/>
  <c r="Z828" i="1"/>
  <c r="X828" i="1" a="1"/>
  <c r="X828" i="1" s="1"/>
  <c r="Z847" i="1"/>
  <c r="X847" i="1" a="1"/>
  <c r="X847" i="1" s="1"/>
  <c r="Z830" i="1"/>
  <c r="X830" i="1" a="1"/>
  <c r="X830" i="1" s="1"/>
  <c r="X840" i="1" a="1"/>
  <c r="X840" i="1" s="1"/>
  <c r="Z840" i="1"/>
  <c r="Z842" i="1"/>
  <c r="X842" i="1" a="1"/>
  <c r="X842" i="1" s="1"/>
  <c r="Z850" i="1"/>
  <c r="X850" i="1" a="1"/>
  <c r="X850" i="1" s="1"/>
  <c r="U574" i="1"/>
  <c r="U582" i="1"/>
  <c r="U590" i="1"/>
  <c r="U598" i="1"/>
  <c r="U606" i="1"/>
  <c r="U614" i="1"/>
  <c r="V622" i="1"/>
  <c r="T627" i="1"/>
  <c r="V630" i="1"/>
  <c r="T635" i="1"/>
  <c r="V638" i="1"/>
  <c r="T643" i="1"/>
  <c r="Z651" i="1"/>
  <c r="X657" i="1" a="1"/>
  <c r="X657" i="1" s="1"/>
  <c r="Z659" i="1"/>
  <c r="X665" i="1" a="1"/>
  <c r="X665" i="1" s="1"/>
  <c r="T667" i="1"/>
  <c r="X669" i="1" a="1"/>
  <c r="X669" i="1" s="1"/>
  <c r="V674" i="1"/>
  <c r="U674" i="1"/>
  <c r="W675" i="1"/>
  <c r="X678" i="1" a="1"/>
  <c r="X678" i="1" s="1"/>
  <c r="T683" i="1"/>
  <c r="V686" i="1"/>
  <c r="U686" i="1"/>
  <c r="W687" i="1"/>
  <c r="X690" i="1" a="1"/>
  <c r="X690" i="1" s="1"/>
  <c r="X712" i="1" a="1"/>
  <c r="X712" i="1" s="1"/>
  <c r="Z712" i="1"/>
  <c r="W714" i="1"/>
  <c r="V714" i="1"/>
  <c r="U714" i="1"/>
  <c r="X736" i="1" a="1"/>
  <c r="X736" i="1" s="1"/>
  <c r="Z736" i="1"/>
  <c r="X738" i="1" a="1"/>
  <c r="X738" i="1" s="1"/>
  <c r="Z738" i="1"/>
  <c r="X768" i="1" a="1"/>
  <c r="X768" i="1" s="1"/>
  <c r="Z768" i="1"/>
  <c r="X770" i="1" a="1"/>
  <c r="X770" i="1" s="1"/>
  <c r="Z770" i="1"/>
  <c r="X800" i="1" a="1"/>
  <c r="X800" i="1" s="1"/>
  <c r="Z800" i="1"/>
  <c r="X802" i="1" a="1"/>
  <c r="X802" i="1" s="1"/>
  <c r="Z802" i="1"/>
  <c r="Z807" i="1"/>
  <c r="X807" i="1" a="1"/>
  <c r="X807" i="1" s="1"/>
  <c r="Z812" i="1"/>
  <c r="X812" i="1" a="1"/>
  <c r="X812" i="1" s="1"/>
  <c r="Z703" i="1"/>
  <c r="X703" i="1" a="1"/>
  <c r="X703" i="1" s="1"/>
  <c r="X705" i="1" a="1"/>
  <c r="X705" i="1" s="1"/>
  <c r="Z705" i="1"/>
  <c r="Z719" i="1"/>
  <c r="X719" i="1" a="1"/>
  <c r="X719" i="1" s="1"/>
  <c r="Z724" i="1"/>
  <c r="X724" i="1" a="1"/>
  <c r="X724" i="1" s="1"/>
  <c r="Z726" i="1"/>
  <c r="X726" i="1" a="1"/>
  <c r="X726" i="1" s="1"/>
  <c r="Z739" i="1"/>
  <c r="X739" i="1" a="1"/>
  <c r="X739" i="1" s="1"/>
  <c r="Z751" i="1"/>
  <c r="X751" i="1" a="1"/>
  <c r="X751" i="1" s="1"/>
  <c r="Z756" i="1"/>
  <c r="X756" i="1" a="1"/>
  <c r="X756" i="1" s="1"/>
  <c r="Z758" i="1"/>
  <c r="X758" i="1" a="1"/>
  <c r="X758" i="1" s="1"/>
  <c r="Z771" i="1"/>
  <c r="X771" i="1" a="1"/>
  <c r="X771" i="1" s="1"/>
  <c r="Z783" i="1"/>
  <c r="X783" i="1" a="1"/>
  <c r="X783" i="1" s="1"/>
  <c r="Z788" i="1"/>
  <c r="X788" i="1" a="1"/>
  <c r="X788" i="1" s="1"/>
  <c r="Z790" i="1"/>
  <c r="X790" i="1" a="1"/>
  <c r="X790" i="1" s="1"/>
  <c r="Z803" i="1"/>
  <c r="X803" i="1" a="1"/>
  <c r="X803" i="1" s="1"/>
  <c r="Z814" i="1"/>
  <c r="X814" i="1" a="1"/>
  <c r="X814" i="1" s="1"/>
  <c r="X824" i="1" a="1"/>
  <c r="X824" i="1" s="1"/>
  <c r="Z824" i="1"/>
  <c r="X826" i="1" a="1"/>
  <c r="X826" i="1" s="1"/>
  <c r="Z826" i="1"/>
  <c r="Z831" i="1"/>
  <c r="X831" i="1" a="1"/>
  <c r="X831" i="1" s="1"/>
  <c r="Z836" i="1"/>
  <c r="X836" i="1" a="1"/>
  <c r="X836" i="1" s="1"/>
  <c r="X843" i="1" a="1"/>
  <c r="X843" i="1" s="1"/>
  <c r="Z843" i="1"/>
  <c r="Z864" i="1"/>
  <c r="X864" i="1" a="1"/>
  <c r="X864" i="1" s="1"/>
  <c r="U627" i="1"/>
  <c r="U635" i="1"/>
  <c r="U643" i="1"/>
  <c r="U667" i="1"/>
  <c r="V670" i="1"/>
  <c r="U670" i="1"/>
  <c r="Z675" i="1"/>
  <c r="Z676" i="1"/>
  <c r="X676" i="1" a="1"/>
  <c r="X676" i="1" s="1"/>
  <c r="T679" i="1"/>
  <c r="V683" i="1"/>
  <c r="X688" i="1" a="1"/>
  <c r="X688" i="1" s="1"/>
  <c r="Z688" i="1"/>
  <c r="Z691" i="1"/>
  <c r="X691" i="1" a="1"/>
  <c r="X691" i="1" s="1"/>
  <c r="Z695" i="1"/>
  <c r="X695" i="1" a="1"/>
  <c r="X695" i="1" s="1"/>
  <c r="Z699" i="1"/>
  <c r="X699" i="1" a="1"/>
  <c r="X699" i="1" s="1"/>
  <c r="Z708" i="1"/>
  <c r="X708" i="1" a="1"/>
  <c r="X708" i="1" s="1"/>
  <c r="Z715" i="1"/>
  <c r="X715" i="1" a="1"/>
  <c r="X715" i="1" s="1"/>
  <c r="X744" i="1" a="1"/>
  <c r="X744" i="1" s="1"/>
  <c r="Z744" i="1"/>
  <c r="X746" i="1" a="1"/>
  <c r="X746" i="1" s="1"/>
  <c r="Z746" i="1"/>
  <c r="X776" i="1" a="1"/>
  <c r="X776" i="1" s="1"/>
  <c r="Z776" i="1"/>
  <c r="X778" i="1" a="1"/>
  <c r="X778" i="1" s="1"/>
  <c r="Z778" i="1"/>
  <c r="Z827" i="1"/>
  <c r="X827" i="1" a="1"/>
  <c r="X827" i="1" s="1"/>
  <c r="Z838" i="1"/>
  <c r="X838" i="1" a="1"/>
  <c r="X838" i="1" s="1"/>
  <c r="Z846" i="1"/>
  <c r="X846" i="1" a="1"/>
  <c r="X846" i="1" s="1"/>
  <c r="X677" i="1" a="1"/>
  <c r="X677" i="1" s="1"/>
  <c r="V682" i="1"/>
  <c r="U682" i="1"/>
  <c r="W683" i="1"/>
  <c r="Z710" i="1"/>
  <c r="X710" i="1" a="1"/>
  <c r="X710" i="1" s="1"/>
  <c r="Z727" i="1"/>
  <c r="X727" i="1" a="1"/>
  <c r="X727" i="1" s="1"/>
  <c r="Z732" i="1"/>
  <c r="X732" i="1" a="1"/>
  <c r="X732" i="1" s="1"/>
  <c r="Z734" i="1"/>
  <c r="X734" i="1" a="1"/>
  <c r="X734" i="1" s="1"/>
  <c r="Z747" i="1"/>
  <c r="X747" i="1" a="1"/>
  <c r="X747" i="1" s="1"/>
  <c r="Z759" i="1"/>
  <c r="X759" i="1" a="1"/>
  <c r="X759" i="1" s="1"/>
  <c r="Z764" i="1"/>
  <c r="X764" i="1" a="1"/>
  <c r="X764" i="1" s="1"/>
  <c r="Z766" i="1"/>
  <c r="X766" i="1" a="1"/>
  <c r="X766" i="1" s="1"/>
  <c r="Z779" i="1"/>
  <c r="X779" i="1" a="1"/>
  <c r="X779" i="1" s="1"/>
  <c r="Z791" i="1"/>
  <c r="X791" i="1" a="1"/>
  <c r="X791" i="1" s="1"/>
  <c r="Z796" i="1"/>
  <c r="X796" i="1" a="1"/>
  <c r="X796" i="1" s="1"/>
  <c r="Z798" i="1"/>
  <c r="X798" i="1" a="1"/>
  <c r="X798" i="1" s="1"/>
  <c r="X808" i="1" a="1"/>
  <c r="X808" i="1" s="1"/>
  <c r="Z808" i="1"/>
  <c r="X810" i="1" a="1"/>
  <c r="X810" i="1" s="1"/>
  <c r="Z810" i="1"/>
  <c r="Z815" i="1"/>
  <c r="X815" i="1" a="1"/>
  <c r="X815" i="1" s="1"/>
  <c r="Z820" i="1"/>
  <c r="X820" i="1" a="1"/>
  <c r="X820" i="1" s="1"/>
  <c r="X851" i="1" a="1"/>
  <c r="X851" i="1" s="1"/>
  <c r="Z851" i="1"/>
  <c r="Z854" i="1"/>
  <c r="X854" i="1" a="1"/>
  <c r="X854" i="1" s="1"/>
  <c r="Z860" i="1"/>
  <c r="X860" i="1" a="1"/>
  <c r="X860" i="1" s="1"/>
  <c r="V669" i="1"/>
  <c r="V677" i="1"/>
  <c r="V685" i="1"/>
  <c r="V693" i="1"/>
  <c r="V701" i="1"/>
  <c r="U702" i="1"/>
  <c r="V709" i="1"/>
  <c r="U710" i="1"/>
  <c r="V717" i="1"/>
  <c r="U718" i="1"/>
  <c r="V725" i="1"/>
  <c r="U726" i="1"/>
  <c r="V733" i="1"/>
  <c r="U734" i="1"/>
  <c r="V741" i="1"/>
  <c r="U742" i="1"/>
  <c r="V749" i="1"/>
  <c r="U750" i="1"/>
  <c r="V757" i="1"/>
  <c r="U758" i="1"/>
  <c r="V765" i="1"/>
  <c r="U766" i="1"/>
  <c r="V773" i="1"/>
  <c r="U774" i="1"/>
  <c r="V781" i="1"/>
  <c r="U782" i="1"/>
  <c r="V789" i="1"/>
  <c r="U790" i="1"/>
  <c r="V797" i="1"/>
  <c r="U798" i="1"/>
  <c r="V805" i="1"/>
  <c r="U806" i="1"/>
  <c r="V813" i="1"/>
  <c r="U814" i="1"/>
  <c r="V821" i="1"/>
  <c r="U822" i="1"/>
  <c r="V829" i="1"/>
  <c r="U830" i="1"/>
  <c r="V837" i="1"/>
  <c r="U838" i="1"/>
  <c r="U847" i="1"/>
  <c r="W848" i="1"/>
  <c r="X859" i="1" a="1"/>
  <c r="X859" i="1" s="1"/>
  <c r="V873" i="1"/>
  <c r="W880" i="1"/>
  <c r="V880" i="1"/>
  <c r="U880" i="1"/>
  <c r="Z882" i="1"/>
  <c r="X882" i="1" a="1"/>
  <c r="X882" i="1" s="1"/>
  <c r="V885" i="1"/>
  <c r="U885" i="1"/>
  <c r="V889" i="1"/>
  <c r="U889" i="1"/>
  <c r="X892" i="1" a="1"/>
  <c r="X892" i="1" s="1"/>
  <c r="X905" i="1" a="1"/>
  <c r="X905" i="1" s="1"/>
  <c r="Z905" i="1"/>
  <c r="Z909" i="1"/>
  <c r="X909" i="1" a="1"/>
  <c r="X909" i="1" s="1"/>
  <c r="Z914" i="1"/>
  <c r="X914" i="1" a="1"/>
  <c r="X914" i="1" s="1"/>
  <c r="Z933" i="1"/>
  <c r="X933" i="1" a="1"/>
  <c r="X933" i="1" s="1"/>
  <c r="Z938" i="1"/>
  <c r="X938" i="1" a="1"/>
  <c r="X938" i="1" s="1"/>
  <c r="X976" i="1" a="1"/>
  <c r="X976" i="1" s="1"/>
  <c r="Z976" i="1"/>
  <c r="X1000" i="1" a="1"/>
  <c r="X1000" i="1" s="1"/>
  <c r="Z1000" i="1"/>
  <c r="Z1020" i="1"/>
  <c r="X1020" i="1" a="1"/>
  <c r="X1020" i="1" s="1"/>
  <c r="U695" i="1"/>
  <c r="U703" i="1"/>
  <c r="U711" i="1"/>
  <c r="U719" i="1"/>
  <c r="Z721" i="1"/>
  <c r="U727" i="1"/>
  <c r="Z729" i="1"/>
  <c r="U735" i="1"/>
  <c r="Z737" i="1"/>
  <c r="U743" i="1"/>
  <c r="Z745" i="1"/>
  <c r="U751" i="1"/>
  <c r="Z753" i="1"/>
  <c r="U759" i="1"/>
  <c r="Z761" i="1"/>
  <c r="U767" i="1"/>
  <c r="Z769" i="1"/>
  <c r="U775" i="1"/>
  <c r="Z777" i="1"/>
  <c r="U783" i="1"/>
  <c r="Z785" i="1"/>
  <c r="U791" i="1"/>
  <c r="Z793" i="1"/>
  <c r="U799" i="1"/>
  <c r="Z801" i="1"/>
  <c r="U807" i="1"/>
  <c r="Z809" i="1"/>
  <c r="U815" i="1"/>
  <c r="Z817" i="1"/>
  <c r="U823" i="1"/>
  <c r="Z825" i="1"/>
  <c r="U831" i="1"/>
  <c r="Z833" i="1"/>
  <c r="U839" i="1"/>
  <c r="Z841" i="1"/>
  <c r="W847" i="1"/>
  <c r="X848" i="1" a="1"/>
  <c r="X848" i="1" s="1"/>
  <c r="Z866" i="1"/>
  <c r="X866" i="1" a="1"/>
  <c r="X866" i="1" s="1"/>
  <c r="T869" i="1"/>
  <c r="V872" i="1"/>
  <c r="U872" i="1"/>
  <c r="W873" i="1"/>
  <c r="X876" i="1" a="1"/>
  <c r="X876" i="1" s="1"/>
  <c r="T893" i="1"/>
  <c r="X897" i="1" a="1"/>
  <c r="X897" i="1" s="1"/>
  <c r="Z897" i="1"/>
  <c r="T901" i="1"/>
  <c r="Z958" i="1"/>
  <c r="X958" i="1" a="1"/>
  <c r="X958" i="1" s="1"/>
  <c r="U860" i="1"/>
  <c r="V860" i="1"/>
  <c r="V893" i="1"/>
  <c r="U893" i="1"/>
  <c r="W901" i="1"/>
  <c r="V901" i="1"/>
  <c r="U901" i="1"/>
  <c r="Z910" i="1"/>
  <c r="X910" i="1" a="1"/>
  <c r="X910" i="1" s="1"/>
  <c r="X921" i="1" a="1"/>
  <c r="X921" i="1" s="1"/>
  <c r="Z921" i="1"/>
  <c r="Z925" i="1"/>
  <c r="X925" i="1" a="1"/>
  <c r="X925" i="1" s="1"/>
  <c r="Z930" i="1"/>
  <c r="X930" i="1" a="1"/>
  <c r="X930" i="1" s="1"/>
  <c r="Z934" i="1"/>
  <c r="X934" i="1" a="1"/>
  <c r="X934" i="1" s="1"/>
  <c r="X945" i="1" a="1"/>
  <c r="X945" i="1" s="1"/>
  <c r="Z945" i="1"/>
  <c r="Z949" i="1"/>
  <c r="X949" i="1" a="1"/>
  <c r="X949" i="1" s="1"/>
  <c r="Z954" i="1"/>
  <c r="X954" i="1" a="1"/>
  <c r="X954" i="1" s="1"/>
  <c r="X984" i="1" a="1"/>
  <c r="X984" i="1" s="1"/>
  <c r="Z984" i="1"/>
  <c r="Z996" i="1"/>
  <c r="X996" i="1" a="1"/>
  <c r="X996" i="1" s="1"/>
  <c r="Z1028" i="1"/>
  <c r="X1028" i="1" a="1"/>
  <c r="X1028" i="1" s="1"/>
  <c r="V869" i="1"/>
  <c r="Z873" i="1"/>
  <c r="Z874" i="1"/>
  <c r="X874" i="1" a="1"/>
  <c r="X874" i="1" s="1"/>
  <c r="Z885" i="1"/>
  <c r="Z886" i="1"/>
  <c r="X886" i="1" a="1"/>
  <c r="X886" i="1" s="1"/>
  <c r="Z889" i="1"/>
  <c r="Z890" i="1"/>
  <c r="X890" i="1" a="1"/>
  <c r="X890" i="1" s="1"/>
  <c r="W893" i="1"/>
  <c r="Z906" i="1"/>
  <c r="X906" i="1" a="1"/>
  <c r="X906" i="1" s="1"/>
  <c r="Z972" i="1"/>
  <c r="X972" i="1" a="1"/>
  <c r="X972" i="1" s="1"/>
  <c r="U722" i="1"/>
  <c r="U730" i="1"/>
  <c r="U738" i="1"/>
  <c r="U746" i="1"/>
  <c r="U754" i="1"/>
  <c r="U762" i="1"/>
  <c r="U770" i="1"/>
  <c r="U778" i="1"/>
  <c r="U786" i="1"/>
  <c r="U794" i="1"/>
  <c r="U802" i="1"/>
  <c r="U810" i="1"/>
  <c r="U818" i="1"/>
  <c r="U826" i="1"/>
  <c r="U834" i="1"/>
  <c r="U842" i="1"/>
  <c r="U843" i="1"/>
  <c r="W844" i="1"/>
  <c r="U851" i="1"/>
  <c r="W852" i="1"/>
  <c r="V857" i="1"/>
  <c r="W860" i="1"/>
  <c r="Z861" i="1"/>
  <c r="Z862" i="1"/>
  <c r="X862" i="1" a="1"/>
  <c r="X862" i="1" s="1"/>
  <c r="T865" i="1"/>
  <c r="U868" i="1"/>
  <c r="V868" i="1"/>
  <c r="W869" i="1"/>
  <c r="X872" i="1" a="1"/>
  <c r="X872" i="1" s="1"/>
  <c r="V877" i="1"/>
  <c r="T881" i="1"/>
  <c r="Z898" i="1"/>
  <c r="X898" i="1" a="1"/>
  <c r="X898" i="1" s="1"/>
  <c r="Z902" i="1"/>
  <c r="X902" i="1" a="1"/>
  <c r="X902" i="1" s="1"/>
  <c r="Z926" i="1"/>
  <c r="X926" i="1" a="1"/>
  <c r="X926" i="1" s="1"/>
  <c r="Z950" i="1"/>
  <c r="X950" i="1" a="1"/>
  <c r="X950" i="1" s="1"/>
  <c r="X961" i="1" a="1"/>
  <c r="X961" i="1" s="1"/>
  <c r="Z961" i="1"/>
  <c r="Z965" i="1"/>
  <c r="X965" i="1" a="1"/>
  <c r="X965" i="1" s="1"/>
  <c r="X992" i="1" a="1"/>
  <c r="X992" i="1" s="1"/>
  <c r="Z992" i="1"/>
  <c r="V722" i="1"/>
  <c r="V730" i="1"/>
  <c r="V738" i="1"/>
  <c r="V746" i="1"/>
  <c r="V754" i="1"/>
  <c r="V762" i="1"/>
  <c r="V770" i="1"/>
  <c r="V778" i="1"/>
  <c r="V786" i="1"/>
  <c r="V794" i="1"/>
  <c r="V802" i="1"/>
  <c r="V810" i="1"/>
  <c r="V818" i="1"/>
  <c r="V826" i="1"/>
  <c r="V834" i="1"/>
  <c r="V842" i="1"/>
  <c r="W843" i="1"/>
  <c r="X844" i="1" a="1"/>
  <c r="X844" i="1" s="1"/>
  <c r="W851" i="1"/>
  <c r="X852" i="1" a="1"/>
  <c r="X852" i="1" s="1"/>
  <c r="X879" i="1" a="1"/>
  <c r="X879" i="1" s="1"/>
  <c r="Z879" i="1"/>
  <c r="V881" i="1"/>
  <c r="U881" i="1"/>
  <c r="Z894" i="1"/>
  <c r="X894" i="1" a="1"/>
  <c r="X894" i="1" s="1"/>
  <c r="X913" i="1" a="1"/>
  <c r="X913" i="1" s="1"/>
  <c r="Z913" i="1"/>
  <c r="Z917" i="1"/>
  <c r="X917" i="1" a="1"/>
  <c r="X917" i="1" s="1"/>
  <c r="Z922" i="1"/>
  <c r="X922" i="1" a="1"/>
  <c r="X922" i="1" s="1"/>
  <c r="X937" i="1" a="1"/>
  <c r="X937" i="1" s="1"/>
  <c r="Z937" i="1"/>
  <c r="Z941" i="1"/>
  <c r="X941" i="1" a="1"/>
  <c r="X941" i="1" s="1"/>
  <c r="Z946" i="1"/>
  <c r="X946" i="1" a="1"/>
  <c r="X946" i="1" s="1"/>
  <c r="Z980" i="1"/>
  <c r="X980" i="1" a="1"/>
  <c r="X980" i="1" s="1"/>
  <c r="X1008" i="1" a="1"/>
  <c r="X1008" i="1" s="1"/>
  <c r="Z1008" i="1"/>
  <c r="X1016" i="1" a="1"/>
  <c r="X1016" i="1" s="1"/>
  <c r="Z1016" i="1"/>
  <c r="Z1031" i="1"/>
  <c r="X1031" i="1" a="1"/>
  <c r="X1031" i="1" s="1"/>
  <c r="Z853" i="1"/>
  <c r="Z870" i="1"/>
  <c r="X870" i="1" a="1"/>
  <c r="X870" i="1" s="1"/>
  <c r="X888" i="1" a="1"/>
  <c r="X888" i="1" s="1"/>
  <c r="Z908" i="1"/>
  <c r="X908" i="1" a="1"/>
  <c r="X908" i="1" s="1"/>
  <c r="Z966" i="1"/>
  <c r="X966" i="1" a="1"/>
  <c r="X966" i="1" s="1"/>
  <c r="X1024" i="1" a="1"/>
  <c r="X1024" i="1" s="1"/>
  <c r="Z1024" i="1"/>
  <c r="Z857" i="1"/>
  <c r="Z858" i="1"/>
  <c r="X858" i="1" a="1"/>
  <c r="X858" i="1" s="1"/>
  <c r="V864" i="1"/>
  <c r="U864" i="1"/>
  <c r="W865" i="1"/>
  <c r="Z877" i="1"/>
  <c r="Z878" i="1"/>
  <c r="X878" i="1" a="1"/>
  <c r="X878" i="1" s="1"/>
  <c r="Z900" i="1"/>
  <c r="X900" i="1" a="1"/>
  <c r="X900" i="1" s="1"/>
  <c r="Z918" i="1"/>
  <c r="X918" i="1" a="1"/>
  <c r="X918" i="1" s="1"/>
  <c r="X929" i="1" a="1"/>
  <c r="X929" i="1" s="1"/>
  <c r="Z929" i="1"/>
  <c r="Z942" i="1"/>
  <c r="X942" i="1" a="1"/>
  <c r="X942" i="1" s="1"/>
  <c r="X953" i="1" a="1"/>
  <c r="X953" i="1" s="1"/>
  <c r="Z953" i="1"/>
  <c r="Z957" i="1"/>
  <c r="X957" i="1" a="1"/>
  <c r="X957" i="1" s="1"/>
  <c r="Z962" i="1"/>
  <c r="X962" i="1" a="1"/>
  <c r="X962" i="1" s="1"/>
  <c r="Z988" i="1"/>
  <c r="X988" i="1" a="1"/>
  <c r="X988" i="1" s="1"/>
  <c r="Z1004" i="1"/>
  <c r="X1004" i="1" a="1"/>
  <c r="X1004" i="1" s="1"/>
  <c r="Z1012" i="1"/>
  <c r="X1012" i="1" a="1"/>
  <c r="X1012" i="1" s="1"/>
  <c r="W859" i="1"/>
  <c r="W867" i="1"/>
  <c r="W875" i="1"/>
  <c r="V876" i="1"/>
  <c r="W883" i="1"/>
  <c r="V884" i="1"/>
  <c r="Z887" i="1"/>
  <c r="W891" i="1"/>
  <c r="V892" i="1"/>
  <c r="Z895" i="1"/>
  <c r="W899" i="1"/>
  <c r="V900" i="1"/>
  <c r="Z903" i="1"/>
  <c r="W907" i="1"/>
  <c r="V908" i="1"/>
  <c r="U909" i="1"/>
  <c r="Z911" i="1"/>
  <c r="W915" i="1"/>
  <c r="V916" i="1"/>
  <c r="U917" i="1"/>
  <c r="Z919" i="1"/>
  <c r="W923" i="1"/>
  <c r="V924" i="1"/>
  <c r="U925" i="1"/>
  <c r="Z927" i="1"/>
  <c r="W931" i="1"/>
  <c r="V932" i="1"/>
  <c r="U933" i="1"/>
  <c r="Z935" i="1"/>
  <c r="W939" i="1"/>
  <c r="V940" i="1"/>
  <c r="U941" i="1"/>
  <c r="Z943" i="1"/>
  <c r="W947" i="1"/>
  <c r="V948" i="1"/>
  <c r="U949" i="1"/>
  <c r="Z951" i="1"/>
  <c r="W955" i="1"/>
  <c r="V956" i="1"/>
  <c r="U957" i="1"/>
  <c r="Z959" i="1"/>
  <c r="W963" i="1"/>
  <c r="V964" i="1"/>
  <c r="U965" i="1"/>
  <c r="Z967" i="1"/>
  <c r="V973" i="1"/>
  <c r="V981" i="1"/>
  <c r="V989" i="1"/>
  <c r="V997" i="1"/>
  <c r="V1005" i="1"/>
  <c r="X1007" i="1" a="1"/>
  <c r="X1007" i="1" s="1"/>
  <c r="Z1009" i="1"/>
  <c r="V1013" i="1"/>
  <c r="X1015" i="1" a="1"/>
  <c r="X1015" i="1" s="1"/>
  <c r="Z1017" i="1"/>
  <c r="V1021" i="1"/>
  <c r="X1023" i="1" a="1"/>
  <c r="X1023" i="1" s="1"/>
  <c r="Z1025" i="1"/>
  <c r="V1029" i="1"/>
  <c r="V1032" i="1"/>
  <c r="U1032" i="1"/>
  <c r="W1033" i="1"/>
  <c r="W1039" i="1"/>
  <c r="V1039" i="1"/>
  <c r="Z1045" i="1"/>
  <c r="X1045" i="1" a="1"/>
  <c r="X1045" i="1" s="1"/>
  <c r="X1050" i="1" a="1"/>
  <c r="X1050" i="1" s="1"/>
  <c r="X1054" i="1" a="1"/>
  <c r="X1054" i="1" s="1"/>
  <c r="Z1054" i="1"/>
  <c r="X1063" i="1" a="1"/>
  <c r="X1063" i="1" s="1"/>
  <c r="Z1063" i="1"/>
  <c r="X1064" i="1" a="1"/>
  <c r="X1064" i="1" s="1"/>
  <c r="Z1064" i="1"/>
  <c r="Z1069" i="1"/>
  <c r="X1069" i="1" a="1"/>
  <c r="X1069" i="1" s="1"/>
  <c r="Z1076" i="1"/>
  <c r="X1076" i="1" a="1"/>
  <c r="X1076" i="1" s="1"/>
  <c r="X1103" i="1" a="1"/>
  <c r="X1103" i="1" s="1"/>
  <c r="Z1103" i="1"/>
  <c r="X1104" i="1" a="1"/>
  <c r="X1104" i="1" s="1"/>
  <c r="Z1104" i="1"/>
  <c r="X1111" i="1" a="1"/>
  <c r="X1111" i="1" s="1"/>
  <c r="Z1111" i="1"/>
  <c r="X1112" i="1" a="1"/>
  <c r="X1112" i="1" s="1"/>
  <c r="Z1112" i="1"/>
  <c r="X1119" i="1" a="1"/>
  <c r="X1119" i="1" s="1"/>
  <c r="Z1119" i="1"/>
  <c r="X1120" i="1" a="1"/>
  <c r="X1120" i="1" s="1"/>
  <c r="Z1120" i="1"/>
  <c r="X1127" i="1" a="1"/>
  <c r="X1127" i="1" s="1"/>
  <c r="Z1127" i="1"/>
  <c r="X1128" i="1" a="1"/>
  <c r="X1128" i="1" s="1"/>
  <c r="Z1128" i="1"/>
  <c r="X1135" i="1" a="1"/>
  <c r="X1135" i="1" s="1"/>
  <c r="Z1135" i="1"/>
  <c r="X1136" i="1" a="1"/>
  <c r="X1136" i="1" s="1"/>
  <c r="Z1136" i="1"/>
  <c r="X1143" i="1" a="1"/>
  <c r="X1143" i="1" s="1"/>
  <c r="Z1143" i="1"/>
  <c r="X1144" i="1" a="1"/>
  <c r="X1144" i="1" s="1"/>
  <c r="Z1144" i="1"/>
  <c r="X1151" i="1" a="1"/>
  <c r="X1151" i="1" s="1"/>
  <c r="Z1151" i="1"/>
  <c r="X1152" i="1" a="1"/>
  <c r="X1152" i="1" s="1"/>
  <c r="Z1152" i="1"/>
  <c r="X1159" i="1" a="1"/>
  <c r="X1159" i="1" s="1"/>
  <c r="Z1159" i="1"/>
  <c r="X1160" i="1" a="1"/>
  <c r="X1160" i="1" s="1"/>
  <c r="Z1160" i="1"/>
  <c r="X1167" i="1" a="1"/>
  <c r="X1167" i="1" s="1"/>
  <c r="Z1167" i="1"/>
  <c r="X1168" i="1" a="1"/>
  <c r="X1168" i="1" s="1"/>
  <c r="Z1168" i="1"/>
  <c r="Z1218" i="1"/>
  <c r="X1218" i="1" a="1"/>
  <c r="X1218" i="1" s="1"/>
  <c r="Z1232" i="1"/>
  <c r="X1232" i="1" a="1"/>
  <c r="X1232" i="1" s="1"/>
  <c r="X1243" i="1" a="1"/>
  <c r="X1243" i="1" s="1"/>
  <c r="Z1243" i="1"/>
  <c r="Z1244" i="1"/>
  <c r="X1244" i="1" a="1"/>
  <c r="X1244" i="1" s="1"/>
  <c r="V909" i="1"/>
  <c r="V917" i="1"/>
  <c r="V925" i="1"/>
  <c r="V933" i="1"/>
  <c r="V941" i="1"/>
  <c r="V949" i="1"/>
  <c r="V957" i="1"/>
  <c r="V965" i="1"/>
  <c r="T969" i="1"/>
  <c r="W973" i="1"/>
  <c r="X974" i="1" a="1"/>
  <c r="X974" i="1" s="1"/>
  <c r="T977" i="1"/>
  <c r="W981" i="1"/>
  <c r="X982" i="1" a="1"/>
  <c r="X982" i="1" s="1"/>
  <c r="T985" i="1"/>
  <c r="W989" i="1"/>
  <c r="X990" i="1" a="1"/>
  <c r="X990" i="1" s="1"/>
  <c r="T993" i="1"/>
  <c r="W997" i="1"/>
  <c r="X998" i="1" a="1"/>
  <c r="X998" i="1" s="1"/>
  <c r="T1001" i="1"/>
  <c r="W1005" i="1"/>
  <c r="X1006" i="1" a="1"/>
  <c r="X1006" i="1" s="1"/>
  <c r="W1013" i="1"/>
  <c r="X1014" i="1" a="1"/>
  <c r="X1014" i="1" s="1"/>
  <c r="W1021" i="1"/>
  <c r="X1022" i="1" a="1"/>
  <c r="X1022" i="1" s="1"/>
  <c r="W1029" i="1"/>
  <c r="Z1040" i="1"/>
  <c r="X1043" i="1" a="1"/>
  <c r="X1043" i="1" s="1"/>
  <c r="Z1049" i="1"/>
  <c r="X1049" i="1" a="1"/>
  <c r="X1049" i="1" s="1"/>
  <c r="Z1052" i="1"/>
  <c r="Z1053" i="1"/>
  <c r="X1053" i="1" a="1"/>
  <c r="X1053" i="1" s="1"/>
  <c r="Z1082" i="1"/>
  <c r="X1082" i="1" a="1"/>
  <c r="X1082" i="1" s="1"/>
  <c r="Z1089" i="1"/>
  <c r="X1089" i="1" a="1"/>
  <c r="X1089" i="1" s="1"/>
  <c r="X1175" i="1" a="1"/>
  <c r="X1175" i="1" s="1"/>
  <c r="Z1175" i="1"/>
  <c r="X1176" i="1" a="1"/>
  <c r="X1176" i="1" s="1"/>
  <c r="Z1176" i="1"/>
  <c r="Z1181" i="1"/>
  <c r="X1181" i="1" a="1"/>
  <c r="X1181" i="1" s="1"/>
  <c r="X1188" i="1" a="1"/>
  <c r="X1188" i="1" s="1"/>
  <c r="Z1188" i="1"/>
  <c r="Z1228" i="1"/>
  <c r="X1228" i="1" a="1"/>
  <c r="X1228" i="1" s="1"/>
  <c r="Z1256" i="1"/>
  <c r="X1256" i="1" a="1"/>
  <c r="X1256" i="1" s="1"/>
  <c r="X916" i="1" a="1"/>
  <c r="X916" i="1" s="1"/>
  <c r="X924" i="1" a="1"/>
  <c r="X924" i="1" s="1"/>
  <c r="X932" i="1" a="1"/>
  <c r="X932" i="1" s="1"/>
  <c r="X940" i="1" a="1"/>
  <c r="X940" i="1" s="1"/>
  <c r="X948" i="1" a="1"/>
  <c r="X948" i="1" s="1"/>
  <c r="X956" i="1" a="1"/>
  <c r="X956" i="1" s="1"/>
  <c r="X964" i="1" a="1"/>
  <c r="X964" i="1" s="1"/>
  <c r="W1031" i="1"/>
  <c r="V1031" i="1"/>
  <c r="W1041" i="1"/>
  <c r="U1041" i="1"/>
  <c r="X1042" i="1" a="1"/>
  <c r="X1042" i="1" s="1"/>
  <c r="X1071" i="1" a="1"/>
  <c r="X1071" i="1" s="1"/>
  <c r="Z1071" i="1"/>
  <c r="X1072" i="1" a="1"/>
  <c r="X1072" i="1" s="1"/>
  <c r="Z1072" i="1"/>
  <c r="Z1077" i="1"/>
  <c r="X1077" i="1" a="1"/>
  <c r="X1077" i="1" s="1"/>
  <c r="Z1084" i="1"/>
  <c r="X1084" i="1" a="1"/>
  <c r="X1084" i="1" s="1"/>
  <c r="Z1097" i="1"/>
  <c r="X1097" i="1" a="1"/>
  <c r="X1097" i="1" s="1"/>
  <c r="Z1206" i="1"/>
  <c r="X1206" i="1" a="1"/>
  <c r="X1206" i="1" s="1"/>
  <c r="Z1214" i="1"/>
  <c r="X1214" i="1" a="1"/>
  <c r="X1214" i="1" s="1"/>
  <c r="Z1238" i="1"/>
  <c r="X1238" i="1" a="1"/>
  <c r="X1238" i="1" s="1"/>
  <c r="V863" i="1"/>
  <c r="V871" i="1"/>
  <c r="V879" i="1"/>
  <c r="V887" i="1"/>
  <c r="U888" i="1"/>
  <c r="V895" i="1"/>
  <c r="U896" i="1"/>
  <c r="V903" i="1"/>
  <c r="U904" i="1"/>
  <c r="V911" i="1"/>
  <c r="U912" i="1"/>
  <c r="V919" i="1"/>
  <c r="U920" i="1"/>
  <c r="V927" i="1"/>
  <c r="U928" i="1"/>
  <c r="V935" i="1"/>
  <c r="U936" i="1"/>
  <c r="V943" i="1"/>
  <c r="U944" i="1"/>
  <c r="V951" i="1"/>
  <c r="U952" i="1"/>
  <c r="V959" i="1"/>
  <c r="U960" i="1"/>
  <c r="V967" i="1"/>
  <c r="U968" i="1"/>
  <c r="U969" i="1"/>
  <c r="W971" i="1"/>
  <c r="U977" i="1"/>
  <c r="W979" i="1"/>
  <c r="U985" i="1"/>
  <c r="W987" i="1"/>
  <c r="U993" i="1"/>
  <c r="U1001" i="1"/>
  <c r="U1009" i="1"/>
  <c r="U1017" i="1"/>
  <c r="U1025" i="1"/>
  <c r="X1039" i="1" a="1"/>
  <c r="X1039" i="1" s="1"/>
  <c r="V1041" i="1"/>
  <c r="W1047" i="1"/>
  <c r="V1047" i="1"/>
  <c r="Z1051" i="1"/>
  <c r="X1051" i="1" a="1"/>
  <c r="X1051" i="1" s="1"/>
  <c r="W1055" i="1"/>
  <c r="V1055" i="1"/>
  <c r="U1055" i="1"/>
  <c r="Z1065" i="1"/>
  <c r="X1065" i="1" a="1"/>
  <c r="X1065" i="1" s="1"/>
  <c r="Z1090" i="1"/>
  <c r="X1090" i="1" a="1"/>
  <c r="X1090" i="1" s="1"/>
  <c r="Z1092" i="1"/>
  <c r="X1092" i="1" a="1"/>
  <c r="X1092" i="1" s="1"/>
  <c r="Z1100" i="1"/>
  <c r="X1100" i="1" a="1"/>
  <c r="X1100" i="1" s="1"/>
  <c r="Z1105" i="1"/>
  <c r="X1105" i="1" a="1"/>
  <c r="X1105" i="1" s="1"/>
  <c r="Z1108" i="1"/>
  <c r="X1108" i="1" a="1"/>
  <c r="X1108" i="1" s="1"/>
  <c r="Z1113" i="1"/>
  <c r="X1113" i="1" a="1"/>
  <c r="X1113" i="1" s="1"/>
  <c r="Z1116" i="1"/>
  <c r="X1116" i="1" a="1"/>
  <c r="X1116" i="1" s="1"/>
  <c r="Z1121" i="1"/>
  <c r="X1121" i="1" a="1"/>
  <c r="X1121" i="1" s="1"/>
  <c r="Z1124" i="1"/>
  <c r="X1124" i="1" a="1"/>
  <c r="X1124" i="1" s="1"/>
  <c r="Z1129" i="1"/>
  <c r="X1129" i="1" a="1"/>
  <c r="X1129" i="1" s="1"/>
  <c r="Z1132" i="1"/>
  <c r="X1132" i="1" a="1"/>
  <c r="X1132" i="1" s="1"/>
  <c r="Z1137" i="1"/>
  <c r="X1137" i="1" a="1"/>
  <c r="X1137" i="1" s="1"/>
  <c r="Z1140" i="1"/>
  <c r="X1140" i="1" a="1"/>
  <c r="X1140" i="1" s="1"/>
  <c r="Z1145" i="1"/>
  <c r="X1145" i="1" a="1"/>
  <c r="X1145" i="1" s="1"/>
  <c r="Z1148" i="1"/>
  <c r="X1148" i="1" a="1"/>
  <c r="X1148" i="1" s="1"/>
  <c r="Z1153" i="1"/>
  <c r="X1153" i="1" a="1"/>
  <c r="X1153" i="1" s="1"/>
  <c r="Z1156" i="1"/>
  <c r="X1156" i="1" a="1"/>
  <c r="X1156" i="1" s="1"/>
  <c r="Z1161" i="1"/>
  <c r="X1161" i="1" a="1"/>
  <c r="X1161" i="1" s="1"/>
  <c r="Z1164" i="1"/>
  <c r="X1164" i="1" a="1"/>
  <c r="X1164" i="1" s="1"/>
  <c r="Z1169" i="1"/>
  <c r="X1169" i="1" a="1"/>
  <c r="X1169" i="1" s="1"/>
  <c r="Z1172" i="1"/>
  <c r="X1172" i="1" a="1"/>
  <c r="X1172" i="1" s="1"/>
  <c r="Z1242" i="1"/>
  <c r="X1242" i="1" a="1"/>
  <c r="X1242" i="1" s="1"/>
  <c r="V888" i="1"/>
  <c r="V896" i="1"/>
  <c r="U897" i="1"/>
  <c r="V904" i="1"/>
  <c r="U905" i="1"/>
  <c r="V912" i="1"/>
  <c r="U913" i="1"/>
  <c r="V920" i="1"/>
  <c r="U921" i="1"/>
  <c r="V928" i="1"/>
  <c r="U929" i="1"/>
  <c r="V936" i="1"/>
  <c r="U937" i="1"/>
  <c r="V944" i="1"/>
  <c r="U945" i="1"/>
  <c r="V952" i="1"/>
  <c r="U953" i="1"/>
  <c r="V960" i="1"/>
  <c r="U961" i="1"/>
  <c r="V968" i="1"/>
  <c r="V969" i="1"/>
  <c r="V977" i="1"/>
  <c r="V985" i="1"/>
  <c r="V993" i="1"/>
  <c r="V1001" i="1"/>
  <c r="V1009" i="1"/>
  <c r="U1031" i="1"/>
  <c r="X1038" i="1" a="1"/>
  <c r="X1038" i="1" s="1"/>
  <c r="Z1038" i="1"/>
  <c r="V1044" i="1"/>
  <c r="U1047" i="1"/>
  <c r="Z1055" i="1"/>
  <c r="X1056" i="1" a="1"/>
  <c r="X1056" i="1" s="1"/>
  <c r="Z1056" i="1"/>
  <c r="Z1060" i="1"/>
  <c r="X1060" i="1" a="1"/>
  <c r="X1060" i="1" s="1"/>
  <c r="X1079" i="1" a="1"/>
  <c r="X1079" i="1" s="1"/>
  <c r="Z1079" i="1"/>
  <c r="X1080" i="1" a="1"/>
  <c r="X1080" i="1" s="1"/>
  <c r="Z1080" i="1"/>
  <c r="Z1085" i="1"/>
  <c r="X1085" i="1" a="1"/>
  <c r="X1085" i="1" s="1"/>
  <c r="Z1098" i="1"/>
  <c r="X1098" i="1" a="1"/>
  <c r="X1098" i="1" s="1"/>
  <c r="Z1177" i="1"/>
  <c r="X1177" i="1" a="1"/>
  <c r="X1177" i="1" s="1"/>
  <c r="X1183" i="1" a="1"/>
  <c r="X1183" i="1" s="1"/>
  <c r="Z1183" i="1"/>
  <c r="X1184" i="1" a="1"/>
  <c r="X1184" i="1" s="1"/>
  <c r="Z1184" i="1"/>
  <c r="Z1199" i="1"/>
  <c r="X1199" i="1" a="1"/>
  <c r="X1199" i="1" s="1"/>
  <c r="Z1202" i="1"/>
  <c r="X1202" i="1" a="1"/>
  <c r="X1202" i="1" s="1"/>
  <c r="Z1212" i="1"/>
  <c r="X1212" i="1" a="1"/>
  <c r="X1212" i="1" s="1"/>
  <c r="Z1226" i="1"/>
  <c r="X1226" i="1" a="1"/>
  <c r="X1226" i="1" s="1"/>
  <c r="Z1252" i="1"/>
  <c r="X1252" i="1" a="1"/>
  <c r="X1252" i="1" s="1"/>
  <c r="X970" i="1" a="1"/>
  <c r="X970" i="1" s="1"/>
  <c r="T973" i="1"/>
  <c r="X978" i="1" a="1"/>
  <c r="X978" i="1" s="1"/>
  <c r="T981" i="1"/>
  <c r="X986" i="1" a="1"/>
  <c r="X986" i="1" s="1"/>
  <c r="T989" i="1"/>
  <c r="X994" i="1" a="1"/>
  <c r="X994" i="1" s="1"/>
  <c r="T997" i="1"/>
  <c r="X1002" i="1" a="1"/>
  <c r="X1002" i="1" s="1"/>
  <c r="T1005" i="1"/>
  <c r="T1013" i="1"/>
  <c r="T1021" i="1"/>
  <c r="T1029" i="1"/>
  <c r="X1030" i="1" a="1"/>
  <c r="X1030" i="1" s="1"/>
  <c r="Z1030" i="1"/>
  <c r="T1033" i="1"/>
  <c r="Z1037" i="1"/>
  <c r="X1037" i="1" a="1"/>
  <c r="X1037" i="1" s="1"/>
  <c r="V1040" i="1"/>
  <c r="U1040" i="1"/>
  <c r="Z1066" i="1"/>
  <c r="X1066" i="1" a="1"/>
  <c r="X1066" i="1" s="1"/>
  <c r="Z1073" i="1"/>
  <c r="X1073" i="1" a="1"/>
  <c r="X1073" i="1" s="1"/>
  <c r="Z1093" i="1"/>
  <c r="X1093" i="1" a="1"/>
  <c r="X1093" i="1" s="1"/>
  <c r="Z1106" i="1"/>
  <c r="X1106" i="1" a="1"/>
  <c r="X1106" i="1" s="1"/>
  <c r="Z1114" i="1"/>
  <c r="X1114" i="1" a="1"/>
  <c r="X1114" i="1" s="1"/>
  <c r="Z1122" i="1"/>
  <c r="X1122" i="1" a="1"/>
  <c r="X1122" i="1" s="1"/>
  <c r="Z1130" i="1"/>
  <c r="X1130" i="1" a="1"/>
  <c r="X1130" i="1" s="1"/>
  <c r="Z1138" i="1"/>
  <c r="X1138" i="1" a="1"/>
  <c r="X1138" i="1" s="1"/>
  <c r="Z1146" i="1"/>
  <c r="X1146" i="1" a="1"/>
  <c r="X1146" i="1" s="1"/>
  <c r="Z1154" i="1"/>
  <c r="X1154" i="1" a="1"/>
  <c r="X1154" i="1" s="1"/>
  <c r="Z1162" i="1"/>
  <c r="X1162" i="1" a="1"/>
  <c r="X1162" i="1" s="1"/>
  <c r="Z1170" i="1"/>
  <c r="X1170" i="1" a="1"/>
  <c r="X1170" i="1" s="1"/>
  <c r="Z1220" i="1"/>
  <c r="X1220" i="1" a="1"/>
  <c r="X1220" i="1" s="1"/>
  <c r="X1048" i="1" a="1"/>
  <c r="X1048" i="1" s="1"/>
  <c r="Z1048" i="1"/>
  <c r="W1052" i="1"/>
  <c r="U1052" i="1"/>
  <c r="Z1061" i="1"/>
  <c r="X1061" i="1" a="1"/>
  <c r="X1061" i="1" s="1"/>
  <c r="Z1068" i="1"/>
  <c r="X1068" i="1" a="1"/>
  <c r="X1068" i="1" s="1"/>
  <c r="X1087" i="1" a="1"/>
  <c r="X1087" i="1" s="1"/>
  <c r="Z1087" i="1"/>
  <c r="X1088" i="1" a="1"/>
  <c r="X1088" i="1" s="1"/>
  <c r="Z1088" i="1"/>
  <c r="Z1101" i="1"/>
  <c r="X1101" i="1" a="1"/>
  <c r="X1101" i="1" s="1"/>
  <c r="Z1109" i="1"/>
  <c r="X1109" i="1" a="1"/>
  <c r="X1109" i="1" s="1"/>
  <c r="Z1117" i="1"/>
  <c r="X1117" i="1" a="1"/>
  <c r="X1117" i="1" s="1"/>
  <c r="Z1125" i="1"/>
  <c r="X1125" i="1" a="1"/>
  <c r="X1125" i="1" s="1"/>
  <c r="Z1133" i="1"/>
  <c r="X1133" i="1" a="1"/>
  <c r="X1133" i="1" s="1"/>
  <c r="Z1141" i="1"/>
  <c r="X1141" i="1" a="1"/>
  <c r="X1141" i="1" s="1"/>
  <c r="Z1149" i="1"/>
  <c r="X1149" i="1" a="1"/>
  <c r="X1149" i="1" s="1"/>
  <c r="Z1157" i="1"/>
  <c r="X1157" i="1" a="1"/>
  <c r="X1157" i="1" s="1"/>
  <c r="Z1165" i="1"/>
  <c r="X1165" i="1" a="1"/>
  <c r="X1165" i="1" s="1"/>
  <c r="Z1173" i="1"/>
  <c r="X1173" i="1" a="1"/>
  <c r="X1173" i="1" s="1"/>
  <c r="Z1180" i="1"/>
  <c r="X1180" i="1" a="1"/>
  <c r="X1180" i="1" s="1"/>
  <c r="Z1192" i="1"/>
  <c r="X1192" i="1" a="1"/>
  <c r="X1192" i="1" s="1"/>
  <c r="X1196" i="1" a="1"/>
  <c r="X1196" i="1" s="1"/>
  <c r="Z1196" i="1"/>
  <c r="Z1207" i="1"/>
  <c r="X1207" i="1" a="1"/>
  <c r="X1207" i="1" s="1"/>
  <c r="Z1234" i="1"/>
  <c r="X1234" i="1" a="1"/>
  <c r="X1234" i="1" s="1"/>
  <c r="Z1236" i="1"/>
  <c r="X1236" i="1" a="1"/>
  <c r="X1236" i="1" s="1"/>
  <c r="Z1240" i="1"/>
  <c r="X1240" i="1" a="1"/>
  <c r="X1240" i="1" s="1"/>
  <c r="W975" i="1"/>
  <c r="W983" i="1"/>
  <c r="W991" i="1"/>
  <c r="W999" i="1"/>
  <c r="V1033" i="1"/>
  <c r="X1034" i="1" a="1"/>
  <c r="X1034" i="1" s="1"/>
  <c r="W1040" i="1"/>
  <c r="X1046" i="1" a="1"/>
  <c r="X1046" i="1" s="1"/>
  <c r="Z1046" i="1"/>
  <c r="V1052" i="1"/>
  <c r="Z1057" i="1"/>
  <c r="X1057" i="1" a="1"/>
  <c r="X1057" i="1" s="1"/>
  <c r="Z1074" i="1"/>
  <c r="X1074" i="1" a="1"/>
  <c r="X1074" i="1" s="1"/>
  <c r="Z1081" i="1"/>
  <c r="X1081" i="1" a="1"/>
  <c r="X1081" i="1" s="1"/>
  <c r="X1095" i="1" a="1"/>
  <c r="X1095" i="1" s="1"/>
  <c r="Z1095" i="1"/>
  <c r="X1096" i="1" a="1"/>
  <c r="X1096" i="1" s="1"/>
  <c r="Z1096" i="1"/>
  <c r="Z1185" i="1"/>
  <c r="X1185" i="1" a="1"/>
  <c r="X1185" i="1" s="1"/>
  <c r="X1187" i="1" a="1"/>
  <c r="X1187" i="1" s="1"/>
  <c r="Z1187" i="1"/>
  <c r="Z1210" i="1"/>
  <c r="X1210" i="1" a="1"/>
  <c r="X1210" i="1" s="1"/>
  <c r="Z1250" i="1"/>
  <c r="X1250" i="1" a="1"/>
  <c r="X1250" i="1" s="1"/>
  <c r="U1060" i="1"/>
  <c r="Z1062" i="1"/>
  <c r="U1068" i="1"/>
  <c r="Z1070" i="1"/>
  <c r="U1076" i="1"/>
  <c r="Z1078" i="1"/>
  <c r="U1084" i="1"/>
  <c r="Z1086" i="1"/>
  <c r="V1091" i="1"/>
  <c r="U1092" i="1"/>
  <c r="Z1094" i="1"/>
  <c r="V1099" i="1"/>
  <c r="U1100" i="1"/>
  <c r="Z1102" i="1"/>
  <c r="V1107" i="1"/>
  <c r="U1108" i="1"/>
  <c r="Z1110" i="1"/>
  <c r="V1115" i="1"/>
  <c r="U1116" i="1"/>
  <c r="Z1118" i="1"/>
  <c r="V1123" i="1"/>
  <c r="U1124" i="1"/>
  <c r="Z1126" i="1"/>
  <c r="V1131" i="1"/>
  <c r="U1132" i="1"/>
  <c r="Z1134" i="1"/>
  <c r="V1139" i="1"/>
  <c r="U1140" i="1"/>
  <c r="Z1142" i="1"/>
  <c r="V1147" i="1"/>
  <c r="U1148" i="1"/>
  <c r="Z1150" i="1"/>
  <c r="V1155" i="1"/>
  <c r="U1156" i="1"/>
  <c r="Z1158" i="1"/>
  <c r="V1163" i="1"/>
  <c r="U1164" i="1"/>
  <c r="Z1166" i="1"/>
  <c r="V1171" i="1"/>
  <c r="U1172" i="1"/>
  <c r="Z1174" i="1"/>
  <c r="V1179" i="1"/>
  <c r="U1180" i="1"/>
  <c r="Z1182" i="1"/>
  <c r="X1186" i="1" a="1"/>
  <c r="X1186" i="1" s="1"/>
  <c r="T1189" i="1"/>
  <c r="V1193" i="1"/>
  <c r="X1195" i="1" a="1"/>
  <c r="X1195" i="1" s="1"/>
  <c r="Z1197" i="1"/>
  <c r="W1203" i="1"/>
  <c r="X1204" i="1" a="1"/>
  <c r="X1204" i="1" s="1"/>
  <c r="W1211" i="1"/>
  <c r="W1219" i="1"/>
  <c r="W1227" i="1"/>
  <c r="W1233" i="1"/>
  <c r="V1241" i="1"/>
  <c r="W1251" i="1"/>
  <c r="Z1263" i="1"/>
  <c r="Z1266" i="1"/>
  <c r="X1266" i="1" a="1"/>
  <c r="X1266" i="1" s="1"/>
  <c r="Z1283" i="1"/>
  <c r="X1283" i="1" a="1"/>
  <c r="X1283" i="1" s="1"/>
  <c r="X1287" i="1" a="1"/>
  <c r="X1287" i="1" s="1"/>
  <c r="Z1287" i="1"/>
  <c r="Z1301" i="1"/>
  <c r="X1301" i="1" a="1"/>
  <c r="X1301" i="1" s="1"/>
  <c r="Z1306" i="1"/>
  <c r="X1306" i="1" a="1"/>
  <c r="X1306" i="1" s="1"/>
  <c r="Z1334" i="1"/>
  <c r="X1334" i="1" a="1"/>
  <c r="X1334" i="1" s="1"/>
  <c r="X1362" i="1" a="1"/>
  <c r="X1362" i="1" s="1"/>
  <c r="Z1362" i="1"/>
  <c r="X1203" i="1" a="1"/>
  <c r="X1203" i="1" s="1"/>
  <c r="X1211" i="1" a="1"/>
  <c r="X1211" i="1" s="1"/>
  <c r="Z1213" i="1"/>
  <c r="X1219" i="1" a="1"/>
  <c r="X1219" i="1" s="1"/>
  <c r="Z1221" i="1"/>
  <c r="X1227" i="1" a="1"/>
  <c r="X1227" i="1" s="1"/>
  <c r="Z1229" i="1"/>
  <c r="W1241" i="1"/>
  <c r="X1248" i="1" a="1"/>
  <c r="X1248" i="1" s="1"/>
  <c r="X1272" i="1" a="1"/>
  <c r="X1272" i="1" s="1"/>
  <c r="Z1272" i="1"/>
  <c r="Z1299" i="1"/>
  <c r="X1299" i="1" a="1"/>
  <c r="X1299" i="1" s="1"/>
  <c r="X1303" i="1" a="1"/>
  <c r="X1303" i="1" s="1"/>
  <c r="Z1303" i="1"/>
  <c r="Z1325" i="1"/>
  <c r="X1325" i="1" a="1"/>
  <c r="X1325" i="1" s="1"/>
  <c r="X1337" i="1" a="1"/>
  <c r="X1337" i="1" s="1"/>
  <c r="Z1337" i="1"/>
  <c r="Z1349" i="1"/>
  <c r="X1349" i="1" a="1"/>
  <c r="X1349" i="1" s="1"/>
  <c r="Z1366" i="1"/>
  <c r="X1366" i="1" a="1"/>
  <c r="X1366" i="1" s="1"/>
  <c r="Z1378" i="1"/>
  <c r="X1378" i="1" a="1"/>
  <c r="X1378" i="1" s="1"/>
  <c r="Z1384" i="1"/>
  <c r="X1384" i="1" a="1"/>
  <c r="X1384" i="1" s="1"/>
  <c r="X1059" i="1" a="1"/>
  <c r="X1059" i="1" s="1"/>
  <c r="X1067" i="1" a="1"/>
  <c r="X1067" i="1" s="1"/>
  <c r="X1075" i="1" a="1"/>
  <c r="X1075" i="1" s="1"/>
  <c r="X1083" i="1" a="1"/>
  <c r="X1083" i="1" s="1"/>
  <c r="X1091" i="1" a="1"/>
  <c r="X1091" i="1" s="1"/>
  <c r="X1099" i="1" a="1"/>
  <c r="X1099" i="1" s="1"/>
  <c r="X1107" i="1" a="1"/>
  <c r="X1107" i="1" s="1"/>
  <c r="X1115" i="1" a="1"/>
  <c r="X1115" i="1" s="1"/>
  <c r="X1123" i="1" a="1"/>
  <c r="X1123" i="1" s="1"/>
  <c r="X1131" i="1" a="1"/>
  <c r="X1131" i="1" s="1"/>
  <c r="X1139" i="1" a="1"/>
  <c r="X1139" i="1" s="1"/>
  <c r="X1147" i="1" a="1"/>
  <c r="X1147" i="1" s="1"/>
  <c r="X1155" i="1" a="1"/>
  <c r="X1155" i="1" s="1"/>
  <c r="X1163" i="1" a="1"/>
  <c r="X1163" i="1" s="1"/>
  <c r="X1171" i="1" a="1"/>
  <c r="X1171" i="1" s="1"/>
  <c r="X1179" i="1" a="1"/>
  <c r="X1179" i="1" s="1"/>
  <c r="U1189" i="1"/>
  <c r="Z1251" i="1"/>
  <c r="W1255" i="1"/>
  <c r="V1255" i="1"/>
  <c r="X1262" i="1" a="1"/>
  <c r="X1262" i="1" s="1"/>
  <c r="Z1262" i="1"/>
  <c r="X1264" i="1" a="1"/>
  <c r="X1264" i="1" s="1"/>
  <c r="Z1264" i="1"/>
  <c r="Z1281" i="1"/>
  <c r="X1281" i="1" a="1"/>
  <c r="X1281" i="1" s="1"/>
  <c r="Z1297" i="1"/>
  <c r="X1297" i="1" a="1"/>
  <c r="X1297" i="1" s="1"/>
  <c r="Z1320" i="1"/>
  <c r="X1320" i="1" a="1"/>
  <c r="X1320" i="1" s="1"/>
  <c r="Z1350" i="1"/>
  <c r="X1350" i="1" a="1"/>
  <c r="X1350" i="1" s="1"/>
  <c r="U1063" i="1"/>
  <c r="U1071" i="1"/>
  <c r="U1079" i="1"/>
  <c r="U1087" i="1"/>
  <c r="U1095" i="1"/>
  <c r="U1103" i="1"/>
  <c r="U1111" i="1"/>
  <c r="U1119" i="1"/>
  <c r="U1127" i="1"/>
  <c r="U1135" i="1"/>
  <c r="U1143" i="1"/>
  <c r="U1151" i="1"/>
  <c r="U1159" i="1"/>
  <c r="U1167" i="1"/>
  <c r="U1175" i="1"/>
  <c r="U1183" i="1"/>
  <c r="V1189" i="1"/>
  <c r="U1197" i="1"/>
  <c r="U1199" i="1"/>
  <c r="U1207" i="1"/>
  <c r="U1215" i="1"/>
  <c r="U1239" i="1"/>
  <c r="U1255" i="1"/>
  <c r="Z1275" i="1"/>
  <c r="X1275" i="1" a="1"/>
  <c r="X1275" i="1" s="1"/>
  <c r="Z1277" i="1"/>
  <c r="X1277" i="1" a="1"/>
  <c r="X1277" i="1" s="1"/>
  <c r="Z1282" i="1"/>
  <c r="X1282" i="1" a="1"/>
  <c r="X1282" i="1" s="1"/>
  <c r="Z1293" i="1"/>
  <c r="X1293" i="1" a="1"/>
  <c r="X1293" i="1" s="1"/>
  <c r="Z1298" i="1"/>
  <c r="X1298" i="1" a="1"/>
  <c r="X1298" i="1" s="1"/>
  <c r="Z1315" i="1"/>
  <c r="X1315" i="1" a="1"/>
  <c r="X1315" i="1" s="1"/>
  <c r="Z1317" i="1"/>
  <c r="X1317" i="1" a="1"/>
  <c r="X1317" i="1" s="1"/>
  <c r="Z1326" i="1"/>
  <c r="X1326" i="1" a="1"/>
  <c r="X1326" i="1" s="1"/>
  <c r="X1329" i="1" a="1"/>
  <c r="X1329" i="1" s="1"/>
  <c r="Z1329" i="1"/>
  <c r="Z1344" i="1"/>
  <c r="X1344" i="1" a="1"/>
  <c r="X1344" i="1" s="1"/>
  <c r="X1353" i="1" a="1"/>
  <c r="X1353" i="1" s="1"/>
  <c r="Z1353" i="1"/>
  <c r="X1354" i="1" a="1"/>
  <c r="X1354" i="1" s="1"/>
  <c r="Z1354" i="1"/>
  <c r="Z1360" i="1"/>
  <c r="X1360" i="1" a="1"/>
  <c r="X1360" i="1" s="1"/>
  <c r="U1048" i="1"/>
  <c r="U1056" i="1"/>
  <c r="V1063" i="1"/>
  <c r="U1064" i="1"/>
  <c r="V1071" i="1"/>
  <c r="U1072" i="1"/>
  <c r="V1079" i="1"/>
  <c r="U1080" i="1"/>
  <c r="V1087" i="1"/>
  <c r="U1088" i="1"/>
  <c r="V1095" i="1"/>
  <c r="U1096" i="1"/>
  <c r="V1103" i="1"/>
  <c r="U1104" i="1"/>
  <c r="V1111" i="1"/>
  <c r="U1112" i="1"/>
  <c r="V1119" i="1"/>
  <c r="U1120" i="1"/>
  <c r="V1127" i="1"/>
  <c r="U1128" i="1"/>
  <c r="V1135" i="1"/>
  <c r="U1136" i="1"/>
  <c r="V1143" i="1"/>
  <c r="U1144" i="1"/>
  <c r="V1151" i="1"/>
  <c r="U1152" i="1"/>
  <c r="V1159" i="1"/>
  <c r="U1160" i="1"/>
  <c r="V1167" i="1"/>
  <c r="U1168" i="1"/>
  <c r="V1175" i="1"/>
  <c r="U1176" i="1"/>
  <c r="V1183" i="1"/>
  <c r="U1184" i="1"/>
  <c r="V1188" i="1"/>
  <c r="X1191" i="1" a="1"/>
  <c r="X1191" i="1" s="1"/>
  <c r="W1199" i="1"/>
  <c r="X1200" i="1" a="1"/>
  <c r="X1200" i="1" s="1"/>
  <c r="W1207" i="1"/>
  <c r="U1213" i="1"/>
  <c r="W1215" i="1"/>
  <c r="U1221" i="1"/>
  <c r="W1223" i="1"/>
  <c r="U1229" i="1"/>
  <c r="T1233" i="1"/>
  <c r="W1235" i="1"/>
  <c r="T1237" i="1"/>
  <c r="W1239" i="1"/>
  <c r="U1243" i="1"/>
  <c r="T1245" i="1"/>
  <c r="U1249" i="1"/>
  <c r="Z1253" i="1"/>
  <c r="V1257" i="1"/>
  <c r="U1257" i="1"/>
  <c r="X1260" i="1" a="1"/>
  <c r="X1260" i="1" s="1"/>
  <c r="T1273" i="1"/>
  <c r="X1279" i="1" a="1"/>
  <c r="X1279" i="1" s="1"/>
  <c r="Z1279" i="1"/>
  <c r="Z1291" i="1"/>
  <c r="X1291" i="1" a="1"/>
  <c r="X1291" i="1" s="1"/>
  <c r="X1295" i="1" a="1"/>
  <c r="X1295" i="1" s="1"/>
  <c r="Z1295" i="1"/>
  <c r="Z1313" i="1"/>
  <c r="X1313" i="1" a="1"/>
  <c r="X1313" i="1" s="1"/>
  <c r="Z1376" i="1"/>
  <c r="X1376" i="1" a="1"/>
  <c r="X1376" i="1" s="1"/>
  <c r="Z1382" i="1"/>
  <c r="X1382" i="1" a="1"/>
  <c r="X1382" i="1" s="1"/>
  <c r="Z1390" i="1"/>
  <c r="X1390" i="1" a="1"/>
  <c r="X1390" i="1" s="1"/>
  <c r="U1049" i="1"/>
  <c r="U1057" i="1"/>
  <c r="U1065" i="1"/>
  <c r="U1073" i="1"/>
  <c r="U1081" i="1"/>
  <c r="U1089" i="1"/>
  <c r="U1097" i="1"/>
  <c r="U1105" i="1"/>
  <c r="U1113" i="1"/>
  <c r="U1121" i="1"/>
  <c r="U1129" i="1"/>
  <c r="U1137" i="1"/>
  <c r="U1145" i="1"/>
  <c r="U1153" i="1"/>
  <c r="U1161" i="1"/>
  <c r="U1169" i="1"/>
  <c r="U1177" i="1"/>
  <c r="W1188" i="1"/>
  <c r="X1190" i="1" a="1"/>
  <c r="X1190" i="1" s="1"/>
  <c r="T1193" i="1"/>
  <c r="Z1201" i="1"/>
  <c r="Z1209" i="1"/>
  <c r="X1215" i="1" a="1"/>
  <c r="X1215" i="1" s="1"/>
  <c r="Z1217" i="1"/>
  <c r="X1223" i="1" a="1"/>
  <c r="X1223" i="1" s="1"/>
  <c r="Z1225" i="1"/>
  <c r="X1239" i="1" a="1"/>
  <c r="X1239" i="1" s="1"/>
  <c r="T1241" i="1"/>
  <c r="W1243" i="1"/>
  <c r="W1249" i="1"/>
  <c r="Z1255" i="1"/>
  <c r="Z1259" i="1"/>
  <c r="X1259" i="1" a="1"/>
  <c r="X1259" i="1" s="1"/>
  <c r="Z1261" i="1"/>
  <c r="X1261" i="1" a="1"/>
  <c r="X1261" i="1" s="1"/>
  <c r="T1265" i="1"/>
  <c r="Z1267" i="1"/>
  <c r="X1267" i="1" a="1"/>
  <c r="X1267" i="1" s="1"/>
  <c r="Z1269" i="1"/>
  <c r="X1269" i="1" a="1"/>
  <c r="X1269" i="1" s="1"/>
  <c r="W1273" i="1"/>
  <c r="V1273" i="1"/>
  <c r="U1273" i="1"/>
  <c r="Z1309" i="1"/>
  <c r="X1309" i="1" a="1"/>
  <c r="X1309" i="1" s="1"/>
  <c r="Z1314" i="1"/>
  <c r="X1314" i="1" a="1"/>
  <c r="X1314" i="1" s="1"/>
  <c r="Z1336" i="1"/>
  <c r="X1336" i="1" a="1"/>
  <c r="X1336" i="1" s="1"/>
  <c r="Z1341" i="1"/>
  <c r="X1341" i="1" a="1"/>
  <c r="X1341" i="1" s="1"/>
  <c r="Z1357" i="1"/>
  <c r="X1357" i="1" a="1"/>
  <c r="X1357" i="1" s="1"/>
  <c r="Z1364" i="1"/>
  <c r="X1364" i="1" a="1"/>
  <c r="X1364" i="1" s="1"/>
  <c r="X1254" i="1" a="1"/>
  <c r="X1254" i="1" s="1"/>
  <c r="Z1254" i="1"/>
  <c r="W1263" i="1"/>
  <c r="V1263" i="1"/>
  <c r="W1265" i="1"/>
  <c r="V1265" i="1"/>
  <c r="U1265" i="1"/>
  <c r="X1271" i="1" a="1"/>
  <c r="X1271" i="1" s="1"/>
  <c r="Z1271" i="1"/>
  <c r="Z1274" i="1"/>
  <c r="X1274" i="1" a="1"/>
  <c r="X1274" i="1" s="1"/>
  <c r="Z1289" i="1"/>
  <c r="X1289" i="1" a="1"/>
  <c r="X1289" i="1" s="1"/>
  <c r="Z1307" i="1"/>
  <c r="X1307" i="1" a="1"/>
  <c r="X1307" i="1" s="1"/>
  <c r="X1311" i="1" a="1"/>
  <c r="X1311" i="1" s="1"/>
  <c r="Z1311" i="1"/>
  <c r="X1321" i="1" a="1"/>
  <c r="X1321" i="1" s="1"/>
  <c r="Z1321" i="1"/>
  <c r="Z1342" i="1"/>
  <c r="X1342" i="1" a="1"/>
  <c r="X1342" i="1" s="1"/>
  <c r="Z1388" i="1"/>
  <c r="X1388" i="1" a="1"/>
  <c r="X1388" i="1" s="1"/>
  <c r="U1203" i="1"/>
  <c r="U1211" i="1"/>
  <c r="U1219" i="1"/>
  <c r="U1227" i="1"/>
  <c r="W1236" i="1"/>
  <c r="U1236" i="1"/>
  <c r="W1237" i="1"/>
  <c r="W1245" i="1"/>
  <c r="Z1249" i="1"/>
  <c r="U1251" i="1"/>
  <c r="Z1257" i="1"/>
  <c r="U1263" i="1"/>
  <c r="Z1285" i="1"/>
  <c r="X1285" i="1" a="1"/>
  <c r="X1285" i="1" s="1"/>
  <c r="Z1290" i="1"/>
  <c r="X1290" i="1" a="1"/>
  <c r="X1290" i="1" s="1"/>
  <c r="Z1305" i="1"/>
  <c r="X1305" i="1" a="1"/>
  <c r="X1305" i="1" s="1"/>
  <c r="Z1328" i="1"/>
  <c r="X1328" i="1" a="1"/>
  <c r="X1328" i="1" s="1"/>
  <c r="Z1333" i="1"/>
  <c r="X1333" i="1" a="1"/>
  <c r="X1333" i="1" s="1"/>
  <c r="X1345" i="1" a="1"/>
  <c r="X1345" i="1" s="1"/>
  <c r="Z1345" i="1"/>
  <c r="X1346" i="1" a="1"/>
  <c r="X1346" i="1" s="1"/>
  <c r="Z1346" i="1"/>
  <c r="Z1352" i="1"/>
  <c r="X1352" i="1" a="1"/>
  <c r="X1352" i="1" s="1"/>
  <c r="Z1358" i="1"/>
  <c r="X1358" i="1" a="1"/>
  <c r="X1358" i="1" s="1"/>
  <c r="X1361" i="1" a="1"/>
  <c r="X1361" i="1" s="1"/>
  <c r="Z1361" i="1"/>
  <c r="Z1370" i="1"/>
  <c r="X1370" i="1" a="1"/>
  <c r="X1370" i="1" s="1"/>
  <c r="X1396" i="1" a="1"/>
  <c r="X1396" i="1" s="1"/>
  <c r="Z1396" i="1"/>
  <c r="U1244" i="1"/>
  <c r="U1252" i="1"/>
  <c r="U1260" i="1"/>
  <c r="U1268" i="1"/>
  <c r="Z1270" i="1"/>
  <c r="U1276" i="1"/>
  <c r="Z1278" i="1"/>
  <c r="U1284" i="1"/>
  <c r="Z1286" i="1"/>
  <c r="U1292" i="1"/>
  <c r="Z1294" i="1"/>
  <c r="U1300" i="1"/>
  <c r="Z1302" i="1"/>
  <c r="U1308" i="1"/>
  <c r="Z1310" i="1"/>
  <c r="U1316" i="1"/>
  <c r="V1318" i="1"/>
  <c r="W1319" i="1"/>
  <c r="Z1322" i="1"/>
  <c r="T1323" i="1"/>
  <c r="V1326" i="1"/>
  <c r="W1327" i="1"/>
  <c r="Z1330" i="1"/>
  <c r="T1331" i="1"/>
  <c r="V1334" i="1"/>
  <c r="W1335" i="1"/>
  <c r="Z1338" i="1"/>
  <c r="T1339" i="1"/>
  <c r="V1342" i="1"/>
  <c r="W1343" i="1"/>
  <c r="T1347" i="1"/>
  <c r="V1350" i="1"/>
  <c r="W1351" i="1"/>
  <c r="T1355" i="1"/>
  <c r="V1358" i="1"/>
  <c r="W1359" i="1"/>
  <c r="T1363" i="1"/>
  <c r="W1365" i="1"/>
  <c r="W1369" i="1"/>
  <c r="W1375" i="1"/>
  <c r="W1381" i="1"/>
  <c r="T1383" i="1"/>
  <c r="Z1385" i="1"/>
  <c r="W1387" i="1"/>
  <c r="W1395" i="1"/>
  <c r="Z1409" i="1"/>
  <c r="X1409" i="1" a="1"/>
  <c r="X1409" i="1" s="1"/>
  <c r="Z1411" i="1"/>
  <c r="X1411" i="1" a="1"/>
  <c r="X1411" i="1" s="1"/>
  <c r="Z1424" i="1"/>
  <c r="X1424" i="1" a="1"/>
  <c r="X1424" i="1" s="1"/>
  <c r="Z1433" i="1"/>
  <c r="X1433" i="1" a="1"/>
  <c r="X1433" i="1" s="1"/>
  <c r="Z1453" i="1"/>
  <c r="X1453" i="1" a="1"/>
  <c r="X1453" i="1" s="1"/>
  <c r="Z1459" i="1"/>
  <c r="X1459" i="1" a="1"/>
  <c r="X1459" i="1" s="1"/>
  <c r="X1462" i="1" a="1"/>
  <c r="X1462" i="1" s="1"/>
  <c r="Z1462" i="1"/>
  <c r="Z1469" i="1"/>
  <c r="X1469" i="1" a="1"/>
  <c r="X1469" i="1" s="1"/>
  <c r="Z1474" i="1"/>
  <c r="X1474" i="1" a="1"/>
  <c r="X1474" i="1" s="1"/>
  <c r="W1358" i="1"/>
  <c r="X1365" i="1" a="1"/>
  <c r="X1365" i="1" s="1"/>
  <c r="Z1395" i="1"/>
  <c r="X1421" i="1" a="1"/>
  <c r="X1421" i="1" s="1"/>
  <c r="Z1421" i="1"/>
  <c r="Z1431" i="1"/>
  <c r="X1431" i="1" a="1"/>
  <c r="X1431" i="1" s="1"/>
  <c r="X1436" i="1" a="1"/>
  <c r="X1436" i="1" s="1"/>
  <c r="Z1436" i="1"/>
  <c r="Z1441" i="1"/>
  <c r="X1441" i="1" a="1"/>
  <c r="X1441" i="1" s="1"/>
  <c r="Z1475" i="1"/>
  <c r="X1475" i="1" a="1"/>
  <c r="X1475" i="1" s="1"/>
  <c r="X1478" i="1" a="1"/>
  <c r="X1478" i="1" s="1"/>
  <c r="Z1478" i="1"/>
  <c r="Z1487" i="1"/>
  <c r="X1487" i="1" a="1"/>
  <c r="X1487" i="1" s="1"/>
  <c r="Z1493" i="1"/>
  <c r="X1493" i="1" a="1"/>
  <c r="X1493" i="1" s="1"/>
  <c r="Z1280" i="1"/>
  <c r="Z1288" i="1"/>
  <c r="Z1296" i="1"/>
  <c r="Z1304" i="1"/>
  <c r="Z1312" i="1"/>
  <c r="W1317" i="1"/>
  <c r="X1318" i="1" a="1"/>
  <c r="X1318" i="1" s="1"/>
  <c r="U1323" i="1"/>
  <c r="W1325" i="1"/>
  <c r="U1331" i="1"/>
  <c r="W1333" i="1"/>
  <c r="U1339" i="1"/>
  <c r="W1341" i="1"/>
  <c r="U1347" i="1"/>
  <c r="W1349" i="1"/>
  <c r="U1355" i="1"/>
  <c r="U1363" i="1"/>
  <c r="Z1369" i="1"/>
  <c r="U1377" i="1"/>
  <c r="T1379" i="1"/>
  <c r="Z1381" i="1"/>
  <c r="U1383" i="1"/>
  <c r="U1389" i="1"/>
  <c r="X1398" i="1" a="1"/>
  <c r="X1398" i="1" s="1"/>
  <c r="Z1398" i="1"/>
  <c r="W1407" i="1"/>
  <c r="V1407" i="1"/>
  <c r="U1407" i="1"/>
  <c r="X1412" i="1" a="1"/>
  <c r="X1412" i="1" s="1"/>
  <c r="Z1412" i="1"/>
  <c r="Z1419" i="1"/>
  <c r="X1419" i="1" a="1"/>
  <c r="X1419" i="1" s="1"/>
  <c r="Z1432" i="1"/>
  <c r="X1432" i="1" a="1"/>
  <c r="X1432" i="1" s="1"/>
  <c r="Z1450" i="1"/>
  <c r="X1450" i="1" a="1"/>
  <c r="X1450" i="1" s="1"/>
  <c r="Z1479" i="1"/>
  <c r="X1479" i="1" a="1"/>
  <c r="X1479" i="1" s="1"/>
  <c r="V1347" i="1"/>
  <c r="V1355" i="1"/>
  <c r="W1363" i="1"/>
  <c r="W1377" i="1"/>
  <c r="W1383" i="1"/>
  <c r="W1389" i="1"/>
  <c r="X1405" i="1" a="1"/>
  <c r="X1405" i="1" s="1"/>
  <c r="Z1405" i="1"/>
  <c r="Z1407" i="1"/>
  <c r="Z1408" i="1"/>
  <c r="X1408" i="1" a="1"/>
  <c r="X1408" i="1" s="1"/>
  <c r="Z1417" i="1"/>
  <c r="X1417" i="1" a="1"/>
  <c r="X1417" i="1" s="1"/>
  <c r="X1429" i="1" a="1"/>
  <c r="X1429" i="1" s="1"/>
  <c r="Z1429" i="1"/>
  <c r="Z1445" i="1"/>
  <c r="X1445" i="1" a="1"/>
  <c r="X1445" i="1" s="1"/>
  <c r="Z1466" i="1"/>
  <c r="X1466" i="1" a="1"/>
  <c r="X1466" i="1" s="1"/>
  <c r="V1271" i="1"/>
  <c r="V1279" i="1"/>
  <c r="V1287" i="1"/>
  <c r="V1295" i="1"/>
  <c r="V1303" i="1"/>
  <c r="V1311" i="1"/>
  <c r="T1319" i="1"/>
  <c r="V1322" i="1"/>
  <c r="X1324" i="1" a="1"/>
  <c r="X1324" i="1" s="1"/>
  <c r="T1327" i="1"/>
  <c r="V1330" i="1"/>
  <c r="X1332" i="1" a="1"/>
  <c r="X1332" i="1" s="1"/>
  <c r="T1335" i="1"/>
  <c r="V1338" i="1"/>
  <c r="X1340" i="1" a="1"/>
  <c r="X1340" i="1" s="1"/>
  <c r="T1343" i="1"/>
  <c r="V1346" i="1"/>
  <c r="X1348" i="1" a="1"/>
  <c r="X1348" i="1" s="1"/>
  <c r="T1351" i="1"/>
  <c r="V1354" i="1"/>
  <c r="X1356" i="1" a="1"/>
  <c r="X1356" i="1" s="1"/>
  <c r="T1359" i="1"/>
  <c r="V1362" i="1"/>
  <c r="X1368" i="1" a="1"/>
  <c r="X1368" i="1" s="1"/>
  <c r="Z1371" i="1"/>
  <c r="U1373" i="1"/>
  <c r="X1374" i="1" a="1"/>
  <c r="X1374" i="1" s="1"/>
  <c r="U1379" i="1"/>
  <c r="X1380" i="1" a="1"/>
  <c r="X1380" i="1" s="1"/>
  <c r="X1386" i="1" a="1"/>
  <c r="X1386" i="1" s="1"/>
  <c r="V1391" i="1"/>
  <c r="U1391" i="1"/>
  <c r="X1394" i="1" a="1"/>
  <c r="X1394" i="1" s="1"/>
  <c r="Z1401" i="1"/>
  <c r="X1401" i="1" a="1"/>
  <c r="X1401" i="1" s="1"/>
  <c r="Z1403" i="1"/>
  <c r="X1403" i="1" a="1"/>
  <c r="X1403" i="1" s="1"/>
  <c r="X1420" i="1" a="1"/>
  <c r="X1420" i="1" s="1"/>
  <c r="Z1420" i="1"/>
  <c r="Z1427" i="1"/>
  <c r="X1427" i="1" a="1"/>
  <c r="X1427" i="1" s="1"/>
  <c r="X1454" i="1" a="1"/>
  <c r="X1454" i="1" s="1"/>
  <c r="Z1454" i="1"/>
  <c r="Z1461" i="1"/>
  <c r="X1461" i="1" a="1"/>
  <c r="X1461" i="1" s="1"/>
  <c r="Z1467" i="1"/>
  <c r="X1467" i="1" a="1"/>
  <c r="X1467" i="1" s="1"/>
  <c r="X1470" i="1" a="1"/>
  <c r="X1470" i="1" s="1"/>
  <c r="Z1470" i="1"/>
  <c r="Z1485" i="1"/>
  <c r="X1485" i="1" a="1"/>
  <c r="X1485" i="1" s="1"/>
  <c r="Z1491" i="1"/>
  <c r="X1491" i="1" a="1"/>
  <c r="X1491" i="1" s="1"/>
  <c r="U1281" i="1"/>
  <c r="U1289" i="1"/>
  <c r="U1297" i="1"/>
  <c r="U1305" i="1"/>
  <c r="U1313" i="1"/>
  <c r="U1321" i="1"/>
  <c r="U1329" i="1"/>
  <c r="U1337" i="1"/>
  <c r="U1345" i="1"/>
  <c r="U1353" i="1"/>
  <c r="U1361" i="1"/>
  <c r="W1373" i="1"/>
  <c r="T1375" i="1"/>
  <c r="Z1377" i="1"/>
  <c r="W1379" i="1"/>
  <c r="T1387" i="1"/>
  <c r="Z1393" i="1"/>
  <c r="X1393" i="1" a="1"/>
  <c r="X1393" i="1" s="1"/>
  <c r="Z1415" i="1"/>
  <c r="X1415" i="1" a="1"/>
  <c r="X1415" i="1" s="1"/>
  <c r="Z1425" i="1"/>
  <c r="X1425" i="1" a="1"/>
  <c r="X1425" i="1" s="1"/>
  <c r="Z1442" i="1"/>
  <c r="X1442" i="1" a="1"/>
  <c r="X1442" i="1" s="1"/>
  <c r="Z1477" i="1"/>
  <c r="X1477" i="1" a="1"/>
  <c r="X1477" i="1" s="1"/>
  <c r="V1281" i="1"/>
  <c r="V1289" i="1"/>
  <c r="V1297" i="1"/>
  <c r="V1305" i="1"/>
  <c r="V1313" i="1"/>
  <c r="W1321" i="1"/>
  <c r="W1329" i="1"/>
  <c r="W1337" i="1"/>
  <c r="W1345" i="1"/>
  <c r="W1353" i="1"/>
  <c r="W1399" i="1"/>
  <c r="V1399" i="1"/>
  <c r="U1399" i="1"/>
  <c r="X1404" i="1" a="1"/>
  <c r="X1404" i="1" s="1"/>
  <c r="Z1404" i="1"/>
  <c r="X1406" i="1" a="1"/>
  <c r="X1406" i="1" s="1"/>
  <c r="Z1406" i="1"/>
  <c r="Z1416" i="1"/>
  <c r="X1416" i="1" a="1"/>
  <c r="X1416" i="1" s="1"/>
  <c r="X1428" i="1" a="1"/>
  <c r="X1428" i="1" s="1"/>
  <c r="Z1428" i="1"/>
  <c r="X1437" i="1" a="1"/>
  <c r="X1437" i="1" s="1"/>
  <c r="Z1437" i="1"/>
  <c r="U1365" i="1"/>
  <c r="Z1367" i="1"/>
  <c r="U1369" i="1"/>
  <c r="Z1373" i="1"/>
  <c r="U1375" i="1"/>
  <c r="U1381" i="1"/>
  <c r="U1387" i="1"/>
  <c r="Z1391" i="1"/>
  <c r="U1395" i="1"/>
  <c r="W1397" i="1"/>
  <c r="V1397" i="1"/>
  <c r="X1397" i="1" a="1"/>
  <c r="X1397" i="1" s="1"/>
  <c r="Z1397" i="1"/>
  <c r="Z1399" i="1"/>
  <c r="Z1400" i="1"/>
  <c r="X1400" i="1" a="1"/>
  <c r="X1400" i="1" s="1"/>
  <c r="X1413" i="1" a="1"/>
  <c r="X1413" i="1" s="1"/>
  <c r="Z1413" i="1"/>
  <c r="Z1423" i="1"/>
  <c r="X1423" i="1" a="1"/>
  <c r="X1423" i="1" s="1"/>
  <c r="Z1435" i="1"/>
  <c r="X1435" i="1" a="1"/>
  <c r="X1435" i="1" s="1"/>
  <c r="X1446" i="1" a="1"/>
  <c r="X1446" i="1" s="1"/>
  <c r="Z1446" i="1"/>
  <c r="Z1458" i="1"/>
  <c r="X1458" i="1" a="1"/>
  <c r="X1458" i="1" s="1"/>
  <c r="U1370" i="1"/>
  <c r="U1378" i="1"/>
  <c r="U1386" i="1"/>
  <c r="U1394" i="1"/>
  <c r="U1402" i="1"/>
  <c r="U1410" i="1"/>
  <c r="U1418" i="1"/>
  <c r="U1426" i="1"/>
  <c r="U1434" i="1"/>
  <c r="Z1439" i="1"/>
  <c r="T1440" i="1"/>
  <c r="V1443" i="1"/>
  <c r="W1444" i="1"/>
  <c r="Z1447" i="1"/>
  <c r="T1448" i="1"/>
  <c r="V1451" i="1"/>
  <c r="W1452" i="1"/>
  <c r="Z1455" i="1"/>
  <c r="T1456" i="1"/>
  <c r="V1459" i="1"/>
  <c r="W1460" i="1"/>
  <c r="Z1463" i="1"/>
  <c r="T1464" i="1"/>
  <c r="V1467" i="1"/>
  <c r="W1468" i="1"/>
  <c r="Z1471" i="1"/>
  <c r="T1472" i="1"/>
  <c r="V1475" i="1"/>
  <c r="W1476" i="1"/>
  <c r="U1480" i="1"/>
  <c r="W1484" i="1"/>
  <c r="W1490" i="1"/>
  <c r="T1492" i="1"/>
  <c r="Z1504" i="1"/>
  <c r="X1504" i="1" a="1"/>
  <c r="X1504" i="1" s="1"/>
  <c r="Z1508" i="1"/>
  <c r="X1508" i="1" a="1"/>
  <c r="X1508" i="1" s="1"/>
  <c r="Z1510" i="1"/>
  <c r="X1510" i="1" a="1"/>
  <c r="X1510" i="1" s="1"/>
  <c r="Z1511" i="1"/>
  <c r="X1511" i="1" a="1"/>
  <c r="X1511" i="1" s="1"/>
  <c r="Z1524" i="1"/>
  <c r="X1524" i="1" a="1"/>
  <c r="X1524" i="1" s="1"/>
  <c r="Z1548" i="1"/>
  <c r="X1548" i="1" a="1"/>
  <c r="X1548" i="1" s="1"/>
  <c r="Z1568" i="1"/>
  <c r="X1568" i="1" a="1"/>
  <c r="X1568" i="1" s="1"/>
  <c r="Z1576" i="1"/>
  <c r="X1576" i="1" a="1"/>
  <c r="X1576" i="1" s="1"/>
  <c r="U1403" i="1"/>
  <c r="U1411" i="1"/>
  <c r="U1419" i="1"/>
  <c r="U1427" i="1"/>
  <c r="U1435" i="1"/>
  <c r="Z1438" i="1"/>
  <c r="U1442" i="1"/>
  <c r="W1479" i="1"/>
  <c r="U1479" i="1"/>
  <c r="Z1501" i="1"/>
  <c r="X1501" i="1" a="1"/>
  <c r="X1501" i="1" s="1"/>
  <c r="X1506" i="1" a="1"/>
  <c r="X1506" i="1" s="1"/>
  <c r="Z1506" i="1"/>
  <c r="X1522" i="1" a="1"/>
  <c r="X1522" i="1" s="1"/>
  <c r="Z1522" i="1"/>
  <c r="Z1534" i="1"/>
  <c r="X1534" i="1" a="1"/>
  <c r="X1534" i="1" s="1"/>
  <c r="Z1535" i="1"/>
  <c r="X1535" i="1" a="1"/>
  <c r="X1535" i="1" s="1"/>
  <c r="X1541" i="1" a="1"/>
  <c r="X1541" i="1" s="1"/>
  <c r="Z1541" i="1"/>
  <c r="Z1565" i="1"/>
  <c r="X1565" i="1" a="1"/>
  <c r="X1565" i="1" s="1"/>
  <c r="Z1572" i="1"/>
  <c r="X1572" i="1" a="1"/>
  <c r="X1572" i="1" s="1"/>
  <c r="Z1414" i="1"/>
  <c r="Z1422" i="1"/>
  <c r="Z1430" i="1"/>
  <c r="U1440" i="1"/>
  <c r="W1442" i="1"/>
  <c r="X1443" i="1" a="1"/>
  <c r="X1443" i="1" s="1"/>
  <c r="U1448" i="1"/>
  <c r="W1450" i="1"/>
  <c r="X1451" i="1" a="1"/>
  <c r="X1451" i="1" s="1"/>
  <c r="U1456" i="1"/>
  <c r="W1458" i="1"/>
  <c r="U1464" i="1"/>
  <c r="W1466" i="1"/>
  <c r="U1472" i="1"/>
  <c r="W1474" i="1"/>
  <c r="Z1484" i="1"/>
  <c r="U1486" i="1"/>
  <c r="T1488" i="1"/>
  <c r="Z1490" i="1"/>
  <c r="U1492" i="1"/>
  <c r="X1495" i="1" a="1"/>
  <c r="X1495" i="1" s="1"/>
  <c r="Z1528" i="1"/>
  <c r="X1528" i="1" a="1"/>
  <c r="X1528" i="1" s="1"/>
  <c r="Z1546" i="1"/>
  <c r="X1546" i="1" a="1"/>
  <c r="X1546" i="1" s="1"/>
  <c r="Z1574" i="1"/>
  <c r="X1574" i="1" a="1"/>
  <c r="X1574" i="1" s="1"/>
  <c r="Z1592" i="1"/>
  <c r="X1592" i="1" a="1"/>
  <c r="X1592" i="1" s="1"/>
  <c r="V1479" i="1"/>
  <c r="W1486" i="1"/>
  <c r="W1492" i="1"/>
  <c r="Z1496" i="1"/>
  <c r="X1496" i="1" a="1"/>
  <c r="X1496" i="1" s="1"/>
  <c r="Z1512" i="1"/>
  <c r="X1512" i="1" a="1"/>
  <c r="X1512" i="1" s="1"/>
  <c r="Z1532" i="1"/>
  <c r="X1532" i="1" a="1"/>
  <c r="X1532" i="1" s="1"/>
  <c r="Z1544" i="1"/>
  <c r="X1544" i="1" a="1"/>
  <c r="X1544" i="1" s="1"/>
  <c r="Z1552" i="1"/>
  <c r="X1552" i="1" a="1"/>
  <c r="X1552" i="1" s="1"/>
  <c r="V1405" i="1"/>
  <c r="V1413" i="1"/>
  <c r="V1421" i="1"/>
  <c r="V1429" i="1"/>
  <c r="V1437" i="1"/>
  <c r="V1439" i="1"/>
  <c r="T1444" i="1"/>
  <c r="V1447" i="1"/>
  <c r="X1449" i="1" a="1"/>
  <c r="X1449" i="1" s="1"/>
  <c r="T1452" i="1"/>
  <c r="V1455" i="1"/>
  <c r="X1457" i="1" a="1"/>
  <c r="X1457" i="1" s="1"/>
  <c r="T1460" i="1"/>
  <c r="V1463" i="1"/>
  <c r="X1465" i="1" a="1"/>
  <c r="X1465" i="1" s="1"/>
  <c r="T1468" i="1"/>
  <c r="V1471" i="1"/>
  <c r="X1473" i="1" a="1"/>
  <c r="X1473" i="1" s="1"/>
  <c r="T1476" i="1"/>
  <c r="Z1480" i="1"/>
  <c r="U1482" i="1"/>
  <c r="X1483" i="1" a="1"/>
  <c r="X1483" i="1" s="1"/>
  <c r="U1488" i="1"/>
  <c r="X1489" i="1" a="1"/>
  <c r="X1489" i="1" s="1"/>
  <c r="U1494" i="1"/>
  <c r="V1494" i="1"/>
  <c r="Z1516" i="1"/>
  <c r="X1516" i="1" a="1"/>
  <c r="X1516" i="1" s="1"/>
  <c r="Z1518" i="1"/>
  <c r="X1518" i="1" a="1"/>
  <c r="X1518" i="1" s="1"/>
  <c r="Z1519" i="1"/>
  <c r="X1519" i="1" a="1"/>
  <c r="X1519" i="1" s="1"/>
  <c r="X1530" i="1" a="1"/>
  <c r="X1530" i="1" s="1"/>
  <c r="Z1530" i="1"/>
  <c r="Z1533" i="1"/>
  <c r="X1533" i="1" a="1"/>
  <c r="X1533" i="1" s="1"/>
  <c r="Z1536" i="1"/>
  <c r="X1536" i="1" a="1"/>
  <c r="X1536" i="1" s="1"/>
  <c r="Z1542" i="1"/>
  <c r="X1542" i="1" a="1"/>
  <c r="X1542" i="1" s="1"/>
  <c r="Z1569" i="1"/>
  <c r="X1569" i="1" a="1"/>
  <c r="X1569" i="1" s="1"/>
  <c r="Z1570" i="1"/>
  <c r="X1570" i="1" a="1"/>
  <c r="X1570" i="1" s="1"/>
  <c r="U1415" i="1"/>
  <c r="U1423" i="1"/>
  <c r="U1431" i="1"/>
  <c r="U1446" i="1"/>
  <c r="U1454" i="1"/>
  <c r="U1462" i="1"/>
  <c r="U1470" i="1"/>
  <c r="U1478" i="1"/>
  <c r="W1482" i="1"/>
  <c r="Z1486" i="1"/>
  <c r="W1488" i="1"/>
  <c r="Z1500" i="1"/>
  <c r="X1500" i="1" a="1"/>
  <c r="X1500" i="1" s="1"/>
  <c r="U1502" i="1"/>
  <c r="W1502" i="1"/>
  <c r="V1502" i="1"/>
  <c r="Z1502" i="1"/>
  <c r="X1502" i="1" a="1"/>
  <c r="X1502" i="1" s="1"/>
  <c r="Z1503" i="1"/>
  <c r="X1503" i="1" a="1"/>
  <c r="X1503" i="1" s="1"/>
  <c r="X1514" i="1" a="1"/>
  <c r="X1514" i="1" s="1"/>
  <c r="Z1514" i="1"/>
  <c r="X1549" i="1" a="1"/>
  <c r="X1549" i="1" s="1"/>
  <c r="Z1549" i="1"/>
  <c r="X1558" i="1" a="1"/>
  <c r="X1558" i="1" s="1"/>
  <c r="Z1558" i="1"/>
  <c r="Z1562" i="1"/>
  <c r="X1562" i="1" a="1"/>
  <c r="X1562" i="1" s="1"/>
  <c r="X1602" i="1" a="1"/>
  <c r="X1602" i="1" s="1"/>
  <c r="Z1602" i="1"/>
  <c r="V1415" i="1"/>
  <c r="V1423" i="1"/>
  <c r="V1431" i="1"/>
  <c r="W1446" i="1"/>
  <c r="U1452" i="1"/>
  <c r="W1454" i="1"/>
  <c r="U1460" i="1"/>
  <c r="W1462" i="1"/>
  <c r="U1468" i="1"/>
  <c r="W1470" i="1"/>
  <c r="U1476" i="1"/>
  <c r="W1478" i="1"/>
  <c r="X1498" i="1" a="1"/>
  <c r="X1498" i="1" s="1"/>
  <c r="Z1498" i="1"/>
  <c r="X1538" i="1" a="1"/>
  <c r="X1538" i="1" s="1"/>
  <c r="Z1538" i="1"/>
  <c r="Z1580" i="1"/>
  <c r="X1580" i="1" a="1"/>
  <c r="X1580" i="1" s="1"/>
  <c r="Z1482" i="1"/>
  <c r="U1484" i="1"/>
  <c r="U1490" i="1"/>
  <c r="Z1520" i="1"/>
  <c r="X1520" i="1" a="1"/>
  <c r="X1520" i="1" s="1"/>
  <c r="Z1526" i="1"/>
  <c r="X1526" i="1" a="1"/>
  <c r="X1526" i="1" s="1"/>
  <c r="Z1527" i="1"/>
  <c r="X1527" i="1" a="1"/>
  <c r="X1527" i="1" s="1"/>
  <c r="Z1553" i="1"/>
  <c r="X1553" i="1" a="1"/>
  <c r="X1553" i="1" s="1"/>
  <c r="Z1554" i="1"/>
  <c r="X1554" i="1" a="1"/>
  <c r="X1554" i="1" s="1"/>
  <c r="Z1578" i="1"/>
  <c r="X1578" i="1" a="1"/>
  <c r="X1578" i="1" s="1"/>
  <c r="Z1586" i="1"/>
  <c r="X1586" i="1" a="1"/>
  <c r="X1586" i="1" s="1"/>
  <c r="X1593" i="1" a="1"/>
  <c r="X1593" i="1" s="1"/>
  <c r="Z1593" i="1"/>
  <c r="U1487" i="1"/>
  <c r="U1495" i="1"/>
  <c r="U1503" i="1"/>
  <c r="V1510" i="1"/>
  <c r="U1511" i="1"/>
  <c r="V1518" i="1"/>
  <c r="U1519" i="1"/>
  <c r="V1526" i="1"/>
  <c r="U1527" i="1"/>
  <c r="V1534" i="1"/>
  <c r="U1535" i="1"/>
  <c r="T1539" i="1"/>
  <c r="U1545" i="1"/>
  <c r="W1546" i="1"/>
  <c r="Z1550" i="1"/>
  <c r="T1551" i="1"/>
  <c r="V1554" i="1"/>
  <c r="W1555" i="1"/>
  <c r="X1557" i="1" a="1"/>
  <c r="X1557" i="1" s="1"/>
  <c r="Z1559" i="1"/>
  <c r="W1565" i="1"/>
  <c r="X1566" i="1" a="1"/>
  <c r="X1566" i="1" s="1"/>
  <c r="U1571" i="1"/>
  <c r="U1573" i="1"/>
  <c r="W1574" i="1"/>
  <c r="Z1577" i="1"/>
  <c r="V1587" i="1"/>
  <c r="U1587" i="1"/>
  <c r="W1594" i="1"/>
  <c r="V1594" i="1"/>
  <c r="U1594" i="1"/>
  <c r="X1612" i="1" a="1"/>
  <c r="X1612" i="1" s="1"/>
  <c r="Z1612" i="1"/>
  <c r="Z1635" i="1"/>
  <c r="X1635" i="1" a="1"/>
  <c r="X1635" i="1" s="1"/>
  <c r="X1644" i="1" a="1"/>
  <c r="X1644" i="1" s="1"/>
  <c r="Z1644" i="1"/>
  <c r="Z1667" i="1"/>
  <c r="X1667" i="1" a="1"/>
  <c r="X1667" i="1" s="1"/>
  <c r="X1676" i="1" a="1"/>
  <c r="X1676" i="1" s="1"/>
  <c r="Z1676" i="1"/>
  <c r="Z1682" i="1"/>
  <c r="X1682" i="1" a="1"/>
  <c r="X1682" i="1" s="1"/>
  <c r="X1686" i="1" a="1"/>
  <c r="X1686" i="1" s="1"/>
  <c r="Z1686" i="1"/>
  <c r="X1719" i="1" a="1"/>
  <c r="X1719" i="1" s="1"/>
  <c r="Z1719" i="1"/>
  <c r="U1504" i="1"/>
  <c r="X1509" i="1" a="1"/>
  <c r="X1509" i="1" s="1"/>
  <c r="W1510" i="1"/>
  <c r="U1512" i="1"/>
  <c r="X1517" i="1" a="1"/>
  <c r="X1517" i="1" s="1"/>
  <c r="W1518" i="1"/>
  <c r="U1520" i="1"/>
  <c r="X1525" i="1" a="1"/>
  <c r="X1525" i="1" s="1"/>
  <c r="W1526" i="1"/>
  <c r="U1528" i="1"/>
  <c r="W1534" i="1"/>
  <c r="U1536" i="1"/>
  <c r="U1553" i="1"/>
  <c r="X1556" i="1" a="1"/>
  <c r="X1556" i="1" s="1"/>
  <c r="V1562" i="1"/>
  <c r="V1571" i="1"/>
  <c r="Z1600" i="1"/>
  <c r="X1600" i="1" a="1"/>
  <c r="X1600" i="1" s="1"/>
  <c r="W1602" i="1"/>
  <c r="V1602" i="1"/>
  <c r="U1602" i="1"/>
  <c r="Z1607" i="1"/>
  <c r="X1607" i="1" a="1"/>
  <c r="X1607" i="1" s="1"/>
  <c r="Z1624" i="1"/>
  <c r="X1624" i="1" a="1"/>
  <c r="X1624" i="1" s="1"/>
  <c r="Z1626" i="1"/>
  <c r="X1626" i="1" a="1"/>
  <c r="X1626" i="1" s="1"/>
  <c r="Z1639" i="1"/>
  <c r="X1639" i="1" a="1"/>
  <c r="X1639" i="1" s="1"/>
  <c r="Z1656" i="1"/>
  <c r="X1656" i="1" a="1"/>
  <c r="X1656" i="1" s="1"/>
  <c r="Z1658" i="1"/>
  <c r="X1658" i="1" a="1"/>
  <c r="X1658" i="1" s="1"/>
  <c r="Z1671" i="1"/>
  <c r="X1671" i="1" a="1"/>
  <c r="X1671" i="1" s="1"/>
  <c r="Z1499" i="1"/>
  <c r="Z1507" i="1"/>
  <c r="Z1515" i="1"/>
  <c r="Z1523" i="1"/>
  <c r="Z1531" i="1"/>
  <c r="U1539" i="1"/>
  <c r="X1545" i="1" a="1"/>
  <c r="X1545" i="1" s="1"/>
  <c r="Z1547" i="1"/>
  <c r="U1551" i="1"/>
  <c r="W1553" i="1"/>
  <c r="W1562" i="1"/>
  <c r="X1564" i="1" a="1"/>
  <c r="X1564" i="1" s="1"/>
  <c r="T1567" i="1"/>
  <c r="X1573" i="1" a="1"/>
  <c r="X1573" i="1" s="1"/>
  <c r="Z1575" i="1"/>
  <c r="T1583" i="1"/>
  <c r="Z1584" i="1"/>
  <c r="X1584" i="1" a="1"/>
  <c r="X1584" i="1" s="1"/>
  <c r="Z1585" i="1"/>
  <c r="X1594" i="1" a="1"/>
  <c r="X1594" i="1" s="1"/>
  <c r="Z1627" i="1"/>
  <c r="X1627" i="1" a="1"/>
  <c r="X1627" i="1" s="1"/>
  <c r="X1636" i="1" a="1"/>
  <c r="X1636" i="1" s="1"/>
  <c r="Z1636" i="1"/>
  <c r="Z1659" i="1"/>
  <c r="X1659" i="1" a="1"/>
  <c r="X1659" i="1" s="1"/>
  <c r="X1668" i="1" a="1"/>
  <c r="X1668" i="1" s="1"/>
  <c r="Z1668" i="1"/>
  <c r="X1680" i="1" a="1"/>
  <c r="X1680" i="1" s="1"/>
  <c r="Z1680" i="1"/>
  <c r="Z1685" i="1"/>
  <c r="X1685" i="1" a="1"/>
  <c r="X1685" i="1" s="1"/>
  <c r="Z1689" i="1"/>
  <c r="X1689" i="1" a="1"/>
  <c r="X1689" i="1" s="1"/>
  <c r="Z1710" i="1"/>
  <c r="X1710" i="1" a="1"/>
  <c r="X1710" i="1" s="1"/>
  <c r="V1551" i="1"/>
  <c r="U1569" i="1"/>
  <c r="W1586" i="1"/>
  <c r="V1586" i="1"/>
  <c r="U1586" i="1"/>
  <c r="W1593" i="1"/>
  <c r="V1593" i="1"/>
  <c r="Z1609" i="1"/>
  <c r="X1609" i="1" a="1"/>
  <c r="X1609" i="1" s="1"/>
  <c r="Z1616" i="1"/>
  <c r="X1616" i="1" a="1"/>
  <c r="X1616" i="1" s="1"/>
  <c r="Z1618" i="1"/>
  <c r="X1618" i="1" a="1"/>
  <c r="X1618" i="1" s="1"/>
  <c r="Z1631" i="1"/>
  <c r="X1631" i="1" a="1"/>
  <c r="X1631" i="1" s="1"/>
  <c r="Z1648" i="1"/>
  <c r="X1648" i="1" a="1"/>
  <c r="X1648" i="1" s="1"/>
  <c r="Z1650" i="1"/>
  <c r="X1650" i="1" a="1"/>
  <c r="X1650" i="1" s="1"/>
  <c r="Z1663" i="1"/>
  <c r="X1663" i="1" a="1"/>
  <c r="X1663" i="1" s="1"/>
  <c r="Z1683" i="1"/>
  <c r="X1683" i="1" a="1"/>
  <c r="X1683" i="1" s="1"/>
  <c r="Z1711" i="1"/>
  <c r="X1711" i="1" a="1"/>
  <c r="X1711" i="1" s="1"/>
  <c r="W1538" i="1"/>
  <c r="W1542" i="1"/>
  <c r="V1550" i="1"/>
  <c r="T1555" i="1"/>
  <c r="X1561" i="1" a="1"/>
  <c r="X1561" i="1" s="1"/>
  <c r="Z1563" i="1"/>
  <c r="U1567" i="1"/>
  <c r="W1569" i="1"/>
  <c r="U1577" i="1"/>
  <c r="W1578" i="1"/>
  <c r="U1583" i="1"/>
  <c r="Z1587" i="1"/>
  <c r="T1595" i="1"/>
  <c r="T1599" i="1"/>
  <c r="T1603" i="1"/>
  <c r="Z1619" i="1"/>
  <c r="X1619" i="1" a="1"/>
  <c r="X1619" i="1" s="1"/>
  <c r="X1628" i="1" a="1"/>
  <c r="X1628" i="1" s="1"/>
  <c r="Z1628" i="1"/>
  <c r="Z1651" i="1"/>
  <c r="X1651" i="1" a="1"/>
  <c r="X1651" i="1" s="1"/>
  <c r="X1660" i="1" a="1"/>
  <c r="X1660" i="1" s="1"/>
  <c r="Z1660" i="1"/>
  <c r="X1695" i="1" a="1"/>
  <c r="X1695" i="1" s="1"/>
  <c r="Z1695" i="1"/>
  <c r="Z1709" i="1"/>
  <c r="X1709" i="1" a="1"/>
  <c r="X1709" i="1" s="1"/>
  <c r="U1524" i="1"/>
  <c r="U1532" i="1"/>
  <c r="V1595" i="1"/>
  <c r="U1595" i="1"/>
  <c r="W1603" i="1"/>
  <c r="V1603" i="1"/>
  <c r="U1603" i="1"/>
  <c r="Z1608" i="1"/>
  <c r="X1608" i="1" a="1"/>
  <c r="X1608" i="1" s="1"/>
  <c r="W1610" i="1"/>
  <c r="V1610" i="1"/>
  <c r="U1610" i="1"/>
  <c r="Z1610" i="1"/>
  <c r="X1610" i="1" a="1"/>
  <c r="X1610" i="1" s="1"/>
  <c r="Z1623" i="1"/>
  <c r="X1623" i="1" a="1"/>
  <c r="X1623" i="1" s="1"/>
  <c r="Z1640" i="1"/>
  <c r="X1640" i="1" a="1"/>
  <c r="X1640" i="1" s="1"/>
  <c r="Z1642" i="1"/>
  <c r="X1642" i="1" a="1"/>
  <c r="X1642" i="1" s="1"/>
  <c r="Z1655" i="1"/>
  <c r="X1655" i="1" a="1"/>
  <c r="X1655" i="1" s="1"/>
  <c r="Z1672" i="1"/>
  <c r="X1672" i="1" a="1"/>
  <c r="X1672" i="1" s="1"/>
  <c r="Z1674" i="1"/>
  <c r="X1674" i="1" a="1"/>
  <c r="X1674" i="1" s="1"/>
  <c r="Z1681" i="1"/>
  <c r="X1681" i="1" a="1"/>
  <c r="X1681" i="1" s="1"/>
  <c r="Z1699" i="1"/>
  <c r="X1699" i="1" a="1"/>
  <c r="X1699" i="1" s="1"/>
  <c r="V1500" i="1"/>
  <c r="V1508" i="1"/>
  <c r="V1516" i="1"/>
  <c r="V1524" i="1"/>
  <c r="V1532" i="1"/>
  <c r="Z1543" i="1"/>
  <c r="W1549" i="1"/>
  <c r="U1555" i="1"/>
  <c r="W1558" i="1"/>
  <c r="T1571" i="1"/>
  <c r="Z1579" i="1"/>
  <c r="W1585" i="1"/>
  <c r="V1585" i="1"/>
  <c r="X1590" i="1" a="1"/>
  <c r="X1590" i="1" s="1"/>
  <c r="W1595" i="1"/>
  <c r="X1596" i="1" a="1"/>
  <c r="X1596" i="1" s="1"/>
  <c r="V1599" i="1"/>
  <c r="Z1611" i="1"/>
  <c r="X1611" i="1" a="1"/>
  <c r="X1611" i="1" s="1"/>
  <c r="X1620" i="1" a="1"/>
  <c r="X1620" i="1" s="1"/>
  <c r="Z1620" i="1"/>
  <c r="Z1643" i="1"/>
  <c r="X1643" i="1" a="1"/>
  <c r="X1643" i="1" s="1"/>
  <c r="X1652" i="1" a="1"/>
  <c r="X1652" i="1" s="1"/>
  <c r="Z1652" i="1"/>
  <c r="Z1675" i="1"/>
  <c r="X1675" i="1" a="1"/>
  <c r="X1675" i="1" s="1"/>
  <c r="Z1690" i="1"/>
  <c r="X1690" i="1" a="1"/>
  <c r="X1690" i="1" s="1"/>
  <c r="Z1691" i="1"/>
  <c r="X1691" i="1" a="1"/>
  <c r="X1691" i="1" s="1"/>
  <c r="V1546" i="1"/>
  <c r="U1565" i="1"/>
  <c r="V1574" i="1"/>
  <c r="W1599" i="1"/>
  <c r="Z1601" i="1"/>
  <c r="X1601" i="1" a="1"/>
  <c r="X1601" i="1" s="1"/>
  <c r="X1604" i="1" a="1"/>
  <c r="X1604" i="1" s="1"/>
  <c r="Z1604" i="1"/>
  <c r="Z1615" i="1"/>
  <c r="X1615" i="1" a="1"/>
  <c r="X1615" i="1" s="1"/>
  <c r="Z1632" i="1"/>
  <c r="X1632" i="1" a="1"/>
  <c r="X1632" i="1" s="1"/>
  <c r="Z1634" i="1"/>
  <c r="X1634" i="1" a="1"/>
  <c r="X1634" i="1" s="1"/>
  <c r="Z1647" i="1"/>
  <c r="X1647" i="1" a="1"/>
  <c r="X1647" i="1" s="1"/>
  <c r="Z1664" i="1"/>
  <c r="X1664" i="1" a="1"/>
  <c r="X1664" i="1" s="1"/>
  <c r="Z1666" i="1"/>
  <c r="X1666" i="1" a="1"/>
  <c r="X1666" i="1" s="1"/>
  <c r="Z1679" i="1"/>
  <c r="X1679" i="1" a="1"/>
  <c r="X1679" i="1" s="1"/>
  <c r="Z1707" i="1"/>
  <c r="X1707" i="1" a="1"/>
  <c r="X1707" i="1" s="1"/>
  <c r="V1601" i="1"/>
  <c r="V1609" i="1"/>
  <c r="V1617" i="1"/>
  <c r="U1618" i="1"/>
  <c r="V1625" i="1"/>
  <c r="U1626" i="1"/>
  <c r="V1633" i="1"/>
  <c r="U1634" i="1"/>
  <c r="V1641" i="1"/>
  <c r="U1642" i="1"/>
  <c r="V1649" i="1"/>
  <c r="U1650" i="1"/>
  <c r="V1657" i="1"/>
  <c r="U1658" i="1"/>
  <c r="V1665" i="1"/>
  <c r="U1666" i="1"/>
  <c r="V1673" i="1"/>
  <c r="U1674" i="1"/>
  <c r="T1688" i="1"/>
  <c r="V1691" i="1"/>
  <c r="W1692" i="1"/>
  <c r="X1694" i="1" a="1"/>
  <c r="X1694" i="1" s="1"/>
  <c r="V1700" i="1"/>
  <c r="W1702" i="1"/>
  <c r="X1703" i="1" a="1"/>
  <c r="X1703" i="1" s="1"/>
  <c r="U1708" i="1"/>
  <c r="U1710" i="1"/>
  <c r="W1711" i="1"/>
  <c r="Z1720" i="1"/>
  <c r="X1720" i="1" a="1"/>
  <c r="X1720" i="1" s="1"/>
  <c r="Z1724" i="1"/>
  <c r="X1724" i="1" a="1"/>
  <c r="X1724" i="1" s="1"/>
  <c r="Z1739" i="1"/>
  <c r="X1739" i="1" a="1"/>
  <c r="X1739" i="1" s="1"/>
  <c r="Z1750" i="1"/>
  <c r="X1750" i="1" a="1"/>
  <c r="X1750" i="1" s="1"/>
  <c r="Z1753" i="1"/>
  <c r="X1753" i="1" a="1"/>
  <c r="X1753" i="1" s="1"/>
  <c r="Z1767" i="1"/>
  <c r="X1767" i="1" a="1"/>
  <c r="X1767" i="1" s="1"/>
  <c r="U1611" i="1"/>
  <c r="V1618" i="1"/>
  <c r="U1619" i="1"/>
  <c r="V1626" i="1"/>
  <c r="U1627" i="1"/>
  <c r="V1634" i="1"/>
  <c r="U1635" i="1"/>
  <c r="V1642" i="1"/>
  <c r="U1643" i="1"/>
  <c r="V1650" i="1"/>
  <c r="U1651" i="1"/>
  <c r="V1658" i="1"/>
  <c r="U1659" i="1"/>
  <c r="V1666" i="1"/>
  <c r="U1667" i="1"/>
  <c r="V1674" i="1"/>
  <c r="U1675" i="1"/>
  <c r="U1690" i="1"/>
  <c r="W1691" i="1"/>
  <c r="X1693" i="1" a="1"/>
  <c r="X1693" i="1" s="1"/>
  <c r="T1696" i="1"/>
  <c r="V1699" i="1"/>
  <c r="W1700" i="1"/>
  <c r="X1702" i="1" a="1"/>
  <c r="X1702" i="1" s="1"/>
  <c r="Z1704" i="1"/>
  <c r="V1708" i="1"/>
  <c r="W1710" i="1"/>
  <c r="X1718" i="1" a="1"/>
  <c r="X1718" i="1" s="1"/>
  <c r="V1720" i="1"/>
  <c r="U1720" i="1"/>
  <c r="Z1761" i="1"/>
  <c r="X1761" i="1" a="1"/>
  <c r="X1761" i="1" s="1"/>
  <c r="Z1783" i="1"/>
  <c r="X1783" i="1" a="1"/>
  <c r="X1783" i="1" s="1"/>
  <c r="V1611" i="1"/>
  <c r="X1617" i="1" a="1"/>
  <c r="X1617" i="1" s="1"/>
  <c r="V1619" i="1"/>
  <c r="X1625" i="1" a="1"/>
  <c r="X1625" i="1" s="1"/>
  <c r="V1627" i="1"/>
  <c r="X1633" i="1" a="1"/>
  <c r="X1633" i="1" s="1"/>
  <c r="V1635" i="1"/>
  <c r="X1641" i="1" a="1"/>
  <c r="X1641" i="1" s="1"/>
  <c r="V1643" i="1"/>
  <c r="X1649" i="1" a="1"/>
  <c r="X1649" i="1" s="1"/>
  <c r="V1651" i="1"/>
  <c r="X1657" i="1" a="1"/>
  <c r="X1657" i="1" s="1"/>
  <c r="V1659" i="1"/>
  <c r="X1665" i="1" a="1"/>
  <c r="X1665" i="1" s="1"/>
  <c r="V1667" i="1"/>
  <c r="X1673" i="1" a="1"/>
  <c r="X1673" i="1" s="1"/>
  <c r="V1675" i="1"/>
  <c r="Z1684" i="1"/>
  <c r="W1690" i="1"/>
  <c r="W1699" i="1"/>
  <c r="X1701" i="1" a="1"/>
  <c r="X1701" i="1" s="1"/>
  <c r="X1713" i="1" a="1"/>
  <c r="X1713" i="1" s="1"/>
  <c r="Z1713" i="1"/>
  <c r="Z1735" i="1"/>
  <c r="X1735" i="1" a="1"/>
  <c r="X1735" i="1" s="1"/>
  <c r="X1746" i="1" a="1"/>
  <c r="X1746" i="1" s="1"/>
  <c r="Z1746" i="1"/>
  <c r="X1763" i="1" a="1"/>
  <c r="X1763" i="1" s="1"/>
  <c r="Z1763" i="1"/>
  <c r="Z1773" i="1"/>
  <c r="X1773" i="1" a="1"/>
  <c r="X1773" i="1" s="1"/>
  <c r="U1696" i="1"/>
  <c r="V1719" i="1"/>
  <c r="U1719" i="1"/>
  <c r="X1721" i="1" a="1"/>
  <c r="X1721" i="1" s="1"/>
  <c r="Z1721" i="1"/>
  <c r="Z1758" i="1"/>
  <c r="X1758" i="1" a="1"/>
  <c r="X1758" i="1" s="1"/>
  <c r="V1687" i="1"/>
  <c r="T1692" i="1"/>
  <c r="V1696" i="1"/>
  <c r="U1704" i="1"/>
  <c r="W1706" i="1"/>
  <c r="V1716" i="1"/>
  <c r="Z1725" i="1"/>
  <c r="X1725" i="1" a="1"/>
  <c r="X1725" i="1" s="1"/>
  <c r="Z1727" i="1"/>
  <c r="X1727" i="1" a="1"/>
  <c r="X1727" i="1" s="1"/>
  <c r="Z1749" i="1"/>
  <c r="X1749" i="1" a="1"/>
  <c r="X1749" i="1" s="1"/>
  <c r="Z1759" i="1"/>
  <c r="X1759" i="1" a="1"/>
  <c r="X1759" i="1" s="1"/>
  <c r="Z1771" i="1"/>
  <c r="X1771" i="1" a="1"/>
  <c r="X1771" i="1" s="1"/>
  <c r="U1679" i="1"/>
  <c r="U1686" i="1"/>
  <c r="T1700" i="1"/>
  <c r="X1706" i="1" a="1"/>
  <c r="X1706" i="1" s="1"/>
  <c r="Z1708" i="1"/>
  <c r="V1715" i="1"/>
  <c r="U1715" i="1"/>
  <c r="W1716" i="1"/>
  <c r="W1719" i="1"/>
  <c r="Z1728" i="1"/>
  <c r="X1728" i="1" a="1"/>
  <c r="X1728" i="1" s="1"/>
  <c r="Z1731" i="1"/>
  <c r="X1731" i="1" a="1"/>
  <c r="X1731" i="1" s="1"/>
  <c r="Z1743" i="1"/>
  <c r="X1743" i="1" a="1"/>
  <c r="X1743" i="1" s="1"/>
  <c r="X1754" i="1" a="1"/>
  <c r="X1754" i="1" s="1"/>
  <c r="Z1754" i="1"/>
  <c r="U1702" i="1"/>
  <c r="V1711" i="1"/>
  <c r="Z1716" i="1"/>
  <c r="Z1717" i="1"/>
  <c r="X1717" i="1" a="1"/>
  <c r="X1717" i="1" s="1"/>
  <c r="X1729" i="1" a="1"/>
  <c r="X1729" i="1" s="1"/>
  <c r="Z1729" i="1"/>
  <c r="Z1757" i="1"/>
  <c r="X1757" i="1" a="1"/>
  <c r="X1757" i="1" s="1"/>
  <c r="Z1775" i="1"/>
  <c r="X1775" i="1" a="1"/>
  <c r="X1775" i="1" s="1"/>
  <c r="V1718" i="1"/>
  <c r="V1726" i="1"/>
  <c r="U1727" i="1"/>
  <c r="U1732" i="1"/>
  <c r="W1734" i="1"/>
  <c r="U1740" i="1"/>
  <c r="W1742" i="1"/>
  <c r="U1750" i="1"/>
  <c r="W1751" i="1"/>
  <c r="T1756" i="1"/>
  <c r="V1759" i="1"/>
  <c r="V1768" i="1"/>
  <c r="W1770" i="1"/>
  <c r="W1774" i="1"/>
  <c r="W1784" i="1"/>
  <c r="V1784" i="1"/>
  <c r="U1784" i="1"/>
  <c r="Z1784" i="1"/>
  <c r="X1784" i="1" a="1"/>
  <c r="X1784" i="1" s="1"/>
  <c r="W1795" i="1"/>
  <c r="V1795" i="1"/>
  <c r="U1795" i="1"/>
  <c r="X1799" i="1" a="1"/>
  <c r="X1799" i="1" s="1"/>
  <c r="X1805" i="1" a="1"/>
  <c r="X1805" i="1" s="1"/>
  <c r="Z1805" i="1"/>
  <c r="V1727" i="1"/>
  <c r="U1728" i="1"/>
  <c r="V1732" i="1"/>
  <c r="X1734" i="1" a="1"/>
  <c r="X1734" i="1" s="1"/>
  <c r="Z1736" i="1"/>
  <c r="V1740" i="1"/>
  <c r="X1742" i="1" a="1"/>
  <c r="X1742" i="1" s="1"/>
  <c r="Z1744" i="1"/>
  <c r="W1750" i="1"/>
  <c r="X1751" i="1" a="1"/>
  <c r="X1751" i="1" s="1"/>
  <c r="U1758" i="1"/>
  <c r="W1759" i="1"/>
  <c r="T1764" i="1"/>
  <c r="V1767" i="1"/>
  <c r="W1768" i="1"/>
  <c r="X1770" i="1" a="1"/>
  <c r="X1770" i="1" s="1"/>
  <c r="Z1785" i="1"/>
  <c r="X1785" i="1" a="1"/>
  <c r="X1785" i="1" s="1"/>
  <c r="X1788" i="1" a="1"/>
  <c r="X1788" i="1" s="1"/>
  <c r="Z1788" i="1"/>
  <c r="X1821" i="1" a="1"/>
  <c r="X1821" i="1" s="1"/>
  <c r="Z1821" i="1"/>
  <c r="X1726" i="1" a="1"/>
  <c r="X1726" i="1" s="1"/>
  <c r="V1728" i="1"/>
  <c r="Z1752" i="1"/>
  <c r="W1758" i="1"/>
  <c r="W1767" i="1"/>
  <c r="X1769" i="1" a="1"/>
  <c r="X1769" i="1" s="1"/>
  <c r="Z1774" i="1"/>
  <c r="X1777" i="1" a="1"/>
  <c r="X1777" i="1" s="1"/>
  <c r="W1785" i="1"/>
  <c r="V1785" i="1"/>
  <c r="U1785" i="1"/>
  <c r="Z1837" i="1"/>
  <c r="X1837" i="1" a="1"/>
  <c r="X1837" i="1" s="1"/>
  <c r="U1764" i="1"/>
  <c r="X1786" i="1" a="1"/>
  <c r="X1786" i="1" s="1"/>
  <c r="Z1786" i="1"/>
  <c r="X1796" i="1" a="1"/>
  <c r="X1796" i="1" s="1"/>
  <c r="Z1796" i="1"/>
  <c r="V1714" i="1"/>
  <c r="V1722" i="1"/>
  <c r="U1723" i="1"/>
  <c r="W1730" i="1"/>
  <c r="U1736" i="1"/>
  <c r="W1738" i="1"/>
  <c r="U1744" i="1"/>
  <c r="U1746" i="1"/>
  <c r="W1747" i="1"/>
  <c r="V1755" i="1"/>
  <c r="T1760" i="1"/>
  <c r="V1764" i="1"/>
  <c r="U1772" i="1"/>
  <c r="Z1776" i="1"/>
  <c r="X1779" i="1" a="1"/>
  <c r="X1779" i="1" s="1"/>
  <c r="W1786" i="1"/>
  <c r="V1786" i="1"/>
  <c r="U1786" i="1"/>
  <c r="X1804" i="1" a="1"/>
  <c r="X1804" i="1" s="1"/>
  <c r="Z1804" i="1"/>
  <c r="Z1815" i="1"/>
  <c r="X1815" i="1" a="1"/>
  <c r="X1815" i="1" s="1"/>
  <c r="X1730" i="1" a="1"/>
  <c r="X1730" i="1" s="1"/>
  <c r="Z1732" i="1"/>
  <c r="X1738" i="1" a="1"/>
  <c r="X1738" i="1" s="1"/>
  <c r="Z1740" i="1"/>
  <c r="W1746" i="1"/>
  <c r="U1754" i="1"/>
  <c r="W1755" i="1"/>
  <c r="V1763" i="1"/>
  <c r="X1765" i="1" a="1"/>
  <c r="X1765" i="1" s="1"/>
  <c r="T1768" i="1"/>
  <c r="W1772" i="1"/>
  <c r="Z1780" i="1"/>
  <c r="X1780" i="1" a="1"/>
  <c r="X1780" i="1" s="1"/>
  <c r="Z1829" i="1"/>
  <c r="X1829" i="1" a="1"/>
  <c r="X1829" i="1" s="1"/>
  <c r="Z1787" i="1"/>
  <c r="X1787" i="1" a="1"/>
  <c r="X1787" i="1" s="1"/>
  <c r="Z1797" i="1"/>
  <c r="X1797" i="1" a="1"/>
  <c r="X1797" i="1" s="1"/>
  <c r="Z1811" i="1"/>
  <c r="X1811" i="1" a="1"/>
  <c r="X1811" i="1" s="1"/>
  <c r="Z1823" i="1"/>
  <c r="X1823" i="1" a="1"/>
  <c r="X1823" i="1" s="1"/>
  <c r="X1745" i="1" a="1"/>
  <c r="X1745" i="1" s="1"/>
  <c r="Z1772" i="1"/>
  <c r="U1774" i="1"/>
  <c r="Z1795" i="1"/>
  <c r="X1795" i="1" a="1"/>
  <c r="X1795" i="1" s="1"/>
  <c r="X1820" i="1" a="1"/>
  <c r="X1820" i="1" s="1"/>
  <c r="Z1820" i="1"/>
  <c r="U1775" i="1"/>
  <c r="U1783" i="1"/>
  <c r="U1787" i="1"/>
  <c r="W1788" i="1"/>
  <c r="Z1792" i="1"/>
  <c r="U1796" i="1"/>
  <c r="X1803" i="1" a="1"/>
  <c r="X1803" i="1" s="1"/>
  <c r="X1808" i="1" a="1"/>
  <c r="X1808" i="1" s="1"/>
  <c r="U1812" i="1"/>
  <c r="V1816" i="1"/>
  <c r="U1816" i="1"/>
  <c r="T1846" i="1"/>
  <c r="X1848" i="1" a="1"/>
  <c r="X1848" i="1" s="1"/>
  <c r="Z1848" i="1"/>
  <c r="X1860" i="1" a="1"/>
  <c r="X1860" i="1" s="1"/>
  <c r="Z1860" i="1"/>
  <c r="X1876" i="1" a="1"/>
  <c r="X1876" i="1" s="1"/>
  <c r="Z1876" i="1"/>
  <c r="T1877" i="1"/>
  <c r="W1805" i="1"/>
  <c r="U1805" i="1"/>
  <c r="U1811" i="1"/>
  <c r="U1820" i="1"/>
  <c r="X1839" i="1" a="1"/>
  <c r="X1839" i="1" s="1"/>
  <c r="Z1839" i="1"/>
  <c r="W1846" i="1"/>
  <c r="V1846" i="1"/>
  <c r="U1846" i="1"/>
  <c r="Z1855" i="1"/>
  <c r="X1855" i="1" a="1"/>
  <c r="X1855" i="1" s="1"/>
  <c r="U1877" i="1"/>
  <c r="W1877" i="1"/>
  <c r="V1877" i="1"/>
  <c r="T1790" i="1"/>
  <c r="Z1810" i="1"/>
  <c r="X1810" i="1" a="1"/>
  <c r="X1810" i="1" s="1"/>
  <c r="V1811" i="1"/>
  <c r="W1814" i="1"/>
  <c r="V1814" i="1"/>
  <c r="W1820" i="1"/>
  <c r="W1822" i="1"/>
  <c r="V1822" i="1"/>
  <c r="Z1824" i="1"/>
  <c r="T1830" i="1"/>
  <c r="X1831" i="1" a="1"/>
  <c r="X1831" i="1" s="1"/>
  <c r="Z1836" i="1"/>
  <c r="Z1844" i="1"/>
  <c r="X1844" i="1" a="1"/>
  <c r="X1844" i="1" s="1"/>
  <c r="X1847" i="1" a="1"/>
  <c r="X1847" i="1" s="1"/>
  <c r="Z1847" i="1"/>
  <c r="Z1861" i="1"/>
  <c r="X1861" i="1" a="1"/>
  <c r="X1861" i="1" s="1"/>
  <c r="Z1871" i="1"/>
  <c r="X1871" i="1" a="1"/>
  <c r="X1871" i="1" s="1"/>
  <c r="Z1873" i="1"/>
  <c r="X1873" i="1" a="1"/>
  <c r="X1873" i="1" s="1"/>
  <c r="V1805" i="1"/>
  <c r="Z1812" i="1"/>
  <c r="W1828" i="1"/>
  <c r="V1828" i="1"/>
  <c r="W1830" i="1"/>
  <c r="V1830" i="1"/>
  <c r="U1830" i="1"/>
  <c r="Z1835" i="1"/>
  <c r="X1835" i="1" a="1"/>
  <c r="X1835" i="1" s="1"/>
  <c r="X1852" i="1" a="1"/>
  <c r="X1852" i="1" s="1"/>
  <c r="Z1852" i="1"/>
  <c r="Z1858" i="1"/>
  <c r="X1858" i="1" a="1"/>
  <c r="X1858" i="1" s="1"/>
  <c r="Z1867" i="1"/>
  <c r="X1867" i="1" a="1"/>
  <c r="X1867" i="1" s="1"/>
  <c r="Z1881" i="1"/>
  <c r="X1881" i="1" a="1"/>
  <c r="X1881" i="1" s="1"/>
  <c r="Z1889" i="1"/>
  <c r="X1889" i="1" a="1"/>
  <c r="X1889" i="1" s="1"/>
  <c r="U1779" i="1"/>
  <c r="W1789" i="1"/>
  <c r="U1789" i="1"/>
  <c r="U1790" i="1"/>
  <c r="W1798" i="1"/>
  <c r="V1798" i="1"/>
  <c r="W1800" i="1"/>
  <c r="X1801" i="1" a="1"/>
  <c r="X1801" i="1" s="1"/>
  <c r="W1813" i="1"/>
  <c r="U1813" i="1"/>
  <c r="U1828" i="1"/>
  <c r="X1832" i="1" a="1"/>
  <c r="X1832" i="1" s="1"/>
  <c r="Z1832" i="1"/>
  <c r="Z1862" i="1"/>
  <c r="X1862" i="1" a="1"/>
  <c r="X1862" i="1" s="1"/>
  <c r="W1797" i="1"/>
  <c r="U1797" i="1"/>
  <c r="W1821" i="1"/>
  <c r="U1821" i="1"/>
  <c r="Z1853" i="1"/>
  <c r="X1853" i="1" a="1"/>
  <c r="X1853" i="1" s="1"/>
  <c r="Z1859" i="1"/>
  <c r="X1859" i="1" a="1"/>
  <c r="X1859" i="1" s="1"/>
  <c r="Z1869" i="1"/>
  <c r="X1869" i="1" a="1"/>
  <c r="X1869" i="1" s="1"/>
  <c r="Z1872" i="1"/>
  <c r="X1872" i="1" a="1"/>
  <c r="X1872" i="1" s="1"/>
  <c r="X1793" i="1" a="1"/>
  <c r="X1793" i="1" s="1"/>
  <c r="Z1794" i="1"/>
  <c r="W1804" i="1"/>
  <c r="T1806" i="1"/>
  <c r="V1808" i="1"/>
  <c r="Z1822" i="1"/>
  <c r="Z1828" i="1"/>
  <c r="T1838" i="1"/>
  <c r="X1841" i="1" a="1"/>
  <c r="X1841" i="1" s="1"/>
  <c r="Z1845" i="1"/>
  <c r="X1845" i="1" a="1"/>
  <c r="X1845" i="1" s="1"/>
  <c r="Z1863" i="1"/>
  <c r="X1863" i="1" a="1"/>
  <c r="X1863" i="1" s="1"/>
  <c r="Z1885" i="1"/>
  <c r="X1885" i="1" a="1"/>
  <c r="X1885" i="1" s="1"/>
  <c r="Z1802" i="1"/>
  <c r="X1802" i="1" a="1"/>
  <c r="X1802" i="1" s="1"/>
  <c r="W1806" i="1"/>
  <c r="V1806" i="1"/>
  <c r="V1824" i="1"/>
  <c r="U1824" i="1"/>
  <c r="Z1827" i="1"/>
  <c r="X1827" i="1" a="1"/>
  <c r="X1827" i="1" s="1"/>
  <c r="W1836" i="1"/>
  <c r="V1836" i="1"/>
  <c r="W1838" i="1"/>
  <c r="V1838" i="1"/>
  <c r="U1838" i="1"/>
  <c r="X1840" i="1" a="1"/>
  <c r="X1840" i="1" s="1"/>
  <c r="Z1840" i="1"/>
  <c r="Z1854" i="1"/>
  <c r="X1854" i="1" a="1"/>
  <c r="X1854" i="1" s="1"/>
  <c r="W1896" i="1"/>
  <c r="V1896" i="1"/>
  <c r="X1914" i="1" a="1"/>
  <c r="X1914" i="1" s="1"/>
  <c r="Z1914" i="1"/>
  <c r="X1960" i="1" a="1"/>
  <c r="X1960" i="1" s="1"/>
  <c r="Z1960" i="1"/>
  <c r="X1818" i="1" a="1"/>
  <c r="X1818" i="1" s="1"/>
  <c r="X1826" i="1" a="1"/>
  <c r="X1826" i="1" s="1"/>
  <c r="U1829" i="1"/>
  <c r="X1834" i="1" a="1"/>
  <c r="X1834" i="1" s="1"/>
  <c r="U1837" i="1"/>
  <c r="X1842" i="1" a="1"/>
  <c r="X1842" i="1" s="1"/>
  <c r="V1844" i="1"/>
  <c r="U1845" i="1"/>
  <c r="X1850" i="1" a="1"/>
  <c r="X1850" i="1" s="1"/>
  <c r="V1852" i="1"/>
  <c r="V1853" i="1"/>
  <c r="W1854" i="1"/>
  <c r="W1855" i="1"/>
  <c r="W1856" i="1"/>
  <c r="V1858" i="1"/>
  <c r="V1859" i="1"/>
  <c r="V1860" i="1"/>
  <c r="V1861" i="1"/>
  <c r="W1862" i="1"/>
  <c r="W1863" i="1"/>
  <c r="W1864" i="1"/>
  <c r="W1874" i="1"/>
  <c r="T1880" i="1"/>
  <c r="X1883" i="1" a="1"/>
  <c r="X1883" i="1" s="1"/>
  <c r="U1885" i="1"/>
  <c r="W1885" i="1"/>
  <c r="W1886" i="1"/>
  <c r="T1888" i="1"/>
  <c r="Z1890" i="1"/>
  <c r="U1894" i="1"/>
  <c r="U1896" i="1"/>
  <c r="X1897" i="1" a="1"/>
  <c r="X1897" i="1" s="1"/>
  <c r="Z1903" i="1"/>
  <c r="X1903" i="1" a="1"/>
  <c r="X1903" i="1" s="1"/>
  <c r="Z1910" i="1"/>
  <c r="X1910" i="1" a="1"/>
  <c r="X1910" i="1" s="1"/>
  <c r="W1912" i="1"/>
  <c r="V1912" i="1"/>
  <c r="U1912" i="1"/>
  <c r="X1919" i="1" a="1"/>
  <c r="X1919" i="1" s="1"/>
  <c r="Z1919" i="1"/>
  <c r="X1936" i="1" a="1"/>
  <c r="X1936" i="1" s="1"/>
  <c r="Z1936" i="1"/>
  <c r="T1937" i="1"/>
  <c r="X1975" i="1" a="1"/>
  <c r="X1975" i="1" s="1"/>
  <c r="Z1975" i="1"/>
  <c r="X1843" i="1" a="1"/>
  <c r="X1843" i="1" s="1"/>
  <c r="X1851" i="1" a="1"/>
  <c r="X1851" i="1" s="1"/>
  <c r="W1894" i="1"/>
  <c r="Z1908" i="1"/>
  <c r="X1908" i="1" a="1"/>
  <c r="X1908" i="1" s="1"/>
  <c r="Z1912" i="1"/>
  <c r="X1913" i="1" a="1"/>
  <c r="X1913" i="1" s="1"/>
  <c r="Z1913" i="1"/>
  <c r="X1927" i="1" a="1"/>
  <c r="X1927" i="1" s="1"/>
  <c r="Z1927" i="1"/>
  <c r="W1937" i="1"/>
  <c r="V1937" i="1"/>
  <c r="U1937" i="1"/>
  <c r="X1986" i="1" a="1"/>
  <c r="X1986" i="1" s="1"/>
  <c r="Z1986" i="1"/>
  <c r="X1857" i="1" a="1"/>
  <c r="X1857" i="1" s="1"/>
  <c r="X1865" i="1" a="1"/>
  <c r="X1865" i="1" s="1"/>
  <c r="Z1874" i="1"/>
  <c r="U1880" i="1"/>
  <c r="U1888" i="1"/>
  <c r="V1898" i="1"/>
  <c r="U1898" i="1"/>
  <c r="T1904" i="1"/>
  <c r="X1906" i="1" a="1"/>
  <c r="X1906" i="1" s="1"/>
  <c r="Z1906" i="1"/>
  <c r="W1927" i="1"/>
  <c r="V1927" i="1"/>
  <c r="U1927" i="1"/>
  <c r="X1952" i="1" a="1"/>
  <c r="X1952" i="1" s="1"/>
  <c r="Z1952" i="1"/>
  <c r="T1953" i="1"/>
  <c r="U1832" i="1"/>
  <c r="U1840" i="1"/>
  <c r="U1848" i="1"/>
  <c r="T1870" i="1"/>
  <c r="U1876" i="1"/>
  <c r="W1880" i="1"/>
  <c r="Z1882" i="1"/>
  <c r="Z1886" i="1"/>
  <c r="W1888" i="1"/>
  <c r="Z1900" i="1"/>
  <c r="X1900" i="1" a="1"/>
  <c r="X1900" i="1" s="1"/>
  <c r="Z1902" i="1"/>
  <c r="X1902" i="1" a="1"/>
  <c r="X1902" i="1" s="1"/>
  <c r="W1904" i="1"/>
  <c r="V1904" i="1"/>
  <c r="U1904" i="1"/>
  <c r="X1928" i="1" a="1"/>
  <c r="X1928" i="1" s="1"/>
  <c r="Z1928" i="1"/>
  <c r="T1943" i="1"/>
  <c r="W1953" i="1"/>
  <c r="V1953" i="1"/>
  <c r="U1953" i="1"/>
  <c r="Z1977" i="1"/>
  <c r="X1977" i="1" a="1"/>
  <c r="X1977" i="1" s="1"/>
  <c r="T1856" i="1"/>
  <c r="T1864" i="1"/>
  <c r="W1876" i="1"/>
  <c r="T1878" i="1"/>
  <c r="Z1895" i="1"/>
  <c r="X1895" i="1" a="1"/>
  <c r="X1895" i="1" s="1"/>
  <c r="X1905" i="1" a="1"/>
  <c r="X1905" i="1" s="1"/>
  <c r="Z1905" i="1"/>
  <c r="W1943" i="1"/>
  <c r="V1943" i="1"/>
  <c r="U1943" i="1"/>
  <c r="X1968" i="1" a="1"/>
  <c r="X1968" i="1" s="1"/>
  <c r="Z1968" i="1"/>
  <c r="Z1969" i="1"/>
  <c r="X1969" i="1" a="1"/>
  <c r="X1969" i="1" s="1"/>
  <c r="Z1868" i="1"/>
  <c r="V1890" i="1"/>
  <c r="U1890" i="1"/>
  <c r="Z1911" i="1"/>
  <c r="X1911" i="1" a="1"/>
  <c r="X1911" i="1" s="1"/>
  <c r="X1918" i="1" a="1"/>
  <c r="X1918" i="1" s="1"/>
  <c r="Z1918" i="1"/>
  <c r="X1944" i="1" a="1"/>
  <c r="X1944" i="1" s="1"/>
  <c r="Z1944" i="1"/>
  <c r="X1959" i="1" a="1"/>
  <c r="X1959" i="1" s="1"/>
  <c r="Z1959" i="1"/>
  <c r="W1969" i="1"/>
  <c r="V1969" i="1"/>
  <c r="U1969" i="1"/>
  <c r="U1869" i="1"/>
  <c r="W1869" i="1"/>
  <c r="U1878" i="1"/>
  <c r="W1890" i="1"/>
  <c r="Z1892" i="1"/>
  <c r="X1892" i="1" a="1"/>
  <c r="X1892" i="1" s="1"/>
  <c r="T1894" i="1"/>
  <c r="T1896" i="1"/>
  <c r="Z1916" i="1"/>
  <c r="X1916" i="1" a="1"/>
  <c r="X1916" i="1" s="1"/>
  <c r="Z1921" i="1"/>
  <c r="X1921" i="1" a="1"/>
  <c r="X1921" i="1" s="1"/>
  <c r="W1959" i="1"/>
  <c r="V1959" i="1"/>
  <c r="U1959" i="1"/>
  <c r="U1871" i="1"/>
  <c r="U1879" i="1"/>
  <c r="U1887" i="1"/>
  <c r="W1893" i="1"/>
  <c r="U1895" i="1"/>
  <c r="W1901" i="1"/>
  <c r="U1903" i="1"/>
  <c r="W1909" i="1"/>
  <c r="U1911" i="1"/>
  <c r="W1917" i="1"/>
  <c r="W1921" i="1"/>
  <c r="V1921" i="1"/>
  <c r="U1921" i="1"/>
  <c r="X1922" i="1" a="1"/>
  <c r="X1922" i="1" s="1"/>
  <c r="X1923" i="1" a="1"/>
  <c r="X1923" i="1" s="1"/>
  <c r="T1930" i="1"/>
  <c r="W1934" i="1"/>
  <c r="Z1935" i="1"/>
  <c r="T1946" i="1"/>
  <c r="W1950" i="1"/>
  <c r="Z1951" i="1"/>
  <c r="T1962" i="1"/>
  <c r="W1966" i="1"/>
  <c r="Z1967" i="1"/>
  <c r="Z1974" i="1"/>
  <c r="X1974" i="1" a="1"/>
  <c r="X1974" i="1" s="1"/>
  <c r="T1976" i="1"/>
  <c r="T1978" i="1"/>
  <c r="W1986" i="1"/>
  <c r="V1986" i="1"/>
  <c r="U1986" i="1"/>
  <c r="W1920" i="1"/>
  <c r="V1920" i="1"/>
  <c r="V1930" i="1"/>
  <c r="U1930" i="1"/>
  <c r="W1936" i="1"/>
  <c r="V1936" i="1"/>
  <c r="V1946" i="1"/>
  <c r="U1946" i="1"/>
  <c r="W1952" i="1"/>
  <c r="V1952" i="1"/>
  <c r="V1962" i="1"/>
  <c r="U1962" i="1"/>
  <c r="W1968" i="1"/>
  <c r="V1968" i="1"/>
  <c r="W1976" i="1"/>
  <c r="V1976" i="1"/>
  <c r="W1978" i="1"/>
  <c r="V1978" i="1"/>
  <c r="U1978" i="1"/>
  <c r="Z1984" i="1"/>
  <c r="X1984" i="1" a="1"/>
  <c r="X1984" i="1" s="1"/>
  <c r="X1987" i="1" a="1"/>
  <c r="X1987" i="1" s="1"/>
  <c r="Z1987" i="1"/>
  <c r="Z2000" i="1"/>
  <c r="X2000" i="1" a="1"/>
  <c r="X2000" i="1" s="1"/>
  <c r="W1930" i="1"/>
  <c r="Z1934" i="1"/>
  <c r="W1946" i="1"/>
  <c r="Z1950" i="1"/>
  <c r="W1962" i="1"/>
  <c r="Z1966" i="1"/>
  <c r="U1976" i="1"/>
  <c r="Z1993" i="1"/>
  <c r="X1993" i="1" a="1"/>
  <c r="X1993" i="1" s="1"/>
  <c r="U1906" i="1"/>
  <c r="U1914" i="1"/>
  <c r="U1920" i="1"/>
  <c r="W1929" i="1"/>
  <c r="V1929" i="1"/>
  <c r="U1929" i="1"/>
  <c r="U1936" i="1"/>
  <c r="W1945" i="1"/>
  <c r="V1945" i="1"/>
  <c r="U1945" i="1"/>
  <c r="U1952" i="1"/>
  <c r="W1961" i="1"/>
  <c r="V1961" i="1"/>
  <c r="U1961" i="1"/>
  <c r="U1968" i="1"/>
  <c r="T1994" i="1"/>
  <c r="V1906" i="1"/>
  <c r="V1914" i="1"/>
  <c r="T1938" i="1"/>
  <c r="T1954" i="1"/>
  <c r="U1975" i="1"/>
  <c r="W1975" i="1"/>
  <c r="W1994" i="1"/>
  <c r="V1994" i="1"/>
  <c r="U1994" i="1"/>
  <c r="W1928" i="1"/>
  <c r="V1928" i="1"/>
  <c r="V1938" i="1"/>
  <c r="U1938" i="1"/>
  <c r="W1944" i="1"/>
  <c r="V1944" i="1"/>
  <c r="V1954" i="1"/>
  <c r="U1954" i="1"/>
  <c r="W1960" i="1"/>
  <c r="V1960" i="1"/>
  <c r="V1970" i="1"/>
  <c r="U1970" i="1"/>
  <c r="X1973" i="1" a="1"/>
  <c r="X1973" i="1" s="1"/>
  <c r="Z1992" i="1"/>
  <c r="X1992" i="1" a="1"/>
  <c r="X1992" i="1" s="1"/>
  <c r="X1995" i="1" a="1"/>
  <c r="X1995" i="1" s="1"/>
  <c r="Z1995" i="1"/>
  <c r="V1922" i="1"/>
  <c r="U1922" i="1"/>
  <c r="Z1926" i="1"/>
  <c r="V1935" i="1"/>
  <c r="W1938" i="1"/>
  <c r="X1941" i="1" a="1"/>
  <c r="X1941" i="1" s="1"/>
  <c r="Z1942" i="1"/>
  <c r="V1951" i="1"/>
  <c r="W1954" i="1"/>
  <c r="X1957" i="1" a="1"/>
  <c r="X1957" i="1" s="1"/>
  <c r="Z1958" i="1"/>
  <c r="V1967" i="1"/>
  <c r="W1970" i="1"/>
  <c r="V1975" i="1"/>
  <c r="Z1985" i="1"/>
  <c r="X1985" i="1" a="1"/>
  <c r="X1985" i="1" s="1"/>
  <c r="Z2001" i="1"/>
  <c r="X2001" i="1" a="1"/>
  <c r="X2001" i="1" s="1"/>
  <c r="U1977" i="1"/>
  <c r="X1982" i="1" a="1"/>
  <c r="X1982" i="1" s="1"/>
  <c r="W1983" i="1"/>
  <c r="V1984" i="1"/>
  <c r="U1985" i="1"/>
  <c r="X1990" i="1" a="1"/>
  <c r="X1990" i="1" s="1"/>
  <c r="W1991" i="1"/>
  <c r="V1992" i="1"/>
  <c r="U1993" i="1"/>
  <c r="X1998" i="1" a="1"/>
  <c r="X1998" i="1" s="1"/>
  <c r="W1999" i="1"/>
  <c r="V2000" i="1"/>
  <c r="U2001" i="1"/>
  <c r="V1977" i="1"/>
  <c r="X1983" i="1" a="1"/>
  <c r="X1983" i="1" s="1"/>
  <c r="V1985" i="1"/>
  <c r="X1991" i="1" a="1"/>
  <c r="X1991" i="1" s="1"/>
  <c r="V1993" i="1"/>
  <c r="X1999" i="1" a="1"/>
  <c r="X1999" i="1" s="1"/>
  <c r="V2001" i="1"/>
  <c r="X1943" i="1" l="1" a="1"/>
  <c r="X1943" i="1" s="1"/>
  <c r="Z1943" i="1"/>
  <c r="X1830" i="1" a="1"/>
  <c r="X1830" i="1" s="1"/>
  <c r="Z1830" i="1"/>
  <c r="X1846" i="1" a="1"/>
  <c r="X1846" i="1" s="1"/>
  <c r="Z1846" i="1"/>
  <c r="X1768" i="1" a="1"/>
  <c r="X1768" i="1" s="1"/>
  <c r="Z1768" i="1"/>
  <c r="X1696" i="1" a="1"/>
  <c r="X1696" i="1" s="1"/>
  <c r="Z1696" i="1"/>
  <c r="X1595" i="1" a="1"/>
  <c r="X1595" i="1" s="1"/>
  <c r="Z1595" i="1"/>
  <c r="X1539" i="1" a="1"/>
  <c r="X1539" i="1" s="1"/>
  <c r="Z1539" i="1"/>
  <c r="X1476" i="1" a="1"/>
  <c r="X1476" i="1" s="1"/>
  <c r="Z1476" i="1"/>
  <c r="X1464" i="1" a="1"/>
  <c r="X1464" i="1" s="1"/>
  <c r="Z1464" i="1"/>
  <c r="X1448" i="1" a="1"/>
  <c r="X1448" i="1" s="1"/>
  <c r="Z1448" i="1"/>
  <c r="X1319" i="1" a="1"/>
  <c r="X1319" i="1" s="1"/>
  <c r="Z1319" i="1"/>
  <c r="X1383" i="1" a="1"/>
  <c r="X1383" i="1" s="1"/>
  <c r="Z1383" i="1"/>
  <c r="X1355" i="1" a="1"/>
  <c r="X1355" i="1" s="1"/>
  <c r="Z1355" i="1"/>
  <c r="X1265" i="1" a="1"/>
  <c r="X1265" i="1" s="1"/>
  <c r="Z1265" i="1"/>
  <c r="X1241" i="1" a="1"/>
  <c r="X1241" i="1" s="1"/>
  <c r="Z1241" i="1"/>
  <c r="X1193" i="1" a="1"/>
  <c r="X1193" i="1" s="1"/>
  <c r="Z1193" i="1"/>
  <c r="X1245" i="1" a="1"/>
  <c r="X1245" i="1" s="1"/>
  <c r="Z1245" i="1"/>
  <c r="X1189" i="1" a="1"/>
  <c r="X1189" i="1" s="1"/>
  <c r="Z1189" i="1"/>
  <c r="X989" i="1" a="1"/>
  <c r="X989" i="1" s="1"/>
  <c r="Z989" i="1"/>
  <c r="X977" i="1" a="1"/>
  <c r="X977" i="1" s="1"/>
  <c r="Z977" i="1"/>
  <c r="X881" i="1" a="1"/>
  <c r="X881" i="1" s="1"/>
  <c r="Z881" i="1"/>
  <c r="X639" i="1" a="1"/>
  <c r="X639" i="1" s="1"/>
  <c r="Z639" i="1"/>
  <c r="X551" i="1" a="1"/>
  <c r="X551" i="1" s="1"/>
  <c r="Z551" i="1"/>
  <c r="X547" i="1" a="1"/>
  <c r="X547" i="1" s="1"/>
  <c r="Z547" i="1"/>
  <c r="X501" i="1" a="1"/>
  <c r="X501" i="1" s="1"/>
  <c r="Z501" i="1"/>
  <c r="X525" i="1" a="1"/>
  <c r="X525" i="1" s="1"/>
  <c r="Z525" i="1"/>
  <c r="X308" i="1" a="1"/>
  <c r="X308" i="1" s="1"/>
  <c r="Z308" i="1"/>
  <c r="Z332" i="1"/>
  <c r="X332" i="1" a="1"/>
  <c r="X332" i="1" s="1"/>
  <c r="Z1962" i="1"/>
  <c r="X1962" i="1" a="1"/>
  <c r="X1962" i="1" s="1"/>
  <c r="Z1864" i="1"/>
  <c r="X1864" i="1" a="1"/>
  <c r="X1864" i="1" s="1"/>
  <c r="Z1880" i="1"/>
  <c r="X1880" i="1" a="1"/>
  <c r="X1880" i="1" s="1"/>
  <c r="Z1877" i="1"/>
  <c r="X1877" i="1" a="1"/>
  <c r="X1877" i="1" s="1"/>
  <c r="X1555" i="1" a="1"/>
  <c r="X1555" i="1" s="1"/>
  <c r="Z1555" i="1"/>
  <c r="X1452" i="1" a="1"/>
  <c r="X1452" i="1" s="1"/>
  <c r="Z1452" i="1"/>
  <c r="X1359" i="1" a="1"/>
  <c r="X1359" i="1" s="1"/>
  <c r="Z1359" i="1"/>
  <c r="X1029" i="1" a="1"/>
  <c r="X1029" i="1" s="1"/>
  <c r="Z1029" i="1"/>
  <c r="X893" i="1" a="1"/>
  <c r="X893" i="1" s="1"/>
  <c r="Z893" i="1"/>
  <c r="X679" i="1" a="1"/>
  <c r="X679" i="1" s="1"/>
  <c r="Z679" i="1"/>
  <c r="X643" i="1" a="1"/>
  <c r="X643" i="1" s="1"/>
  <c r="Z643" i="1"/>
  <c r="X646" i="1" a="1"/>
  <c r="X646" i="1" s="1"/>
  <c r="Z646" i="1"/>
  <c r="X539" i="1" a="1"/>
  <c r="X539" i="1" s="1"/>
  <c r="Z539" i="1"/>
  <c r="Z405" i="1"/>
  <c r="X405" i="1" a="1"/>
  <c r="X405" i="1" s="1"/>
  <c r="X276" i="1" a="1"/>
  <c r="X276" i="1" s="1"/>
  <c r="Z276" i="1"/>
  <c r="X337" i="1" a="1"/>
  <c r="X337" i="1" s="1"/>
  <c r="Z337" i="1"/>
  <c r="Z1954" i="1"/>
  <c r="X1954" i="1" a="1"/>
  <c r="X1954" i="1" s="1"/>
  <c r="Z1856" i="1"/>
  <c r="X1856" i="1" a="1"/>
  <c r="X1856" i="1" s="1"/>
  <c r="Z1806" i="1"/>
  <c r="X1806" i="1" a="1"/>
  <c r="X1806" i="1" s="1"/>
  <c r="X1790" i="1" a="1"/>
  <c r="X1790" i="1" s="1"/>
  <c r="Z1790" i="1"/>
  <c r="X1700" i="1" a="1"/>
  <c r="X1700" i="1" s="1"/>
  <c r="Z1700" i="1"/>
  <c r="X1688" i="1" a="1"/>
  <c r="X1688" i="1" s="1"/>
  <c r="Z1688" i="1"/>
  <c r="X1571" i="1" a="1"/>
  <c r="X1571" i="1" s="1"/>
  <c r="Z1571" i="1"/>
  <c r="X1583" i="1" a="1"/>
  <c r="X1583" i="1" s="1"/>
  <c r="Z1583" i="1"/>
  <c r="X1387" i="1" a="1"/>
  <c r="X1387" i="1" s="1"/>
  <c r="Z1387" i="1"/>
  <c r="X1335" i="1" a="1"/>
  <c r="X1335" i="1" s="1"/>
  <c r="Z1335" i="1"/>
  <c r="X1331" i="1" a="1"/>
  <c r="X1331" i="1" s="1"/>
  <c r="Z1331" i="1"/>
  <c r="X1273" i="1" a="1"/>
  <c r="X1273" i="1" s="1"/>
  <c r="Z1273" i="1"/>
  <c r="X1021" i="1" a="1"/>
  <c r="X1021" i="1" s="1"/>
  <c r="Z1021" i="1"/>
  <c r="X981" i="1" a="1"/>
  <c r="X981" i="1" s="1"/>
  <c r="Z981" i="1"/>
  <c r="X993" i="1" a="1"/>
  <c r="X993" i="1" s="1"/>
  <c r="Z993" i="1"/>
  <c r="X543" i="1" a="1"/>
  <c r="X543" i="1" s="1"/>
  <c r="Z543" i="1"/>
  <c r="X485" i="1" a="1"/>
  <c r="X485" i="1" s="1"/>
  <c r="Z485" i="1"/>
  <c r="X329" i="1" a="1"/>
  <c r="X329" i="1" s="1"/>
  <c r="Z329" i="1"/>
  <c r="X220" i="1" a="1"/>
  <c r="X220" i="1" s="1"/>
  <c r="Z220" i="1"/>
  <c r="Z1938" i="1"/>
  <c r="X1938" i="1" a="1"/>
  <c r="X1938" i="1" s="1"/>
  <c r="Z1978" i="1"/>
  <c r="X1978" i="1" a="1"/>
  <c r="X1978" i="1" s="1"/>
  <c r="Z1953" i="1"/>
  <c r="X1953" i="1" a="1"/>
  <c r="X1953" i="1" s="1"/>
  <c r="X1904" i="1" a="1"/>
  <c r="X1904" i="1" s="1"/>
  <c r="Z1904" i="1"/>
  <c r="X1764" i="1" a="1"/>
  <c r="X1764" i="1" s="1"/>
  <c r="Z1764" i="1"/>
  <c r="X1692" i="1" a="1"/>
  <c r="X1692" i="1" s="1"/>
  <c r="Z1692" i="1"/>
  <c r="X1468" i="1" a="1"/>
  <c r="X1468" i="1" s="1"/>
  <c r="Z1468" i="1"/>
  <c r="X1488" i="1" a="1"/>
  <c r="X1488" i="1" s="1"/>
  <c r="Z1488" i="1"/>
  <c r="X1347" i="1" a="1"/>
  <c r="X1347" i="1" s="1"/>
  <c r="Z1347" i="1"/>
  <c r="X1237" i="1" a="1"/>
  <c r="X1237" i="1" s="1"/>
  <c r="Z1237" i="1"/>
  <c r="X1013" i="1" a="1"/>
  <c r="X1013" i="1" s="1"/>
  <c r="Z1013" i="1"/>
  <c r="X969" i="1" a="1"/>
  <c r="X969" i="1" s="1"/>
  <c r="Z969" i="1"/>
  <c r="X635" i="1" a="1"/>
  <c r="X635" i="1" s="1"/>
  <c r="Z635" i="1"/>
  <c r="X631" i="1" a="1"/>
  <c r="X631" i="1" s="1"/>
  <c r="Z631" i="1"/>
  <c r="X615" i="1" a="1"/>
  <c r="X615" i="1" s="1"/>
  <c r="Z615" i="1"/>
  <c r="X591" i="1" a="1"/>
  <c r="X591" i="1" s="1"/>
  <c r="Z591" i="1"/>
  <c r="X654" i="1" a="1"/>
  <c r="X654" i="1" s="1"/>
  <c r="Z654" i="1"/>
  <c r="X517" i="1" a="1"/>
  <c r="X517" i="1" s="1"/>
  <c r="Z517" i="1"/>
  <c r="Z404" i="1"/>
  <c r="X404" i="1" a="1"/>
  <c r="X404" i="1" s="1"/>
  <c r="X284" i="1" a="1"/>
  <c r="X284" i="1" s="1"/>
  <c r="Z284" i="1"/>
  <c r="X252" i="1" a="1"/>
  <c r="X252" i="1" s="1"/>
  <c r="Z252" i="1"/>
  <c r="X244" i="1" a="1"/>
  <c r="X244" i="1" s="1"/>
  <c r="Z244" i="1"/>
  <c r="X241" i="1" a="1"/>
  <c r="X241" i="1" s="1"/>
  <c r="Z241" i="1"/>
  <c r="X1976" i="1" a="1"/>
  <c r="X1976" i="1" s="1"/>
  <c r="Z1976" i="1"/>
  <c r="Z1946" i="1"/>
  <c r="X1946" i="1" a="1"/>
  <c r="X1946" i="1" s="1"/>
  <c r="Z1937" i="1"/>
  <c r="X1937" i="1" a="1"/>
  <c r="X1937" i="1" s="1"/>
  <c r="X1888" i="1" a="1"/>
  <c r="X1888" i="1" s="1"/>
  <c r="Z1888" i="1"/>
  <c r="X1551" i="1" a="1"/>
  <c r="X1551" i="1" s="1"/>
  <c r="Z1551" i="1"/>
  <c r="X1444" i="1" a="1"/>
  <c r="X1444" i="1" s="1"/>
  <c r="Z1444" i="1"/>
  <c r="X1472" i="1" a="1"/>
  <c r="X1472" i="1" s="1"/>
  <c r="Z1472" i="1"/>
  <c r="X1456" i="1" a="1"/>
  <c r="X1456" i="1" s="1"/>
  <c r="Z1456" i="1"/>
  <c r="X1440" i="1" a="1"/>
  <c r="X1440" i="1" s="1"/>
  <c r="Z1440" i="1"/>
  <c r="X1351" i="1" a="1"/>
  <c r="X1351" i="1" s="1"/>
  <c r="Z1351" i="1"/>
  <c r="X1379" i="1" a="1"/>
  <c r="X1379" i="1" s="1"/>
  <c r="Z1379" i="1"/>
  <c r="X1005" i="1" a="1"/>
  <c r="X1005" i="1" s="1"/>
  <c r="Z1005" i="1"/>
  <c r="X973" i="1" a="1"/>
  <c r="X973" i="1" s="1"/>
  <c r="Z973" i="1"/>
  <c r="X667" i="1" a="1"/>
  <c r="X667" i="1" s="1"/>
  <c r="Z667" i="1"/>
  <c r="X647" i="1" a="1"/>
  <c r="X647" i="1" s="1"/>
  <c r="Z647" i="1"/>
  <c r="X567" i="1" a="1"/>
  <c r="X567" i="1" s="1"/>
  <c r="Z567" i="1"/>
  <c r="X575" i="1" a="1"/>
  <c r="X575" i="1" s="1"/>
  <c r="Z575" i="1"/>
  <c r="X369" i="1" a="1"/>
  <c r="X369" i="1" s="1"/>
  <c r="Z369" i="1"/>
  <c r="Z209" i="1"/>
  <c r="X209" i="1" a="1"/>
  <c r="X209" i="1" s="1"/>
  <c r="Z228" i="1"/>
  <c r="X228" i="1" a="1"/>
  <c r="X228" i="1" s="1"/>
  <c r="X1760" i="1" a="1"/>
  <c r="X1760" i="1" s="1"/>
  <c r="Z1760" i="1"/>
  <c r="X1567" i="1" a="1"/>
  <c r="X1567" i="1" s="1"/>
  <c r="Z1567" i="1"/>
  <c r="X1375" i="1" a="1"/>
  <c r="X1375" i="1" s="1"/>
  <c r="Z1375" i="1"/>
  <c r="X1327" i="1" a="1"/>
  <c r="X1327" i="1" s="1"/>
  <c r="Z1327" i="1"/>
  <c r="X1363" i="1" a="1"/>
  <c r="X1363" i="1" s="1"/>
  <c r="Z1363" i="1"/>
  <c r="X1233" i="1" a="1"/>
  <c r="X1233" i="1" s="1"/>
  <c r="Z1233" i="1"/>
  <c r="X985" i="1" a="1"/>
  <c r="X985" i="1" s="1"/>
  <c r="Z985" i="1"/>
  <c r="X627" i="1" a="1"/>
  <c r="X627" i="1" s="1"/>
  <c r="Z627" i="1"/>
  <c r="X662" i="1" a="1"/>
  <c r="X662" i="1" s="1"/>
  <c r="Z662" i="1"/>
  <c r="X571" i="1" a="1"/>
  <c r="X571" i="1" s="1"/>
  <c r="Z571" i="1"/>
  <c r="X397" i="1" a="1"/>
  <c r="X397" i="1" s="1"/>
  <c r="Z397" i="1"/>
  <c r="X461" i="1" a="1"/>
  <c r="X461" i="1" s="1"/>
  <c r="Z461" i="1"/>
  <c r="X353" i="1" a="1"/>
  <c r="X353" i="1" s="1"/>
  <c r="Z353" i="1"/>
  <c r="X260" i="1" a="1"/>
  <c r="X260" i="1" s="1"/>
  <c r="Z260" i="1"/>
  <c r="X1994" i="1" a="1"/>
  <c r="X1994" i="1" s="1"/>
  <c r="Z1994" i="1"/>
  <c r="X1896" i="1" a="1"/>
  <c r="X1896" i="1" s="1"/>
  <c r="Z1896" i="1"/>
  <c r="X1838" i="1" a="1"/>
  <c r="X1838" i="1" s="1"/>
  <c r="Z1838" i="1"/>
  <c r="X1603" i="1" a="1"/>
  <c r="X1603" i="1" s="1"/>
  <c r="Z1603" i="1"/>
  <c r="X1460" i="1" a="1"/>
  <c r="X1460" i="1" s="1"/>
  <c r="Z1460" i="1"/>
  <c r="X1492" i="1" a="1"/>
  <c r="X1492" i="1" s="1"/>
  <c r="Z1492" i="1"/>
  <c r="X1339" i="1" a="1"/>
  <c r="X1339" i="1" s="1"/>
  <c r="Z1339" i="1"/>
  <c r="X1323" i="1" a="1"/>
  <c r="X1323" i="1" s="1"/>
  <c r="Z1323" i="1"/>
  <c r="X1033" i="1" a="1"/>
  <c r="X1033" i="1" s="1"/>
  <c r="Z1033" i="1"/>
  <c r="X997" i="1" a="1"/>
  <c r="X997" i="1" s="1"/>
  <c r="Z997" i="1"/>
  <c r="X865" i="1" a="1"/>
  <c r="X865" i="1" s="1"/>
  <c r="Z865" i="1"/>
  <c r="X901" i="1" a="1"/>
  <c r="X901" i="1" s="1"/>
  <c r="Z901" i="1"/>
  <c r="X869" i="1" a="1"/>
  <c r="X869" i="1" s="1"/>
  <c r="Z869" i="1"/>
  <c r="X683" i="1" a="1"/>
  <c r="X683" i="1" s="1"/>
  <c r="Z683" i="1"/>
  <c r="X623" i="1" a="1"/>
  <c r="X623" i="1" s="1"/>
  <c r="Z623" i="1"/>
  <c r="X559" i="1" a="1"/>
  <c r="X559" i="1" s="1"/>
  <c r="Z559" i="1"/>
  <c r="X583" i="1" a="1"/>
  <c r="X583" i="1" s="1"/>
  <c r="Z583" i="1"/>
  <c r="X563" i="1" a="1"/>
  <c r="X563" i="1" s="1"/>
  <c r="Z563" i="1"/>
  <c r="X477" i="1" a="1"/>
  <c r="X477" i="1" s="1"/>
  <c r="Z477" i="1"/>
  <c r="X385" i="1" a="1"/>
  <c r="X385" i="1" s="1"/>
  <c r="Z385" i="1"/>
  <c r="X297" i="1" a="1"/>
  <c r="X297" i="1" s="1"/>
  <c r="Z297" i="1"/>
  <c r="Z1930" i="1"/>
  <c r="X1930" i="1" a="1"/>
  <c r="X1930" i="1" s="1"/>
  <c r="X1894" i="1" a="1"/>
  <c r="X1894" i="1" s="1"/>
  <c r="Z1894" i="1"/>
  <c r="X1878" i="1" a="1"/>
  <c r="X1878" i="1" s="1"/>
  <c r="Z1878" i="1"/>
  <c r="X1870" i="1" a="1"/>
  <c r="X1870" i="1" s="1"/>
  <c r="Z1870" i="1"/>
  <c r="X1756" i="1" a="1"/>
  <c r="X1756" i="1" s="1"/>
  <c r="Z1756" i="1"/>
  <c r="X1599" i="1" a="1"/>
  <c r="X1599" i="1" s="1"/>
  <c r="Z1599" i="1"/>
  <c r="X1343" i="1" a="1"/>
  <c r="X1343" i="1" s="1"/>
  <c r="Z1343" i="1"/>
  <c r="X1001" i="1" a="1"/>
  <c r="X1001" i="1" s="1"/>
  <c r="Z1001" i="1"/>
  <c r="X687" i="1" a="1"/>
  <c r="X687" i="1" s="1"/>
  <c r="Z687" i="1"/>
  <c r="X555" i="1" a="1"/>
  <c r="X555" i="1" s="1"/>
  <c r="Z555" i="1"/>
  <c r="X599" i="1" a="1"/>
  <c r="X599" i="1" s="1"/>
  <c r="Z599" i="1"/>
  <c r="X313" i="1" a="1"/>
  <c r="X313" i="1" s="1"/>
  <c r="Z313" i="1"/>
  <c r="X268" i="1" a="1"/>
  <c r="X268" i="1" s="1"/>
  <c r="Z26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<sst xmlns="http://schemas.openxmlformats.org/spreadsheetml/2006/main" count="18053" uniqueCount="4450">
  <si>
    <t>Sale ID</t>
  </si>
  <si>
    <t>Date_clean</t>
  </si>
  <si>
    <t>Date</t>
  </si>
  <si>
    <t>Region</t>
  </si>
  <si>
    <t>Region_clean</t>
  </si>
  <si>
    <t>Product Category</t>
  </si>
  <si>
    <t xml:space="preserve"> Product Category_clean</t>
  </si>
  <si>
    <t>Product Name_clean</t>
  </si>
  <si>
    <t>Product Name</t>
  </si>
  <si>
    <t>Customer Id_clean</t>
  </si>
  <si>
    <t>Customer ID</t>
  </si>
  <si>
    <t>Salesperson_clean</t>
  </si>
  <si>
    <t>Salesperson</t>
  </si>
  <si>
    <t>Payment Method_clean</t>
  </si>
  <si>
    <t>Payment Method</t>
  </si>
  <si>
    <t>Quantity_num</t>
  </si>
  <si>
    <t>Quantity</t>
  </si>
  <si>
    <t>Unit Price_num</t>
  </si>
  <si>
    <t>Unit Price</t>
  </si>
  <si>
    <t>Revenue</t>
  </si>
  <si>
    <t>year</t>
  </si>
  <si>
    <t>Month</t>
  </si>
  <si>
    <t>Week_No</t>
  </si>
  <si>
    <t>Revenue category</t>
  </si>
  <si>
    <t>Payment status</t>
  </si>
  <si>
    <t>Revenue_Final</t>
  </si>
  <si>
    <t>2024-01-01 00:00:00</t>
  </si>
  <si>
    <t>EAST</t>
  </si>
  <si>
    <t>Clothing</t>
  </si>
  <si>
    <t>Mixer Grinder</t>
  </si>
  <si>
    <t xml:space="preserve"> CUST0479 </t>
  </si>
  <si>
    <t>Rahul</t>
  </si>
  <si>
    <t xml:space="preserve"> Cash</t>
  </si>
  <si>
    <t>12</t>
  </si>
  <si>
    <t>619</t>
  </si>
  <si>
    <t>2024-01-01 01:00:00</t>
  </si>
  <si>
    <t xml:space="preserve"> west</t>
  </si>
  <si>
    <t xml:space="preserve"> Home Appliances </t>
  </si>
  <si>
    <t>Men T-Shirt</t>
  </si>
  <si>
    <t xml:space="preserve"> CUST0619 </t>
  </si>
  <si>
    <t>Meena</t>
  </si>
  <si>
    <t xml:space="preserve">Debit card </t>
  </si>
  <si>
    <t>8</t>
  </si>
  <si>
    <t>2383</t>
  </si>
  <si>
    <t>2024-01-01 02:00:00</t>
  </si>
  <si>
    <t xml:space="preserve"> North </t>
  </si>
  <si>
    <t>Electronics</t>
  </si>
  <si>
    <t xml:space="preserve"> CUST0096 </t>
  </si>
  <si>
    <t>UPI</t>
  </si>
  <si>
    <t>7</t>
  </si>
  <si>
    <t>4658</t>
  </si>
  <si>
    <t>2024-01-01 03:00:00</t>
  </si>
  <si>
    <t>Laptop</t>
  </si>
  <si>
    <t xml:space="preserve"> CUST0414 </t>
  </si>
  <si>
    <t>Suresh</t>
  </si>
  <si>
    <t>14</t>
  </si>
  <si>
    <t>582</t>
  </si>
  <si>
    <t>2024-01-01 04:00:00</t>
  </si>
  <si>
    <t>LED TV 42inch</t>
  </si>
  <si>
    <t xml:space="preserve"> CUST0235 </t>
  </si>
  <si>
    <t xml:space="preserve"> Net Banking </t>
  </si>
  <si>
    <t>2577</t>
  </si>
  <si>
    <t>2024-01-01 05:00:00</t>
  </si>
  <si>
    <t xml:space="preserve"> CUST0062 </t>
  </si>
  <si>
    <t>Anita</t>
  </si>
  <si>
    <t>Credit Card</t>
  </si>
  <si>
    <t>3</t>
  </si>
  <si>
    <t>3193</t>
  </si>
  <si>
    <t>2024-01-01 06:00:00</t>
  </si>
  <si>
    <t xml:space="preserve"> CUST0256 </t>
  </si>
  <si>
    <t>Karthik</t>
  </si>
  <si>
    <t>442</t>
  </si>
  <si>
    <t>2024-01-01 07:00:00</t>
  </si>
  <si>
    <t>Rice 5kg</t>
  </si>
  <si>
    <t xml:space="preserve"> CUST0561 </t>
  </si>
  <si>
    <t>6</t>
  </si>
  <si>
    <t>1562</t>
  </si>
  <si>
    <t>2024-01-01 08:00:00</t>
  </si>
  <si>
    <t>Grocery</t>
  </si>
  <si>
    <t>Washing Machine</t>
  </si>
  <si>
    <t xml:space="preserve"> CUST0348 </t>
  </si>
  <si>
    <t>13</t>
  </si>
  <si>
    <t>1302</t>
  </si>
  <si>
    <t>2024-01-01 09:00:00</t>
  </si>
  <si>
    <t>south</t>
  </si>
  <si>
    <t xml:space="preserve"> CUST0671 </t>
  </si>
  <si>
    <t>1721</t>
  </si>
  <si>
    <t>2024-01-01 10:00:00</t>
  </si>
  <si>
    <t xml:space="preserve"> CUST0124 </t>
  </si>
  <si>
    <t>5</t>
  </si>
  <si>
    <t>2498</t>
  </si>
  <si>
    <t>2024-01-01 11:00:00</t>
  </si>
  <si>
    <t xml:space="preserve"> CUST0482 </t>
  </si>
  <si>
    <t>1</t>
  </si>
  <si>
    <t>3696</t>
  </si>
  <si>
    <t>2024-01-01 12:00:00</t>
  </si>
  <si>
    <t xml:space="preserve"> CUST0317 </t>
  </si>
  <si>
    <t>11</t>
  </si>
  <si>
    <t>3635</t>
  </si>
  <si>
    <t>2024-01-01 13:00:00</t>
  </si>
  <si>
    <t xml:space="preserve"> CUST0504 </t>
  </si>
  <si>
    <t>2977</t>
  </si>
  <si>
    <t>2024-01-01 14:00:00</t>
  </si>
  <si>
    <t xml:space="preserve"> CUST0719 </t>
  </si>
  <si>
    <t>2490</t>
  </si>
  <si>
    <t>2024-01-01 15:00:00</t>
  </si>
  <si>
    <t xml:space="preserve"> CUST0048 </t>
  </si>
  <si>
    <t>3451</t>
  </si>
  <si>
    <t>2024-01-01 16:00:00</t>
  </si>
  <si>
    <t xml:space="preserve"> CUST0409 </t>
  </si>
  <si>
    <t>3013</t>
  </si>
  <si>
    <t>2024-01-01 17:00:00</t>
  </si>
  <si>
    <t xml:space="preserve"> CUST0136 </t>
  </si>
  <si>
    <t>4</t>
  </si>
  <si>
    <t>1289</t>
  </si>
  <si>
    <t>2024-01-01 18:00:00</t>
  </si>
  <si>
    <t xml:space="preserve"> CUST0201 </t>
  </si>
  <si>
    <t>10</t>
  </si>
  <si>
    <t>2440</t>
  </si>
  <si>
    <t>2024-01-01 19:00:00</t>
  </si>
  <si>
    <t xml:space="preserve"> CUST0250 </t>
  </si>
  <si>
    <t>3680</t>
  </si>
  <si>
    <t>2024-01-01 20:00:00</t>
  </si>
  <si>
    <t xml:space="preserve"> CUST0314 </t>
  </si>
  <si>
    <t>1703</t>
  </si>
  <si>
    <t>2024-01-01 21:00:00</t>
  </si>
  <si>
    <t xml:space="preserve"> CUST0368 </t>
  </si>
  <si>
    <t>3397</t>
  </si>
  <si>
    <t>2024-01-01 22:00:00</t>
  </si>
  <si>
    <t xml:space="preserve"> CUST0429 </t>
  </si>
  <si>
    <t>9</t>
  </si>
  <si>
    <t>697</t>
  </si>
  <si>
    <t>2024-01-01 23:00:00</t>
  </si>
  <si>
    <t xml:space="preserve"> CUST0480 </t>
  </si>
  <si>
    <t>744</t>
  </si>
  <si>
    <t>2024-01-02 00:00:00</t>
  </si>
  <si>
    <t>4643</t>
  </si>
  <si>
    <t>2024-01-02 01:00:00</t>
  </si>
  <si>
    <t xml:space="preserve"> CUST0500 </t>
  </si>
  <si>
    <t>3002</t>
  </si>
  <si>
    <t>2024-01-02 02:00:00</t>
  </si>
  <si>
    <t xml:space="preserve"> CUST0721 </t>
  </si>
  <si>
    <t>863</t>
  </si>
  <si>
    <t>2024-01-02 03:00:00</t>
  </si>
  <si>
    <t xml:space="preserve"> CUST0355 </t>
  </si>
  <si>
    <t>4930</t>
  </si>
  <si>
    <t>2024-01-02 04:00:00</t>
  </si>
  <si>
    <t xml:space="preserve"> CUST0485 </t>
  </si>
  <si>
    <t>1742</t>
  </si>
  <si>
    <t>2024-01-02 05:00:00</t>
  </si>
  <si>
    <t xml:space="preserve"> CUST0211 </t>
  </si>
  <si>
    <t>2397</t>
  </si>
  <si>
    <t>2024-01-02 06:00:00</t>
  </si>
  <si>
    <t xml:space="preserve"> CUST0704 </t>
  </si>
  <si>
    <t>4796</t>
  </si>
  <si>
    <t>2024-01-02 07:00:00</t>
  </si>
  <si>
    <t xml:space="preserve"> CUST0044 </t>
  </si>
  <si>
    <t>2272</t>
  </si>
  <si>
    <t>2024-01-02 08:00:00</t>
  </si>
  <si>
    <t xml:space="preserve"> CUST0541 </t>
  </si>
  <si>
    <t>2260</t>
  </si>
  <si>
    <t>2024-01-02 09:00:00</t>
  </si>
  <si>
    <t xml:space="preserve"> CUST0571 </t>
  </si>
  <si>
    <t>3849</t>
  </si>
  <si>
    <t>2024-01-02 10:00:00</t>
  </si>
  <si>
    <t xml:space="preserve"> CUST0583 </t>
  </si>
  <si>
    <t>3022</t>
  </si>
  <si>
    <t>2024-01-02 11:00:00</t>
  </si>
  <si>
    <t xml:space="preserve"> CUST0092 </t>
  </si>
  <si>
    <t>679</t>
  </si>
  <si>
    <t>2024-01-02 12:00:00</t>
  </si>
  <si>
    <t xml:space="preserve"> CUST0265 </t>
  </si>
  <si>
    <t>3904</t>
  </si>
  <si>
    <t>2024-01-02 13:00:00</t>
  </si>
  <si>
    <t xml:space="preserve"> CUST0220 </t>
  </si>
  <si>
    <t>4978</t>
  </si>
  <si>
    <t>2024-01-02 14:00:00</t>
  </si>
  <si>
    <t xml:space="preserve"> CUST0442 </t>
  </si>
  <si>
    <t>2468</t>
  </si>
  <si>
    <t>2024-01-02 15:00:00</t>
  </si>
  <si>
    <t xml:space="preserve"> CUST0401 </t>
  </si>
  <si>
    <t>4032</t>
  </si>
  <si>
    <t>2024-01-02 16:00:00</t>
  </si>
  <si>
    <t xml:space="preserve"> CUST0400 </t>
  </si>
  <si>
    <t>4727</t>
  </si>
  <si>
    <t>2024-01-02 17:00:00</t>
  </si>
  <si>
    <t xml:space="preserve"> CUST0727 </t>
  </si>
  <si>
    <t>3460</t>
  </si>
  <si>
    <t>2024-01-02 18:00:00</t>
  </si>
  <si>
    <t xml:space="preserve"> CUST0789 </t>
  </si>
  <si>
    <t>4807</t>
  </si>
  <si>
    <t>2024-01-02 19:00:00</t>
  </si>
  <si>
    <t xml:space="preserve"> CUST0576 </t>
  </si>
  <si>
    <t>1200</t>
  </si>
  <si>
    <t>2024-01-02 20:00:00</t>
  </si>
  <si>
    <t xml:space="preserve"> CUST0490 </t>
  </si>
  <si>
    <t>2</t>
  </si>
  <si>
    <t>1770</t>
  </si>
  <si>
    <t>2024-01-02 21:00:00</t>
  </si>
  <si>
    <t>2320</t>
  </si>
  <si>
    <t>2024-01-02 22:00:00</t>
  </si>
  <si>
    <t xml:space="preserve"> CUST0757 </t>
  </si>
  <si>
    <t>316</t>
  </si>
  <si>
    <t>2024-01-02 23:00:00</t>
  </si>
  <si>
    <t xml:space="preserve"> CUST0470 </t>
  </si>
  <si>
    <t>475</t>
  </si>
  <si>
    <t>2024-01-03 00:00:00</t>
  </si>
  <si>
    <t xml:space="preserve"> CUST0574 </t>
  </si>
  <si>
    <t>1709</t>
  </si>
  <si>
    <t>2024-01-03 01:00:00</t>
  </si>
  <si>
    <t xml:space="preserve"> CUST0682 </t>
  </si>
  <si>
    <t>4206</t>
  </si>
  <si>
    <t>2024-01-03 02:00:00</t>
  </si>
  <si>
    <t xml:space="preserve"> CUST0445 </t>
  </si>
  <si>
    <t>3939</t>
  </si>
  <si>
    <t>2024-01-03 03:00:00</t>
  </si>
  <si>
    <t xml:space="preserve"> CUST0269 </t>
  </si>
  <si>
    <t>3039</t>
  </si>
  <si>
    <t>2024-01-03 04:00:00</t>
  </si>
  <si>
    <t xml:space="preserve"> CUST0267 </t>
  </si>
  <si>
    <t>4162</t>
  </si>
  <si>
    <t>2024-01-03 05:00:00</t>
  </si>
  <si>
    <t xml:space="preserve"> CUST0054 </t>
  </si>
  <si>
    <t>1713</t>
  </si>
  <si>
    <t>2024-01-03 06:00:00</t>
  </si>
  <si>
    <t xml:space="preserve"> CUST0528 </t>
  </si>
  <si>
    <t>3779</t>
  </si>
  <si>
    <t>2024-01-03 07:00:00</t>
  </si>
  <si>
    <t xml:space="preserve"> CUST0520 </t>
  </si>
  <si>
    <t>1396</t>
  </si>
  <si>
    <t>2024-01-03 08:00:00</t>
  </si>
  <si>
    <t xml:space="preserve"> CUST0616 </t>
  </si>
  <si>
    <t>4096</t>
  </si>
  <si>
    <t>2024-01-03 09:00:00</t>
  </si>
  <si>
    <t xml:space="preserve"> CUST0059 </t>
  </si>
  <si>
    <t>4886</t>
  </si>
  <si>
    <t>2024-01-03 10:00:00</t>
  </si>
  <si>
    <t xml:space="preserve"> CUST0040 </t>
  </si>
  <si>
    <t>1255</t>
  </si>
  <si>
    <t>2024-01-03 11:00:00</t>
  </si>
  <si>
    <t xml:space="preserve"> CUST0237 </t>
  </si>
  <si>
    <t>4979</t>
  </si>
  <si>
    <t>2024-01-03 12:00:00</t>
  </si>
  <si>
    <t xml:space="preserve"> CUST0386 </t>
  </si>
  <si>
    <t>2466</t>
  </si>
  <si>
    <t>2024-01-03 13:00:00</t>
  </si>
  <si>
    <t xml:space="preserve"> CUST0606 </t>
  </si>
  <si>
    <t>2991</t>
  </si>
  <si>
    <t>2024-01-03 14:00:00</t>
  </si>
  <si>
    <t xml:space="preserve"> CUST0734 </t>
  </si>
  <si>
    <t>2072</t>
  </si>
  <si>
    <t>2024-01-03 15:00:00</t>
  </si>
  <si>
    <t xml:space="preserve"> CUST0716 </t>
  </si>
  <si>
    <t>884</t>
  </si>
  <si>
    <t>2024-01-03 16:00:00</t>
  </si>
  <si>
    <t xml:space="preserve"> CUST0650 </t>
  </si>
  <si>
    <t>4592</t>
  </si>
  <si>
    <t>2024-01-03 17:00:00</t>
  </si>
  <si>
    <t xml:space="preserve"> CUST0300 </t>
  </si>
  <si>
    <t>1181</t>
  </si>
  <si>
    <t>2024-01-03 18:00:00</t>
  </si>
  <si>
    <t xml:space="preserve"> CUST0395 </t>
  </si>
  <si>
    <t>2133</t>
  </si>
  <si>
    <t>2024-01-03 19:00:00</t>
  </si>
  <si>
    <t xml:space="preserve"> CUST0207 </t>
  </si>
  <si>
    <t>1714</t>
  </si>
  <si>
    <t>2024-01-03 20:00:00</t>
  </si>
  <si>
    <t xml:space="preserve"> CUST0336 </t>
  </si>
  <si>
    <t>4655</t>
  </si>
  <si>
    <t>2024-01-03 21:00:00</t>
  </si>
  <si>
    <t xml:space="preserve"> CUST0593 </t>
  </si>
  <si>
    <t>2516</t>
  </si>
  <si>
    <t>2024-01-03 22:00:00</t>
  </si>
  <si>
    <t xml:space="preserve"> CUST0730 </t>
  </si>
  <si>
    <t>4741</t>
  </si>
  <si>
    <t>2024-01-03 23:00:00</t>
  </si>
  <si>
    <t xml:space="preserve"> CUST0514 </t>
  </si>
  <si>
    <t>3753</t>
  </si>
  <si>
    <t>2024-01-04 00:00:00</t>
  </si>
  <si>
    <t xml:space="preserve"> CUST0178 </t>
  </si>
  <si>
    <t>596</t>
  </si>
  <si>
    <t>2024-01-04 01:00:00</t>
  </si>
  <si>
    <t xml:space="preserve"> CUST0396 </t>
  </si>
  <si>
    <t>604</t>
  </si>
  <si>
    <t>2024-01-04 02:00:00</t>
  </si>
  <si>
    <t xml:space="preserve"> CUST0371 </t>
  </si>
  <si>
    <t>3486</t>
  </si>
  <si>
    <t>2024-01-04 03:00:00</t>
  </si>
  <si>
    <t xml:space="preserve"> CUST0791 </t>
  </si>
  <si>
    <t>2308</t>
  </si>
  <si>
    <t>2024-01-04 04:00:00</t>
  </si>
  <si>
    <t xml:space="preserve"> CUST0658 </t>
  </si>
  <si>
    <t>4913</t>
  </si>
  <si>
    <t>2024-01-04 05:00:00</t>
  </si>
  <si>
    <t xml:space="preserve"> CUST0318 </t>
  </si>
  <si>
    <t>3316</t>
  </si>
  <si>
    <t>2024-01-04 06:00:00</t>
  </si>
  <si>
    <t xml:space="preserve"> CUST0736 </t>
  </si>
  <si>
    <t>3766</t>
  </si>
  <si>
    <t>2024-01-04 07:00:00</t>
  </si>
  <si>
    <t xml:space="preserve"> CUST0369 </t>
  </si>
  <si>
    <t>1508</t>
  </si>
  <si>
    <t>2024-01-04 08:00:00</t>
  </si>
  <si>
    <t xml:space="preserve"> CUST0384 </t>
  </si>
  <si>
    <t>4464</t>
  </si>
  <si>
    <t>2024-01-04 09:00:00</t>
  </si>
  <si>
    <t>4177</t>
  </si>
  <si>
    <t>2024-01-04 10:00:00</t>
  </si>
  <si>
    <t xml:space="preserve"> CUST0505 </t>
  </si>
  <si>
    <t>1577</t>
  </si>
  <si>
    <t>2024-01-04 11:00:00</t>
  </si>
  <si>
    <t xml:space="preserve"> CUST0239 </t>
  </si>
  <si>
    <t>2497</t>
  </si>
  <si>
    <t>2024-01-04 12:00:00</t>
  </si>
  <si>
    <t xml:space="preserve"> CUST0195 </t>
  </si>
  <si>
    <t>209</t>
  </si>
  <si>
    <t>2024-01-04 13:00:00</t>
  </si>
  <si>
    <t xml:space="preserve"> CUST0678 </t>
  </si>
  <si>
    <t>3654</t>
  </si>
  <si>
    <t>2024-01-04 14:00:00</t>
  </si>
  <si>
    <t xml:space="preserve"> CUST0222 </t>
  </si>
  <si>
    <t>749</t>
  </si>
  <si>
    <t>2024-01-04 15:00:00</t>
  </si>
  <si>
    <t xml:space="preserve"> CUST0061 </t>
  </si>
  <si>
    <t>1599</t>
  </si>
  <si>
    <t>2024-01-04 16:00:00</t>
  </si>
  <si>
    <t xml:space="preserve"> CUST0129 </t>
  </si>
  <si>
    <t>695</t>
  </si>
  <si>
    <t>2024-01-04 17:00:00</t>
  </si>
  <si>
    <t xml:space="preserve"> CUST0685 </t>
  </si>
  <si>
    <t>1078</t>
  </si>
  <si>
    <t>2024-01-04 18:00:00</t>
  </si>
  <si>
    <t xml:space="preserve"> CUST0156 </t>
  </si>
  <si>
    <t>830</t>
  </si>
  <si>
    <t>2024-01-04 19:00:00</t>
  </si>
  <si>
    <t xml:space="preserve"> CUST0378 </t>
  </si>
  <si>
    <t>156</t>
  </si>
  <si>
    <t>2024-01-04 20:00:00</t>
  </si>
  <si>
    <t xml:space="preserve"> CUST0622 </t>
  </si>
  <si>
    <t>2343</t>
  </si>
  <si>
    <t>2024-01-04 21:00:00</t>
  </si>
  <si>
    <t xml:space="preserve"> CUST0781 </t>
  </si>
  <si>
    <t>1801</t>
  </si>
  <si>
    <t>2024-01-04 22:00:00</t>
  </si>
  <si>
    <t xml:space="preserve"> CUST0790 </t>
  </si>
  <si>
    <t>1386</t>
  </si>
  <si>
    <t>2024-01-04 23:00:00</t>
  </si>
  <si>
    <t xml:space="preserve"> CUST0586 </t>
  </si>
  <si>
    <t>211</t>
  </si>
  <si>
    <t>2024-01-05 00:00:00</t>
  </si>
  <si>
    <t xml:space="preserve"> CUST0437 </t>
  </si>
  <si>
    <t>4906</t>
  </si>
  <si>
    <t>2024-01-05 01:00:00</t>
  </si>
  <si>
    <t>1301</t>
  </si>
  <si>
    <t>2024-01-05 02:00:00</t>
  </si>
  <si>
    <t xml:space="preserve"> CUST0388 </t>
  </si>
  <si>
    <t>1047</t>
  </si>
  <si>
    <t>2024-01-05 03:00:00</t>
  </si>
  <si>
    <t>4221</t>
  </si>
  <si>
    <t>2024-01-05 04:00:00</t>
  </si>
  <si>
    <t>857</t>
  </si>
  <si>
    <t>2024-01-05 05:00:00</t>
  </si>
  <si>
    <t xml:space="preserve"> CUST0340 </t>
  </si>
  <si>
    <t>3488</t>
  </si>
  <si>
    <t>2024-01-05 06:00:00</t>
  </si>
  <si>
    <t>1941</t>
  </si>
  <si>
    <t>2024-01-05 07:00:00</t>
  </si>
  <si>
    <t xml:space="preserve"> CUST0204 </t>
  </si>
  <si>
    <t>2024-01-05 08:00:00</t>
  </si>
  <si>
    <t xml:space="preserve"> CUST0161 </t>
  </si>
  <si>
    <t>2393</t>
  </si>
  <si>
    <t>2024-01-05 09:00:00</t>
  </si>
  <si>
    <t xml:space="preserve"> CUST0540 </t>
  </si>
  <si>
    <t>1204</t>
  </si>
  <si>
    <t>2024-01-05 10:00:00</t>
  </si>
  <si>
    <t xml:space="preserve"> CUST0392 </t>
  </si>
  <si>
    <t>761</t>
  </si>
  <si>
    <t>2024-01-05 11:00:00</t>
  </si>
  <si>
    <t xml:space="preserve"> CUST0769 </t>
  </si>
  <si>
    <t>1008</t>
  </si>
  <si>
    <t>2024-01-05 12:00:00</t>
  </si>
  <si>
    <t xml:space="preserve"> CUST0677 </t>
  </si>
  <si>
    <t>4717</t>
  </si>
  <si>
    <t>2024-01-05 13:00:00</t>
  </si>
  <si>
    <t xml:space="preserve"> CUST0575 </t>
  </si>
  <si>
    <t>1956</t>
  </si>
  <si>
    <t>2024-01-05 14:00:00</t>
  </si>
  <si>
    <t xml:space="preserve"> CUST0534 </t>
  </si>
  <si>
    <t>2411</t>
  </si>
  <si>
    <t>2024-01-05 15:00:00</t>
  </si>
  <si>
    <t xml:space="preserve"> CUST0070 </t>
  </si>
  <si>
    <t>889</t>
  </si>
  <si>
    <t>2024-01-05 16:00:00</t>
  </si>
  <si>
    <t xml:space="preserve"> CUST0405 </t>
  </si>
  <si>
    <t>271</t>
  </si>
  <si>
    <t>2024-01-05 17:00:00</t>
  </si>
  <si>
    <t xml:space="preserve"> CUST0608 </t>
  </si>
  <si>
    <t>4460</t>
  </si>
  <si>
    <t>2024-01-05 18:00:00</t>
  </si>
  <si>
    <t xml:space="preserve"> CUST0675 </t>
  </si>
  <si>
    <t>2086</t>
  </si>
  <si>
    <t>2024-01-05 19:00:00</t>
  </si>
  <si>
    <t xml:space="preserve"> CUST0591 </t>
  </si>
  <si>
    <t>1985</t>
  </si>
  <si>
    <t>2024-01-05 20:00:00</t>
  </si>
  <si>
    <t xml:space="preserve"> CUST0517 </t>
  </si>
  <si>
    <t>575</t>
  </si>
  <si>
    <t>2024-01-05 21:00:00</t>
  </si>
  <si>
    <t xml:space="preserve"> CUST0120 </t>
  </si>
  <si>
    <t>1149</t>
  </si>
  <si>
    <t>2024-01-05 22:00:00</t>
  </si>
  <si>
    <t xml:space="preserve"> CUST0690 </t>
  </si>
  <si>
    <t>4229</t>
  </si>
  <si>
    <t>2024-01-05 23:00:00</t>
  </si>
  <si>
    <t xml:space="preserve"> CUST0688 </t>
  </si>
  <si>
    <t>2024-01-06 00:00:00</t>
  </si>
  <si>
    <t xml:space="preserve"> CUST0217 </t>
  </si>
  <si>
    <t>1261</t>
  </si>
  <si>
    <t>2024-01-06 01:00:00</t>
  </si>
  <si>
    <t xml:space="preserve"> CUST0056 </t>
  </si>
  <si>
    <t>915</t>
  </si>
  <si>
    <t>2024-01-06 02:00:00</t>
  </si>
  <si>
    <t xml:space="preserve"> CUST0366 </t>
  </si>
  <si>
    <t>3866</t>
  </si>
  <si>
    <t>2024-01-06 03:00:00</t>
  </si>
  <si>
    <t xml:space="preserve"> CUST0699 </t>
  </si>
  <si>
    <t>2024-01-06 04:00:00</t>
  </si>
  <si>
    <t>853</t>
  </si>
  <si>
    <t>2024-01-06 05:00:00</t>
  </si>
  <si>
    <t xml:space="preserve"> CUST0744 </t>
  </si>
  <si>
    <t>4761</t>
  </si>
  <si>
    <t>2024-01-06 06:00:00</t>
  </si>
  <si>
    <t xml:space="preserve"> CUST0767 </t>
  </si>
  <si>
    <t>561</t>
  </si>
  <si>
    <t>2024-01-06 07:00:00</t>
  </si>
  <si>
    <t xml:space="preserve"> CUST0455 </t>
  </si>
  <si>
    <t>3339</t>
  </si>
  <si>
    <t>2024-01-06 08:00:00</t>
  </si>
  <si>
    <t xml:space="preserve"> CUST0104 </t>
  </si>
  <si>
    <t>2802</t>
  </si>
  <si>
    <t>2024-01-06 09:00:00</t>
  </si>
  <si>
    <t xml:space="preserve"> CUST0077 </t>
  </si>
  <si>
    <t>180</t>
  </si>
  <si>
    <t>2024-01-06 10:00:00</t>
  </si>
  <si>
    <t xml:space="preserve"> CUST0230 </t>
  </si>
  <si>
    <t>2904</t>
  </si>
  <si>
    <t>2024-01-06 11:00:00</t>
  </si>
  <si>
    <t xml:space="preserve"> CUST0258 </t>
  </si>
  <si>
    <t>969</t>
  </si>
  <si>
    <t>2024-01-06 12:00:00</t>
  </si>
  <si>
    <t xml:space="preserve"> CUST0264 </t>
  </si>
  <si>
    <t>4794</t>
  </si>
  <si>
    <t>2024-01-06 13:00:00</t>
  </si>
  <si>
    <t xml:space="preserve"> CUST0331 </t>
  </si>
  <si>
    <t>906</t>
  </si>
  <si>
    <t>2024-01-06 14:00:00</t>
  </si>
  <si>
    <t xml:space="preserve"> CUST0182 </t>
  </si>
  <si>
    <t>2034</t>
  </si>
  <si>
    <t>2024-01-06 15:00:00</t>
  </si>
  <si>
    <t xml:space="preserve"> CUST0768 </t>
  </si>
  <si>
    <t>803</t>
  </si>
  <si>
    <t>2024-01-06 16:00:00</t>
  </si>
  <si>
    <t xml:space="preserve"> CUST0550 </t>
  </si>
  <si>
    <t>2623</t>
  </si>
  <si>
    <t>2024-01-06 17:00:00</t>
  </si>
  <si>
    <t>2739</t>
  </si>
  <si>
    <t>2024-01-06 18:00:00</t>
  </si>
  <si>
    <t xml:space="preserve"> CUST0027 </t>
  </si>
  <si>
    <t>4682</t>
  </si>
  <si>
    <t>2024-01-06 19:00:00</t>
  </si>
  <si>
    <t xml:space="preserve"> CUST0276 </t>
  </si>
  <si>
    <t>4009</t>
  </si>
  <si>
    <t>2024-01-06 20:00:00</t>
  </si>
  <si>
    <t xml:space="preserve"> CUST0652 </t>
  </si>
  <si>
    <t>4901</t>
  </si>
  <si>
    <t>2024-01-06 21:00:00</t>
  </si>
  <si>
    <t xml:space="preserve"> CUST0299 </t>
  </si>
  <si>
    <t>1264</t>
  </si>
  <si>
    <t>2024-01-06 22:00:00</t>
  </si>
  <si>
    <t xml:space="preserve"> CUST0799 </t>
  </si>
  <si>
    <t>719</t>
  </si>
  <si>
    <t>2024-01-06 23:00:00</t>
  </si>
  <si>
    <t xml:space="preserve"> CUST0091 </t>
  </si>
  <si>
    <t>3166</t>
  </si>
  <si>
    <t>2024-01-07 00:00:00</t>
  </si>
  <si>
    <t>4972</t>
  </si>
  <si>
    <t>2024-01-07 01:00:00</t>
  </si>
  <si>
    <t xml:space="preserve"> CUST0573 </t>
  </si>
  <si>
    <t>546</t>
  </si>
  <si>
    <t>2024-01-07 02:00:00</t>
  </si>
  <si>
    <t xml:space="preserve"> CUST0458 </t>
  </si>
  <si>
    <t>2437</t>
  </si>
  <si>
    <t>2024-01-07 03:00:00</t>
  </si>
  <si>
    <t xml:space="preserve"> CUST0451 </t>
  </si>
  <si>
    <t>308</t>
  </si>
  <si>
    <t>2024-01-07 04:00:00</t>
  </si>
  <si>
    <t xml:space="preserve"> CUST0365 </t>
  </si>
  <si>
    <t>2560</t>
  </si>
  <si>
    <t>2024-01-07 05:00:00</t>
  </si>
  <si>
    <t>3542</t>
  </si>
  <si>
    <t>2024-01-07 06:00:00</t>
  </si>
  <si>
    <t xml:space="preserve"> CUST0351 </t>
  </si>
  <si>
    <t>2811</t>
  </si>
  <si>
    <t>2024-01-07 07:00:00</t>
  </si>
  <si>
    <t xml:space="preserve"> CUST0655 </t>
  </si>
  <si>
    <t>2024-01-07 08:00:00</t>
  </si>
  <si>
    <t>1391</t>
  </si>
  <si>
    <t>2024-01-07 09:00:00</t>
  </si>
  <si>
    <t xml:space="preserve"> CUST0253 </t>
  </si>
  <si>
    <t>2298</t>
  </si>
  <si>
    <t>2024-01-07 10:00:00</t>
  </si>
  <si>
    <t>1500</t>
  </si>
  <si>
    <t>2024-01-07 11:00:00</t>
  </si>
  <si>
    <t xml:space="preserve"> CUST0459 </t>
  </si>
  <si>
    <t>2755</t>
  </si>
  <si>
    <t>2024-01-07 12:00:00</t>
  </si>
  <si>
    <t>4112</t>
  </si>
  <si>
    <t>2024-01-07 13:00:00</t>
  </si>
  <si>
    <t xml:space="preserve"> CUST0499 </t>
  </si>
  <si>
    <t>804</t>
  </si>
  <si>
    <t>2024-01-07 14:00:00</t>
  </si>
  <si>
    <t xml:space="preserve"> CUST0508 </t>
  </si>
  <si>
    <t>925</t>
  </si>
  <si>
    <t>2024-01-07 15:00:00</t>
  </si>
  <si>
    <t xml:space="preserve"> CUST0304 </t>
  </si>
  <si>
    <t>1104</t>
  </si>
  <si>
    <t>2024-01-07 16:00:00</t>
  </si>
  <si>
    <t xml:space="preserve"> CUST0501 </t>
  </si>
  <si>
    <t>3560</t>
  </si>
  <si>
    <t>2024-01-07 17:00:00</t>
  </si>
  <si>
    <t xml:space="preserve"> CUST0598 </t>
  </si>
  <si>
    <t>476</t>
  </si>
  <si>
    <t>2024-01-07 18:00:00</t>
  </si>
  <si>
    <t xml:space="preserve"> CUST0166 </t>
  </si>
  <si>
    <t>1072</t>
  </si>
  <si>
    <t>2024-01-07 19:00:00</t>
  </si>
  <si>
    <t xml:space="preserve"> CUST0415 </t>
  </si>
  <si>
    <t>4313</t>
  </si>
  <si>
    <t>2024-01-07 20:00:00</t>
  </si>
  <si>
    <t xml:space="preserve"> CUST0462 </t>
  </si>
  <si>
    <t>3176</t>
  </si>
  <si>
    <t>2024-01-07 21:00:00</t>
  </si>
  <si>
    <t xml:space="preserve"> CUST0114 </t>
  </si>
  <si>
    <t>543</t>
  </si>
  <si>
    <t>2024-01-07 22:00:00</t>
  </si>
  <si>
    <t xml:space="preserve"> CUST0433 </t>
  </si>
  <si>
    <t>854</t>
  </si>
  <si>
    <t>2024-01-07 23:00:00</t>
  </si>
  <si>
    <t xml:space="preserve"> CUST0356 </t>
  </si>
  <si>
    <t>3704</t>
  </si>
  <si>
    <t>2024-01-08 00:00:00</t>
  </si>
  <si>
    <t xml:space="preserve"> CUST0695 </t>
  </si>
  <si>
    <t>4835</t>
  </si>
  <si>
    <t>2024-01-08 01:00:00</t>
  </si>
  <si>
    <t>2271</t>
  </si>
  <si>
    <t>2024-01-08 02:00:00</t>
  </si>
  <si>
    <t>2805</t>
  </si>
  <si>
    <t>2024-01-08 03:00:00</t>
  </si>
  <si>
    <t>3565</t>
  </si>
  <si>
    <t>2024-01-08 04:00:00</t>
  </si>
  <si>
    <t>2024-01-08 05:00:00</t>
  </si>
  <si>
    <t>2507</t>
  </si>
  <si>
    <t>2024-01-08 06:00:00</t>
  </si>
  <si>
    <t xml:space="preserve"> CUST0515 </t>
  </si>
  <si>
    <t>722</t>
  </si>
  <si>
    <t>2024-01-08 07:00:00</t>
  </si>
  <si>
    <t xml:space="preserve"> CUST0208 </t>
  </si>
  <si>
    <t>1823</t>
  </si>
  <si>
    <t>2024-01-08 08:00:00</t>
  </si>
  <si>
    <t xml:space="preserve"> CUST0709 </t>
  </si>
  <si>
    <t>3422</t>
  </si>
  <si>
    <t>2024-01-08 09:00:00</t>
  </si>
  <si>
    <t xml:space="preserve"> CUST0125 </t>
  </si>
  <si>
    <t>2019</t>
  </si>
  <si>
    <t>2024-01-08 10:00:00</t>
  </si>
  <si>
    <t xml:space="preserve"> CUST0138 </t>
  </si>
  <si>
    <t>1018</t>
  </si>
  <si>
    <t>2024-01-08 11:00:00</t>
  </si>
  <si>
    <t xml:space="preserve"> CUST0339 </t>
  </si>
  <si>
    <t>4315</t>
  </si>
  <si>
    <t>2024-01-08 12:00:00</t>
  </si>
  <si>
    <t xml:space="preserve"> CUST0537 </t>
  </si>
  <si>
    <t>681</t>
  </si>
  <si>
    <t>2024-01-08 13:00:00</t>
  </si>
  <si>
    <t xml:space="preserve"> CUST0068 </t>
  </si>
  <si>
    <t>3981</t>
  </si>
  <si>
    <t>2024-01-08 14:00:00</t>
  </si>
  <si>
    <t>1786</t>
  </si>
  <si>
    <t>2024-01-08 15:00:00</t>
  </si>
  <si>
    <t>2024-01-08 16:00:00</t>
  </si>
  <si>
    <t xml:space="preserve"> CUST0383 </t>
  </si>
  <si>
    <t>2099</t>
  </si>
  <si>
    <t>2024-01-08 17:00:00</t>
  </si>
  <si>
    <t xml:space="preserve"> CUST0019 </t>
  </si>
  <si>
    <t>2024-01-08 18:00:00</t>
  </si>
  <si>
    <t xml:space="preserve"> CUST0683 </t>
  </si>
  <si>
    <t>500</t>
  </si>
  <si>
    <t>2024-01-08 19:00:00</t>
  </si>
  <si>
    <t xml:space="preserve"> CUST0450 </t>
  </si>
  <si>
    <t>3748</t>
  </si>
  <si>
    <t>2024-01-08 20:00:00</t>
  </si>
  <si>
    <t xml:space="preserve"> CUST0074 </t>
  </si>
  <si>
    <t>2728</t>
  </si>
  <si>
    <t>2024-01-08 21:00:00</t>
  </si>
  <si>
    <t>1756</t>
  </si>
  <si>
    <t>2024-01-08 22:00:00</t>
  </si>
  <si>
    <t xml:space="preserve"> CUST0665 </t>
  </si>
  <si>
    <t>720</t>
  </si>
  <si>
    <t>2024-01-08 23:00:00</t>
  </si>
  <si>
    <t>346</t>
  </si>
  <si>
    <t>2024-01-09 00:00:00</t>
  </si>
  <si>
    <t>3439</t>
  </si>
  <si>
    <t>2024-01-09 01:00:00</t>
  </si>
  <si>
    <t>3110</t>
  </si>
  <si>
    <t>2024-01-09 02:00:00</t>
  </si>
  <si>
    <t xml:space="preserve"> CUST0651 </t>
  </si>
  <si>
    <t>4819</t>
  </si>
  <si>
    <t>2024-01-09 03:00:00</t>
  </si>
  <si>
    <t>2024-01-09 04:00:00</t>
  </si>
  <si>
    <t>4094</t>
  </si>
  <si>
    <t>2024-01-09 05:00:00</t>
  </si>
  <si>
    <t>1939</t>
  </si>
  <si>
    <t>2024-01-09 06:00:00</t>
  </si>
  <si>
    <t>3003</t>
  </si>
  <si>
    <t>2024-01-09 07:00:00</t>
  </si>
  <si>
    <t xml:space="preserve"> CUST0191 </t>
  </si>
  <si>
    <t>4495</t>
  </si>
  <si>
    <t>2024-01-09 08:00:00</t>
  </si>
  <si>
    <t xml:space="preserve"> CUST0315 </t>
  </si>
  <si>
    <t>4598</t>
  </si>
  <si>
    <t>2024-01-09 09:00:00</t>
  </si>
  <si>
    <t xml:space="preserve"> CUST0563 </t>
  </si>
  <si>
    <t>3791</t>
  </si>
  <si>
    <t>2024-01-09 10:00:00</t>
  </si>
  <si>
    <t xml:space="preserve"> CUST0661 </t>
  </si>
  <si>
    <t>3941</t>
  </si>
  <si>
    <t>2024-01-09 11:00:00</t>
  </si>
  <si>
    <t xml:space="preserve"> CUST0780 </t>
  </si>
  <si>
    <t>4448</t>
  </si>
  <si>
    <t>2024-01-09 12:00:00</t>
  </si>
  <si>
    <t xml:space="preserve"> CUST0562 </t>
  </si>
  <si>
    <t>1492</t>
  </si>
  <si>
    <t>2024-01-09 13:00:00</t>
  </si>
  <si>
    <t xml:space="preserve"> CUST0758 </t>
  </si>
  <si>
    <t>3850</t>
  </si>
  <si>
    <t>2024-01-09 14:00:00</t>
  </si>
  <si>
    <t xml:space="preserve"> CUST0113 </t>
  </si>
  <si>
    <t>4355</t>
  </si>
  <si>
    <t>2024-01-09 15:00:00</t>
  </si>
  <si>
    <t xml:space="preserve"> CUST0170 </t>
  </si>
  <si>
    <t>3108</t>
  </si>
  <si>
    <t>2024-01-09 16:00:00</t>
  </si>
  <si>
    <t xml:space="preserve"> CUST0468 </t>
  </si>
  <si>
    <t>4400</t>
  </si>
  <si>
    <t>2024-01-09 17:00:00</t>
  </si>
  <si>
    <t>3438</t>
  </si>
  <si>
    <t>2024-01-09 18:00:00</t>
  </si>
  <si>
    <t xml:space="preserve"> CUST0014 </t>
  </si>
  <si>
    <t>3614</t>
  </si>
  <si>
    <t>2024-01-09 19:00:00</t>
  </si>
  <si>
    <t xml:space="preserve"> CUST0715 </t>
  </si>
  <si>
    <t>859</t>
  </si>
  <si>
    <t>2024-01-09 20:00:00</t>
  </si>
  <si>
    <t xml:space="preserve"> CUST0288 </t>
  </si>
  <si>
    <t>2868</t>
  </si>
  <si>
    <t>2024-01-09 21:00:00</t>
  </si>
  <si>
    <t xml:space="preserve"> CUST0189 </t>
  </si>
  <si>
    <t>3188</t>
  </si>
  <si>
    <t>2024-01-09 22:00:00</t>
  </si>
  <si>
    <t xml:space="preserve"> CUST0155 </t>
  </si>
  <si>
    <t>2215</t>
  </si>
  <si>
    <t>2024-01-09 23:00:00</t>
  </si>
  <si>
    <t xml:space="preserve"> CUST0567 </t>
  </si>
  <si>
    <t>4328</t>
  </si>
  <si>
    <t>2024-01-10 00:00:00</t>
  </si>
  <si>
    <t xml:space="preserve"> CUST0694 </t>
  </si>
  <si>
    <t>2024-01-10 01:00:00</t>
  </si>
  <si>
    <t xml:space="preserve"> CUST0722 </t>
  </si>
  <si>
    <t>3066</t>
  </si>
  <si>
    <t>2024-01-10 02:00:00</t>
  </si>
  <si>
    <t xml:space="preserve"> CUST0471 </t>
  </si>
  <si>
    <t>529</t>
  </si>
  <si>
    <t>2024-01-10 03:00:00</t>
  </si>
  <si>
    <t xml:space="preserve"> CUST0075 </t>
  </si>
  <si>
    <t>2455</t>
  </si>
  <si>
    <t>2024-01-10 04:00:00</t>
  </si>
  <si>
    <t xml:space="preserve"> CUST0277 </t>
  </si>
  <si>
    <t>2559</t>
  </si>
  <si>
    <t>2024-01-10 05:00:00</t>
  </si>
  <si>
    <t xml:space="preserve"> CUST0645 </t>
  </si>
  <si>
    <t>4292</t>
  </si>
  <si>
    <t>2024-01-10 06:00:00</t>
  </si>
  <si>
    <t xml:space="preserve"> CUST0343 </t>
  </si>
  <si>
    <t>1818</t>
  </si>
  <si>
    <t>2024-01-10 07:00:00</t>
  </si>
  <si>
    <t xml:space="preserve"> CUST0425 </t>
  </si>
  <si>
    <t>1365</t>
  </si>
  <si>
    <t>2024-01-10 08:00:00</t>
  </si>
  <si>
    <t>1408</t>
  </si>
  <si>
    <t>2024-01-10 09:00:00</t>
  </si>
  <si>
    <t xml:space="preserve"> CUST0511 </t>
  </si>
  <si>
    <t>1150</t>
  </si>
  <si>
    <t>2024-01-10 10:00:00</t>
  </si>
  <si>
    <t>3573</t>
  </si>
  <si>
    <t>2024-01-10 11:00:00</t>
  </si>
  <si>
    <t>2349</t>
  </si>
  <si>
    <t>2024-01-10 12:00:00</t>
  </si>
  <si>
    <t xml:space="preserve"> CUST0064 </t>
  </si>
  <si>
    <t>2909</t>
  </si>
  <si>
    <t>2024-01-10 13:00:00</t>
  </si>
  <si>
    <t xml:space="preserve"> CUST0260 </t>
  </si>
  <si>
    <t>3021</t>
  </si>
  <si>
    <t>2024-01-10 14:00:00</t>
  </si>
  <si>
    <t xml:space="preserve"> CUST0193 </t>
  </si>
  <si>
    <t>4776</t>
  </si>
  <si>
    <t>2024-01-10 15:00:00</t>
  </si>
  <si>
    <t>4141</t>
  </si>
  <si>
    <t>2024-01-10 16:00:00</t>
  </si>
  <si>
    <t>2517</t>
  </si>
  <si>
    <t>2024-01-10 17:00:00</t>
  </si>
  <si>
    <t xml:space="preserve"> CUST0406 </t>
  </si>
  <si>
    <t>632</t>
  </si>
  <si>
    <t>2024-01-10 18:00:00</t>
  </si>
  <si>
    <t xml:space="preserve"> CUST0726 </t>
  </si>
  <si>
    <t>998</t>
  </si>
  <si>
    <t>2024-01-10 19:00:00</t>
  </si>
  <si>
    <t xml:space="preserve"> CUST0754 </t>
  </si>
  <si>
    <t>2754</t>
  </si>
  <si>
    <t>2024-01-10 20:00:00</t>
  </si>
  <si>
    <t>1569</t>
  </si>
  <si>
    <t>2024-01-10 21:00:00</t>
  </si>
  <si>
    <t xml:space="preserve"> CUST0093 </t>
  </si>
  <si>
    <t>3020</t>
  </si>
  <si>
    <t>2024-01-10 22:00:00</t>
  </si>
  <si>
    <t xml:space="preserve"> CUST0430 </t>
  </si>
  <si>
    <t>1352</t>
  </si>
  <si>
    <t>2024-01-10 23:00:00</t>
  </si>
  <si>
    <t xml:space="preserve"> CUST0654 </t>
  </si>
  <si>
    <t>869</t>
  </si>
  <si>
    <t>2024-01-11 00:00:00</t>
  </si>
  <si>
    <t xml:space="preserve"> CUST0434 </t>
  </si>
  <si>
    <t>933</t>
  </si>
  <si>
    <t>2024-01-11 01:00:00</t>
  </si>
  <si>
    <t xml:space="preserve"> CUST0404 </t>
  </si>
  <si>
    <t>2309</t>
  </si>
  <si>
    <t>2024-01-11 02:00:00</t>
  </si>
  <si>
    <t>4749</t>
  </si>
  <si>
    <t>2024-01-11 03:00:00</t>
  </si>
  <si>
    <t xml:space="preserve"> CUST0112 </t>
  </si>
  <si>
    <t>3524</t>
  </si>
  <si>
    <t>2024-01-11 04:00:00</t>
  </si>
  <si>
    <t xml:space="preserve"> CUST0375 </t>
  </si>
  <si>
    <t>1191</t>
  </si>
  <si>
    <t>2024-01-11 05:00:00</t>
  </si>
  <si>
    <t>1296</t>
  </si>
  <si>
    <t>2024-01-11 06:00:00</t>
  </si>
  <si>
    <t xml:space="preserve"> CUST0043 </t>
  </si>
  <si>
    <t>4014</t>
  </si>
  <si>
    <t>2024-01-11 07:00:00</t>
  </si>
  <si>
    <t>1760</t>
  </si>
  <si>
    <t>2024-01-11 08:00:00</t>
  </si>
  <si>
    <t>4754</t>
  </si>
  <si>
    <t>2024-01-11 09:00:00</t>
  </si>
  <si>
    <t xml:space="preserve"> CUST0296 </t>
  </si>
  <si>
    <t>360</t>
  </si>
  <si>
    <t>2024-01-11 10:00:00</t>
  </si>
  <si>
    <t xml:space="preserve"> CUST0118 </t>
  </si>
  <si>
    <t>2364</t>
  </si>
  <si>
    <t>2024-01-11 11:00:00</t>
  </si>
  <si>
    <t xml:space="preserve"> CUST0532 </t>
  </si>
  <si>
    <t>1285</t>
  </si>
  <si>
    <t>2024-01-11 12:00:00</t>
  </si>
  <si>
    <t>2549</t>
  </si>
  <si>
    <t>2024-01-11 13:00:00</t>
  </si>
  <si>
    <t>3633</t>
  </si>
  <si>
    <t>2024-01-11 14:00:00</t>
  </si>
  <si>
    <t xml:space="preserve"> CUST0643 </t>
  </si>
  <si>
    <t>4470</t>
  </si>
  <si>
    <t>2024-01-11 15:00:00</t>
  </si>
  <si>
    <t>4401</t>
  </si>
  <si>
    <t>2024-01-11 16:00:00</t>
  </si>
  <si>
    <t xml:space="preserve"> CUST0184 </t>
  </si>
  <si>
    <t>3444</t>
  </si>
  <si>
    <t>2024-01-11 17:00:00</t>
  </si>
  <si>
    <t xml:space="preserve"> CUST0090 </t>
  </si>
  <si>
    <t>966</t>
  </si>
  <si>
    <t>2024-01-11 18:00:00</t>
  </si>
  <si>
    <t xml:space="preserve"> CUST0094 </t>
  </si>
  <si>
    <t>192</t>
  </si>
  <si>
    <t>2024-01-11 19:00:00</t>
  </si>
  <si>
    <t xml:space="preserve"> CUST0013 </t>
  </si>
  <si>
    <t>3278</t>
  </si>
  <si>
    <t>2024-01-11 20:00:00</t>
  </si>
  <si>
    <t xml:space="preserve"> CUST0742 </t>
  </si>
  <si>
    <t>1451</t>
  </si>
  <si>
    <t>2024-01-11 21:00:00</t>
  </si>
  <si>
    <t xml:space="preserve"> CUST0438 </t>
  </si>
  <si>
    <t>464</t>
  </si>
  <si>
    <t>2024-01-11 22:00:00</t>
  </si>
  <si>
    <t xml:space="preserve"> CUST0538 </t>
  </si>
  <si>
    <t>3818</t>
  </si>
  <si>
    <t>2024-01-11 23:00:00</t>
  </si>
  <si>
    <t xml:space="preserve"> CUST0587 </t>
  </si>
  <si>
    <t>2024</t>
  </si>
  <si>
    <t>2024-01-12 00:00:00</t>
  </si>
  <si>
    <t xml:space="preserve"> CUST0150 </t>
  </si>
  <si>
    <t>3195</t>
  </si>
  <si>
    <t>2024-01-12 01:00:00</t>
  </si>
  <si>
    <t xml:space="preserve"> CUST0660 </t>
  </si>
  <si>
    <t>2638</t>
  </si>
  <si>
    <t>2024-01-12 02:00:00</t>
  </si>
  <si>
    <t xml:space="preserve"> CUST0008 </t>
  </si>
  <si>
    <t>2024-01-12 03:00:00</t>
  </si>
  <si>
    <t xml:space="preserve"> CUST0029 </t>
  </si>
  <si>
    <t>2376</t>
  </si>
  <si>
    <t>2024-01-12 04:00:00</t>
  </si>
  <si>
    <t>102</t>
  </si>
  <si>
    <t>2024-01-12 05:00:00</t>
  </si>
  <si>
    <t>3592</t>
  </si>
  <si>
    <t>2024-01-12 06:00:00</t>
  </si>
  <si>
    <t xml:space="preserve"> CUST0640 </t>
  </si>
  <si>
    <t>1853</t>
  </si>
  <si>
    <t>2024-01-12 07:00:00</t>
  </si>
  <si>
    <t>1010</t>
  </si>
  <si>
    <t>2024-01-12 08:00:00</t>
  </si>
  <si>
    <t xml:space="preserve"> CUST0628 </t>
  </si>
  <si>
    <t>406</t>
  </si>
  <si>
    <t>2024-01-12 09:00:00</t>
  </si>
  <si>
    <t xml:space="preserve"> CUST0439 </t>
  </si>
  <si>
    <t>4331</t>
  </si>
  <si>
    <t>2024-01-12 10:00:00</t>
  </si>
  <si>
    <t xml:space="preserve"> CUST0144 </t>
  </si>
  <si>
    <t>4115</t>
  </si>
  <si>
    <t>2024-01-12 11:00:00</t>
  </si>
  <si>
    <t xml:space="preserve"> CUST0747 </t>
  </si>
  <si>
    <t>1538</t>
  </si>
  <si>
    <t>2024-01-12 12:00:00</t>
  </si>
  <si>
    <t xml:space="preserve"> CUST0519 </t>
  </si>
  <si>
    <t>972</t>
  </si>
  <si>
    <t>2024-01-12 13:00:00</t>
  </si>
  <si>
    <t xml:space="preserve"> CUST0045 </t>
  </si>
  <si>
    <t>1241</t>
  </si>
  <si>
    <t>2024-01-12 14:00:00</t>
  </si>
  <si>
    <t>765</t>
  </si>
  <si>
    <t>2024-01-12 15:00:00</t>
  </si>
  <si>
    <t>2024-01-12 16:00:00</t>
  </si>
  <si>
    <t xml:space="preserve"> CUST0181 </t>
  </si>
  <si>
    <t>1051</t>
  </si>
  <si>
    <t>2024-01-12 17:00:00</t>
  </si>
  <si>
    <t xml:space="preserve"> CUST0215 </t>
  </si>
  <si>
    <t>1157</t>
  </si>
  <si>
    <t>2024-01-12 18:00:00</t>
  </si>
  <si>
    <t xml:space="preserve"> CUST0088 </t>
  </si>
  <si>
    <t>4844</t>
  </si>
  <si>
    <t>2024-01-12 19:00:00</t>
  </si>
  <si>
    <t>4822</t>
  </si>
  <si>
    <t>2024-01-12 20:00:00</t>
  </si>
  <si>
    <t>4720</t>
  </si>
  <si>
    <t>2024-01-12 21:00:00</t>
  </si>
  <si>
    <t xml:space="preserve"> CUST0073 </t>
  </si>
  <si>
    <t>4108</t>
  </si>
  <si>
    <t>2024-01-12 22:00:00</t>
  </si>
  <si>
    <t xml:space="preserve"> CUST0179 </t>
  </si>
  <si>
    <t>1968</t>
  </si>
  <si>
    <t>2024-01-12 23:00:00</t>
  </si>
  <si>
    <t xml:space="preserve"> CUST0212 </t>
  </si>
  <si>
    <t>4964</t>
  </si>
  <si>
    <t>2024-01-13 00:00:00</t>
  </si>
  <si>
    <t xml:space="preserve"> CUST0234 </t>
  </si>
  <si>
    <t>871</t>
  </si>
  <si>
    <t>2024-01-13 01:00:00</t>
  </si>
  <si>
    <t xml:space="preserve"> CUST0465 </t>
  </si>
  <si>
    <t>4935</t>
  </si>
  <si>
    <t>2024-01-13 02:00:00</t>
  </si>
  <si>
    <t xml:space="preserve"> CUST0751 </t>
  </si>
  <si>
    <t>4130</t>
  </si>
  <si>
    <t>2024-01-13 03:00:00</t>
  </si>
  <si>
    <t xml:space="preserve"> CUST0223 </t>
  </si>
  <si>
    <t>621</t>
  </si>
  <si>
    <t>2024-01-13 04:00:00</t>
  </si>
  <si>
    <t xml:space="preserve"> CUST0631 </t>
  </si>
  <si>
    <t>3455</t>
  </si>
  <si>
    <t>2024-01-13 05:00:00</t>
  </si>
  <si>
    <t>2024-01-13 06:00:00</t>
  </si>
  <si>
    <t>3838</t>
  </si>
  <si>
    <t>2024-01-13 07:00:00</t>
  </si>
  <si>
    <t xml:space="preserve"> CUST0607 </t>
  </si>
  <si>
    <t>4443</t>
  </si>
  <si>
    <t>2024-01-13 08:00:00</t>
  </si>
  <si>
    <t>3823</t>
  </si>
  <si>
    <t>2024-01-13 09:00:00</t>
  </si>
  <si>
    <t>3347</t>
  </si>
  <si>
    <t>2024-01-13 10:00:00</t>
  </si>
  <si>
    <t>1958</t>
  </si>
  <si>
    <t>2024-01-13 11:00:00</t>
  </si>
  <si>
    <t xml:space="preserve"> CUST0380 </t>
  </si>
  <si>
    <t>4881</t>
  </si>
  <si>
    <t>2024-01-13 12:00:00</t>
  </si>
  <si>
    <t xml:space="preserve"> CUST0743 </t>
  </si>
  <si>
    <t>4164</t>
  </si>
  <si>
    <t>2024-01-13 13:00:00</t>
  </si>
  <si>
    <t xml:space="preserve"> CUST0309 </t>
  </si>
  <si>
    <t>4781</t>
  </si>
  <si>
    <t>2024-01-13 14:00:00</t>
  </si>
  <si>
    <t>2024-01-13 15:00:00</t>
  </si>
  <si>
    <t xml:space="preserve"> CUST0268 </t>
  </si>
  <si>
    <t>242</t>
  </si>
  <si>
    <t>2024-01-13 16:00:00</t>
  </si>
  <si>
    <t xml:space="preserve"> CUST0785 </t>
  </si>
  <si>
    <t>2951</t>
  </si>
  <si>
    <t>2024-01-13 17:00:00</t>
  </si>
  <si>
    <t>3569</t>
  </si>
  <si>
    <t>2024-01-13 18:00:00</t>
  </si>
  <si>
    <t xml:space="preserve"> CUST0350 </t>
  </si>
  <si>
    <t>3795</t>
  </si>
  <si>
    <t>2024-01-13 19:00:00</t>
  </si>
  <si>
    <t xml:space="preserve"> CUST0494 </t>
  </si>
  <si>
    <t>817</t>
  </si>
  <si>
    <t>2024-01-13 20:00:00</t>
  </si>
  <si>
    <t xml:space="preserve"> CUST0523 </t>
  </si>
  <si>
    <t>742</t>
  </si>
  <si>
    <t>2024-01-13 21:00:00</t>
  </si>
  <si>
    <t xml:space="preserve"> CUST0098 </t>
  </si>
  <si>
    <t>3540</t>
  </si>
  <si>
    <t>2024-01-13 22:00:00</t>
  </si>
  <si>
    <t xml:space="preserve"> CUST0071 </t>
  </si>
  <si>
    <t>2648</t>
  </si>
  <si>
    <t>2024-01-13 23:00:00</t>
  </si>
  <si>
    <t xml:space="preserve"> CUST0364 </t>
  </si>
  <si>
    <t>3793</t>
  </si>
  <si>
    <t>2024-01-14 00:00:00</t>
  </si>
  <si>
    <t xml:space="preserve"> CUST0570 </t>
  </si>
  <si>
    <t>469</t>
  </si>
  <si>
    <t>2024-01-14 01:00:00</t>
  </si>
  <si>
    <t xml:space="preserve"> CUST0763 </t>
  </si>
  <si>
    <t>3750</t>
  </si>
  <si>
    <t>2024-01-14 02:00:00</t>
  </si>
  <si>
    <t>886</t>
  </si>
  <si>
    <t>2024-01-14 03:00:00</t>
  </si>
  <si>
    <t xml:space="preserve"> CUST0050 </t>
  </si>
  <si>
    <t>1049</t>
  </si>
  <si>
    <t>2024-01-14 04:00:00</t>
  </si>
  <si>
    <t xml:space="preserve"> CUST0358 </t>
  </si>
  <si>
    <t>2024-01-14 05:00:00</t>
  </si>
  <si>
    <t xml:space="preserve"> CUST0728 </t>
  </si>
  <si>
    <t>3043</t>
  </si>
  <si>
    <t>2024-01-14 06:00:00</t>
  </si>
  <si>
    <t xml:space="preserve"> CUST0564 </t>
  </si>
  <si>
    <t>454</t>
  </si>
  <si>
    <t>2024-01-14 07:00:00</t>
  </si>
  <si>
    <t xml:space="preserve"> CUST0783 </t>
  </si>
  <si>
    <t>2435</t>
  </si>
  <si>
    <t>2024-01-14 08:00:00</t>
  </si>
  <si>
    <t>1582</t>
  </si>
  <si>
    <t>2024-01-14 09:00:00</t>
  </si>
  <si>
    <t xml:space="preserve"> CUST0084 </t>
  </si>
  <si>
    <t>1747</t>
  </si>
  <si>
    <t>2024-01-14 10:00:00</t>
  </si>
  <si>
    <t xml:space="preserve"> CUST0638 </t>
  </si>
  <si>
    <t>3145</t>
  </si>
  <si>
    <t>2024-01-14 11:00:00</t>
  </si>
  <si>
    <t xml:space="preserve"> CUST0584 </t>
  </si>
  <si>
    <t>4731</t>
  </si>
  <si>
    <t>2024-01-14 12:00:00</t>
  </si>
  <si>
    <t>2315</t>
  </si>
  <si>
    <t>2024-01-14 13:00:00</t>
  </si>
  <si>
    <t xml:space="preserve"> CUST0236 </t>
  </si>
  <si>
    <t>4816</t>
  </si>
  <si>
    <t>2024-01-14 14:00:00</t>
  </si>
  <si>
    <t>527</t>
  </si>
  <si>
    <t>2024-01-14 15:00:00</t>
  </si>
  <si>
    <t xml:space="preserve"> CUST0360 </t>
  </si>
  <si>
    <t>2637</t>
  </si>
  <si>
    <t>2024-01-14 16:00:00</t>
  </si>
  <si>
    <t xml:space="preserve"> CUST0110 </t>
  </si>
  <si>
    <t>644</t>
  </si>
  <si>
    <t>2024-01-14 17:00:00</t>
  </si>
  <si>
    <t xml:space="preserve"> CUST0192 </t>
  </si>
  <si>
    <t>2864</t>
  </si>
  <si>
    <t>2024-01-14 18:00:00</t>
  </si>
  <si>
    <t>3865</t>
  </si>
  <si>
    <t>2024-01-14 19:00:00</t>
  </si>
  <si>
    <t xml:space="preserve"> CUST0568 </t>
  </si>
  <si>
    <t>758</t>
  </si>
  <si>
    <t>2024-01-14 20:00:00</t>
  </si>
  <si>
    <t xml:space="preserve"> CUST0060 </t>
  </si>
  <si>
    <t>2927</t>
  </si>
  <si>
    <t>2024-01-14 21:00:00</t>
  </si>
  <si>
    <t>2158</t>
  </si>
  <si>
    <t>2024-01-14 22:00:00</t>
  </si>
  <si>
    <t xml:space="preserve"> CUST0039 </t>
  </si>
  <si>
    <t>3427</t>
  </si>
  <si>
    <t>2024-01-14 23:00:00</t>
  </si>
  <si>
    <t>2024-01-15 00:00:00</t>
  </si>
  <si>
    <t xml:space="preserve"> CUST0049 </t>
  </si>
  <si>
    <t>1932</t>
  </si>
  <si>
    <t>2024-01-15 01:00:00</t>
  </si>
  <si>
    <t xml:space="preserve"> CUST0420 </t>
  </si>
  <si>
    <t>508</t>
  </si>
  <si>
    <t>2024-01-15 02:00:00</t>
  </si>
  <si>
    <t xml:space="preserve"> CUST0637 </t>
  </si>
  <si>
    <t>4279</t>
  </si>
  <si>
    <t>2024-01-15 03:00:00</t>
  </si>
  <si>
    <t>2024-01-15 04:00:00</t>
  </si>
  <si>
    <t xml:space="preserve"> CUST0036 </t>
  </si>
  <si>
    <t>4902</t>
  </si>
  <si>
    <t>2024-01-15 05:00:00</t>
  </si>
  <si>
    <t xml:space="preserve"> CUST0101 </t>
  </si>
  <si>
    <t>233</t>
  </si>
  <si>
    <t>2024-01-15 06:00:00</t>
  </si>
  <si>
    <t xml:space="preserve"> CUST0794 </t>
  </si>
  <si>
    <t>4983</t>
  </si>
  <si>
    <t>2024-01-15 07:00:00</t>
  </si>
  <si>
    <t xml:space="preserve"> CUST0086 </t>
  </si>
  <si>
    <t>766</t>
  </si>
  <si>
    <t>2024-01-15 08:00:00</t>
  </si>
  <si>
    <t xml:space="preserve"> CUST0516 </t>
  </si>
  <si>
    <t>376</t>
  </si>
  <si>
    <t>2024-01-15 09:00:00</t>
  </si>
  <si>
    <t>3407</t>
  </si>
  <si>
    <t>2024-01-15 10:00:00</t>
  </si>
  <si>
    <t xml:space="preserve"> CUST0338 </t>
  </si>
  <si>
    <t>981</t>
  </si>
  <si>
    <t>2024-01-15 11:00:00</t>
  </si>
  <si>
    <t>2160</t>
  </si>
  <si>
    <t>2024-01-15 12:00:00</t>
  </si>
  <si>
    <t>2182</t>
  </si>
  <si>
    <t>2024-01-15 13:00:00</t>
  </si>
  <si>
    <t xml:space="preserve"> CUST0376 </t>
  </si>
  <si>
    <t>1337</t>
  </si>
  <si>
    <t>2024-01-15 14:00:00</t>
  </si>
  <si>
    <t>2552</t>
  </si>
  <si>
    <t>2024-01-15 15:00:00</t>
  </si>
  <si>
    <t>258</t>
  </si>
  <si>
    <t>2024-01-15 16:00:00</t>
  </si>
  <si>
    <t xml:space="preserve"> CUST0642 </t>
  </si>
  <si>
    <t>2696</t>
  </si>
  <si>
    <t>2024-01-15 17:00:00</t>
  </si>
  <si>
    <t xml:space="preserve"> CUST0031 </t>
  </si>
  <si>
    <t>3915</t>
  </si>
  <si>
    <t>2024-01-15 18:00:00</t>
  </si>
  <si>
    <t>4474</t>
  </si>
  <si>
    <t>2024-01-15 19:00:00</t>
  </si>
  <si>
    <t xml:space="preserve"> CUST0011 </t>
  </si>
  <si>
    <t>2626</t>
  </si>
  <si>
    <t>2024-01-15 20:00:00</t>
  </si>
  <si>
    <t xml:space="preserve"> CUST0302 </t>
  </si>
  <si>
    <t>210</t>
  </si>
  <si>
    <t>2024-01-15 21:00:00</t>
  </si>
  <si>
    <t>641</t>
  </si>
  <si>
    <t>2024-01-15 22:00:00</t>
  </si>
  <si>
    <t xml:space="preserve"> CUST0190 </t>
  </si>
  <si>
    <t>1238</t>
  </si>
  <si>
    <t>2024-01-15 23:00:00</t>
  </si>
  <si>
    <t xml:space="preserve"> CUST0453 </t>
  </si>
  <si>
    <t>3383</t>
  </si>
  <si>
    <t>2024-01-16 00:00:00</t>
  </si>
  <si>
    <t>3710</t>
  </si>
  <si>
    <t>2024-01-16 01:00:00</t>
  </si>
  <si>
    <t xml:space="preserve"> CUST0486 </t>
  </si>
  <si>
    <t>4555</t>
  </si>
  <si>
    <t>2024-01-16 02:00:00</t>
  </si>
  <si>
    <t xml:space="preserve"> CUST0266 </t>
  </si>
  <si>
    <t>3657</t>
  </si>
  <si>
    <t>2024-01-16 03:00:00</t>
  </si>
  <si>
    <t xml:space="preserve"> CUST0424 </t>
  </si>
  <si>
    <t>2519</t>
  </si>
  <si>
    <t>2024-01-16 04:00:00</t>
  </si>
  <si>
    <t xml:space="preserve"> CUST0128 </t>
  </si>
  <si>
    <t>1856</t>
  </si>
  <si>
    <t>2024-01-16 05:00:00</t>
  </si>
  <si>
    <t xml:space="preserve"> CUST0238 </t>
  </si>
  <si>
    <t>3186</t>
  </si>
  <si>
    <t>2024-01-16 06:00:00</t>
  </si>
  <si>
    <t>2406</t>
  </si>
  <si>
    <t>2024-01-16 07:00:00</t>
  </si>
  <si>
    <t>1075</t>
  </si>
  <si>
    <t>2024-01-16 08:00:00</t>
  </si>
  <si>
    <t xml:space="preserve"> CUST0446 </t>
  </si>
  <si>
    <t>822</t>
  </si>
  <si>
    <t>2024-01-16 09:00:00</t>
  </si>
  <si>
    <t>2670</t>
  </si>
  <si>
    <t>2024-01-16 10:00:00</t>
  </si>
  <si>
    <t xml:space="preserve"> CUST0145 </t>
  </si>
  <si>
    <t>424</t>
  </si>
  <si>
    <t>2024-01-16 11:00:00</t>
  </si>
  <si>
    <t xml:space="preserve"> CUST0065 </t>
  </si>
  <si>
    <t>1629</t>
  </si>
  <si>
    <t>2024-01-16 12:00:00</t>
  </si>
  <si>
    <t xml:space="preserve"> CUST0247 </t>
  </si>
  <si>
    <t>2045</t>
  </si>
  <si>
    <t>2024-01-16 13:00:00</t>
  </si>
  <si>
    <t xml:space="preserve"> CUST0735 </t>
  </si>
  <si>
    <t>4586</t>
  </si>
  <si>
    <t>2024-01-16 14:00:00</t>
  </si>
  <si>
    <t>2530</t>
  </si>
  <si>
    <t>2024-01-16 15:00:00</t>
  </si>
  <si>
    <t>4211</t>
  </si>
  <si>
    <t>2024-01-16 16:00:00</t>
  </si>
  <si>
    <t xml:space="preserve"> CUST0106 </t>
  </si>
  <si>
    <t>3610</t>
  </si>
  <si>
    <t>2024-01-16 17:00:00</t>
  </si>
  <si>
    <t>945</t>
  </si>
  <si>
    <t>2024-01-16 18:00:00</t>
  </si>
  <si>
    <t>667</t>
  </si>
  <si>
    <t>2024-01-16 19:00:00</t>
  </si>
  <si>
    <t xml:space="preserve"> CUST0226 </t>
  </si>
  <si>
    <t>3788</t>
  </si>
  <si>
    <t>2024-01-16 20:00:00</t>
  </si>
  <si>
    <t xml:space="preserve"> CUST0777 </t>
  </si>
  <si>
    <t>2279</t>
  </si>
  <si>
    <t>2024-01-16 21:00:00</t>
  </si>
  <si>
    <t>2119</t>
  </si>
  <si>
    <t>2024-01-16 22:00:00</t>
  </si>
  <si>
    <t xml:space="preserve"> CUST0089 </t>
  </si>
  <si>
    <t>3419</t>
  </si>
  <si>
    <t>2024-01-16 23:00:00</t>
  </si>
  <si>
    <t>2420</t>
  </si>
  <si>
    <t>2024-01-17 00:00:00</t>
  </si>
  <si>
    <t xml:space="preserve"> CUST0530 </t>
  </si>
  <si>
    <t>1746</t>
  </si>
  <si>
    <t>2024-01-17 01:00:00</t>
  </si>
  <si>
    <t>4103</t>
  </si>
  <si>
    <t>2024-01-17 02:00:00</t>
  </si>
  <si>
    <t xml:space="preserve"> CUST0399 </t>
  </si>
  <si>
    <t>2024-01-17 03:00:00</t>
  </si>
  <si>
    <t>3520</t>
  </si>
  <si>
    <t>2024-01-17 04:00:00</t>
  </si>
  <si>
    <t xml:space="preserve"> CUST0271 </t>
  </si>
  <si>
    <t>2631</t>
  </si>
  <si>
    <t>2024-01-17 05:00:00</t>
  </si>
  <si>
    <t xml:space="preserve"> CUST0503 </t>
  </si>
  <si>
    <t>456</t>
  </si>
  <si>
    <t>2024-01-17 06:00:00</t>
  </si>
  <si>
    <t xml:space="preserve"> CUST0679 </t>
  </si>
  <si>
    <t>3181</t>
  </si>
  <si>
    <t>2024-01-17 07:00:00</t>
  </si>
  <si>
    <t xml:space="preserve"> CUST0525 </t>
  </si>
  <si>
    <t>2380</t>
  </si>
  <si>
    <t>2024-01-17 08:00:00</t>
  </si>
  <si>
    <t xml:space="preserve"> CUST0032 </t>
  </si>
  <si>
    <t>4231</t>
  </si>
  <si>
    <t>2024-01-17 09:00:00</t>
  </si>
  <si>
    <t xml:space="preserve"> CUST0393 </t>
  </si>
  <si>
    <t>2024-01-17 10:00:00</t>
  </si>
  <si>
    <t>2887</t>
  </si>
  <si>
    <t>2024-01-17 11:00:00</t>
  </si>
  <si>
    <t>4309</t>
  </si>
  <si>
    <t>2024-01-17 12:00:00</t>
  </si>
  <si>
    <t xml:space="preserve"> CUST0218 </t>
  </si>
  <si>
    <t>1297</t>
  </si>
  <si>
    <t>2024-01-17 13:00:00</t>
  </si>
  <si>
    <t xml:space="preserve"> CUST0731 </t>
  </si>
  <si>
    <t>1378</t>
  </si>
  <si>
    <t>2024-01-17 14:00:00</t>
  </si>
  <si>
    <t xml:space="preserve"> CUST0082 </t>
  </si>
  <si>
    <t>565</t>
  </si>
  <si>
    <t>2024-01-17 15:00:00</t>
  </si>
  <si>
    <t xml:space="preserve"> CUST0720 </t>
  </si>
  <si>
    <t>4100</t>
  </si>
  <si>
    <t>2024-01-17 16:00:00</t>
  </si>
  <si>
    <t>3448</t>
  </si>
  <si>
    <t>2024-01-17 17:00:00</t>
  </si>
  <si>
    <t xml:space="preserve"> CUST0447 </t>
  </si>
  <si>
    <t>1587</t>
  </si>
  <si>
    <t>2024-01-17 18:00:00</t>
  </si>
  <si>
    <t xml:space="preserve"> CUST0428 </t>
  </si>
  <si>
    <t>4697</t>
  </si>
  <si>
    <t>2024-01-17 19:00:00</t>
  </si>
  <si>
    <t xml:space="preserve"> CUST0038 </t>
  </si>
  <si>
    <t>4636</t>
  </si>
  <si>
    <t>2024-01-17 20:00:00</t>
  </si>
  <si>
    <t>425</t>
  </si>
  <si>
    <t>2024-01-17 21:00:00</t>
  </si>
  <si>
    <t xml:space="preserve"> CUST0444 </t>
  </si>
  <si>
    <t>1865</t>
  </si>
  <si>
    <t>2024-01-17 22:00:00</t>
  </si>
  <si>
    <t xml:space="preserve"> CUST0327 </t>
  </si>
  <si>
    <t>4262</t>
  </si>
  <si>
    <t>2024-01-17 23:00:00</t>
  </si>
  <si>
    <t xml:space="preserve"> CUST0761 </t>
  </si>
  <si>
    <t>403</t>
  </si>
  <si>
    <t>2024-01-18 00:00:00</t>
  </si>
  <si>
    <t xml:space="preserve"> CUST0227 </t>
  </si>
  <si>
    <t>4679</t>
  </si>
  <si>
    <t>2024-01-18 01:00:00</t>
  </si>
  <si>
    <t>1540</t>
  </si>
  <si>
    <t>2024-01-18 02:00:00</t>
  </si>
  <si>
    <t xml:space="preserve"> CUST0018 </t>
  </si>
  <si>
    <t>248</t>
  </si>
  <si>
    <t>2024-01-18 03:00:00</t>
  </si>
  <si>
    <t>3134</t>
  </si>
  <si>
    <t>2024-01-18 04:00:00</t>
  </si>
  <si>
    <t xml:space="preserve"> CUST0708 </t>
  </si>
  <si>
    <t>2731</t>
  </si>
  <si>
    <t>2024-01-18 05:00:00</t>
  </si>
  <si>
    <t xml:space="preserve"> CUST0187 </t>
  </si>
  <si>
    <t>195</t>
  </si>
  <si>
    <t>2024-01-18 06:00:00</t>
  </si>
  <si>
    <t xml:space="preserve"> CUST0345 </t>
  </si>
  <si>
    <t>3555</t>
  </si>
  <si>
    <t>2024-01-18 07:00:00</t>
  </si>
  <si>
    <t xml:space="preserve"> CUST0224 </t>
  </si>
  <si>
    <t>4477</t>
  </si>
  <si>
    <t>2024-01-18 08:00:00</t>
  </si>
  <si>
    <t xml:space="preserve"> CUST0488 </t>
  </si>
  <si>
    <t>2469</t>
  </si>
  <si>
    <t>2024-01-18 09:00:00</t>
  </si>
  <si>
    <t xml:space="preserve"> CUST0229 </t>
  </si>
  <si>
    <t>3567</t>
  </si>
  <si>
    <t>2024-01-18 10:00:00</t>
  </si>
  <si>
    <t xml:space="preserve"> CUST0390 </t>
  </si>
  <si>
    <t>628</t>
  </si>
  <si>
    <t>2024-01-18 11:00:00</t>
  </si>
  <si>
    <t xml:space="preserve"> CUST0589 </t>
  </si>
  <si>
    <t>2410</t>
  </si>
  <si>
    <t>2024-01-18 12:00:00</t>
  </si>
  <si>
    <t xml:space="preserve"> CUST0188 </t>
  </si>
  <si>
    <t>4775</t>
  </si>
  <si>
    <t>2024-01-18 13:00:00</t>
  </si>
  <si>
    <t xml:space="preserve"> CUST0270 </t>
  </si>
  <si>
    <t>1763</t>
  </si>
  <si>
    <t>2024-01-18 14:00:00</t>
  </si>
  <si>
    <t>3464</t>
  </si>
  <si>
    <t>2024-01-18 15:00:00</t>
  </si>
  <si>
    <t xml:space="preserve"> CUST0310 </t>
  </si>
  <si>
    <t>2441</t>
  </si>
  <si>
    <t>2024-01-18 16:00:00</t>
  </si>
  <si>
    <t xml:space="preserve"> CUST0132 </t>
  </si>
  <si>
    <t>792</t>
  </si>
  <si>
    <t>2024-01-18 17:00:00</t>
  </si>
  <si>
    <t xml:space="preserve"> CUST0551 </t>
  </si>
  <si>
    <t>4430</t>
  </si>
  <si>
    <t>2024-01-18 18:00:00</t>
  </si>
  <si>
    <t xml:space="preserve"> CUST0072 </t>
  </si>
  <si>
    <t>2024-01-18 19:00:00</t>
  </si>
  <si>
    <t xml:space="preserve"> CUST0793 </t>
  </si>
  <si>
    <t>1460</t>
  </si>
  <si>
    <t>2024-01-18 20:00:00</t>
  </si>
  <si>
    <t xml:space="preserve"> CUST0672 </t>
  </si>
  <si>
    <t>638</t>
  </si>
  <si>
    <t>2024-01-18 21:00:00</t>
  </si>
  <si>
    <t>919</t>
  </si>
  <si>
    <t>2024-01-18 22:00:00</t>
  </si>
  <si>
    <t>3262</t>
  </si>
  <si>
    <t>2024-01-18 23:00:00</t>
  </si>
  <si>
    <t>4025</t>
  </si>
  <si>
    <t>2024-01-19 00:00:00</t>
  </si>
  <si>
    <t xml:space="preserve"> CUST0422 </t>
  </si>
  <si>
    <t>371</t>
  </si>
  <si>
    <t>2024-01-19 01:00:00</t>
  </si>
  <si>
    <t>1128</t>
  </si>
  <si>
    <t>2024-01-19 02:00:00</t>
  </si>
  <si>
    <t>3765</t>
  </si>
  <si>
    <t>2024-01-19 03:00:00</t>
  </si>
  <si>
    <t xml:space="preserve"> CUST0053 </t>
  </si>
  <si>
    <t>1342</t>
  </si>
  <si>
    <t>2024-01-19 04:00:00</t>
  </si>
  <si>
    <t>2024-01-19 05:00:00</t>
  </si>
  <si>
    <t>692</t>
  </si>
  <si>
    <t>2024-01-19 06:00:00</t>
  </si>
  <si>
    <t xml:space="preserve"> CUST0412 </t>
  </si>
  <si>
    <t>1705</t>
  </si>
  <si>
    <t>2024-01-19 07:00:00</t>
  </si>
  <si>
    <t>4310</t>
  </si>
  <si>
    <t>2024-01-19 08:00:00</t>
  </si>
  <si>
    <t>3477</t>
  </si>
  <si>
    <t>2024-01-19 09:00:00</t>
  </si>
  <si>
    <t>4171</t>
  </si>
  <si>
    <t>2024-01-19 10:00:00</t>
  </si>
  <si>
    <t xml:space="preserve"> CUST0738 </t>
  </si>
  <si>
    <t>4402</t>
  </si>
  <si>
    <t>2024-01-19 11:00:00</t>
  </si>
  <si>
    <t>3794</t>
  </si>
  <si>
    <t>2024-01-19 12:00:00</t>
  </si>
  <si>
    <t>2450</t>
  </si>
  <si>
    <t>2024-01-19 13:00:00</t>
  </si>
  <si>
    <t>4307</t>
  </si>
  <si>
    <t>2024-01-19 14:00:00</t>
  </si>
  <si>
    <t>2024-01-19 15:00:00</t>
  </si>
  <si>
    <t xml:space="preserve"> CUST0712 </t>
  </si>
  <si>
    <t>3726</t>
  </si>
  <si>
    <t>2024-01-19 16:00:00</t>
  </si>
  <si>
    <t>1982</t>
  </si>
  <si>
    <t>2024-01-19 17:00:00</t>
  </si>
  <si>
    <t>3811</t>
  </si>
  <si>
    <t>2024-01-19 18:00:00</t>
  </si>
  <si>
    <t xml:space="preserve"> CUST0185 </t>
  </si>
  <si>
    <t>284</t>
  </si>
  <si>
    <t>2024-01-19 19:00:00</t>
  </si>
  <si>
    <t xml:space="preserve"> CUST0006 </t>
  </si>
  <si>
    <t>320</t>
  </si>
  <si>
    <t>2024-01-19 20:00:00</t>
  </si>
  <si>
    <t xml:space="preserve"> CUST0206 </t>
  </si>
  <si>
    <t>3288</t>
  </si>
  <si>
    <t>2024-01-19 21:00:00</t>
  </si>
  <si>
    <t xml:space="preserve"> CUST0544 </t>
  </si>
  <si>
    <t>1193</t>
  </si>
  <si>
    <t>2024-01-19 22:00:00</t>
  </si>
  <si>
    <t xml:space="preserve"> CUST0611 </t>
  </si>
  <si>
    <t>3045</t>
  </si>
  <si>
    <t>2024-01-19 23:00:00</t>
  </si>
  <si>
    <t xml:space="preserve"> CUST0387 </t>
  </si>
  <si>
    <t>2574</t>
  </si>
  <si>
    <t>2024-01-20 00:00:00</t>
  </si>
  <si>
    <t>2715</t>
  </si>
  <si>
    <t>2024-01-20 01:00:00</t>
  </si>
  <si>
    <t>2112</t>
  </si>
  <si>
    <t>2024-01-20 02:00:00</t>
  </si>
  <si>
    <t xml:space="preserve"> CUST0076 </t>
  </si>
  <si>
    <t>2590</t>
  </si>
  <si>
    <t>2024-01-20 03:00:00</t>
  </si>
  <si>
    <t xml:space="preserve"> CUST0177 </t>
  </si>
  <si>
    <t>700</t>
  </si>
  <si>
    <t>2024-01-20 04:00:00</t>
  </si>
  <si>
    <t>1260</t>
  </si>
  <si>
    <t>2024-01-20 05:00:00</t>
  </si>
  <si>
    <t xml:space="preserve"> CUST0349 </t>
  </si>
  <si>
    <t>4699</t>
  </si>
  <si>
    <t>2024-01-20 06:00:00</t>
  </si>
  <si>
    <t xml:space="preserve"> CUST0255 </t>
  </si>
  <si>
    <t>4413</t>
  </si>
  <si>
    <t>2024-01-20 07:00:00</t>
  </si>
  <si>
    <t xml:space="preserve"> CUST0702 </t>
  </si>
  <si>
    <t>2835</t>
  </si>
  <si>
    <t>2024-01-20 08:00:00</t>
  </si>
  <si>
    <t xml:space="preserve"> CUST0308 </t>
  </si>
  <si>
    <t>2318</t>
  </si>
  <si>
    <t>2024-01-20 09:00:00</t>
  </si>
  <si>
    <t>2024-01-20 10:00:00</t>
  </si>
  <si>
    <t xml:space="preserve"> CUST0127 </t>
  </si>
  <si>
    <t>1252</t>
  </si>
  <si>
    <t>2024-01-20 11:00:00</t>
  </si>
  <si>
    <t xml:space="preserve"> CUST0287 </t>
  </si>
  <si>
    <t>2024-01-20 12:00:00</t>
  </si>
  <si>
    <t xml:space="preserve"> CUST0766 </t>
  </si>
  <si>
    <t>1304</t>
  </si>
  <si>
    <t>2024-01-20 13:00:00</t>
  </si>
  <si>
    <t xml:space="preserve"> CUST0725 </t>
  </si>
  <si>
    <t>4441</t>
  </si>
  <si>
    <t>2024-01-20 14:00:00</t>
  </si>
  <si>
    <t xml:space="preserve"> CUST0762 </t>
  </si>
  <si>
    <t>243</t>
  </si>
  <si>
    <t>2024-01-20 15:00:00</t>
  </si>
  <si>
    <t xml:space="preserve"> CUST0596 </t>
  </si>
  <si>
    <t>467</t>
  </si>
  <si>
    <t>2024-01-20 16:00:00</t>
  </si>
  <si>
    <t xml:space="preserve"> CUST0487 </t>
  </si>
  <si>
    <t>2024-01-20 17:00:00</t>
  </si>
  <si>
    <t>715</t>
  </si>
  <si>
    <t>2024-01-20 18:00:00</t>
  </si>
  <si>
    <t>3738</t>
  </si>
  <si>
    <t>2024-01-20 19:00:00</t>
  </si>
  <si>
    <t>3428</t>
  </si>
  <si>
    <t>2024-01-20 20:00:00</t>
  </si>
  <si>
    <t>3327</t>
  </si>
  <si>
    <t>2024-01-20 21:00:00</t>
  </si>
  <si>
    <t xml:space="preserve"> CUST0557 </t>
  </si>
  <si>
    <t>1688</t>
  </si>
  <si>
    <t>2024-01-20 22:00:00</t>
  </si>
  <si>
    <t xml:space="preserve"> CUST0639 </t>
  </si>
  <si>
    <t>2589</t>
  </si>
  <si>
    <t>2024-01-20 23:00:00</t>
  </si>
  <si>
    <t xml:space="preserve"> CUST0626 </t>
  </si>
  <si>
    <t>3103</t>
  </si>
  <si>
    <t>2024-01-21 00:00:00</t>
  </si>
  <si>
    <t>798</t>
  </si>
  <si>
    <t>2024-01-21 01:00:00</t>
  </si>
  <si>
    <t>2923</t>
  </si>
  <si>
    <t>2024-01-21 02:00:00</t>
  </si>
  <si>
    <t xml:space="preserve"> CUST0717 </t>
  </si>
  <si>
    <t>1044</t>
  </si>
  <si>
    <t>2024-01-21 03:00:00</t>
  </si>
  <si>
    <t xml:space="preserve"> CUST0337 </t>
  </si>
  <si>
    <t>2024-01-21 04:00:00</t>
  </si>
  <si>
    <t xml:space="preserve"> CUST0481 </t>
  </si>
  <si>
    <t>1022</t>
  </si>
  <si>
    <t>2024-01-21 05:00:00</t>
  </si>
  <si>
    <t xml:space="preserve"> CUST0273 </t>
  </si>
  <si>
    <t>1846</t>
  </si>
  <si>
    <t>2024-01-21 06:00:00</t>
  </si>
  <si>
    <t xml:space="preserve"> CUST0058 </t>
  </si>
  <si>
    <t>4220</t>
  </si>
  <si>
    <t>2024-01-21 07:00:00</t>
  </si>
  <si>
    <t xml:space="preserve"> CUST0328 </t>
  </si>
  <si>
    <t>2953</t>
  </si>
  <si>
    <t>2024-01-21 08:00:00</t>
  </si>
  <si>
    <t>1659</t>
  </si>
  <si>
    <t>2024-01-21 09:00:00</t>
  </si>
  <si>
    <t xml:space="preserve"> CUST0109 </t>
  </si>
  <si>
    <t>1183</t>
  </si>
  <si>
    <t>2024-01-21 10:00:00</t>
  </si>
  <si>
    <t xml:space="preserve"> CUST0279 </t>
  </si>
  <si>
    <t>3638</t>
  </si>
  <si>
    <t>2024-01-21 11:00:00</t>
  </si>
  <si>
    <t xml:space="preserve"> CUST0686 </t>
  </si>
  <si>
    <t>533</t>
  </si>
  <si>
    <t>2024-01-21 12:00:00</t>
  </si>
  <si>
    <t>3026</t>
  </si>
  <si>
    <t>2024-01-21 13:00:00</t>
  </si>
  <si>
    <t xml:space="preserve"> CUST0776 </t>
  </si>
  <si>
    <t>1189</t>
  </si>
  <si>
    <t>2024-01-21 14:00:00</t>
  </si>
  <si>
    <t>3057</t>
  </si>
  <si>
    <t>2024-01-21 15:00:00</t>
  </si>
  <si>
    <t xml:space="preserve"> CUST0474 </t>
  </si>
  <si>
    <t>2712</t>
  </si>
  <si>
    <t>2024-01-21 16:00:00</t>
  </si>
  <si>
    <t xml:space="preserve"> CUST0111 </t>
  </si>
  <si>
    <t>4291</t>
  </si>
  <si>
    <t>2024-01-21 17:00:00</t>
  </si>
  <si>
    <t>3859</t>
  </si>
  <si>
    <t>2024-01-21 18:00:00</t>
  </si>
  <si>
    <t>4363</t>
  </si>
  <si>
    <t>2024-01-21 19:00:00</t>
  </si>
  <si>
    <t>2189</t>
  </si>
  <si>
    <t>2024-01-21 20:00:00</t>
  </si>
  <si>
    <t xml:space="preserve"> CUST0497 </t>
  </si>
  <si>
    <t>2002</t>
  </si>
  <si>
    <t>2024-01-21 21:00:00</t>
  </si>
  <si>
    <t>2667</t>
  </si>
  <si>
    <t>2024-01-21 22:00:00</t>
  </si>
  <si>
    <t xml:space="preserve"> CUST0473 </t>
  </si>
  <si>
    <t>2098</t>
  </si>
  <si>
    <t>2024-01-21 23:00:00</t>
  </si>
  <si>
    <t xml:space="preserve"> CUST0701 </t>
  </si>
  <si>
    <t>3214</t>
  </si>
  <si>
    <t>2024-01-22 00:00:00</t>
  </si>
  <si>
    <t xml:space="preserve"> CUST0272 </t>
  </si>
  <si>
    <t>3094</t>
  </si>
  <si>
    <t>2024-01-22 01:00:00</t>
  </si>
  <si>
    <t xml:space="preserve"> CUST0002 </t>
  </si>
  <si>
    <t>2110</t>
  </si>
  <si>
    <t>2024-01-22 02:00:00</t>
  </si>
  <si>
    <t>4944</t>
  </si>
  <si>
    <t>2024-01-22 03:00:00</t>
  </si>
  <si>
    <t>1991</t>
  </si>
  <si>
    <t>2024-01-22 04:00:00</t>
  </si>
  <si>
    <t>930</t>
  </si>
  <si>
    <t>2024-01-22 05:00:00</t>
  </si>
  <si>
    <t xml:space="preserve"> CUST0286 </t>
  </si>
  <si>
    <t>148</t>
  </si>
  <si>
    <t>2024-01-22 06:00:00</t>
  </si>
  <si>
    <t>2024-01-22 07:00:00</t>
  </si>
  <si>
    <t>1278</t>
  </si>
  <si>
    <t>2024-01-22 08:00:00</t>
  </si>
  <si>
    <t xml:space="preserve"> CUST0498 </t>
  </si>
  <si>
    <t>3133</t>
  </si>
  <si>
    <t>2024-01-22 09:00:00</t>
  </si>
  <si>
    <t xml:space="preserve"> CUST0733 </t>
  </si>
  <si>
    <t>170</t>
  </si>
  <si>
    <t>2024-01-22 10:00:00</t>
  </si>
  <si>
    <t>166</t>
  </si>
  <si>
    <t>2024-01-22 11:00:00</t>
  </si>
  <si>
    <t>1877</t>
  </si>
  <si>
    <t>2024-01-22 12:00:00</t>
  </si>
  <si>
    <t>2328</t>
  </si>
  <si>
    <t>2024-01-22 13:00:00</t>
  </si>
  <si>
    <t>1889</t>
  </si>
  <si>
    <t>2024-01-22 14:00:00</t>
  </si>
  <si>
    <t xml:space="preserve"> CUST0171 </t>
  </si>
  <si>
    <t>712</t>
  </si>
  <si>
    <t>2024-01-22 15:00:00</t>
  </si>
  <si>
    <t>1986</t>
  </si>
  <si>
    <t>2024-01-22 16:00:00</t>
  </si>
  <si>
    <t>1722</t>
  </si>
  <si>
    <t>2024-01-22 17:00:00</t>
  </si>
  <si>
    <t xml:space="preserve"> CUST0624 </t>
  </si>
  <si>
    <t>796</t>
  </si>
  <si>
    <t>2024-01-22 18:00:00</t>
  </si>
  <si>
    <t>2024-01-22 19:00:00</t>
  </si>
  <si>
    <t xml:space="preserve"> CUST0467 </t>
  </si>
  <si>
    <t>2506</t>
  </si>
  <si>
    <t>2024-01-22 20:00:00</t>
  </si>
  <si>
    <t>348</t>
  </si>
  <si>
    <t>2024-01-22 21:00:00</t>
  </si>
  <si>
    <t xml:space="preserve"> CUST0143 </t>
  </si>
  <si>
    <t>737</t>
  </si>
  <si>
    <t>2024-01-22 22:00:00</t>
  </si>
  <si>
    <t>2024-01-22 23:00:00</t>
  </si>
  <si>
    <t xml:space="preserve"> CUST0180 </t>
  </si>
  <si>
    <t>2004</t>
  </si>
  <si>
    <t>2024-01-23 00:00:00</t>
  </si>
  <si>
    <t xml:space="preserve"> CUST0714 </t>
  </si>
  <si>
    <t>3687</t>
  </si>
  <si>
    <t>2024-01-23 01:00:00</t>
  </si>
  <si>
    <t>1211</t>
  </si>
  <si>
    <t>2024-01-23 02:00:00</t>
  </si>
  <si>
    <t>275</t>
  </si>
  <si>
    <t>2024-01-23 03:00:00</t>
  </si>
  <si>
    <t xml:space="preserve"> CUST0565 </t>
  </si>
  <si>
    <t>2024-01-23 04:00:00</t>
  </si>
  <si>
    <t>3942</t>
  </si>
  <si>
    <t>2024-01-23 05:00:00</t>
  </si>
  <si>
    <t>3774</t>
  </si>
  <si>
    <t>2024-01-23 06:00:00</t>
  </si>
  <si>
    <t xml:space="preserve"> CUST0692 </t>
  </si>
  <si>
    <t>4966</t>
  </si>
  <si>
    <t>2024-01-23 07:00:00</t>
  </si>
  <si>
    <t xml:space="preserve"> CUST0417 </t>
  </si>
  <si>
    <t>2047</t>
  </si>
  <si>
    <t>2024-01-23 08:00:00</t>
  </si>
  <si>
    <t>802</t>
  </si>
  <si>
    <t>2024-01-23 09:00:00</t>
  </si>
  <si>
    <t xml:space="preserve"> CUST0649 </t>
  </si>
  <si>
    <t>2228</t>
  </si>
  <si>
    <t>2024-01-23 10:00:00</t>
  </si>
  <si>
    <t>1026</t>
  </si>
  <si>
    <t>2024-01-23 11:00:00</t>
  </si>
  <si>
    <t xml:space="preserve"> CUST0367 </t>
  </si>
  <si>
    <t>4333</t>
  </si>
  <si>
    <t>2024-01-23 12:00:00</t>
  </si>
  <si>
    <t xml:space="preserve"> CUST0001 </t>
  </si>
  <si>
    <t>3604</t>
  </si>
  <si>
    <t>2024-01-23 13:00:00</t>
  </si>
  <si>
    <t>2617</t>
  </si>
  <si>
    <t>2024-01-23 14:00:00</t>
  </si>
  <si>
    <t xml:space="preserve"> CUST0739 </t>
  </si>
  <si>
    <t>2024-01-23 15:00:00</t>
  </si>
  <si>
    <t>1249</t>
  </si>
  <si>
    <t>2024-01-23 16:00:00</t>
  </si>
  <si>
    <t>3480</t>
  </si>
  <si>
    <t>2024-01-23 17:00:00</t>
  </si>
  <si>
    <t>1978</t>
  </si>
  <si>
    <t>2024-01-23 18:00:00</t>
  </si>
  <si>
    <t xml:space="preserve"> CUST0800 </t>
  </si>
  <si>
    <t>1353</t>
  </si>
  <si>
    <t>2024-01-23 19:00:00</t>
  </si>
  <si>
    <t>1583</t>
  </si>
  <si>
    <t>2024-01-23 20:00:00</t>
  </si>
  <si>
    <t xml:space="preserve"> CUST0140 </t>
  </si>
  <si>
    <t>409</t>
  </si>
  <si>
    <t>2024-01-23 21:00:00</t>
  </si>
  <si>
    <t>4052</t>
  </si>
  <si>
    <t>2024-01-23 22:00:00</t>
  </si>
  <si>
    <t>3149</t>
  </si>
  <si>
    <t>2024-01-23 23:00:00</t>
  </si>
  <si>
    <t>1664</t>
  </si>
  <si>
    <t>2024-01-24 00:00:00</t>
  </si>
  <si>
    <t xml:space="preserve"> CUST0667 </t>
  </si>
  <si>
    <t>1600</t>
  </si>
  <si>
    <t>2024-01-24 01:00:00</t>
  </si>
  <si>
    <t>4965</t>
  </si>
  <si>
    <t>2024-01-24 02:00:00</t>
  </si>
  <si>
    <t>115</t>
  </si>
  <si>
    <t>2024-01-24 03:00:00</t>
  </si>
  <si>
    <t xml:space="preserve"> CUST0321 </t>
  </si>
  <si>
    <t>705</t>
  </si>
  <si>
    <t>2024-01-24 04:00:00</t>
  </si>
  <si>
    <t xml:space="preserve"> CUST0107 </t>
  </si>
  <si>
    <t>1481</t>
  </si>
  <si>
    <t>2024-01-24 05:00:00</t>
  </si>
  <si>
    <t xml:space="preserve"> CUST0232 </t>
  </si>
  <si>
    <t>3483</t>
  </si>
  <si>
    <t>2024-01-24 06:00:00</t>
  </si>
  <si>
    <t xml:space="preserve"> CUST0042 </t>
  </si>
  <si>
    <t>994</t>
  </si>
  <si>
    <t>2024-01-24 07:00:00</t>
  </si>
  <si>
    <t>1667</t>
  </si>
  <si>
    <t>2024-01-24 08:00:00</t>
  </si>
  <si>
    <t xml:space="preserve"> CUST0139 </t>
  </si>
  <si>
    <t>513</t>
  </si>
  <si>
    <t>2024-01-24 09:00:00</t>
  </si>
  <si>
    <t xml:space="preserve"> CUST0615 </t>
  </si>
  <si>
    <t>2024-01-24 10:00:00</t>
  </si>
  <si>
    <t>2104</t>
  </si>
  <si>
    <t>2024-01-24 11:00:00</t>
  </si>
  <si>
    <t>415</t>
  </si>
  <si>
    <t>2024-01-24 12:00:00</t>
  </si>
  <si>
    <t>4766</t>
  </si>
  <si>
    <t>2024-01-24 13:00:00</t>
  </si>
  <si>
    <t xml:space="preserve"> CUST0416 </t>
  </si>
  <si>
    <t>4920</t>
  </si>
  <si>
    <t>2024-01-24 14:00:00</t>
  </si>
  <si>
    <t xml:space="preserve"> CUST0506 </t>
  </si>
  <si>
    <t>3155</t>
  </si>
  <si>
    <t>2024-01-24 15:00:00</t>
  </si>
  <si>
    <t>1949</t>
  </si>
  <si>
    <t>2024-01-24 16:00:00</t>
  </si>
  <si>
    <t>2053</t>
  </si>
  <si>
    <t>2024-01-24 17:00:00</t>
  </si>
  <si>
    <t>488</t>
  </si>
  <si>
    <t>2024-01-24 18:00:00</t>
  </si>
  <si>
    <t xml:space="preserve"> CUST0407 </t>
  </si>
  <si>
    <t>2869</t>
  </si>
  <si>
    <t>2024-01-24 19:00:00</t>
  </si>
  <si>
    <t>4639</t>
  </si>
  <si>
    <t>2024-01-24 20:00:00</t>
  </si>
  <si>
    <t>3146</t>
  </si>
  <si>
    <t>2024-01-24 21:00:00</t>
  </si>
  <si>
    <t xml:space="preserve"> CUST0342 </t>
  </si>
  <si>
    <t>2515</t>
  </si>
  <si>
    <t>2024-01-24 22:00:00</t>
  </si>
  <si>
    <t xml:space="preserve"> CUST0614 </t>
  </si>
  <si>
    <t>2489</t>
  </si>
  <si>
    <t>2024-01-24 23:00:00</t>
  </si>
  <si>
    <t xml:space="preserve"> CUST0493 </t>
  </si>
  <si>
    <t>2024-01-25 00:00:00</t>
  </si>
  <si>
    <t>2024-01-25 01:00:00</t>
  </si>
  <si>
    <t>2073</t>
  </si>
  <si>
    <t>2024-01-25 02:00:00</t>
  </si>
  <si>
    <t>2024-01-25 03:00:00</t>
  </si>
  <si>
    <t xml:space="preserve"> CUST0233 </t>
  </si>
  <si>
    <t>977</t>
  </si>
  <si>
    <t>2024-01-25 04:00:00</t>
  </si>
  <si>
    <t>4898</t>
  </si>
  <si>
    <t>2024-01-25 05:00:00</t>
  </si>
  <si>
    <t>2426</t>
  </si>
  <si>
    <t>2024-01-25 06:00:00</t>
  </si>
  <si>
    <t>2529</t>
  </si>
  <si>
    <t>2024-01-25 07:00:00</t>
  </si>
  <si>
    <t xml:space="preserve"> CUST0149 </t>
  </si>
  <si>
    <t>2024-01-25 08:00:00</t>
  </si>
  <si>
    <t xml:space="preserve"> CUST0115 </t>
  </si>
  <si>
    <t>4498</t>
  </si>
  <si>
    <t>2024-01-25 09:00:00</t>
  </si>
  <si>
    <t>1679</t>
  </si>
  <si>
    <t>2024-01-25 10:00:00</t>
  </si>
  <si>
    <t xml:space="preserve"> CUST0063 </t>
  </si>
  <si>
    <t>2024-01-25 11:00:00</t>
  </si>
  <si>
    <t>2301</t>
  </si>
  <si>
    <t>2024-01-25 12:00:00</t>
  </si>
  <si>
    <t xml:space="preserve"> CUST0668 </t>
  </si>
  <si>
    <t>3697</t>
  </si>
  <si>
    <t>2024-01-25 13:00:00</t>
  </si>
  <si>
    <t>1303</t>
  </si>
  <si>
    <t>2024-01-25 14:00:00</t>
  </si>
  <si>
    <t>2524</t>
  </si>
  <si>
    <t>2024-01-25 15:00:00</t>
  </si>
  <si>
    <t xml:space="preserve"> CUST0147 </t>
  </si>
  <si>
    <t>3975</t>
  </si>
  <si>
    <t>2024-01-25 16:00:00</t>
  </si>
  <si>
    <t>2024-01-25 17:00:00</t>
  </si>
  <si>
    <t xml:space="preserve"> CUST0028 </t>
  </si>
  <si>
    <t>3385</t>
  </si>
  <si>
    <t>2024-01-25 18:00:00</t>
  </si>
  <si>
    <t>2163</t>
  </si>
  <si>
    <t>2024-01-25 19:00:00</t>
  </si>
  <si>
    <t xml:space="preserve"> CUST0119 </t>
  </si>
  <si>
    <t>2079</t>
  </si>
  <si>
    <t>2024-01-25 20:00:00</t>
  </si>
  <si>
    <t xml:space="preserve"> CUST0293 </t>
  </si>
  <si>
    <t>2024-01-25 21:00:00</t>
  </si>
  <si>
    <t>3231</t>
  </si>
  <si>
    <t>2024-01-25 22:00:00</t>
  </si>
  <si>
    <t xml:space="preserve"> CUST0244 </t>
  </si>
  <si>
    <t>3192</t>
  </si>
  <si>
    <t>2024-01-25 23:00:00</t>
  </si>
  <si>
    <t xml:space="preserve"> CUST0580 </t>
  </si>
  <si>
    <t>4926</t>
  </si>
  <si>
    <t>2024-01-26 00:00:00</t>
  </si>
  <si>
    <t>3764</t>
  </si>
  <si>
    <t>2024-01-26 01:00:00</t>
  </si>
  <si>
    <t>2436</t>
  </si>
  <si>
    <t>2024-01-26 02:00:00</t>
  </si>
  <si>
    <t>3714</t>
  </si>
  <si>
    <t>2024-01-26 03:00:00</t>
  </si>
  <si>
    <t>597</t>
  </si>
  <si>
    <t>2024-01-26 04:00:00</t>
  </si>
  <si>
    <t xml:space="preserve"> CUST0676 </t>
  </si>
  <si>
    <t>3917</t>
  </si>
  <si>
    <t>2024-01-26 05:00:00</t>
  </si>
  <si>
    <t>4743</t>
  </si>
  <si>
    <t>2024-01-26 06:00:00</t>
  </si>
  <si>
    <t>231</t>
  </si>
  <si>
    <t>2024-01-26 07:00:00</t>
  </si>
  <si>
    <t>957</t>
  </si>
  <si>
    <t>2024-01-26 08:00:00</t>
  </si>
  <si>
    <t>620</t>
  </si>
  <si>
    <t>2024-01-26 09:00:00</t>
  </si>
  <si>
    <t>129</t>
  </si>
  <si>
    <t>2024-01-26 10:00:00</t>
  </si>
  <si>
    <t xml:space="preserve"> CUST0105 </t>
  </si>
  <si>
    <t>3496</t>
  </si>
  <si>
    <t>2024-01-26 11:00:00</t>
  </si>
  <si>
    <t xml:space="preserve"> CUST0228 </t>
  </si>
  <si>
    <t>4704</t>
  </si>
  <si>
    <t>2024-01-26 12:00:00</t>
  </si>
  <si>
    <t>1360</t>
  </si>
  <si>
    <t>2024-01-26 13:00:00</t>
  </si>
  <si>
    <t xml:space="preserve"> CUST0700 </t>
  </si>
  <si>
    <t>1658</t>
  </si>
  <si>
    <t>2024-01-26 14:00:00</t>
  </si>
  <si>
    <t>2024-01-26 15:00:00</t>
  </si>
  <si>
    <t xml:space="preserve"> CUST0083 </t>
  </si>
  <si>
    <t>3705</t>
  </si>
  <si>
    <t>2024-01-26 16:00:00</t>
  </si>
  <si>
    <t xml:space="preserve"> CUST0186 </t>
  </si>
  <si>
    <t>1707</t>
  </si>
  <si>
    <t>2024-01-26 17:00:00</t>
  </si>
  <si>
    <t xml:space="preserve"> CUST0252 </t>
  </si>
  <si>
    <t>3617</t>
  </si>
  <si>
    <t>2024-01-26 18:00:00</t>
  </si>
  <si>
    <t>2116</t>
  </si>
  <si>
    <t>2024-01-26 19:00:00</t>
  </si>
  <si>
    <t xml:space="preserve"> CUST0750 </t>
  </si>
  <si>
    <t>3674</t>
  </si>
  <si>
    <t>2024-01-26 20:00:00</t>
  </si>
  <si>
    <t xml:space="preserve"> CUST0696 </t>
  </si>
  <si>
    <t>1843</t>
  </si>
  <si>
    <t>2024-01-26 21:00:00</t>
  </si>
  <si>
    <t xml:space="preserve"> CUST0796 </t>
  </si>
  <si>
    <t>3891</t>
  </si>
  <si>
    <t>2024-01-26 22:00:00</t>
  </si>
  <si>
    <t xml:space="preserve"> CUST0210 </t>
  </si>
  <si>
    <t>3734</t>
  </si>
  <si>
    <t>2024-01-26 23:00:00</t>
  </si>
  <si>
    <t xml:space="preserve"> CUST0609 </t>
  </si>
  <si>
    <t>1188</t>
  </si>
  <si>
    <t>2024-01-27 00:00:00</t>
  </si>
  <si>
    <t>1461</t>
  </si>
  <si>
    <t>2024-01-27 01:00:00</t>
  </si>
  <si>
    <t xml:space="preserve"> CUST0460 </t>
  </si>
  <si>
    <t>3472</t>
  </si>
  <si>
    <t>2024-01-27 02:00:00</t>
  </si>
  <si>
    <t xml:space="preserve"> CUST0472 </t>
  </si>
  <si>
    <t>4573</t>
  </si>
  <si>
    <t>2024-01-27 03:00:00</t>
  </si>
  <si>
    <t>2024-01-27 04:00:00</t>
  </si>
  <si>
    <t xml:space="preserve"> CUST0370 </t>
  </si>
  <si>
    <t>1389</t>
  </si>
  <si>
    <t>2024-01-27 05:00:00</t>
  </si>
  <si>
    <t xml:space="preserve"> CUST0492 </t>
  </si>
  <si>
    <t>428</t>
  </si>
  <si>
    <t>2024-01-27 06:00:00</t>
  </si>
  <si>
    <t xml:space="preserve"> CUST0137 </t>
  </si>
  <si>
    <t>4144</t>
  </si>
  <si>
    <t>2024-01-27 07:00:00</t>
  </si>
  <si>
    <t>2024-01-27 08:00:00</t>
  </si>
  <si>
    <t>1286</t>
  </si>
  <si>
    <t>2024-01-27 09:00:00</t>
  </si>
  <si>
    <t xml:space="preserve"> CUST0588 </t>
  </si>
  <si>
    <t>4633</t>
  </si>
  <si>
    <t>2024-01-27 10:00:00</t>
  </si>
  <si>
    <t>3514</t>
  </si>
  <si>
    <t>2024-01-27 11:00:00</t>
  </si>
  <si>
    <t>3636</t>
  </si>
  <si>
    <t>2024-01-27 12:00:00</t>
  </si>
  <si>
    <t>1873</t>
  </si>
  <si>
    <t>2024-01-27 13:00:00</t>
  </si>
  <si>
    <t>2024-01-27 14:00:00</t>
  </si>
  <si>
    <t xml:space="preserve"> CUST0749 </t>
  </si>
  <si>
    <t>1944</t>
  </si>
  <si>
    <t>2024-01-27 15:00:00</t>
  </si>
  <si>
    <t>2658</t>
  </si>
  <si>
    <t>2024-01-27 16:00:00</t>
  </si>
  <si>
    <t>1362</t>
  </si>
  <si>
    <t>2024-01-27 17:00:00</t>
  </si>
  <si>
    <t xml:space="preserve"> CUST0579 </t>
  </si>
  <si>
    <t>3391</t>
  </si>
  <si>
    <t>2024-01-27 18:00:00</t>
  </si>
  <si>
    <t>1118</t>
  </si>
  <si>
    <t>2024-01-27 19:00:00</t>
  </si>
  <si>
    <t xml:space="preserve"> CUST0510 </t>
  </si>
  <si>
    <t>2024-01-27 20:00:00</t>
  </si>
  <si>
    <t xml:space="preserve"> CUST0630 </t>
  </si>
  <si>
    <t>3624</t>
  </si>
  <si>
    <t>2024-01-27 21:00:00</t>
  </si>
  <si>
    <t>2024-01-27 22:00:00</t>
  </si>
  <si>
    <t xml:space="preserve"> CUST0282 </t>
  </si>
  <si>
    <t>2024-01-27 23:00:00</t>
  </si>
  <si>
    <t>2766</t>
  </si>
  <si>
    <t>2024-01-28 00:00:00</t>
  </si>
  <si>
    <t xml:space="preserve"> CUST0010 </t>
  </si>
  <si>
    <t>504</t>
  </si>
  <si>
    <t>2024-01-28 01:00:00</t>
  </si>
  <si>
    <t>693</t>
  </si>
  <si>
    <t>2024-01-28 02:00:00</t>
  </si>
  <si>
    <t xml:space="preserve"> CUST0152 </t>
  </si>
  <si>
    <t>4049</t>
  </si>
  <si>
    <t>2024-01-28 03:00:00</t>
  </si>
  <si>
    <t xml:space="preserve"> CUST0005 </t>
  </si>
  <si>
    <t>4207</t>
  </si>
  <si>
    <t>2024-01-28 04:00:00</t>
  </si>
  <si>
    <t>3380</t>
  </si>
  <si>
    <t>2024-01-28 05:00:00</t>
  </si>
  <si>
    <t xml:space="preserve"> CUST0283 </t>
  </si>
  <si>
    <t>2312</t>
  </si>
  <si>
    <t>2024-01-28 06:00:00</t>
  </si>
  <si>
    <t xml:space="preserve"> CUST0464 </t>
  </si>
  <si>
    <t>1642</t>
  </si>
  <si>
    <t>2024-01-28 07:00:00</t>
  </si>
  <si>
    <t>713</t>
  </si>
  <si>
    <t>2024-01-28 08:00:00</t>
  </si>
  <si>
    <t>968</t>
  </si>
  <si>
    <t>2024-01-28 09:00:00</t>
  </si>
  <si>
    <t xml:space="preserve"> CUST0163 </t>
  </si>
  <si>
    <t>911</t>
  </si>
  <si>
    <t>2024-01-28 10:00:00</t>
  </si>
  <si>
    <t>1922</t>
  </si>
  <si>
    <t>2024-01-28 11:00:00</t>
  </si>
  <si>
    <t>4962</t>
  </si>
  <si>
    <t>2024-01-28 12:00:00</t>
  </si>
  <si>
    <t xml:space="preserve"> CUST0693 </t>
  </si>
  <si>
    <t>4277</t>
  </si>
  <si>
    <t>2024-01-28 13:00:00</t>
  </si>
  <si>
    <t xml:space="preserve"> CUST0556 </t>
  </si>
  <si>
    <t>1844</t>
  </si>
  <si>
    <t>2024-01-28 14:00:00</t>
  </si>
  <si>
    <t>2356</t>
  </si>
  <si>
    <t>2024-01-28 15:00:00</t>
  </si>
  <si>
    <t xml:space="preserve"> CUST0687 </t>
  </si>
  <si>
    <t>4142</t>
  </si>
  <si>
    <t>2024-01-28 16:00:00</t>
  </si>
  <si>
    <t xml:space="preserve"> CUST0162 </t>
  </si>
  <si>
    <t>3767</t>
  </si>
  <si>
    <t>2024-01-28 17:00:00</t>
  </si>
  <si>
    <t>2024-01-28 18:00:00</t>
  </si>
  <si>
    <t>1625</t>
  </si>
  <si>
    <t>2024-01-28 19:00:00</t>
  </si>
  <si>
    <t>2024-01-28 20:00:00</t>
  </si>
  <si>
    <t>2775</t>
  </si>
  <si>
    <t>2024-01-28 21:00:00</t>
  </si>
  <si>
    <t>1613</t>
  </si>
  <si>
    <t>2024-01-28 22:00:00</t>
  </si>
  <si>
    <t xml:space="preserve"> CUST0087 </t>
  </si>
  <si>
    <t>4976</t>
  </si>
  <si>
    <t>2024-01-28 23:00:00</t>
  </si>
  <si>
    <t>1551</t>
  </si>
  <si>
    <t>2024-01-29 00:00:00</t>
  </si>
  <si>
    <t xml:space="preserve"> CUST0183 </t>
  </si>
  <si>
    <t>2024-01-29 01:00:00</t>
  </si>
  <si>
    <t>3530</t>
  </si>
  <si>
    <t>2024-01-29 02:00:00</t>
  </si>
  <si>
    <t>3107</t>
  </si>
  <si>
    <t>2024-01-29 03:00:00</t>
  </si>
  <si>
    <t xml:space="preserve"> CUST0246 </t>
  </si>
  <si>
    <t>3224</t>
  </si>
  <si>
    <t>2024-01-29 04:00:00</t>
  </si>
  <si>
    <t xml:space="preserve"> CUST0601 </t>
  </si>
  <si>
    <t>2024-01-29 05:00:00</t>
  </si>
  <si>
    <t xml:space="preserve"> CUST0578 </t>
  </si>
  <si>
    <t>1712</t>
  </si>
  <si>
    <t>2024-01-29 06:00:00</t>
  </si>
  <si>
    <t xml:space="preserve"> CUST0670 </t>
  </si>
  <si>
    <t>3375</t>
  </si>
  <si>
    <t>2024-01-29 07:00:00</t>
  </si>
  <si>
    <t>655</t>
  </si>
  <si>
    <t>2024-01-29 08:00:00</t>
  </si>
  <si>
    <t>4351</t>
  </si>
  <si>
    <t>2024-01-29 09:00:00</t>
  </si>
  <si>
    <t>2149</t>
  </si>
  <si>
    <t>2024-01-29 10:00:00</t>
  </si>
  <si>
    <t>924</t>
  </si>
  <si>
    <t>2024-01-29 11:00:00</t>
  </si>
  <si>
    <t>2949</t>
  </si>
  <si>
    <t>2024-01-29 12:00:00</t>
  </si>
  <si>
    <t xml:space="preserve"> CUST0469 </t>
  </si>
  <si>
    <t>3130</t>
  </si>
  <si>
    <t>2024-01-29 13:00:00</t>
  </si>
  <si>
    <t>2024-01-29 14:00:00</t>
  </si>
  <si>
    <t>3425</t>
  </si>
  <si>
    <t>2024-01-29 15:00:00</t>
  </si>
  <si>
    <t xml:space="preserve"> CUST0294 </t>
  </si>
  <si>
    <t>592</t>
  </si>
  <si>
    <t>2024-01-29 16:00:00</t>
  </si>
  <si>
    <t xml:space="preserve"> CUST0765 </t>
  </si>
  <si>
    <t>4864</t>
  </si>
  <si>
    <t>2024-01-29 17:00:00</t>
  </si>
  <si>
    <t>174</t>
  </si>
  <si>
    <t>2024-01-29 18:00:00</t>
  </si>
  <si>
    <t>3091</t>
  </si>
  <si>
    <t>2024-01-29 19:00:00</t>
  </si>
  <si>
    <t>2024-01-29 20:00:00</t>
  </si>
  <si>
    <t xml:space="preserve"> CUST0025 </t>
  </si>
  <si>
    <t>470</t>
  </si>
  <si>
    <t>2024-01-29 21:00:00</t>
  </si>
  <si>
    <t>4782</t>
  </si>
  <si>
    <t>2024-01-29 22:00:00</t>
  </si>
  <si>
    <t>2024-01-29 23:00:00</t>
  </si>
  <si>
    <t xml:space="preserve"> CUST0625 </t>
  </si>
  <si>
    <t>4785</t>
  </si>
  <si>
    <t>2024-01-30 00:00:00</t>
  </si>
  <si>
    <t>1890</t>
  </si>
  <si>
    <t>2024-01-30 01:00:00</t>
  </si>
  <si>
    <t>876</t>
  </si>
  <si>
    <t>2024-01-30 02:00:00</t>
  </si>
  <si>
    <t xml:space="preserve"> CUST0303 </t>
  </si>
  <si>
    <t>2122</t>
  </si>
  <si>
    <t>2024-01-30 03:00:00</t>
  </si>
  <si>
    <t>4774</t>
  </si>
  <si>
    <t>2024-01-30 04:00:00</t>
  </si>
  <si>
    <t>4416</t>
  </si>
  <si>
    <t>2024-01-30 05:00:00</t>
  </si>
  <si>
    <t>1287</t>
  </si>
  <si>
    <t>2024-01-30 06:00:00</t>
  </si>
  <si>
    <t>1603</t>
  </si>
  <si>
    <t>2024-01-30 07:00:00</t>
  </si>
  <si>
    <t>2024-01-30 08:00:00</t>
  </si>
  <si>
    <t>2024-01-30 09:00:00</t>
  </si>
  <si>
    <t xml:space="preserve"> CUST0663 </t>
  </si>
  <si>
    <t>287</t>
  </si>
  <si>
    <t>2024-01-30 10:00:00</t>
  </si>
  <si>
    <t>1314</t>
  </si>
  <si>
    <t>2024-01-30 11:00:00</t>
  </si>
  <si>
    <t xml:space="preserve"> CUST0552 </t>
  </si>
  <si>
    <t>3386</t>
  </si>
  <si>
    <t>2024-01-30 12:00:00</t>
  </si>
  <si>
    <t xml:space="preserve"> CUST0242 </t>
  </si>
  <si>
    <t>3546</t>
  </si>
  <si>
    <t>2024-01-30 13:00:00</t>
  </si>
  <si>
    <t>1209</t>
  </si>
  <si>
    <t>2024-01-30 14:00:00</t>
  </si>
  <si>
    <t>2621</t>
  </si>
  <si>
    <t>2024-01-30 15:00:00</t>
  </si>
  <si>
    <t>3979</t>
  </si>
  <si>
    <t>2024-01-30 16:00:00</t>
  </si>
  <si>
    <t>630</t>
  </si>
  <si>
    <t>2024-01-30 17:00:00</t>
  </si>
  <si>
    <t>1170</t>
  </si>
  <si>
    <t>2024-01-30 18:00:00</t>
  </si>
  <si>
    <t xml:space="preserve"> CUST0203 </t>
  </si>
  <si>
    <t>3236</t>
  </si>
  <si>
    <t>2024-01-30 19:00:00</t>
  </si>
  <si>
    <t>1062</t>
  </si>
  <si>
    <t>2024-01-30 20:00:00</t>
  </si>
  <si>
    <t>1505</t>
  </si>
  <si>
    <t>2024-01-30 21:00:00</t>
  </si>
  <si>
    <t>3237</t>
  </si>
  <si>
    <t>2024-01-30 22:00:00</t>
  </si>
  <si>
    <t>616</t>
  </si>
  <si>
    <t>2024-01-30 23:00:00</t>
  </si>
  <si>
    <t>3264</t>
  </si>
  <si>
    <t>2024-01-31 00:00:00</t>
  </si>
  <si>
    <t xml:space="preserve"> CUST0311 </t>
  </si>
  <si>
    <t>1591</t>
  </si>
  <si>
    <t>2024-01-31 01:00:00</t>
  </si>
  <si>
    <t xml:space="preserve"> CUST0549 </t>
  </si>
  <si>
    <t>3789</t>
  </si>
  <si>
    <t>2024-01-31 02:00:00</t>
  </si>
  <si>
    <t>2024-01-31 03:00:00</t>
  </si>
  <si>
    <t xml:space="preserve"> CUST0443 </t>
  </si>
  <si>
    <t>4509</t>
  </si>
  <si>
    <t>2024-01-31 04:00:00</t>
  </si>
  <si>
    <t>690</t>
  </si>
  <si>
    <t>2024-01-31 05:00:00</t>
  </si>
  <si>
    <t xml:space="preserve"> CUST0197 </t>
  </si>
  <si>
    <t>1643</t>
  </si>
  <si>
    <t>2024-01-31 06:00:00</t>
  </si>
  <si>
    <t xml:space="preserve"> CUST0585 </t>
  </si>
  <si>
    <t>3156</t>
  </si>
  <si>
    <t>2024-01-31 07:00:00</t>
  </si>
  <si>
    <t>2306</t>
  </si>
  <si>
    <t>2024-01-31 08:00:00</t>
  </si>
  <si>
    <t xml:space="preserve"> CUST0752 </t>
  </si>
  <si>
    <t>2024-01-31 09:00:00</t>
  </si>
  <si>
    <t>2808</t>
  </si>
  <si>
    <t>2024-01-31 10:00:00</t>
  </si>
  <si>
    <t xml:space="preserve"> CUST0449 </t>
  </si>
  <si>
    <t>4129</t>
  </si>
  <si>
    <t>2024-01-31 11:00:00</t>
  </si>
  <si>
    <t>847</t>
  </si>
  <si>
    <t>2024-01-31 12:00:00</t>
  </si>
  <si>
    <t>900</t>
  </si>
  <si>
    <t>2024-01-31 13:00:00</t>
  </si>
  <si>
    <t xml:space="preserve"> CUST0030 </t>
  </si>
  <si>
    <t>1597</t>
  </si>
  <si>
    <t>2024-01-31 14:00:00</t>
  </si>
  <si>
    <t xml:space="preserve"> CUST0779 </t>
  </si>
  <si>
    <t>1479</t>
  </si>
  <si>
    <t>2024-01-31 15:00:00</t>
  </si>
  <si>
    <t xml:space="preserve"> CUST0108 </t>
  </si>
  <si>
    <t>779</t>
  </si>
  <si>
    <t>2024-01-31 16:00:00</t>
  </si>
  <si>
    <t xml:space="preserve"> CUST0602 </t>
  </si>
  <si>
    <t>3870</t>
  </si>
  <si>
    <t>2024-01-31 17:00:00</t>
  </si>
  <si>
    <t>3442</t>
  </si>
  <si>
    <t>2024-01-31 18:00:00</t>
  </si>
  <si>
    <t>996</t>
  </si>
  <si>
    <t>2024-01-31 19:00:00</t>
  </si>
  <si>
    <t>1646</t>
  </si>
  <si>
    <t>2024-01-31 20:00:00</t>
  </si>
  <si>
    <t xml:space="preserve"> CUST0732 </t>
  </si>
  <si>
    <t>3226</t>
  </si>
  <si>
    <t>2024-01-31 21:00:00</t>
  </si>
  <si>
    <t>783</t>
  </si>
  <si>
    <t>2024-01-31 22:00:00</t>
  </si>
  <si>
    <t xml:space="preserve"> CUST0457 </t>
  </si>
  <si>
    <t>1395</t>
  </si>
  <si>
    <t>2024-01-31 23:00:00</t>
  </si>
  <si>
    <t>1485</t>
  </si>
  <si>
    <t>2024-02-01 00:00:00</t>
  </si>
  <si>
    <t>1042</t>
  </si>
  <si>
    <t>2024-02-01 01:00:00</t>
  </si>
  <si>
    <t xml:space="preserve"> CUST0698 </t>
  </si>
  <si>
    <t>2024-02-01 02:00:00</t>
  </si>
  <si>
    <t>1133</t>
  </si>
  <si>
    <t>2024-02-01 03:00:00</t>
  </si>
  <si>
    <t xml:space="preserve"> CUST0495 </t>
  </si>
  <si>
    <t>2886</t>
  </si>
  <si>
    <t>2024-02-01 04:00:00</t>
  </si>
  <si>
    <t xml:space="preserve"> CUST0674 </t>
  </si>
  <si>
    <t>2333</t>
  </si>
  <si>
    <t>2024-02-01 05:00:00</t>
  </si>
  <si>
    <t>3745</t>
  </si>
  <si>
    <t>2024-02-01 06:00:00</t>
  </si>
  <si>
    <t xml:space="preserve"> CUST0543 </t>
  </si>
  <si>
    <t>1720</t>
  </si>
  <si>
    <t>2024-02-01 07:00:00</t>
  </si>
  <si>
    <t>2024-02-01 08:00:00</t>
  </si>
  <si>
    <t>3305</t>
  </si>
  <si>
    <t>2024-02-01 09:00:00</t>
  </si>
  <si>
    <t>2982</t>
  </si>
  <si>
    <t>2024-02-01 10:00:00</t>
  </si>
  <si>
    <t xml:space="preserve"> CUST0278 </t>
  </si>
  <si>
    <t>270</t>
  </si>
  <si>
    <t>2024-02-01 11:00:00</t>
  </si>
  <si>
    <t>1653</t>
  </si>
  <si>
    <t>2024-02-01 12:00:00</t>
  </si>
  <si>
    <t xml:space="preserve"> CUST0613 </t>
  </si>
  <si>
    <t>3997</t>
  </si>
  <si>
    <t>2024-02-01 13:00:00</t>
  </si>
  <si>
    <t>1695</t>
  </si>
  <si>
    <t>2024-02-01 14:00:00</t>
  </si>
  <si>
    <t xml:space="preserve"> CUST0385 </t>
  </si>
  <si>
    <t>1723</t>
  </si>
  <si>
    <t>2024-02-01 15:00:00</t>
  </si>
  <si>
    <t>4222</t>
  </si>
  <si>
    <t>2024-02-01 16:00:00</t>
  </si>
  <si>
    <t>2024-02-01 17:00:00</t>
  </si>
  <si>
    <t>2937</t>
  </si>
  <si>
    <t>2024-02-01 18:00:00</t>
  </si>
  <si>
    <t>507</t>
  </si>
  <si>
    <t>2024-02-01 19:00:00</t>
  </si>
  <si>
    <t xml:space="preserve"> CUST0426 </t>
  </si>
  <si>
    <t>4269</t>
  </si>
  <si>
    <t>2024-02-01 20:00:00</t>
  </si>
  <si>
    <t>2024-02-01 21:00:00</t>
  </si>
  <si>
    <t xml:space="preserve"> CUST0335 </t>
  </si>
  <si>
    <t>336</t>
  </si>
  <si>
    <t>2024-02-01 22:00:00</t>
  </si>
  <si>
    <t xml:space="preserve"> CUST0209 </t>
  </si>
  <si>
    <t>2874</t>
  </si>
  <si>
    <t>2024-02-01 23:00:00</t>
  </si>
  <si>
    <t xml:space="preserve"> CUST0022 </t>
  </si>
  <si>
    <t>3537</t>
  </si>
  <si>
    <t>2024-02-02 00:00:00</t>
  </si>
  <si>
    <t>3457</t>
  </si>
  <si>
    <t>2024-02-02 01:00:00</t>
  </si>
  <si>
    <t>2024-02-02 02:00:00</t>
  </si>
  <si>
    <t>2523</t>
  </si>
  <si>
    <t>2024-02-02 03:00:00</t>
  </si>
  <si>
    <t>4814</t>
  </si>
  <si>
    <t>2024-02-02 04:00:00</t>
  </si>
  <si>
    <t>3247</t>
  </si>
  <si>
    <t>2024-02-02 05:00:00</t>
  </si>
  <si>
    <t>1132</t>
  </si>
  <si>
    <t>2024-02-02 06:00:00</t>
  </si>
  <si>
    <t>2954</t>
  </si>
  <si>
    <t>2024-02-02 07:00:00</t>
  </si>
  <si>
    <t xml:space="preserve"> CUST0529 </t>
  </si>
  <si>
    <t>3040</t>
  </si>
  <si>
    <t>2024-02-02 08:00:00</t>
  </si>
  <si>
    <t>3801</t>
  </si>
  <si>
    <t>2024-02-02 09:00:00</t>
  </si>
  <si>
    <t xml:space="preserve"> CUST0653 </t>
  </si>
  <si>
    <t>4170</t>
  </si>
  <si>
    <t>2024-02-02 10:00:00</t>
  </si>
  <si>
    <t xml:space="preserve"> CUST0657 </t>
  </si>
  <si>
    <t>3232</t>
  </si>
  <si>
    <t>2024-02-02 11:00:00</t>
  </si>
  <si>
    <t>2024-02-02 12:00:00</t>
  </si>
  <si>
    <t xml:space="preserve"> CUST0496 </t>
  </si>
  <si>
    <t>2023</t>
  </si>
  <si>
    <t>2024-02-02 13:00:00</t>
  </si>
  <si>
    <t xml:space="preserve"> CUST0590 </t>
  </si>
  <si>
    <t>733</t>
  </si>
  <si>
    <t>2024-02-02 14:00:00</t>
  </si>
  <si>
    <t>4203</t>
  </si>
  <si>
    <t>2024-02-02 15:00:00</t>
  </si>
  <si>
    <t xml:space="preserve"> CUST0774 </t>
  </si>
  <si>
    <t>2024-02-02 16:00:00</t>
  </si>
  <si>
    <t>2024-02-02 17:00:00</t>
  </si>
  <si>
    <t>3198</t>
  </si>
  <si>
    <t>2024-02-02 18:00:00</t>
  </si>
  <si>
    <t xml:space="preserve"> CUST0526 </t>
  </si>
  <si>
    <t>161</t>
  </si>
  <si>
    <t>2024-02-02 19:00:00</t>
  </si>
  <si>
    <t>2569</t>
  </si>
  <si>
    <t>2024-02-02 20:00:00</t>
  </si>
  <si>
    <t>1917</t>
  </si>
  <si>
    <t>2024-02-02 21:00:00</t>
  </si>
  <si>
    <t>732</t>
  </si>
  <si>
    <t>2024-02-02 22:00:00</t>
  </si>
  <si>
    <t>4987</t>
  </si>
  <si>
    <t>2024-02-02 23:00:00</t>
  </si>
  <si>
    <t xml:space="preserve"> CUST0509 </t>
  </si>
  <si>
    <t>2698</t>
  </si>
  <si>
    <t>2024-02-03 00:00:00</t>
  </si>
  <si>
    <t xml:space="preserve"> CUST0795 </t>
  </si>
  <si>
    <t>3551</t>
  </si>
  <si>
    <t>2024-02-03 01:00:00</t>
  </si>
  <si>
    <t>1400</t>
  </si>
  <si>
    <t>2024-02-03 02:00:00</t>
  </si>
  <si>
    <t xml:space="preserve"> CUST0753 </t>
  </si>
  <si>
    <t>2753</t>
  </si>
  <si>
    <t>2024-02-03 03:00:00</t>
  </si>
  <si>
    <t>1554</t>
  </si>
  <si>
    <t>2024-02-03 04:00:00</t>
  </si>
  <si>
    <t xml:space="preserve"> CUST0245 </t>
  </si>
  <si>
    <t>2024-02-03 05:00:00</t>
  </si>
  <si>
    <t>3292</t>
  </si>
  <si>
    <t>2024-02-03 06:00:00</t>
  </si>
  <si>
    <t>2024-02-03 07:00:00</t>
  </si>
  <si>
    <t>2310</t>
  </si>
  <si>
    <t>2024-02-03 08:00:00</t>
  </si>
  <si>
    <t>4982</t>
  </si>
  <si>
    <t>2024-02-03 09:00:00</t>
  </si>
  <si>
    <t>2024-02-03 10:00:00</t>
  </si>
  <si>
    <t>3129</t>
  </si>
  <si>
    <t>2024-02-03 11:00:00</t>
  </si>
  <si>
    <t>2024-02-03 12:00:00</t>
  </si>
  <si>
    <t xml:space="preserve"> CUST0026 </t>
  </si>
  <si>
    <t>2526</t>
  </si>
  <si>
    <t>2024-02-03 13:00:00</t>
  </si>
  <si>
    <t>4368</t>
  </si>
  <si>
    <t>2024-02-03 14:00:00</t>
  </si>
  <si>
    <t>163</t>
  </si>
  <si>
    <t>2024-02-03 15:00:00</t>
  </si>
  <si>
    <t>1445</t>
  </si>
  <si>
    <t>2024-02-03 16:00:00</t>
  </si>
  <si>
    <t xml:space="preserve"> CUST0710 </t>
  </si>
  <si>
    <t>1074</t>
  </si>
  <si>
    <t>2024-02-03 17:00:00</t>
  </si>
  <si>
    <t>4261</t>
  </si>
  <si>
    <t>2024-02-03 18:00:00</t>
  </si>
  <si>
    <t xml:space="preserve"> CUST0448 </t>
  </si>
  <si>
    <t>3728</t>
  </si>
  <si>
    <t>2024-02-03 19:00:00</t>
  </si>
  <si>
    <t>2024-02-03 20:00:00</t>
  </si>
  <si>
    <t xml:space="preserve"> CUST0146 </t>
  </si>
  <si>
    <t>557</t>
  </si>
  <si>
    <t>2024-02-03 21:00:00</t>
  </si>
  <si>
    <t>3430</t>
  </si>
  <si>
    <t>2024-02-03 22:00:00</t>
  </si>
  <si>
    <t>1840</t>
  </si>
  <si>
    <t>2024-02-03 23:00:00</t>
  </si>
  <si>
    <t xml:space="preserve"> CUST0249 </t>
  </si>
  <si>
    <t>3126</t>
  </si>
  <si>
    <t>2024-02-04 00:00:00</t>
  </si>
  <si>
    <t>2054</t>
  </si>
  <si>
    <t>2024-02-04 01:00:00</t>
  </si>
  <si>
    <t>379</t>
  </si>
  <si>
    <t>2024-02-04 02:00:00</t>
  </si>
  <si>
    <t>2491</t>
  </si>
  <si>
    <t>2024-02-04 03:00:00</t>
  </si>
  <si>
    <t>1140</t>
  </si>
  <si>
    <t>2024-02-04 04:00:00</t>
  </si>
  <si>
    <t>1061</t>
  </si>
  <si>
    <t>2024-02-04 05:00:00</t>
  </si>
  <si>
    <t>3945</t>
  </si>
  <si>
    <t>2024-02-04 06:00:00</t>
  </si>
  <si>
    <t>1317</t>
  </si>
  <si>
    <t>2024-02-04 07:00:00</t>
  </si>
  <si>
    <t>3320</t>
  </si>
  <si>
    <t>2024-02-04 08:00:00</t>
  </si>
  <si>
    <t xml:space="preserve"> CUST0491 </t>
  </si>
  <si>
    <t>474</t>
  </si>
  <si>
    <t>2024-02-04 09:00:00</t>
  </si>
  <si>
    <t>4230</t>
  </si>
  <si>
    <t>2024-02-04 10:00:00</t>
  </si>
  <si>
    <t xml:space="preserve"> CUST0419 </t>
  </si>
  <si>
    <t>2024-02-04 11:00:00</t>
  </si>
  <si>
    <t>2176</t>
  </si>
  <si>
    <t>2024-02-04 12:00:00</t>
  </si>
  <si>
    <t>874</t>
  </si>
  <si>
    <t>2024-02-04 13:00:00</t>
  </si>
  <si>
    <t xml:space="preserve"> CUST0612 </t>
  </si>
  <si>
    <t>2024-02-04 14:00:00</t>
  </si>
  <si>
    <t>2024-02-04 15:00:00</t>
  </si>
  <si>
    <t xml:space="preserve"> CUST0122 </t>
  </si>
  <si>
    <t>2223</t>
  </si>
  <si>
    <t>2024-02-04 16:00:00</t>
  </si>
  <si>
    <t xml:space="preserve"> CUST0432 </t>
  </si>
  <si>
    <t>4689</t>
  </si>
  <si>
    <t>2024-02-04 17:00:00</t>
  </si>
  <si>
    <t>3693</t>
  </si>
  <si>
    <t>2024-02-04 18:00:00</t>
  </si>
  <si>
    <t>2024-02-04 19:00:00</t>
  </si>
  <si>
    <t xml:space="preserve"> CUST0381 </t>
  </si>
  <si>
    <t>4941</t>
  </si>
  <si>
    <t>2024-02-04 20:00:00</t>
  </si>
  <si>
    <t>2911</t>
  </si>
  <si>
    <t>2024-02-04 21:00:00</t>
  </si>
  <si>
    <t>2442</t>
  </si>
  <si>
    <t>2024-02-04 22:00:00</t>
  </si>
  <si>
    <t xml:space="preserve"> CUST0363 </t>
  </si>
  <si>
    <t>1574</t>
  </si>
  <si>
    <t>2024-02-04 23:00:00</t>
  </si>
  <si>
    <t>1957</t>
  </si>
  <si>
    <t>2024-02-05 00:00:00</t>
  </si>
  <si>
    <t>2989</t>
  </si>
  <si>
    <t>2024-02-05 01:00:00</t>
  </si>
  <si>
    <t>1159</t>
  </si>
  <si>
    <t>2024-02-05 02:00:00</t>
  </si>
  <si>
    <t>2022</t>
  </si>
  <si>
    <t>2024-02-05 03:00:00</t>
  </si>
  <si>
    <t xml:space="preserve"> CUST0164 </t>
  </si>
  <si>
    <t>3899</t>
  </si>
  <si>
    <t>2024-02-05 04:00:00</t>
  </si>
  <si>
    <t xml:space="preserve"> CUST0141 </t>
  </si>
  <si>
    <t>4692</t>
  </si>
  <si>
    <t>2024-02-05 05:00:00</t>
  </si>
  <si>
    <t>2573</t>
  </si>
  <si>
    <t>2024-02-05 06:00:00</t>
  </si>
  <si>
    <t xml:space="preserve"> CUST0398 </t>
  </si>
  <si>
    <t>4239</t>
  </si>
  <si>
    <t>2024-02-05 07:00:00</t>
  </si>
  <si>
    <t xml:space="preserve"> CUST0463 </t>
  </si>
  <si>
    <t>1951</t>
  </si>
  <si>
    <t>2024-02-05 08:00:00</t>
  </si>
  <si>
    <t>3641</t>
  </si>
  <si>
    <t>2024-02-05 09:00:00</t>
  </si>
  <si>
    <t>4649</t>
  </si>
  <si>
    <t>2024-02-05 10:00:00</t>
  </si>
  <si>
    <t>694</t>
  </si>
  <si>
    <t>2024-02-05 11:00:00</t>
  </si>
  <si>
    <t>606</t>
  </si>
  <si>
    <t>2024-02-05 12:00:00</t>
  </si>
  <si>
    <t>4989</t>
  </si>
  <si>
    <t>2024-02-05 13:00:00</t>
  </si>
  <si>
    <t>120</t>
  </si>
  <si>
    <t>2024-02-05 14:00:00</t>
  </si>
  <si>
    <t>1499</t>
  </si>
  <si>
    <t>2024-02-05 15:00:00</t>
  </si>
  <si>
    <t xml:space="preserve"> CUST0284 </t>
  </si>
  <si>
    <t>3301</t>
  </si>
  <si>
    <t>2024-02-05 16:00:00</t>
  </si>
  <si>
    <t>2561</t>
  </si>
  <si>
    <t>2024-02-05 17:00:00</t>
  </si>
  <si>
    <t xml:space="preserve"> CUST0194 </t>
  </si>
  <si>
    <t>3778</t>
  </si>
  <si>
    <t>2024-02-05 18:00:00</t>
  </si>
  <si>
    <t>436</t>
  </si>
  <si>
    <t>2024-02-05 19:00:00</t>
  </si>
  <si>
    <t xml:space="preserve"> CUST0771 </t>
  </si>
  <si>
    <t>1767</t>
  </si>
  <si>
    <t>2024-02-05 20:00:00</t>
  </si>
  <si>
    <t>3676</t>
  </si>
  <si>
    <t>2024-02-05 21:00:00</t>
  </si>
  <si>
    <t>1009</t>
  </si>
  <si>
    <t>2024-02-05 22:00:00</t>
  </si>
  <si>
    <t xml:space="preserve"> CUST0792 </t>
  </si>
  <si>
    <t>375</t>
  </si>
  <si>
    <t>2024-02-05 23:00:00</t>
  </si>
  <si>
    <t>991</t>
  </si>
  <si>
    <t>2024-02-06 00:00:00</t>
  </si>
  <si>
    <t>112</t>
  </si>
  <si>
    <t>2024-02-06 01:00:00</t>
  </si>
  <si>
    <t xml:space="preserve"> CUST0159 </t>
  </si>
  <si>
    <t>4157</t>
  </si>
  <si>
    <t>2024-02-06 02:00:00</t>
  </si>
  <si>
    <t>3125</t>
  </si>
  <si>
    <t>2024-02-06 03:00:00</t>
  </si>
  <si>
    <t>1073</t>
  </si>
  <si>
    <t>2024-02-06 04:00:00</t>
  </si>
  <si>
    <t>4370</t>
  </si>
  <si>
    <t>2024-02-06 05:00:00</t>
  </si>
  <si>
    <t>4070</t>
  </si>
  <si>
    <t>2024-02-06 06:00:00</t>
  </si>
  <si>
    <t>2024-02-06 07:00:00</t>
  </si>
  <si>
    <t>2043</t>
  </si>
  <si>
    <t>2024-02-06 08:00:00</t>
  </si>
  <si>
    <t>2388</t>
  </si>
  <si>
    <t>2024-02-06 09:00:00</t>
  </si>
  <si>
    <t xml:space="preserve"> CUST0103 </t>
  </si>
  <si>
    <t>646</t>
  </si>
  <si>
    <t>2024-02-06 10:00:00</t>
  </si>
  <si>
    <t>1318</t>
  </si>
  <si>
    <t>2024-02-06 11:00:00</t>
  </si>
  <si>
    <t xml:space="preserve"> CUST0313 </t>
  </si>
  <si>
    <t>1520</t>
  </si>
  <si>
    <t>2024-02-06 12:00:00</t>
  </si>
  <si>
    <t xml:space="preserve"> CUST0798 </t>
  </si>
  <si>
    <t>2024-02-06 13:00:00</t>
  </si>
  <si>
    <t>2024-02-06 14:00:00</t>
  </si>
  <si>
    <t>2872</t>
  </si>
  <si>
    <t>2024-02-06 15:00:00</t>
  </si>
  <si>
    <t>4198</t>
  </si>
  <si>
    <t>2024-02-06 16:00:00</t>
  </si>
  <si>
    <t>2838</t>
  </si>
  <si>
    <t>2024-02-06 17:00:00</t>
  </si>
  <si>
    <t>3847</t>
  </si>
  <si>
    <t>2024-02-06 18:00:00</t>
  </si>
  <si>
    <t xml:space="preserve"> CUST0423 </t>
  </si>
  <si>
    <t>1942</t>
  </si>
  <si>
    <t>2024-02-06 19:00:00</t>
  </si>
  <si>
    <t xml:space="preserve"> CUST0572 </t>
  </si>
  <si>
    <t>846</t>
  </si>
  <si>
    <t>2024-02-06 20:00:00</t>
  </si>
  <si>
    <t xml:space="preserve"> CUST0610 </t>
  </si>
  <si>
    <t>2916</t>
  </si>
  <si>
    <t>2024-02-06 21:00:00</t>
  </si>
  <si>
    <t>971</t>
  </si>
  <si>
    <t>2024-02-06 22:00:00</t>
  </si>
  <si>
    <t xml:space="preserve"> CUST0382 </t>
  </si>
  <si>
    <t>594</t>
  </si>
  <si>
    <t>2024-02-06 23:00:00</t>
  </si>
  <si>
    <t xml:space="preserve"> CUST0173 </t>
  </si>
  <si>
    <t>3544</t>
  </si>
  <si>
    <t>2024-02-07 00:00:00</t>
  </si>
  <si>
    <t>4823</t>
  </si>
  <si>
    <t>2024-02-07 01:00:00</t>
  </si>
  <si>
    <t>1175</t>
  </si>
  <si>
    <t>2024-02-07 02:00:00</t>
  </si>
  <si>
    <t>2024-02-07 03:00:00</t>
  </si>
  <si>
    <t xml:space="preserve"> CUST0634 </t>
  </si>
  <si>
    <t>4337</t>
  </si>
  <si>
    <t>2024-02-07 04:00:00</t>
  </si>
  <si>
    <t>145</t>
  </si>
  <si>
    <t>2024-02-07 05:00:00</t>
  </si>
  <si>
    <t xml:space="preserve"> CUST0620 </t>
  </si>
  <si>
    <t>2024-02-07 06:00:00</t>
  </si>
  <si>
    <t xml:space="preserve"> CUST0004 </t>
  </si>
  <si>
    <t>2157</t>
  </si>
  <si>
    <t>2024-02-07 07:00:00</t>
  </si>
  <si>
    <t>763</t>
  </si>
  <si>
    <t>2024-02-07 08:00:00</t>
  </si>
  <si>
    <t>4768</t>
  </si>
  <si>
    <t>2024-02-07 09:00:00</t>
  </si>
  <si>
    <t>2129</t>
  </si>
  <si>
    <t>2024-02-07 10:00:00</t>
  </si>
  <si>
    <t xml:space="preserve"> CUST0618 </t>
  </si>
  <si>
    <t>2796</t>
  </si>
  <si>
    <t>2024-02-07 11:00:00</t>
  </si>
  <si>
    <t>739</t>
  </si>
  <si>
    <t>2024-02-07 12:00:00</t>
  </si>
  <si>
    <t>2763</t>
  </si>
  <si>
    <t>2024-02-07 13:00:00</t>
  </si>
  <si>
    <t>2845</t>
  </si>
  <si>
    <t>2024-02-07 14:00:00</t>
  </si>
  <si>
    <t>4502</t>
  </si>
  <si>
    <t>2024-02-07 15:00:00</t>
  </si>
  <si>
    <t>2695</t>
  </si>
  <si>
    <t>2024-02-07 16:00:00</t>
  </si>
  <si>
    <t xml:space="preserve"> CUST0741 </t>
  </si>
  <si>
    <t>3527</t>
  </si>
  <si>
    <t>2024-02-07 17:00:00</t>
  </si>
  <si>
    <t xml:space="preserve"> CUST0202 </t>
  </si>
  <si>
    <t>494</t>
  </si>
  <si>
    <t>2024-02-07 18:00:00</t>
  </si>
  <si>
    <t>2024-02-07 19:00:00</t>
  </si>
  <si>
    <t>2024-02-07 20:00:00</t>
  </si>
  <si>
    <t>2432</t>
  </si>
  <si>
    <t>2024-02-07 21:00:00</t>
  </si>
  <si>
    <t>429</t>
  </si>
  <si>
    <t>2024-02-07 22:00:00</t>
  </si>
  <si>
    <t>2197</t>
  </si>
  <si>
    <t>2024-02-07 23:00:00</t>
  </si>
  <si>
    <t>872</t>
  </si>
  <si>
    <t>2024-02-08 00:00:00</t>
  </si>
  <si>
    <t>1745</t>
  </si>
  <si>
    <t>2024-02-08 01:00:00</t>
  </si>
  <si>
    <t>1832</t>
  </si>
  <si>
    <t>2024-02-08 02:00:00</t>
  </si>
  <si>
    <t>2024-02-08 03:00:00</t>
  </si>
  <si>
    <t>1887</t>
  </si>
  <si>
    <t>2024-02-08 04:00:00</t>
  </si>
  <si>
    <t xml:space="preserve"> CUST0452 </t>
  </si>
  <si>
    <t>2024-02-08 05:00:00</t>
  </si>
  <si>
    <t>1099</t>
  </si>
  <si>
    <t>2024-02-08 06:00:00</t>
  </si>
  <si>
    <t>1948</t>
  </si>
  <si>
    <t>2024-02-08 07:00:00</t>
  </si>
  <si>
    <t>1661</t>
  </si>
  <si>
    <t>2024-02-08 08:00:00</t>
  </si>
  <si>
    <t xml:space="preserve"> CUST0454 </t>
  </si>
  <si>
    <t>873</t>
  </si>
  <si>
    <t>2024-02-08 09:00:00</t>
  </si>
  <si>
    <t xml:space="preserve"> CUST0291 </t>
  </si>
  <si>
    <t>1903</t>
  </si>
  <si>
    <t>2024-02-08 10:00:00</t>
  </si>
  <si>
    <t>1198</t>
  </si>
  <si>
    <t>2024-02-08 11:00:00</t>
  </si>
  <si>
    <t>2150</t>
  </si>
  <si>
    <t>2024-02-08 12:00:00</t>
  </si>
  <si>
    <t>1698</t>
  </si>
  <si>
    <t>2024-02-08 13:00:00</t>
  </si>
  <si>
    <t xml:space="preserve"> CUST0759 </t>
  </si>
  <si>
    <t>2024-02-08 14:00:00</t>
  </si>
  <si>
    <t>4073</t>
  </si>
  <si>
    <t>2024-02-08 15:00:00</t>
  </si>
  <si>
    <t>2422</t>
  </si>
  <si>
    <t>2024-02-08 16:00:00</t>
  </si>
  <si>
    <t>2024-02-08 17:00:00</t>
  </si>
  <si>
    <t>1715</t>
  </si>
  <si>
    <t>2024-02-08 18:00:00</t>
  </si>
  <si>
    <t xml:space="preserve"> CUST0316 </t>
  </si>
  <si>
    <t>3854</t>
  </si>
  <si>
    <t>2024-02-08 19:00:00</t>
  </si>
  <si>
    <t>4524</t>
  </si>
  <si>
    <t>2024-02-08 20:00:00</t>
  </si>
  <si>
    <t xml:space="preserve"> CUST0599 </t>
  </si>
  <si>
    <t>2402</t>
  </si>
  <si>
    <t>2024-02-08 21:00:00</t>
  </si>
  <si>
    <t>4321</t>
  </si>
  <si>
    <t>2024-02-08 22:00:00</t>
  </si>
  <si>
    <t xml:space="preserve"> CUST0225 </t>
  </si>
  <si>
    <t>2024-02-08 23:00:00</t>
  </si>
  <si>
    <t>3755</t>
  </si>
  <si>
    <t>2024-02-09 00:00:00</t>
  </si>
  <si>
    <t>3495</t>
  </si>
  <si>
    <t>2024-02-09 01:00:00</t>
  </si>
  <si>
    <t xml:space="preserve"> CUST0251 </t>
  </si>
  <si>
    <t>2024-02-09 02:00:00</t>
  </si>
  <si>
    <t>3416</t>
  </si>
  <si>
    <t>2024-02-09 03:00:00</t>
  </si>
  <si>
    <t>1459</t>
  </si>
  <si>
    <t>2024-02-09 04:00:00</t>
  </si>
  <si>
    <t>3874</t>
  </si>
  <si>
    <t>2024-02-09 05:00:00</t>
  </si>
  <si>
    <t>4377</t>
  </si>
  <si>
    <t>2024-02-09 06:00:00</t>
  </si>
  <si>
    <t>4529</t>
  </si>
  <si>
    <t>2024-02-09 07:00:00</t>
  </si>
  <si>
    <t xml:space="preserve"> CUST0175 </t>
  </si>
  <si>
    <t>4706</t>
  </si>
  <si>
    <t>2024-02-09 08:00:00</t>
  </si>
  <si>
    <t xml:space="preserve"> CUST0069 </t>
  </si>
  <si>
    <t>4578</t>
  </si>
  <si>
    <t>2024-02-09 09:00:00</t>
  </si>
  <si>
    <t xml:space="preserve"> CUST0047 </t>
  </si>
  <si>
    <t>1996</t>
  </si>
  <si>
    <t>2024-02-09 10:00:00</t>
  </si>
  <si>
    <t>4527</t>
  </si>
  <si>
    <t>2024-02-09 11:00:00</t>
  </si>
  <si>
    <t>999</t>
  </si>
  <si>
    <t>2024-02-09 12:00:00</t>
  </si>
  <si>
    <t>741</t>
  </si>
  <si>
    <t>2024-02-09 13:00:00</t>
  </si>
  <si>
    <t xml:space="preserve"> CUST0281 </t>
  </si>
  <si>
    <t>4829</t>
  </si>
  <si>
    <t>2024-02-09 14:00:00</t>
  </si>
  <si>
    <t>3727</t>
  </si>
  <si>
    <t>2024-02-09 15:00:00</t>
  </si>
  <si>
    <t xml:space="preserve"> CUST0248 </t>
  </si>
  <si>
    <t>295</t>
  </si>
  <si>
    <t>2024-02-09 16:00:00</t>
  </si>
  <si>
    <t>1993</t>
  </si>
  <si>
    <t>2024-02-09 17:00:00</t>
  </si>
  <si>
    <t>2024-02-09 18:00:00</t>
  </si>
  <si>
    <t>4150</t>
  </si>
  <si>
    <t>2024-02-09 19:00:00</t>
  </si>
  <si>
    <t>4653</t>
  </si>
  <si>
    <t>2024-02-09 20:00:00</t>
  </si>
  <si>
    <t xml:space="preserve"> CUST0718 </t>
  </si>
  <si>
    <t>2404</t>
  </si>
  <si>
    <t>2024-02-09 21:00:00</t>
  </si>
  <si>
    <t>3700</t>
  </si>
  <si>
    <t>2024-02-09 22:00:00</t>
  </si>
  <si>
    <t>3443</t>
  </si>
  <si>
    <t>2024-02-09 23:00:00</t>
  </si>
  <si>
    <t>2156</t>
  </si>
  <si>
    <t>2024-02-10 00:00:00</t>
  </si>
  <si>
    <t>2908</t>
  </si>
  <si>
    <t>2024-02-10 01:00:00</t>
  </si>
  <si>
    <t>1324</t>
  </si>
  <si>
    <t>2024-02-10 02:00:00</t>
  </si>
  <si>
    <t>986</t>
  </si>
  <si>
    <t>2024-02-10 03:00:00</t>
  </si>
  <si>
    <t>492</t>
  </si>
  <si>
    <t>2024-02-10 04:00:00</t>
  </si>
  <si>
    <t xml:space="preserve"> CUST0334 </t>
  </si>
  <si>
    <t>1775</t>
  </si>
  <si>
    <t>2024-02-10 05:00:00</t>
  </si>
  <si>
    <t>3290</t>
  </si>
  <si>
    <t>2024-02-10 06:00:00</t>
  </si>
  <si>
    <t xml:space="preserve"> CUST0116 </t>
  </si>
  <si>
    <t>2546</t>
  </si>
  <si>
    <t>2024-02-10 07:00:00</t>
  </si>
  <si>
    <t>4005</t>
  </si>
  <si>
    <t>2024-02-10 08:00:00</t>
  </si>
  <si>
    <t>2024-02-10 09:00:00</t>
  </si>
  <si>
    <t xml:space="preserve"> CUST0778 </t>
  </si>
  <si>
    <t>3691</t>
  </si>
  <si>
    <t>2024-02-10 10:00:00</t>
  </si>
  <si>
    <t xml:space="preserve"> CUST0099 </t>
  </si>
  <si>
    <t>2024-02-10 11:00:00</t>
  </si>
  <si>
    <t>2627</t>
  </si>
  <si>
    <t>2024-02-10 12:00:00</t>
  </si>
  <si>
    <t>2281</t>
  </si>
  <si>
    <t>2024-02-10 13:00:00</t>
  </si>
  <si>
    <t xml:space="preserve"> CUST0597 </t>
  </si>
  <si>
    <t>3864</t>
  </si>
  <si>
    <t>2024-02-10 14:00:00</t>
  </si>
  <si>
    <t>2024-02-10 15:00:00</t>
  </si>
  <si>
    <t xml:space="preserve"> CUST0214 </t>
  </si>
  <si>
    <t>2024-02-10 16:00:00</t>
  </si>
  <si>
    <t>1621</t>
  </si>
  <si>
    <t>2024-02-10 17:00:00</t>
  </si>
  <si>
    <t>2772</t>
  </si>
  <si>
    <t>2024-02-10 18:00:00</t>
  </si>
  <si>
    <t>2024-02-10 19:00:00</t>
  </si>
  <si>
    <t>2024-02-10 20:00:00</t>
  </si>
  <si>
    <t>728</t>
  </si>
  <si>
    <t>2024-02-10 21:00:00</t>
  </si>
  <si>
    <t>2779</t>
  </si>
  <si>
    <t>2024-02-10 22:00:00</t>
  </si>
  <si>
    <t xml:space="preserve"> CUST0121 </t>
  </si>
  <si>
    <t>4522</t>
  </si>
  <si>
    <t>2024-02-10 23:00:00</t>
  </si>
  <si>
    <t>2024-02-11 00:00:00</t>
  </si>
  <si>
    <t>1521</t>
  </si>
  <si>
    <t>2024-02-11 01:00:00</t>
  </si>
  <si>
    <t xml:space="preserve"> CUST0784 </t>
  </si>
  <si>
    <t>1226</t>
  </si>
  <si>
    <t>2024-02-11 02:00:00</t>
  </si>
  <si>
    <t xml:space="preserve"> CUST0241 </t>
  </si>
  <si>
    <t>2783</t>
  </si>
  <si>
    <t>2024-02-11 03:00:00</t>
  </si>
  <si>
    <t xml:space="preserve"> CUST0755 </t>
  </si>
  <si>
    <t>1880</t>
  </si>
  <si>
    <t>2024-02-11 04:00:00</t>
  </si>
  <si>
    <t>1631</t>
  </si>
  <si>
    <t>2024-02-11 05:00:00</t>
  </si>
  <si>
    <t xml:space="preserve"> CUST0483 </t>
  </si>
  <si>
    <t>2014</t>
  </si>
  <si>
    <t>2024-02-11 06:00:00</t>
  </si>
  <si>
    <t>1332</t>
  </si>
  <si>
    <t>2024-02-11 07:00:00</t>
  </si>
  <si>
    <t xml:space="preserve"> CUST0656 </t>
  </si>
  <si>
    <t>2056</t>
  </si>
  <si>
    <t>2024-02-11 08:00:00</t>
  </si>
  <si>
    <t xml:space="preserve"> CUST0262 </t>
  </si>
  <si>
    <t>2024-02-11 09:00:00</t>
  </si>
  <si>
    <t>2024-02-11 10:00:00</t>
  </si>
  <si>
    <t>3063</t>
  </si>
  <si>
    <t>2024-02-11 11:00:00</t>
  </si>
  <si>
    <t xml:space="preserve"> CUST0431 </t>
  </si>
  <si>
    <t>2495</t>
  </si>
  <si>
    <t>2024-02-11 12:00:00</t>
  </si>
  <si>
    <t>4245</t>
  </si>
  <si>
    <t>2024-02-11 13:00:00</t>
  </si>
  <si>
    <t>4995</t>
  </si>
  <si>
    <t>2024-02-11 14:00:00</t>
  </si>
  <si>
    <t xml:space="preserve"> CUST0298 </t>
  </si>
  <si>
    <t>1892</t>
  </si>
  <si>
    <t>2024-02-11 15:00:00</t>
  </si>
  <si>
    <t>3164</t>
  </si>
  <si>
    <t>2024-02-11 16:00:00</t>
  </si>
  <si>
    <t>1463</t>
  </si>
  <si>
    <t>2024-02-11 17:00:00</t>
  </si>
  <si>
    <t xml:space="preserve"> CUST0333 </t>
  </si>
  <si>
    <t>2448</t>
  </si>
  <si>
    <t>2024-02-11 18:00:00</t>
  </si>
  <si>
    <t>3651</t>
  </si>
  <si>
    <t>2024-02-11 19:00:00</t>
  </si>
  <si>
    <t>2024-02-11 20:00:00</t>
  </si>
  <si>
    <t>3436</t>
  </si>
  <si>
    <t>2024-02-11 21:00:00</t>
  </si>
  <si>
    <t>1665</t>
  </si>
  <si>
    <t>2024-02-11 22:00:00</t>
  </si>
  <si>
    <t>2024-02-11 23:00:00</t>
  </si>
  <si>
    <t>2313</t>
  </si>
  <si>
    <t>2024-02-12 00:00:00</t>
  </si>
  <si>
    <t xml:space="preserve"> CUST0263 </t>
  </si>
  <si>
    <t>4196</t>
  </si>
  <si>
    <t>2024-02-12 01:00:00</t>
  </si>
  <si>
    <t xml:space="preserve"> CUST0703 </t>
  </si>
  <si>
    <t>1119</t>
  </si>
  <si>
    <t>2024-02-12 02:00:00</t>
  </si>
  <si>
    <t>1384</t>
  </si>
  <si>
    <t>2024-02-12 03:00:00</t>
  </si>
  <si>
    <t xml:space="preserve"> CUST0012 </t>
  </si>
  <si>
    <t>162</t>
  </si>
  <si>
    <t>2024-02-12 04:00:00</t>
  </si>
  <si>
    <t>2630</t>
  </si>
  <si>
    <t>2024-02-12 05:00:00</t>
  </si>
  <si>
    <t>3492</t>
  </si>
  <si>
    <t>2024-02-12 06:00:00</t>
  </si>
  <si>
    <t xml:space="preserve"> CUST0555 </t>
  </si>
  <si>
    <t>3372</t>
  </si>
  <si>
    <t>2024-02-12 07:00:00</t>
  </si>
  <si>
    <t xml:space="preserve"> CUST0017 </t>
  </si>
  <si>
    <t>2369</t>
  </si>
  <si>
    <t>2024-02-12 08:00:00</t>
  </si>
  <si>
    <t>4347</t>
  </si>
  <si>
    <t>2024-02-12 09:00:00</t>
  </si>
  <si>
    <t>743</t>
  </si>
  <si>
    <t>2024-02-12 10:00:00</t>
  </si>
  <si>
    <t>4821</t>
  </si>
  <si>
    <t>2024-02-12 11:00:00</t>
  </si>
  <si>
    <t>2024-02-12 12:00:00</t>
  </si>
  <si>
    <t>2024-02-12 13:00:00</t>
  </si>
  <si>
    <t>3964</t>
  </si>
  <si>
    <t>2024-02-12 14:00:00</t>
  </si>
  <si>
    <t>3373</t>
  </si>
  <si>
    <t>2024-02-12 15:00:00</t>
  </si>
  <si>
    <t>2794</t>
  </si>
  <si>
    <t>2024-02-12 16:00:00</t>
  </si>
  <si>
    <t>3312</t>
  </si>
  <si>
    <t>2024-02-12 17:00:00</t>
  </si>
  <si>
    <t>2855</t>
  </si>
  <si>
    <t>2024-02-12 18:00:00</t>
  </si>
  <si>
    <t>2024-02-12 19:00:00</t>
  </si>
  <si>
    <t>1180</t>
  </si>
  <si>
    <t>2024-02-12 20:00:00</t>
  </si>
  <si>
    <t>821</t>
  </si>
  <si>
    <t>2024-02-12 21:00:00</t>
  </si>
  <si>
    <t>1662</t>
  </si>
  <si>
    <t>2024-02-12 22:00:00</t>
  </si>
  <si>
    <t xml:space="preserve"> CUST0782 </t>
  </si>
  <si>
    <t>2024-02-12 23:00:00</t>
  </si>
  <si>
    <t>4360</t>
  </si>
  <si>
    <t>2024-02-13 00:00:00</t>
  </si>
  <si>
    <t>4410</t>
  </si>
  <si>
    <t>2024-02-13 01:00:00</t>
  </si>
  <si>
    <t>3887</t>
  </si>
  <si>
    <t>2024-02-13 02:00:00</t>
  </si>
  <si>
    <t>3836</t>
  </si>
  <si>
    <t>2024-02-13 03:00:00</t>
  </si>
  <si>
    <t>189</t>
  </si>
  <si>
    <t>2024-02-13 04:00:00</t>
  </si>
  <si>
    <t xml:space="preserve"> CUST0797 </t>
  </si>
  <si>
    <t>2024-02-13 05:00:00</t>
  </si>
  <si>
    <t>1351</t>
  </si>
  <si>
    <t>2024-02-13 06:00:00</t>
  </si>
  <si>
    <t>1202</t>
  </si>
  <si>
    <t>2024-02-13 07:00:00</t>
  </si>
  <si>
    <t>4803</t>
  </si>
  <si>
    <t>2024-02-13 08:00:00</t>
  </si>
  <si>
    <t xml:space="preserve"> CUST0436 </t>
  </si>
  <si>
    <t>448</t>
  </si>
  <si>
    <t>2024-02-13 09:00:00</t>
  </si>
  <si>
    <t xml:space="preserve"> CUST0787 </t>
  </si>
  <si>
    <t>4013</t>
  </si>
  <si>
    <t>2024-02-13 10:00:00</t>
  </si>
  <si>
    <t xml:space="preserve"> CUST0461 </t>
  </si>
  <si>
    <t>4152</t>
  </si>
  <si>
    <t>2024-02-13 11:00:00</t>
  </si>
  <si>
    <t>3041</t>
  </si>
  <si>
    <t>2024-02-13 12:00:00</t>
  </si>
  <si>
    <t xml:space="preserve"> CUST0021 </t>
  </si>
  <si>
    <t>345</t>
  </si>
  <si>
    <t>2024-02-13 13:00:00</t>
  </si>
  <si>
    <t>2024-02-13 14:00:00</t>
  </si>
  <si>
    <t xml:space="preserve"> CUST0165 </t>
  </si>
  <si>
    <t>2130</t>
  </si>
  <si>
    <t>2024-02-13 15:00:00</t>
  </si>
  <si>
    <t>2024-02-13 16:00:00</t>
  </si>
  <si>
    <t>3287</t>
  </si>
  <si>
    <t>2024-02-13 17:00:00</t>
  </si>
  <si>
    <t xml:space="preserve"> CUST0285 </t>
  </si>
  <si>
    <t>3606</t>
  </si>
  <si>
    <t>2024-02-13 18:00:00</t>
  </si>
  <si>
    <t>1565</t>
  </si>
  <si>
    <t>2024-02-13 19:00:00</t>
  </si>
  <si>
    <t>1295</t>
  </si>
  <si>
    <t>2024-02-13 20:00:00</t>
  </si>
  <si>
    <t>3187</t>
  </si>
  <si>
    <t>2024-02-13 21:00:00</t>
  </si>
  <si>
    <t>2024-02-13 22:00:00</t>
  </si>
  <si>
    <t>3923</t>
  </si>
  <si>
    <t>2024-02-13 23:00:00</t>
  </si>
  <si>
    <t>2024-02-14 00:00:00</t>
  </si>
  <si>
    <t>2024-02-14 01:00:00</t>
  </si>
  <si>
    <t>4479</t>
  </si>
  <si>
    <t>2024-02-14 02:00:00</t>
  </si>
  <si>
    <t>2024-02-14 03:00:00</t>
  </si>
  <si>
    <t>2765</t>
  </si>
  <si>
    <t>2024-02-14 04:00:00</t>
  </si>
  <si>
    <t xml:space="preserve"> CUST0034 </t>
  </si>
  <si>
    <t>1401</t>
  </si>
  <si>
    <t>2024-02-14 05:00:00</t>
  </si>
  <si>
    <t>711</t>
  </si>
  <si>
    <t>2024-02-14 06:00:00</t>
  </si>
  <si>
    <t xml:space="preserve"> CUST0427 </t>
  </si>
  <si>
    <t>849</t>
  </si>
  <si>
    <t>2024-02-14 07:00:00</t>
  </si>
  <si>
    <t xml:space="preserve"> CUST0221 </t>
  </si>
  <si>
    <t>2024-02-14 08:00:00</t>
  </si>
  <si>
    <t>499</t>
  </si>
  <si>
    <t>2024-02-14 09:00:00</t>
  </si>
  <si>
    <t>1626</t>
  </si>
  <si>
    <t>2024-02-14 10:00:00</t>
  </si>
  <si>
    <t>2124</t>
  </si>
  <si>
    <t>2024-02-14 11:00:00</t>
  </si>
  <si>
    <t>419</t>
  </si>
  <si>
    <t>2024-02-14 12:00:00</t>
  </si>
  <si>
    <t>435</t>
  </si>
  <si>
    <t>2024-02-14 13:00:00</t>
  </si>
  <si>
    <t xml:space="preserve"> CUST0582 </t>
  </si>
  <si>
    <t>2198</t>
  </si>
  <si>
    <t>2024-02-14 14:00:00</t>
  </si>
  <si>
    <t>273</t>
  </si>
  <si>
    <t>2024-02-14 15:00:00</t>
  </si>
  <si>
    <t>4119</t>
  </si>
  <si>
    <t>2024-02-14 16:00:00</t>
  </si>
  <si>
    <t>1741</t>
  </si>
  <si>
    <t>2024-02-14 17:00:00</t>
  </si>
  <si>
    <t xml:space="preserve"> CUST0441 </t>
  </si>
  <si>
    <t>600</t>
  </si>
  <si>
    <t>2024-02-14 18:00:00</t>
  </si>
  <si>
    <t xml:space="preserve"> CUST0148 </t>
  </si>
  <si>
    <t>3746</t>
  </si>
  <si>
    <t>2024-02-14 19:00:00</t>
  </si>
  <si>
    <t xml:space="preserve"> CUST0009 </t>
  </si>
  <si>
    <t>2463</t>
  </si>
  <si>
    <t>2024-02-14 20:00:00</t>
  </si>
  <si>
    <t>2024-02-14 21:00:00</t>
  </si>
  <si>
    <t>3252</t>
  </si>
  <si>
    <t>2024-02-14 22:00:00</t>
  </si>
  <si>
    <t>2024-02-14 23:00:00</t>
  </si>
  <si>
    <t>2024-02-15 00:00:00</t>
  </si>
  <si>
    <t>1878</t>
  </si>
  <si>
    <t>2024-02-15 01:00:00</t>
  </si>
  <si>
    <t>4892</t>
  </si>
  <si>
    <t>2024-02-15 02:00:00</t>
  </si>
  <si>
    <t>3157</t>
  </si>
  <si>
    <t>2024-02-15 03:00:00</t>
  </si>
  <si>
    <t>4927</t>
  </si>
  <si>
    <t>2024-02-15 04:00:00</t>
  </si>
  <si>
    <t>2813</t>
  </si>
  <si>
    <t>2024-02-15 05:00:00</t>
  </si>
  <si>
    <t>3928</t>
  </si>
  <si>
    <t>2024-02-15 06:00:00</t>
  </si>
  <si>
    <t>4847</t>
  </si>
  <si>
    <t>2024-02-15 07:00:00</t>
  </si>
  <si>
    <t>1194</t>
  </si>
  <si>
    <t>2024-02-15 08:00:00</t>
  </si>
  <si>
    <t>2024-02-15 09:00:00</t>
  </si>
  <si>
    <t xml:space="preserve"> CUST0135 </t>
  </si>
  <si>
    <t>1545</t>
  </si>
  <si>
    <t>2024-02-15 10:00:00</t>
  </si>
  <si>
    <t>2296</t>
  </si>
  <si>
    <t>2024-02-15 11:00:00</t>
  </si>
  <si>
    <t>2024-02-15 12:00:00</t>
  </si>
  <si>
    <t>555</t>
  </si>
  <si>
    <t>2024-02-15 13:00:00</t>
  </si>
  <si>
    <t xml:space="preserve"> CUST0478 </t>
  </si>
  <si>
    <t>1762</t>
  </si>
  <si>
    <t>2024-02-15 14:00:00</t>
  </si>
  <si>
    <t>3024</t>
  </si>
  <si>
    <t>2024-02-15 15:00:00</t>
  </si>
  <si>
    <t>1065</t>
  </si>
  <si>
    <t>2024-02-15 16:00:00</t>
  </si>
  <si>
    <t>1628</t>
  </si>
  <si>
    <t>2024-02-15 17:00:00</t>
  </si>
  <si>
    <t>3076</t>
  </si>
  <si>
    <t>2024-02-15 18:00:00</t>
  </si>
  <si>
    <t>3171</t>
  </si>
  <si>
    <t>2024-02-15 19:00:00</t>
  </si>
  <si>
    <t>4969</t>
  </si>
  <si>
    <t>2024-02-15 20:00:00</t>
  </si>
  <si>
    <t>2024-02-15 21:00:00</t>
  </si>
  <si>
    <t>2024-02-15 22:00:00</t>
  </si>
  <si>
    <t>3504</t>
  </si>
  <si>
    <t>2024-02-15 23:00:00</t>
  </si>
  <si>
    <t>2024-02-16 00:00:00</t>
  </si>
  <si>
    <t>2443</t>
  </si>
  <si>
    <t>2024-02-16 01:00:00</t>
  </si>
  <si>
    <t>206</t>
  </si>
  <si>
    <t>2024-02-16 02:00:00</t>
  </si>
  <si>
    <t xml:space="preserve"> CUST0130 </t>
  </si>
  <si>
    <t>2677</t>
  </si>
  <si>
    <t>2024-02-16 03:00:00</t>
  </si>
  <si>
    <t>3254</t>
  </si>
  <si>
    <t>2024-02-16 04:00:00</t>
  </si>
  <si>
    <t>4483</t>
  </si>
  <si>
    <t>2024-02-16 05:00:00</t>
  </si>
  <si>
    <t>4153</t>
  </si>
  <si>
    <t>2024-02-16 06:00:00</t>
  </si>
  <si>
    <t>2024-02-16 07:00:00</t>
  </si>
  <si>
    <t xml:space="preserve"> CUST0016 </t>
  </si>
  <si>
    <t>314</t>
  </si>
  <si>
    <t>2024-02-16 08:00:00</t>
  </si>
  <si>
    <t>4539</t>
  </si>
  <si>
    <t>2024-02-16 09:00:00</t>
  </si>
  <si>
    <t>4389</t>
  </si>
  <si>
    <t>2024-02-16 10:00:00</t>
  </si>
  <si>
    <t>4353</t>
  </si>
  <si>
    <t>2024-02-16 11:00:00</t>
  </si>
  <si>
    <t>564</t>
  </si>
  <si>
    <t>2024-02-16 12:00:00</t>
  </si>
  <si>
    <t>2472</t>
  </si>
  <si>
    <t>2024-02-16 13:00:00</t>
  </si>
  <si>
    <t>691</t>
  </si>
  <si>
    <t>2024-02-16 14:00:00</t>
  </si>
  <si>
    <t xml:space="preserve"> CUST0341 </t>
  </si>
  <si>
    <t>2288</t>
  </si>
  <si>
    <t>2024-02-16 15:00:00</t>
  </si>
  <si>
    <t>983</t>
  </si>
  <si>
    <t>2024-02-16 16:00:00</t>
  </si>
  <si>
    <t>4258</t>
  </si>
  <si>
    <t>2024-02-16 17:00:00</t>
  </si>
  <si>
    <t xml:space="preserve"> CUST0410 </t>
  </si>
  <si>
    <t>2024-02-16 18:00:00</t>
  </si>
  <si>
    <t xml:space="preserve"> CUST0306 </t>
  </si>
  <si>
    <t>4591</t>
  </si>
  <si>
    <t>2024-02-16 19:00:00</t>
  </si>
  <si>
    <t>433</t>
  </si>
  <si>
    <t>2024-02-16 20:00:00</t>
  </si>
  <si>
    <t>2933</t>
  </si>
  <si>
    <t>2024-02-16 21:00:00</t>
  </si>
  <si>
    <t>4606</t>
  </si>
  <si>
    <t>2024-02-16 22:00:00</t>
  </si>
  <si>
    <t>2431</t>
  </si>
  <si>
    <t>2024-02-16 23:00:00</t>
  </si>
  <si>
    <t>4661</t>
  </si>
  <si>
    <t>2024-02-17 00:00:00</t>
  </si>
  <si>
    <t xml:space="preserve"> CUST0559 </t>
  </si>
  <si>
    <t>179</t>
  </si>
  <si>
    <t>2024-02-17 01:00:00</t>
  </si>
  <si>
    <t>3863</t>
  </si>
  <si>
    <t>2024-02-17 02:00:00</t>
  </si>
  <si>
    <t>2931</t>
  </si>
  <si>
    <t>2024-02-17 03:00:00</t>
  </si>
  <si>
    <t xml:space="preserve"> CUST0711 </t>
  </si>
  <si>
    <t>2077</t>
  </si>
  <si>
    <t>2024-02-17 04:00:00</t>
  </si>
  <si>
    <t>832</t>
  </si>
  <si>
    <t>2024-02-17 05:00:00</t>
  </si>
  <si>
    <t>4076</t>
  </si>
  <si>
    <t>2024-02-17 06:00:00</t>
  </si>
  <si>
    <t>2024-02-17 07:00:00</t>
  </si>
  <si>
    <t xml:space="preserve"> CUST0772 </t>
  </si>
  <si>
    <t>1484</t>
  </si>
  <si>
    <t>2024-02-17 08:00:00</t>
  </si>
  <si>
    <t>2224</t>
  </si>
  <si>
    <t>2024-02-17 09:00:00</t>
  </si>
  <si>
    <t xml:space="preserve"> CUST0531 </t>
  </si>
  <si>
    <t>1298</t>
  </si>
  <si>
    <t>2024-02-17 10:00:00</t>
  </si>
  <si>
    <t>2392</t>
  </si>
  <si>
    <t>2024-02-17 11:00:00</t>
  </si>
  <si>
    <t>4317</t>
  </si>
  <si>
    <t>2024-02-17 12:00:00</t>
  </si>
  <si>
    <t>2024-02-17 13:00:00</t>
  </si>
  <si>
    <t>4227</t>
  </si>
  <si>
    <t>2024-02-17 14:00:00</t>
  </si>
  <si>
    <t>1097</t>
  </si>
  <si>
    <t>2024-02-17 15:00:00</t>
  </si>
  <si>
    <t>2024-02-17 16:00:00</t>
  </si>
  <si>
    <t>2024-02-17 17:00:00</t>
  </si>
  <si>
    <t>4764</t>
  </si>
  <si>
    <t>2024-02-17 18:00:00</t>
  </si>
  <si>
    <t>2457</t>
  </si>
  <si>
    <t>2024-02-17 19:00:00</t>
  </si>
  <si>
    <t>1779</t>
  </si>
  <si>
    <t>2024-02-17 20:00:00</t>
  </si>
  <si>
    <t>3139</t>
  </si>
  <si>
    <t>2024-02-17 21:00:00</t>
  </si>
  <si>
    <t>4986</t>
  </si>
  <si>
    <t>2024-02-17 22:00:00</t>
  </si>
  <si>
    <t>2611</t>
  </si>
  <si>
    <t>2024-02-17 23:00:00</t>
  </si>
  <si>
    <t>3627</t>
  </si>
  <si>
    <t>2024-02-18 00:00:00</t>
  </si>
  <si>
    <t>2024-02-18 01:00:00</t>
  </si>
  <si>
    <t>2024-02-18 02:00:00</t>
  </si>
  <si>
    <t>4273</t>
  </si>
  <si>
    <t>2024-02-18 03:00:00</t>
  </si>
  <si>
    <t>2681</t>
  </si>
  <si>
    <t>2024-02-18 04:00:00</t>
  </si>
  <si>
    <t>4303</t>
  </si>
  <si>
    <t>2024-02-18 05:00:00</t>
  </si>
  <si>
    <t>2024-02-18 06:00:00</t>
  </si>
  <si>
    <t>4190</t>
  </si>
  <si>
    <t>2024-02-18 07:00:00</t>
  </si>
  <si>
    <t>2024-02-18 08:00:00</t>
  </si>
  <si>
    <t>3843</t>
  </si>
  <si>
    <t>2024-02-18 09:00:00</t>
  </si>
  <si>
    <t>2024-02-18 10:00:00</t>
  </si>
  <si>
    <t xml:space="preserve"> CUST0737 </t>
  </si>
  <si>
    <t>1803</t>
  </si>
  <si>
    <t>2024-02-18 11:00:00</t>
  </si>
  <si>
    <t xml:space="preserve"> CUST0361 </t>
  </si>
  <si>
    <t>3424</t>
  </si>
  <si>
    <t>2024-02-18 12:00:00</t>
  </si>
  <si>
    <t xml:space="preserve"> CUST0374 </t>
  </si>
  <si>
    <t>540</t>
  </si>
  <si>
    <t>2024-02-18 13:00:00</t>
  </si>
  <si>
    <t xml:space="preserve"> CUST0554 </t>
  </si>
  <si>
    <t>3357</t>
  </si>
  <si>
    <t>2024-02-18 14:00:00</t>
  </si>
  <si>
    <t>3006</t>
  </si>
  <si>
    <t>2024-02-18 15:00:00</t>
  </si>
  <si>
    <t xml:space="preserve"> CUST0421 </t>
  </si>
  <si>
    <t>326</t>
  </si>
  <si>
    <t>2024-02-18 16:00:00</t>
  </si>
  <si>
    <t>2501</t>
  </si>
  <si>
    <t>2024-02-18 17:00:00</t>
  </si>
  <si>
    <t>4818</t>
  </si>
  <si>
    <t>2024-02-18 18:00:00</t>
  </si>
  <si>
    <t>1124</t>
  </si>
  <si>
    <t>2024-02-18 19:00:00</t>
  </si>
  <si>
    <t>3591</t>
  </si>
  <si>
    <t>2024-02-18 20:00:00</t>
  </si>
  <si>
    <t>4356</t>
  </si>
  <si>
    <t>2024-02-18 21:00:00</t>
  </si>
  <si>
    <t>970</t>
  </si>
  <si>
    <t>2024-02-18 22:00:00</t>
  </si>
  <si>
    <t>3299</t>
  </si>
  <si>
    <t>2024-02-18 23:00:00</t>
  </si>
  <si>
    <t>1845</t>
  </si>
  <si>
    <t>2024-02-19 00:00:00</t>
  </si>
  <si>
    <t>2024-02-19 01:00:00</t>
  </si>
  <si>
    <t xml:space="preserve"> CUST0553 </t>
  </si>
  <si>
    <t>2024-02-19 02:00:00</t>
  </si>
  <si>
    <t>572</t>
  </si>
  <si>
    <t>2024-02-19 03:00:00</t>
  </si>
  <si>
    <t>2024-02-19 04:00:00</t>
  </si>
  <si>
    <t xml:space="preserve"> CUST0160 </t>
  </si>
  <si>
    <t>339</t>
  </si>
  <si>
    <t>2024-02-19 05:00:00</t>
  </si>
  <si>
    <t>4752</t>
  </si>
  <si>
    <t>2024-02-19 06:00:00</t>
  </si>
  <si>
    <t>689</t>
  </si>
  <si>
    <t>2024-02-19 07:00:00</t>
  </si>
  <si>
    <t xml:space="preserve"> CUST0322 </t>
  </si>
  <si>
    <t>2024-02-19 08:00:00</t>
  </si>
  <si>
    <t>1984</t>
  </si>
  <si>
    <t>2024-02-19 09:00:00</t>
  </si>
  <si>
    <t>2416</t>
  </si>
  <si>
    <t>2024-02-19 10:00:00</t>
  </si>
  <si>
    <t>4530</t>
  </si>
  <si>
    <t>2024-02-19 11:00:00</t>
  </si>
  <si>
    <t>411</t>
  </si>
  <si>
    <t>2024-02-19 12:00:00</t>
  </si>
  <si>
    <t>1176</t>
  </si>
  <si>
    <t>2024-02-19 13:00:00</t>
  </si>
  <si>
    <t xml:space="preserve"> CUST0522 </t>
  </si>
  <si>
    <t>133</t>
  </si>
  <si>
    <t>2024-02-19 14:00:00</t>
  </si>
  <si>
    <t>2024-02-19 15:00:00</t>
  </si>
  <si>
    <t>4581</t>
  </si>
  <si>
    <t>2024-02-19 16:00:00</t>
  </si>
  <si>
    <t>2024-02-19 17:00:00</t>
  </si>
  <si>
    <t xml:space="preserve"> CUST0788 </t>
  </si>
  <si>
    <t>1234</t>
  </si>
  <si>
    <t>2024-02-19 18:00:00</t>
  </si>
  <si>
    <t>2024-02-19 19:00:00</t>
  </si>
  <si>
    <t>2024-02-19 20:00:00</t>
  </si>
  <si>
    <t>823</t>
  </si>
  <si>
    <t>2024-02-19 21:00:00</t>
  </si>
  <si>
    <t>2013</t>
  </si>
  <si>
    <t>2024-02-19 22:00:00</t>
  </si>
  <si>
    <t xml:space="preserve"> CUST0435 </t>
  </si>
  <si>
    <t>4397</t>
  </si>
  <si>
    <t>2024-02-19 23:00:00</t>
  </si>
  <si>
    <t xml:space="preserve"> CUST0636 </t>
  </si>
  <si>
    <t>2592</t>
  </si>
  <si>
    <t>2024-02-20 00:00:00</t>
  </si>
  <si>
    <t>2042</t>
  </si>
  <si>
    <t>2024-02-20 01:00:00</t>
  </si>
  <si>
    <t xml:space="preserve"> CUST0408 </t>
  </si>
  <si>
    <t>4104</t>
  </si>
  <si>
    <t>2024-02-20 02:00:00</t>
  </si>
  <si>
    <t>2444</t>
  </si>
  <si>
    <t>2024-02-20 03:00:00</t>
  </si>
  <si>
    <t>1431</t>
  </si>
  <si>
    <t>2024-02-20 04:00:00</t>
  </si>
  <si>
    <t xml:space="preserve"> CUST0569 </t>
  </si>
  <si>
    <t>4688</t>
  </si>
  <si>
    <t>2024-02-20 05:00:00</t>
  </si>
  <si>
    <t xml:space="preserve"> CUST0078 </t>
  </si>
  <si>
    <t>437</t>
  </si>
  <si>
    <t>2024-02-20 06:00:00</t>
  </si>
  <si>
    <t>1965</t>
  </si>
  <si>
    <t>2024-02-20 07:00:00</t>
  </si>
  <si>
    <t>2024-02-20 08:00:00</t>
  </si>
  <si>
    <t xml:space="preserve"> CUST0527 </t>
  </si>
  <si>
    <t>891</t>
  </si>
  <si>
    <t>2024-02-20 09:00:00</t>
  </si>
  <si>
    <t xml:space="preserve"> CUST0524 </t>
  </si>
  <si>
    <t>3711</t>
  </si>
  <si>
    <t>2024-02-20 10:00:00</t>
  </si>
  <si>
    <t>3800</t>
  </si>
  <si>
    <t>2024-02-20 11:00:00</t>
  </si>
  <si>
    <t>1616</t>
  </si>
  <si>
    <t>2024-02-20 12:00:00</t>
  </si>
  <si>
    <t>4053</t>
  </si>
  <si>
    <t>2024-02-20 13:00:00</t>
  </si>
  <si>
    <t>4008</t>
  </si>
  <si>
    <t>2024-02-20 14:00:00</t>
  </si>
  <si>
    <t xml:space="preserve"> CUST0280 </t>
  </si>
  <si>
    <t>2773</t>
  </si>
  <si>
    <t>2024-02-20 15:00:00</t>
  </si>
  <si>
    <t>2222</t>
  </si>
  <si>
    <t>2024-02-20 16:00:00</t>
  </si>
  <si>
    <t>3885</t>
  </si>
  <si>
    <t>2024-02-20 17:00:00</t>
  </si>
  <si>
    <t>158</t>
  </si>
  <si>
    <t>2024-02-20 18:00:00</t>
  </si>
  <si>
    <t>2533</t>
  </si>
  <si>
    <t>2024-02-20 19:00:00</t>
  </si>
  <si>
    <t>2162</t>
  </si>
  <si>
    <t>2024-02-20 20:00:00</t>
  </si>
  <si>
    <t>1354</t>
  </si>
  <si>
    <t>2024-02-20 21:00:00</t>
  </si>
  <si>
    <t xml:space="preserve"> CUST0332 </t>
  </si>
  <si>
    <t>2024-02-20 22:00:00</t>
  </si>
  <si>
    <t>3848</t>
  </si>
  <si>
    <t>2024-02-20 23:00:00</t>
  </si>
  <si>
    <t>2024-02-21 00:00:00</t>
  </si>
  <si>
    <t>4357</t>
  </si>
  <si>
    <t>2024-02-21 01:00:00</t>
  </si>
  <si>
    <t>2024-02-21 02:00:00</t>
  </si>
  <si>
    <t>2946</t>
  </si>
  <si>
    <t>2024-02-21 03:00:00</t>
  </si>
  <si>
    <t>570</t>
  </si>
  <si>
    <t>2024-02-21 04:00:00</t>
  </si>
  <si>
    <t>4135</t>
  </si>
  <si>
    <t>2024-02-21 05:00:00</t>
  </si>
  <si>
    <t>2999</t>
  </si>
  <si>
    <t>2024-02-21 06:00:00</t>
  </si>
  <si>
    <t>1546</t>
  </si>
  <si>
    <t>2024-02-21 07:00:00</t>
  </si>
  <si>
    <t xml:space="preserve"> CUST0440 </t>
  </si>
  <si>
    <t>4543</t>
  </si>
  <si>
    <t>2024-02-21 08:00:00</t>
  </si>
  <si>
    <t xml:space="preserve"> CUST0729 </t>
  </si>
  <si>
    <t>4889</t>
  </si>
  <si>
    <t>2024-02-21 09:00:00</t>
  </si>
  <si>
    <t>1012</t>
  </si>
  <si>
    <t>2024-02-21 10:00:00</t>
  </si>
  <si>
    <t>4342</t>
  </si>
  <si>
    <t>2024-02-21 11:00:00</t>
  </si>
  <si>
    <t>1811</t>
  </si>
  <si>
    <t>2024-02-21 12:00:00</t>
  </si>
  <si>
    <t>774</t>
  </si>
  <si>
    <t>2024-02-21 13:00:00</t>
  </si>
  <si>
    <t>1539</t>
  </si>
  <si>
    <t>2024-02-21 14:00:00</t>
  </si>
  <si>
    <t>2834</t>
  </si>
  <si>
    <t>2024-02-21 15:00:00</t>
  </si>
  <si>
    <t>3730</t>
  </si>
  <si>
    <t>2024-02-21 16:00:00</t>
  </si>
  <si>
    <t>785</t>
  </si>
  <si>
    <t>2024-02-21 17:00:00</t>
  </si>
  <si>
    <t xml:space="preserve"> CUST0123 </t>
  </si>
  <si>
    <t>2024-02-21 18:00:00</t>
  </si>
  <si>
    <t>4316</t>
  </si>
  <si>
    <t>2024-02-21 19:00:00</t>
  </si>
  <si>
    <t>2566</t>
  </si>
  <si>
    <t>2024-02-21 20:00:00</t>
  </si>
  <si>
    <t>2024-02-21 21:00:00</t>
  </si>
  <si>
    <t>4237</t>
  </si>
  <si>
    <t>2024-02-21 22:00:00</t>
  </si>
  <si>
    <t>3538</t>
  </si>
  <si>
    <t>2024-02-21 23:00:00</t>
  </si>
  <si>
    <t>4224</t>
  </si>
  <si>
    <t>2024-02-22 00:00:00</t>
  </si>
  <si>
    <t>2024-02-22 01:00:00</t>
  </si>
  <si>
    <t>1019</t>
  </si>
  <si>
    <t>2024-02-22 02:00:00</t>
  </si>
  <si>
    <t>2972</t>
  </si>
  <si>
    <t>2024-02-22 03:00:00</t>
  </si>
  <si>
    <t>1608</t>
  </si>
  <si>
    <t>2024-02-22 04:00:00</t>
  </si>
  <si>
    <t>1312</t>
  </si>
  <si>
    <t>2024-02-22 05:00:00</t>
  </si>
  <si>
    <t>2024-02-22 06:00:00</t>
  </si>
  <si>
    <t>4490</t>
  </si>
  <si>
    <t>2024-02-22 07:00:00</t>
  </si>
  <si>
    <t xml:space="preserve"> CUST0142 </t>
  </si>
  <si>
    <t>3354</t>
  </si>
  <si>
    <t>2024-02-22 08:00:00</t>
  </si>
  <si>
    <t>963</t>
  </si>
  <si>
    <t>2024-02-22 09:00:00</t>
  </si>
  <si>
    <t>2024-02-22 10:00:00</t>
  </si>
  <si>
    <t xml:space="preserve"> CUST0558 </t>
  </si>
  <si>
    <t>3208</t>
  </si>
  <si>
    <t>2024-02-22 11:00:00</t>
  </si>
  <si>
    <t>2024-02-22 12:00:00</t>
  </si>
  <si>
    <t>2024-02-22 13:00:00</t>
  </si>
  <si>
    <t>2782</t>
  </si>
  <si>
    <t>2024-02-22 14:00:00</t>
  </si>
  <si>
    <t>4790</t>
  </si>
  <si>
    <t>2024-02-22 15:00:00</t>
  </si>
  <si>
    <t xml:space="preserve"> CUST0681 </t>
  </si>
  <si>
    <t>2024-02-22 16:00:00</t>
  </si>
  <si>
    <t>1972</t>
  </si>
  <si>
    <t>2024-02-22 17:00:00</t>
  </si>
  <si>
    <t>2024-02-22 18:00:00</t>
  </si>
  <si>
    <t>4660</t>
  </si>
  <si>
    <t>2024-02-22 19:00:00</t>
  </si>
  <si>
    <t>3473</t>
  </si>
  <si>
    <t>2024-02-22 20:00:00</t>
  </si>
  <si>
    <t xml:space="preserve"> CUST0773 </t>
  </si>
  <si>
    <t>3291</t>
  </si>
  <si>
    <t>2024-02-22 21:00:00</t>
  </si>
  <si>
    <t>2024-02-22 22:00:00</t>
  </si>
  <si>
    <t>4233</t>
  </si>
  <si>
    <t>2024-02-22 23:00:00</t>
  </si>
  <si>
    <t xml:space="preserve"> CUST0372 </t>
  </si>
  <si>
    <t>344</t>
  </si>
  <si>
    <t>2024-02-23 00:00:00</t>
  </si>
  <si>
    <t>2024-02-23 01:00:00</t>
  </si>
  <si>
    <t>493</t>
  </si>
  <si>
    <t>2024-02-23 02:00:00</t>
  </si>
  <si>
    <t>3914</t>
  </si>
  <si>
    <t>2024-02-23 03:00:00</t>
  </si>
  <si>
    <t>2155</t>
  </si>
  <si>
    <t>2024-02-23 04:00:00</t>
  </si>
  <si>
    <t>3615</t>
  </si>
  <si>
    <t>2024-02-23 05:00:00</t>
  </si>
  <si>
    <t>2475</t>
  </si>
  <si>
    <t>2024-02-23 06:00:00</t>
  </si>
  <si>
    <t>2010</t>
  </si>
  <si>
    <t>2024-02-23 07:00:00</t>
  </si>
  <si>
    <t>389</t>
  </si>
  <si>
    <t>2024-02-23 08:00:00</t>
  </si>
  <si>
    <t xml:space="preserve"> CUST0476 </t>
  </si>
  <si>
    <t>2024-02-23 09:00:00</t>
  </si>
  <si>
    <t>460</t>
  </si>
  <si>
    <t>2024-02-23 10:00:00</t>
  </si>
  <si>
    <t>2024-02-23 11:00:00</t>
  </si>
  <si>
    <t>4414</t>
  </si>
  <si>
    <t>2024-02-23 12:00:00</t>
  </si>
  <si>
    <t>4194</t>
  </si>
  <si>
    <t>2024-02-23 13:00:00</t>
  </si>
  <si>
    <t>2553</t>
  </si>
  <si>
    <t>2024-02-23 14:00:00</t>
  </si>
  <si>
    <t xml:space="preserve"> CUST0724 </t>
  </si>
  <si>
    <t>2115</t>
  </si>
  <si>
    <t>2024-02-23 15:00:00</t>
  </si>
  <si>
    <t>2140</t>
  </si>
  <si>
    <t>2024-02-23 16:00:00</t>
  </si>
  <si>
    <t>2144</t>
  </si>
  <si>
    <t>2024-02-23 17:00:00</t>
  </si>
  <si>
    <t>2900</t>
  </si>
  <si>
    <t>2024-02-23 18:00:00</t>
  </si>
  <si>
    <t>3070</t>
  </si>
  <si>
    <t>2024-02-23 19:00:00</t>
  </si>
  <si>
    <t xml:space="preserve"> CUST0326 </t>
  </si>
  <si>
    <t>931</t>
  </si>
  <si>
    <t>2024-02-23 20:00:00</t>
  </si>
  <si>
    <t>1893</t>
  </si>
  <si>
    <t>2024-02-23 21:00:00</t>
  </si>
  <si>
    <t>3792</t>
  </si>
  <si>
    <t>2024-02-23 22:00:00</t>
  </si>
  <si>
    <t>1891</t>
  </si>
  <si>
    <t>2024-02-23 23:00:00</t>
  </si>
  <si>
    <t>2941</t>
  </si>
  <si>
    <t>2024-02-24 00:00:00</t>
  </si>
  <si>
    <t>2024-02-24 01:00:00</t>
  </si>
  <si>
    <t>2254</t>
  </si>
  <si>
    <t>2024-02-24 02:00:00</t>
  </si>
  <si>
    <t>680</t>
  </si>
  <si>
    <t>2024-02-24 03:00:00</t>
  </si>
  <si>
    <t>2024-02-24 04:00:00</t>
  </si>
  <si>
    <t>2336</t>
  </si>
  <si>
    <t>2024-02-24 05:00:00</t>
  </si>
  <si>
    <t xml:space="preserve"> CUST0641 </t>
  </si>
  <si>
    <t>4276</t>
  </si>
  <si>
    <t>2024-02-24 06:00:00</t>
  </si>
  <si>
    <t>2255</t>
  </si>
  <si>
    <t>2024-02-24 07:00:00</t>
  </si>
  <si>
    <t>1444</t>
  </si>
  <si>
    <t>2024-02-24 08:00:00</t>
  </si>
  <si>
    <t>445</t>
  </si>
  <si>
    <t>2024-02-24 09:00:00</t>
  </si>
  <si>
    <t xml:space="preserve"> CUST0566 </t>
  </si>
  <si>
    <t>2024-02-24 10:00:00</t>
  </si>
  <si>
    <t xml:space="preserve"> CUST0344 </t>
  </si>
  <si>
    <t>654</t>
  </si>
  <si>
    <t>2024-02-24 11:00:00</t>
  </si>
  <si>
    <t>2024-02-24 12:00:00</t>
  </si>
  <si>
    <t>4497</t>
  </si>
  <si>
    <t>2024-02-24 13:00:00</t>
  </si>
  <si>
    <t>299</t>
  </si>
  <si>
    <t>2024-02-24 14:00:00</t>
  </si>
  <si>
    <t>2024-02-24 15:00:00</t>
  </si>
  <si>
    <t>3590</t>
  </si>
  <si>
    <t>2024-02-24 16:00:00</t>
  </si>
  <si>
    <t>2024-02-24 17:00:00</t>
  </si>
  <si>
    <t>3175</t>
  </si>
  <si>
    <t>2024-02-24 18:00:00</t>
  </si>
  <si>
    <t>2024-02-24 19:00:00</t>
  </si>
  <si>
    <t>2792</t>
  </si>
  <si>
    <t>2024-02-24 20:00:00</t>
  </si>
  <si>
    <t>1864</t>
  </si>
  <si>
    <t>2024-02-24 21:00:00</t>
  </si>
  <si>
    <t>2024-02-24 22:00:00</t>
  </si>
  <si>
    <t xml:space="preserve"> CUST0706 </t>
  </si>
  <si>
    <t>3461</t>
  </si>
  <si>
    <t>2024-02-24 23:00:00</t>
  </si>
  <si>
    <t>1501</t>
  </si>
  <si>
    <t>2024-02-25 00:00:00</t>
  </si>
  <si>
    <t>4833</t>
  </si>
  <si>
    <t>2024-02-25 01:00:00</t>
  </si>
  <si>
    <t>1875</t>
  </si>
  <si>
    <t>2024-02-25 02:00:00</t>
  </si>
  <si>
    <t>3481</t>
  </si>
  <si>
    <t>2024-02-25 03:00:00</t>
  </si>
  <si>
    <t xml:space="preserve"> CUST0673 </t>
  </si>
  <si>
    <t>2024-02-25 04:00:00</t>
  </si>
  <si>
    <t xml:space="preserve"> CUST0131 </t>
  </si>
  <si>
    <t>2024-02-25 05:00:00</t>
  </si>
  <si>
    <t>1980</t>
  </si>
  <si>
    <t>2024-02-25 06:00:00</t>
  </si>
  <si>
    <t>3935</t>
  </si>
  <si>
    <t>2024-02-25 07:00:00</t>
  </si>
  <si>
    <t>4378</t>
  </si>
  <si>
    <t>2024-02-25 08:00:00</t>
  </si>
  <si>
    <t xml:space="preserve"> CUST0475 </t>
  </si>
  <si>
    <t>2024-02-25 09:00:00</t>
  </si>
  <si>
    <t>2024-02-25 10:00:00</t>
  </si>
  <si>
    <t>171</t>
  </si>
  <si>
    <t>2024-02-25 11:00:00</t>
  </si>
  <si>
    <t>1776</t>
  </si>
  <si>
    <t>2024-02-25 12:00:00</t>
  </si>
  <si>
    <t xml:space="preserve"> CUST0621 </t>
  </si>
  <si>
    <t>2024-02-25 13:00:00</t>
  </si>
  <si>
    <t>1143</t>
  </si>
  <si>
    <t>2024-02-25 14:00:00</t>
  </si>
  <si>
    <t>2725</t>
  </si>
  <si>
    <t>2024-02-25 15:00:00</t>
  </si>
  <si>
    <t>3142</t>
  </si>
  <si>
    <t>2024-02-25 16:00:00</t>
  </si>
  <si>
    <t>914</t>
  </si>
  <si>
    <t>2024-02-25 17:00:00</t>
  </si>
  <si>
    <t xml:space="preserve"> CUST0243 </t>
  </si>
  <si>
    <t>2294</t>
  </si>
  <si>
    <t>2024-02-25 18:00:00</t>
  </si>
  <si>
    <t>3600</t>
  </si>
  <si>
    <t>2024-02-25 19:00:00</t>
  </si>
  <si>
    <t xml:space="preserve"> CUST0102 </t>
  </si>
  <si>
    <t>2024-02-25 20:00:00</t>
  </si>
  <si>
    <t>2161</t>
  </si>
  <si>
    <t>2024-02-25 21:00:00</t>
  </si>
  <si>
    <t>4327</t>
  </si>
  <si>
    <t>2024-02-25 22:00:00</t>
  </si>
  <si>
    <t>1977</t>
  </si>
  <si>
    <t>2024-02-25 23:00:00</t>
  </si>
  <si>
    <t>2902</t>
  </si>
  <si>
    <t>2024-02-26 00:00:00</t>
  </si>
  <si>
    <t>2586</t>
  </si>
  <si>
    <t>2024-02-26 01:00:00</t>
  </si>
  <si>
    <t>2024-02-26 02:00:00</t>
  </si>
  <si>
    <t>3845</t>
  </si>
  <si>
    <t>2024-02-26 03:00:00</t>
  </si>
  <si>
    <t xml:space="preserve"> CUST0052 </t>
  </si>
  <si>
    <t>894</t>
  </si>
  <si>
    <t>2024-02-26 04:00:00</t>
  </si>
  <si>
    <t>4114</t>
  </si>
  <si>
    <t>2024-02-26 05:00:00</t>
  </si>
  <si>
    <t>4453</t>
  </si>
  <si>
    <t>2024-02-26 06:00:00</t>
  </si>
  <si>
    <t>3507</t>
  </si>
  <si>
    <t>2024-02-26 07:00:00</t>
  </si>
  <si>
    <t xml:space="preserve"> CUST0200 </t>
  </si>
  <si>
    <t>2556</t>
  </si>
  <si>
    <t>2024-02-26 08:00:00</t>
  </si>
  <si>
    <t>2024-02-26 09:00:00</t>
  </si>
  <si>
    <t xml:space="preserve"> CUST0627 </t>
  </si>
  <si>
    <t>2024-02-26 10:00:00</t>
  </si>
  <si>
    <t>1147</t>
  </si>
  <si>
    <t>2024-02-26 11:00:00</t>
  </si>
  <si>
    <t>4466</t>
  </si>
  <si>
    <t>2024-02-26 12:00:00</t>
  </si>
  <si>
    <t>2024-02-26 13:00:00</t>
  </si>
  <si>
    <t>3889</t>
  </si>
  <si>
    <t>2024-02-26 14:00:00</t>
  </si>
  <si>
    <t xml:space="preserve"> CUST0020 </t>
  </si>
  <si>
    <t>3121</t>
  </si>
  <si>
    <t>2024-02-26 15:00:00</t>
  </si>
  <si>
    <t>4469</t>
  </si>
  <si>
    <t>2024-02-26 16:00:00</t>
  </si>
  <si>
    <t>2024-02-26 17:00:00</t>
  </si>
  <si>
    <t>2024-02-26 18:00:00</t>
  </si>
  <si>
    <t>387</t>
  </si>
  <si>
    <t>2024-02-26 19:00:00</t>
  </si>
  <si>
    <t>3295</t>
  </si>
  <si>
    <t>2024-02-26 20:00:00</t>
  </si>
  <si>
    <t>975</t>
  </si>
  <si>
    <t>2024-02-26 21:00:00</t>
  </si>
  <si>
    <t>2092</t>
  </si>
  <si>
    <t>2024-02-26 22:00:00</t>
  </si>
  <si>
    <t>3025</t>
  </si>
  <si>
    <t>2024-02-26 23:00:00</t>
  </si>
  <si>
    <t>1220</t>
  </si>
  <si>
    <t>2024-02-27 00:00:00</t>
  </si>
  <si>
    <t xml:space="preserve"> CUST0666 </t>
  </si>
  <si>
    <t>2024-02-27 01:00:00</t>
  </si>
  <si>
    <t>2932</t>
  </si>
  <si>
    <t>2024-02-27 02:00:00</t>
  </si>
  <si>
    <t xml:space="preserve"> CUST0411 </t>
  </si>
  <si>
    <t>3668</t>
  </si>
  <si>
    <t>2024-02-27 03:00:00</t>
  </si>
  <si>
    <t>2996</t>
  </si>
  <si>
    <t>2024-02-27 04:00:00</t>
  </si>
  <si>
    <t>2024-02-27 05:00:00</t>
  </si>
  <si>
    <t>2263</t>
  </si>
  <si>
    <t>2024-02-27 06:00:00</t>
  </si>
  <si>
    <t xml:space="preserve"> CUST0275 </t>
  </si>
  <si>
    <t>2682</t>
  </si>
  <si>
    <t>2024-02-27 07:00:00</t>
  </si>
  <si>
    <t>2024-02-27 08:00:00</t>
  </si>
  <si>
    <t>4080</t>
  </si>
  <si>
    <t>2024-02-27 09:00:00</t>
  </si>
  <si>
    <t>4602</t>
  </si>
  <si>
    <t>2024-02-27 10:00:00</t>
  </si>
  <si>
    <t>3484</t>
  </si>
  <si>
    <t>2024-02-27 11:00:00</t>
  </si>
  <si>
    <t xml:space="preserve"> CUST0577 </t>
  </si>
  <si>
    <t>1825</t>
  </si>
  <si>
    <t>2024-02-27 12:00:00</t>
  </si>
  <si>
    <t>793</t>
  </si>
  <si>
    <t>2024-02-27 13:00:00</t>
  </si>
  <si>
    <t>3513</t>
  </si>
  <si>
    <t>2024-02-27 14:00:00</t>
  </si>
  <si>
    <t>2024-02-27 15:00:00</t>
  </si>
  <si>
    <t>2024-02-27 16:00:00</t>
  </si>
  <si>
    <t>122</t>
  </si>
  <si>
    <t>2024-02-27 17:00:00</t>
  </si>
  <si>
    <t>1228</t>
  </si>
  <si>
    <t>2024-02-27 18:00:00</t>
  </si>
  <si>
    <t>657</t>
  </si>
  <si>
    <t>2024-02-27 19:00:00</t>
  </si>
  <si>
    <t xml:space="preserve"> CUST0359 </t>
  </si>
  <si>
    <t>1716</t>
  </si>
  <si>
    <t>2024-02-27 20:00:00</t>
  </si>
  <si>
    <t>3830</t>
  </si>
  <si>
    <t>2024-02-27 21:00:00</t>
  </si>
  <si>
    <t xml:space="preserve"> CUST0324 </t>
  </si>
  <si>
    <t>2024-02-27 22:00:00</t>
  </si>
  <si>
    <t>2024-02-27 23:00:00</t>
  </si>
  <si>
    <t>2024-02-28 00:00:00</t>
  </si>
  <si>
    <t>3412</t>
  </si>
  <si>
    <t>2024-02-28 01:00:00</t>
  </si>
  <si>
    <t xml:space="preserve"> CUST0629 </t>
  </si>
  <si>
    <t>4963</t>
  </si>
  <si>
    <t>2024-02-28 02:00:00</t>
  </si>
  <si>
    <t>553</t>
  </si>
  <si>
    <t>2024-02-28 03:00:00</t>
  </si>
  <si>
    <t xml:space="preserve"> CUST0046 </t>
  </si>
  <si>
    <t>3075</t>
  </si>
  <si>
    <t>2024-02-28 04:00:00</t>
  </si>
  <si>
    <t xml:space="preserve"> CUST0600 </t>
  </si>
  <si>
    <t>2424</t>
  </si>
  <si>
    <t>2024-02-28 05:00:00</t>
  </si>
  <si>
    <t>1547</t>
  </si>
  <si>
    <t>2024-02-28 06:00:00</t>
  </si>
  <si>
    <t>2661</t>
  </si>
  <si>
    <t>2024-02-28 07:00:00</t>
  </si>
  <si>
    <t>2024-02-28 08:00:00</t>
  </si>
  <si>
    <t>2971</t>
  </si>
  <si>
    <t>2024-02-28 09:00:00</t>
  </si>
  <si>
    <t>462</t>
  </si>
  <si>
    <t>2024-02-28 10:00:00</t>
  </si>
  <si>
    <t>3554</t>
  </si>
  <si>
    <t>2024-02-28 11:00:00</t>
  </si>
  <si>
    <t>2898</t>
  </si>
  <si>
    <t>2024-02-28 12:00:00</t>
  </si>
  <si>
    <t>2024-02-28 13:00:00</t>
  </si>
  <si>
    <t>3553</t>
  </si>
  <si>
    <t>2024-02-28 14:00:00</t>
  </si>
  <si>
    <t>3355</t>
  </si>
  <si>
    <t>2024-02-28 15:00:00</t>
  </si>
  <si>
    <t>2024-02-28 16:00:00</t>
  </si>
  <si>
    <t xml:space="preserve"> CUST0305 </t>
  </si>
  <si>
    <t>1585</t>
  </si>
  <si>
    <t>2024-02-28 17:00:00</t>
  </si>
  <si>
    <t xml:space="preserve"> CUST0007 </t>
  </si>
  <si>
    <t>2203</t>
  </si>
  <si>
    <t>2024-02-28 18:00:00</t>
  </si>
  <si>
    <t>2636</t>
  </si>
  <si>
    <t>2024-02-28 19:00:00</t>
  </si>
  <si>
    <t>1955</t>
  </si>
  <si>
    <t>2024-02-28 20:00:00</t>
  </si>
  <si>
    <t>4917</t>
  </si>
  <si>
    <t>2024-02-28 21:00:00</t>
  </si>
  <si>
    <t>1307</t>
  </si>
  <si>
    <t>2024-02-28 22:00:00</t>
  </si>
  <si>
    <t>1548</t>
  </si>
  <si>
    <t>2024-02-28 23:00:00</t>
  </si>
  <si>
    <t>1607</t>
  </si>
  <si>
    <t>2024-02-29 00:00:00</t>
  </si>
  <si>
    <t>1103</t>
  </si>
  <si>
    <t>2024-02-29 01:00:00</t>
  </si>
  <si>
    <t>1025</t>
  </si>
  <si>
    <t>2024-02-29 02:00:00</t>
  </si>
  <si>
    <t>183</t>
  </si>
  <si>
    <t>2024-02-29 03:00:00</t>
  </si>
  <si>
    <t>3842</t>
  </si>
  <si>
    <t>2024-02-29 04:00:00</t>
  </si>
  <si>
    <t>4027</t>
  </si>
  <si>
    <t>2024-02-29 05:00:00</t>
  </si>
  <si>
    <t>2024-02-29 06:00:00</t>
  </si>
  <si>
    <t>1085</t>
  </si>
  <si>
    <t>2024-02-29 07:00:00</t>
  </si>
  <si>
    <t>2024-02-29 08:00:00</t>
  </si>
  <si>
    <t>2024-02-29 09:00:00</t>
  </si>
  <si>
    <t>3008</t>
  </si>
  <si>
    <t>2024-02-29 10:00:00</t>
  </si>
  <si>
    <t>2024-02-29 11:00:00</t>
  </si>
  <si>
    <t>2837</t>
  </si>
  <si>
    <t>2024-02-29 12:00:00</t>
  </si>
  <si>
    <t>2686</t>
  </si>
  <si>
    <t>2024-02-29 13:00:00</t>
  </si>
  <si>
    <t>1243</t>
  </si>
  <si>
    <t>2024-02-29 14:00:00</t>
  </si>
  <si>
    <t xml:space="preserve"> CUST0547 </t>
  </si>
  <si>
    <t>2024-02-29 15:00:00</t>
  </si>
  <si>
    <t>2024-02-29 16:00:00</t>
  </si>
  <si>
    <t>2024-02-29 17:00:00</t>
  </si>
  <si>
    <t>2024-02-29 18:00:00</t>
  </si>
  <si>
    <t>1906</t>
  </si>
  <si>
    <t>2024-02-29 19:00:00</t>
  </si>
  <si>
    <t>2200</t>
  </si>
  <si>
    <t>2024-02-29 20:00:00</t>
  </si>
  <si>
    <t>905</t>
  </si>
  <si>
    <t>2024-02-29 21:00:00</t>
  </si>
  <si>
    <t>4247</t>
  </si>
  <si>
    <t>2024-02-29 22:00:00</t>
  </si>
  <si>
    <t>2875</t>
  </si>
  <si>
    <t>2024-02-29 23:00:00</t>
  </si>
  <si>
    <t>2024-03-01 00:00:00</t>
  </si>
  <si>
    <t xml:space="preserve"> CUST0079 </t>
  </si>
  <si>
    <t>127</t>
  </si>
  <si>
    <t>2024-03-01 01:00:00</t>
  </si>
  <si>
    <t>568</t>
  </si>
  <si>
    <t>2024-03-01 02:00:00</t>
  </si>
  <si>
    <t>4083</t>
  </si>
  <si>
    <t>2024-03-01 03:00:00</t>
  </si>
  <si>
    <t>2024-03-01 04:00:00</t>
  </si>
  <si>
    <t>1524</t>
  </si>
  <si>
    <t>2024-03-01 05:00:00</t>
  </si>
  <si>
    <t xml:space="preserve"> CUST0507 </t>
  </si>
  <si>
    <t>2348</t>
  </si>
  <si>
    <t>2024-03-01 06:00:00</t>
  </si>
  <si>
    <t>3932</t>
  </si>
  <si>
    <t>2024-03-01 07:00:00</t>
  </si>
  <si>
    <t>4160</t>
  </si>
  <si>
    <t>2024-03-01 08:00:00</t>
  </si>
  <si>
    <t>2024-03-01 09:00:00</t>
  </si>
  <si>
    <t>2024-03-01 10:00:00</t>
  </si>
  <si>
    <t>659</t>
  </si>
  <si>
    <t>2024-03-01 11:00:00</t>
  </si>
  <si>
    <t>4574</t>
  </si>
  <si>
    <t>2024-03-01 12:00:00</t>
  </si>
  <si>
    <t>3931</t>
  </si>
  <si>
    <t>2024-03-01 13:00:00</t>
  </si>
  <si>
    <t xml:space="preserve"> CUST0320 </t>
  </si>
  <si>
    <t>2018</t>
  </si>
  <si>
    <t>2024-03-01 14:00:00</t>
  </si>
  <si>
    <t>178</t>
  </si>
  <si>
    <t>2024-03-01 15:00:00</t>
  </si>
  <si>
    <t>3747</t>
  </si>
  <si>
    <t>2024-03-01 16:00:00</t>
  </si>
  <si>
    <t>1131</t>
  </si>
  <si>
    <t>2024-03-01 17:00:00</t>
  </si>
  <si>
    <t>2172</t>
  </si>
  <si>
    <t>2024-03-01 18:00:00</t>
  </si>
  <si>
    <t>4645</t>
  </si>
  <si>
    <t>2024-03-01 19:00:00</t>
  </si>
  <si>
    <t>1584</t>
  </si>
  <si>
    <t>2024-03-01 20:00:00</t>
  </si>
  <si>
    <t xml:space="preserve"> CUST0169 </t>
  </si>
  <si>
    <t>2345</t>
  </si>
  <si>
    <t>2024-03-01 21:00:00</t>
  </si>
  <si>
    <t xml:space="preserve"> CUST0330 </t>
  </si>
  <si>
    <t>1650</t>
  </si>
  <si>
    <t>2024-03-01 22:00:00</t>
  </si>
  <si>
    <t>4885</t>
  </si>
  <si>
    <t>2024-03-01 23:00:00</t>
  </si>
  <si>
    <t>2024-03-02 00:00:00</t>
  </si>
  <si>
    <t xml:space="preserve"> CUST0391 </t>
  </si>
  <si>
    <t>1929</t>
  </si>
  <si>
    <t>2024-03-02 01:00:00</t>
  </si>
  <si>
    <t>3851</t>
  </si>
  <si>
    <t>2024-03-02 02:00:00</t>
  </si>
  <si>
    <t>2024-03-02 03:00:00</t>
  </si>
  <si>
    <t>2131</t>
  </si>
  <si>
    <t>2024-03-02 04:00:00</t>
  </si>
  <si>
    <t>4559</t>
  </si>
  <si>
    <t>2024-03-02 05:00:00</t>
  </si>
  <si>
    <t>3956</t>
  </si>
  <si>
    <t>2024-03-02 06:00:00</t>
  </si>
  <si>
    <t xml:space="preserve"> CUST0513 </t>
  </si>
  <si>
    <t>2282</t>
  </si>
  <si>
    <t>2024-03-02 07:00:00</t>
  </si>
  <si>
    <t xml:space="preserve"> CUST0748 </t>
  </si>
  <si>
    <t>4569</t>
  </si>
  <si>
    <t>2024-03-02 08:00:00</t>
  </si>
  <si>
    <t>2194</t>
  </si>
  <si>
    <t>2024-03-02 09:00:00</t>
  </si>
  <si>
    <t>4003</t>
  </si>
  <si>
    <t>2024-03-02 10:00:00</t>
  </si>
  <si>
    <t xml:space="preserve"> CUST0644 </t>
  </si>
  <si>
    <t>3132</t>
  </si>
  <si>
    <t>2024-03-02 11:00:00</t>
  </si>
  <si>
    <t>1648</t>
  </si>
  <si>
    <t>2024-03-02 12:00:00</t>
  </si>
  <si>
    <t xml:space="preserve"> CUST0502 </t>
  </si>
  <si>
    <t>2024-03-02 13:00:00</t>
  </si>
  <si>
    <t>164</t>
  </si>
  <si>
    <t>2024-03-02 14:00:00</t>
  </si>
  <si>
    <t>3399</t>
  </si>
  <si>
    <t>2024-03-02 15:00:00</t>
  </si>
  <si>
    <t>4949</t>
  </si>
  <si>
    <t>2024-03-02 16:00:00</t>
  </si>
  <si>
    <t>2135</t>
  </si>
  <si>
    <t>2024-03-02 17:00:00</t>
  </si>
  <si>
    <t>2963</t>
  </si>
  <si>
    <t>2024-03-02 18:00:00</t>
  </si>
  <si>
    <t>1976</t>
  </si>
  <si>
    <t>2024-03-02 19:00:00</t>
  </si>
  <si>
    <t>4951</t>
  </si>
  <si>
    <t>2024-03-02 20:00:00</t>
  </si>
  <si>
    <t>2024-03-02 21:00:00</t>
  </si>
  <si>
    <t>696</t>
  </si>
  <si>
    <t>2024-03-02 22:00:00</t>
  </si>
  <si>
    <t>3706</t>
  </si>
  <si>
    <t>2024-03-02 23:00:00</t>
  </si>
  <si>
    <t>2774</t>
  </si>
  <si>
    <t>2024-03-03 00:00:00</t>
  </si>
  <si>
    <t xml:space="preserve"> CUST0292 </t>
  </si>
  <si>
    <t>3989</t>
  </si>
  <si>
    <t>2024-03-03 01:00:00</t>
  </si>
  <si>
    <t xml:space="preserve"> CUST0756 </t>
  </si>
  <si>
    <t>2024-03-03 02:00:00</t>
  </si>
  <si>
    <t xml:space="preserve"> CUST0635 </t>
  </si>
  <si>
    <t>1934</t>
  </si>
  <si>
    <t>2024-03-03 03:00:00</t>
  </si>
  <si>
    <t>1495</t>
  </si>
  <si>
    <t>2024-03-03 04:00:00</t>
  </si>
  <si>
    <t>1686</t>
  </si>
  <si>
    <t>2024-03-03 05:00:00</t>
  </si>
  <si>
    <t xml:space="preserve"> CUST0377 </t>
  </si>
  <si>
    <t>2024-03-03 06:00:00</t>
  </si>
  <si>
    <t>552</t>
  </si>
  <si>
    <t>2024-03-03 07:00:00</t>
  </si>
  <si>
    <t>2903</t>
  </si>
  <si>
    <t>2024-03-03 08:00:00</t>
  </si>
  <si>
    <t>2024-03-03 09:00:00</t>
  </si>
  <si>
    <t xml:space="preserve"> CUST0413 </t>
  </si>
  <si>
    <t>2286</t>
  </si>
  <si>
    <t>2024-03-03 10:00:00</t>
  </si>
  <si>
    <t>2024-03-03 11:00:00</t>
  </si>
  <si>
    <t>2024-03-03 12:00:00</t>
  </si>
  <si>
    <t>1559</t>
  </si>
  <si>
    <t>2024-03-03 13:00:00</t>
  </si>
  <si>
    <t>2024-03-03 14:00:00</t>
  </si>
  <si>
    <t>3593</t>
  </si>
  <si>
    <t>2024-03-03 15:00:00</t>
  </si>
  <si>
    <t>2024-03-03 16:00:00</t>
  </si>
  <si>
    <t>2024-03-03 17:00:00</t>
  </si>
  <si>
    <t>1594</t>
  </si>
  <si>
    <t>2024-03-03 18:00:00</t>
  </si>
  <si>
    <t>1280</t>
  </si>
  <si>
    <t>2024-03-03 19:00:00</t>
  </si>
  <si>
    <t>2888</t>
  </si>
  <si>
    <t>2024-03-03 20:00:00</t>
  </si>
  <si>
    <t>1975</t>
  </si>
  <si>
    <t>2024-03-03 21:00:00</t>
  </si>
  <si>
    <t>2024-03-03 22:00:00</t>
  </si>
  <si>
    <t xml:space="preserve"> CUST0489 </t>
  </si>
  <si>
    <t>4736</t>
  </si>
  <si>
    <t>2024-03-03 23:00:00</t>
  </si>
  <si>
    <t>2024-03-04 00:00:00</t>
  </si>
  <si>
    <t xml:space="preserve"> CUST0542 </t>
  </si>
  <si>
    <t>205</t>
  </si>
  <si>
    <t>2024-03-04 01:00:00</t>
  </si>
  <si>
    <t>1254</t>
  </si>
  <si>
    <t>2024-03-04 02:00:00</t>
  </si>
  <si>
    <t>3528</t>
  </si>
  <si>
    <t>2024-03-04 03:00:00</t>
  </si>
  <si>
    <t>4187</t>
  </si>
  <si>
    <t>2024-03-04 04:00:00</t>
  </si>
  <si>
    <t xml:space="preserve"> CUST0066 </t>
  </si>
  <si>
    <t>1808</t>
  </si>
  <si>
    <t>2024-03-04 05:00:00</t>
  </si>
  <si>
    <t>2024-03-04 06:00:00</t>
  </si>
  <si>
    <t>2024-03-04 07:00:00</t>
  </si>
  <si>
    <t>2008</t>
  </si>
  <si>
    <t>2024-03-04 08:00:00</t>
  </si>
  <si>
    <t>2024-03-04 09:00:00</t>
  </si>
  <si>
    <t>4564</t>
  </si>
  <si>
    <t>2024-03-04 10:00:00</t>
  </si>
  <si>
    <t>1374</t>
  </si>
  <si>
    <t>2024-03-04 11:00:00</t>
  </si>
  <si>
    <t>1045</t>
  </si>
  <si>
    <t>2024-03-04 12:00:00</t>
  </si>
  <si>
    <t>4004</t>
  </si>
  <si>
    <t>2024-03-04 13:00:00</t>
  </si>
  <si>
    <t>2327</t>
  </si>
  <si>
    <t>2024-03-04 14:00:00</t>
  </si>
  <si>
    <t xml:space="preserve"> CUST0257 </t>
  </si>
  <si>
    <t>3896</t>
  </si>
  <si>
    <t>2024-03-04 15:00:00</t>
  </si>
  <si>
    <t>392</t>
  </si>
  <si>
    <t>2024-03-04 16:00:00</t>
  </si>
  <si>
    <t>4779</t>
  </si>
  <si>
    <t>2024-03-04 17:00:00</t>
  </si>
  <si>
    <t>2322</t>
  </si>
  <si>
    <t>2024-03-04 18:00:00</t>
  </si>
  <si>
    <t>2024-03-04 19:00:00</t>
  </si>
  <si>
    <t>2591</t>
  </si>
  <si>
    <t>2024-03-04 20:00:00</t>
  </si>
  <si>
    <t>2575</t>
  </si>
  <si>
    <t>2024-03-04 21:00:00</t>
  </si>
  <si>
    <t>4960</t>
  </si>
  <si>
    <t>2024-03-04 22:00:00</t>
  </si>
  <si>
    <t>3829</t>
  </si>
  <si>
    <t>2024-03-04 23:00:00</t>
  </si>
  <si>
    <t>2024-03-05 00:00:00</t>
  </si>
  <si>
    <t xml:space="preserve"> CUST0664 </t>
  </si>
  <si>
    <t>3072</t>
  </si>
  <si>
    <t>2024-03-05 01:00:00</t>
  </si>
  <si>
    <t>2024-03-05 02:00:00</t>
  </si>
  <si>
    <t>3719</t>
  </si>
  <si>
    <t>2024-03-05 03:00:00</t>
  </si>
  <si>
    <t>4854</t>
  </si>
  <si>
    <t>2024-03-05 04:00:00</t>
  </si>
  <si>
    <t>3433</t>
  </si>
  <si>
    <t>2024-03-05 05:00:00</t>
  </si>
  <si>
    <t>4092</t>
  </si>
  <si>
    <t>2024-03-05 06:00:00</t>
  </si>
  <si>
    <t xml:space="preserve"> CUST0357 </t>
  </si>
  <si>
    <t>1325</t>
  </si>
  <si>
    <t>2024-03-05 07:00:00</t>
  </si>
  <si>
    <t>2024-03-05 08:00:00</t>
  </si>
  <si>
    <t>4350</t>
  </si>
  <si>
    <t>2024-03-05 09:00:00</t>
  </si>
  <si>
    <t xml:space="preserve"> CUST0033 </t>
  </si>
  <si>
    <t>3468</t>
  </si>
  <si>
    <t>2024-03-05 10:00:00</t>
  </si>
  <si>
    <t>995</t>
  </si>
  <si>
    <t>2024-03-05 11:00:00</t>
  </si>
  <si>
    <t>2024-03-05 12:00:00</t>
  </si>
  <si>
    <t>2024-03-05 13:00:00</t>
  </si>
  <si>
    <t>3963</t>
  </si>
  <si>
    <t>2024-03-05 14:00:00</t>
  </si>
  <si>
    <t>2024-03-05 15:00:00</t>
  </si>
  <si>
    <t>2024-03-05 16:00:00</t>
  </si>
  <si>
    <t>3999</t>
  </si>
  <si>
    <t>2024-03-05 17:00:00</t>
  </si>
  <si>
    <t>3692</t>
  </si>
  <si>
    <t>2024-03-05 18:00:00</t>
  </si>
  <si>
    <t>2024-03-05 19:00:00</t>
  </si>
  <si>
    <t>2906</t>
  </si>
  <si>
    <t>2024-03-05 20:00:00</t>
  </si>
  <si>
    <t>2024-03-05 21:00:00</t>
  </si>
  <si>
    <t>2024-03-05 22:00:00</t>
  </si>
  <si>
    <t xml:space="preserve"> CUST0117 </t>
  </si>
  <si>
    <t>858</t>
  </si>
  <si>
    <t>2024-03-05 23:00:00</t>
  </si>
  <si>
    <t>2024-03-06 00:00:00</t>
  </si>
  <si>
    <t xml:space="preserve"> CUST0770 </t>
  </si>
  <si>
    <t>2024-03-06 01:00:00</t>
  </si>
  <si>
    <t>2986</t>
  </si>
  <si>
    <t>2024-03-06 02:00:00</t>
  </si>
  <si>
    <t>2024-03-06 03:00:00</t>
  </si>
  <si>
    <t xml:space="preserve"> CUST0172 </t>
  </si>
  <si>
    <t>1168</t>
  </si>
  <si>
    <t>2024-03-06 04:00:00</t>
  </si>
  <si>
    <t xml:space="preserve"> CUST0274 </t>
  </si>
  <si>
    <t>2024-03-06 05:00:00</t>
  </si>
  <si>
    <t xml:space="preserve"> CUST0259 </t>
  </si>
  <si>
    <t>2024-03-06 06:00:00</t>
  </si>
  <si>
    <t>4808</t>
  </si>
  <si>
    <t>2024-03-06 07:00:00</t>
  </si>
  <si>
    <t>204</t>
  </si>
  <si>
    <t>2024-03-06 08:00:00</t>
  </si>
  <si>
    <t>2024-03-06 09:00:00</t>
  </si>
  <si>
    <t>3933</t>
  </si>
  <si>
    <t>2024-03-06 10:00:00</t>
  </si>
  <si>
    <t>495</t>
  </si>
  <si>
    <t>2024-03-06 11:00:00</t>
  </si>
  <si>
    <t>2024-03-06 12:00:00</t>
  </si>
  <si>
    <t>2024-03-06 13:00:00</t>
  </si>
  <si>
    <t>2024-03-06 14:00:00</t>
  </si>
  <si>
    <t>2024-03-06 15:00:00</t>
  </si>
  <si>
    <t>2024-03-06 16:00:00</t>
  </si>
  <si>
    <t>2088</t>
  </si>
  <si>
    <t>2024-03-06 17:00:00</t>
  </si>
  <si>
    <t>4637</t>
  </si>
  <si>
    <t>2024-03-06 18:00:00</t>
  </si>
  <si>
    <t>1768</t>
  </si>
  <si>
    <t>2024-03-06 19:00:00</t>
  </si>
  <si>
    <t xml:space="preserve"> CUST0196 </t>
  </si>
  <si>
    <t>4862</t>
  </si>
  <si>
    <t>2024-03-06 20:00:00</t>
  </si>
  <si>
    <t>1151</t>
  </si>
  <si>
    <t>2024-03-06 21:00:00</t>
  </si>
  <si>
    <t xml:space="preserve"> CUST0605 </t>
  </si>
  <si>
    <t>2024-03-06 22:00:00</t>
  </si>
  <si>
    <t>2024-03-06 23:00:00</t>
  </si>
  <si>
    <t>3684</t>
  </si>
  <si>
    <t>2024-03-07 00:00:00</t>
  </si>
  <si>
    <t>447</t>
  </si>
  <si>
    <t>2024-03-07 01:00:00</t>
  </si>
  <si>
    <t>1363</t>
  </si>
  <si>
    <t>2024-03-07 02:00:00</t>
  </si>
  <si>
    <t xml:space="preserve"> CUST0134 </t>
  </si>
  <si>
    <t>4765</t>
  </si>
  <si>
    <t>2024-03-07 03:00:00</t>
  </si>
  <si>
    <t>2842</t>
  </si>
  <si>
    <t>2024-03-07 04:00:00</t>
  </si>
  <si>
    <t>2173</t>
  </si>
  <si>
    <t>2024-03-07 05:00:00</t>
  </si>
  <si>
    <t>3248</t>
  </si>
  <si>
    <t>2024-03-07 06:00:00</t>
  </si>
  <si>
    <t>2024-03-07 07:00:00</t>
  </si>
  <si>
    <t xml:space="preserve"> CUST0085 </t>
  </si>
  <si>
    <t>2921</t>
  </si>
  <si>
    <t>2024-03-07 08:00:00</t>
  </si>
  <si>
    <t>3927</t>
  </si>
  <si>
    <t>2024-03-07 09:00:00</t>
  </si>
  <si>
    <t>769</t>
  </si>
  <si>
    <t>2024-03-07 10:00:00</t>
  </si>
  <si>
    <t>2024-03-07 11:00:00</t>
  </si>
  <si>
    <t>2746</t>
  </si>
  <si>
    <t>2024-03-07 12:00:00</t>
  </si>
  <si>
    <t>366</t>
  </si>
  <si>
    <t>2024-03-07 13:00:00</t>
  </si>
  <si>
    <t>2024-03-07 14:00:00</t>
  </si>
  <si>
    <t>2793</t>
  </si>
  <si>
    <t>2024-03-07 15:00:00</t>
  </si>
  <si>
    <t>1122</t>
  </si>
  <si>
    <t>2024-03-07 16:00:00</t>
  </si>
  <si>
    <t>2137</t>
  </si>
  <si>
    <t>2024-03-07 17:00:00</t>
  </si>
  <si>
    <t>664</t>
  </si>
  <si>
    <t>2024-03-07 18:00:00</t>
  </si>
  <si>
    <t>2024-03-07 19:00:00</t>
  </si>
  <si>
    <t>2024-03-07 20:00:00</t>
  </si>
  <si>
    <t xml:space="preserve"> CUST0662 </t>
  </si>
  <si>
    <t>4223</t>
  </si>
  <si>
    <t>2024-03-07 21:00:00</t>
  </si>
  <si>
    <t>319</t>
  </si>
  <si>
    <t>2024-03-07 22:00:00</t>
  </si>
  <si>
    <t>505</t>
  </si>
  <si>
    <t>2024-03-07 23:00:00</t>
  </si>
  <si>
    <t>1737</t>
  </si>
  <si>
    <t>2024-03-08 00:00:00</t>
  </si>
  <si>
    <t>2418</t>
  </si>
  <si>
    <t>2024-03-08 01:00:00</t>
  </si>
  <si>
    <t>1859</t>
  </si>
  <si>
    <t>2024-03-08 02:00:00</t>
  </si>
  <si>
    <t>1774</t>
  </si>
  <si>
    <t>2024-03-08 03:00:00</t>
  </si>
  <si>
    <t>2024-03-08 04:00:00</t>
  </si>
  <si>
    <t>3682</t>
  </si>
  <si>
    <t>2024-03-08 05:00:00</t>
  </si>
  <si>
    <t>1409</t>
  </si>
  <si>
    <t>2024-03-08 06:00:00</t>
  </si>
  <si>
    <t>2024-03-08 07:00:00</t>
  </si>
  <si>
    <t>4512</t>
  </si>
  <si>
    <t>2024-03-08 08:00:00</t>
  </si>
  <si>
    <t>1430</t>
  </si>
  <si>
    <t>2024-03-08 09:00:00</t>
  </si>
  <si>
    <t>4546</t>
  </si>
  <si>
    <t>2024-03-08 10:00:00</t>
  </si>
  <si>
    <t>610</t>
  </si>
  <si>
    <t>2024-03-08 11:00:00</t>
  </si>
  <si>
    <t>2672</t>
  </si>
  <si>
    <t>2024-03-08 12:00:00</t>
  </si>
  <si>
    <t>4029</t>
  </si>
  <si>
    <t>2024-03-08 13:00:00</t>
  </si>
  <si>
    <t>591</t>
  </si>
  <si>
    <t>2024-03-08 14:00:00</t>
  </si>
  <si>
    <t xml:space="preserve"> CUST0035 </t>
  </si>
  <si>
    <t>1717</t>
  </si>
  <si>
    <t>2024-03-08 15:00:00</t>
  </si>
  <si>
    <t xml:space="preserve"> CUST0518 </t>
  </si>
  <si>
    <t>2024-03-08 16:00:00</t>
  </si>
  <si>
    <t>1620</t>
  </si>
  <si>
    <t>2024-03-08 17:00:00</t>
  </si>
  <si>
    <t xml:space="preserve"> CUST0623 </t>
  </si>
  <si>
    <t>1683</t>
  </si>
  <si>
    <t>2024-03-08 18:00:00</t>
  </si>
  <si>
    <t>1675</t>
  </si>
  <si>
    <t>2024-03-08 19:00:00</t>
  </si>
  <si>
    <t>4046</t>
  </si>
  <si>
    <t>2024-03-08 20:00:00</t>
  </si>
  <si>
    <t>1861</t>
  </si>
  <si>
    <t>2024-03-08 21:00:00</t>
  </si>
  <si>
    <t>2091</t>
  </si>
  <si>
    <t>2024-03-08 22:00:00</t>
  </si>
  <si>
    <t xml:space="preserve"> CUST0067 </t>
  </si>
  <si>
    <t>3279</t>
  </si>
  <si>
    <t>2024-03-08 23:00:00</t>
  </si>
  <si>
    <t>3426</t>
  </si>
  <si>
    <t>2024-03-09 00:00:00</t>
  </si>
  <si>
    <t>1146</t>
  </si>
  <si>
    <t>2024-03-09 01:00:00</t>
  </si>
  <si>
    <t>2992</t>
  </si>
  <si>
    <t>2024-03-09 02:00:00</t>
  </si>
  <si>
    <t>2713</t>
  </si>
  <si>
    <t>2024-03-09 03:00:00</t>
  </si>
  <si>
    <t xml:space="preserve"> CUST0691 </t>
  </si>
  <si>
    <t>3992</t>
  </si>
  <si>
    <t>2024-03-09 04:00:00</t>
  </si>
  <si>
    <t>4244</t>
  </si>
  <si>
    <t>2024-03-09 05:00:00</t>
  </si>
  <si>
    <t>2024-03-09 06:00:00</t>
  </si>
  <si>
    <t>4531</t>
  </si>
  <si>
    <t>2024-03-09 07:00:00</t>
  </si>
  <si>
    <t>2024-03-09 08:00:00</t>
  </si>
  <si>
    <t>1245</t>
  </si>
  <si>
    <t>2024-03-09 09:00:00</t>
  </si>
  <si>
    <t>2024-03-09 10:00:00</t>
  </si>
  <si>
    <t>4554</t>
  </si>
  <si>
    <t>2024-03-09 11:00:00</t>
  </si>
  <si>
    <t>292</t>
  </si>
  <si>
    <t>2024-03-09 12:00:00</t>
  </si>
  <si>
    <t>3634</t>
  </si>
  <si>
    <t>2024-03-09 13:00:00</t>
  </si>
  <si>
    <t>855</t>
  </si>
  <si>
    <t>2024-03-09 14:00:00</t>
  </si>
  <si>
    <t>1784</t>
  </si>
  <si>
    <t>2024-03-09 15:00:00</t>
  </si>
  <si>
    <t>2625</t>
  </si>
  <si>
    <t>2024-03-09 16:00:00</t>
  </si>
  <si>
    <t xml:space="preserve"> CUST0015 </t>
  </si>
  <si>
    <t>927</t>
  </si>
  <si>
    <t>2024-03-09 17:00:00</t>
  </si>
  <si>
    <t>989</t>
  </si>
  <si>
    <t>2024-03-09 18:00:00</t>
  </si>
  <si>
    <t>4848</t>
  </si>
  <si>
    <t>2024-03-09 19:00:00</t>
  </si>
  <si>
    <t>2555</t>
  </si>
  <si>
    <t>2024-03-09 20:00:00</t>
  </si>
  <si>
    <t>2433</t>
  </si>
  <si>
    <t>2024-03-09 21:00:00</t>
  </si>
  <si>
    <t>2024-03-09 22:00:00</t>
  </si>
  <si>
    <t>4815</t>
  </si>
  <si>
    <t>2024-03-09 23:00:00</t>
  </si>
  <si>
    <t>892</t>
  </si>
  <si>
    <t>2024-03-10 00:00:00</t>
  </si>
  <si>
    <t>4783</t>
  </si>
  <si>
    <t>2024-03-10 01:00:00</t>
  </si>
  <si>
    <t>2743</t>
  </si>
  <si>
    <t>2024-03-10 02:00:00</t>
  </si>
  <si>
    <t>2024-03-10 03:00:00</t>
  </si>
  <si>
    <t>2024-03-10 04:00:00</t>
  </si>
  <si>
    <t>396</t>
  </si>
  <si>
    <t>2024-03-10 05:00:00</t>
  </si>
  <si>
    <t>1729</t>
  </si>
  <si>
    <t>2024-03-10 06:00:00</t>
  </si>
  <si>
    <t>668</t>
  </si>
  <si>
    <t>2024-03-10 07:00:00</t>
  </si>
  <si>
    <t>4805</t>
  </si>
  <si>
    <t>2024-03-10 08:00:00</t>
  </si>
  <si>
    <t>2024-03-10 09:00:00</t>
  </si>
  <si>
    <t>2024-03-10 10:00:00</t>
  </si>
  <si>
    <t>4465</t>
  </si>
  <si>
    <t>2024-03-10 11:00:00</t>
  </si>
  <si>
    <t>4482</t>
  </si>
  <si>
    <t>2024-03-10 12:00:00</t>
  </si>
  <si>
    <t>165</t>
  </si>
  <si>
    <t>2024-03-10 13:00:00</t>
  </si>
  <si>
    <t>979</t>
  </si>
  <si>
    <t>2024-03-10 14:00:00</t>
  </si>
  <si>
    <t>167</t>
  </si>
  <si>
    <t>2024-03-10 15:00:00</t>
  </si>
  <si>
    <t>1316</t>
  </si>
  <si>
    <t>2024-03-10 16:00:00</t>
  </si>
  <si>
    <t>3127</t>
  </si>
  <si>
    <t>2024-03-10 17:00:00</t>
  </si>
  <si>
    <t>2024-03-10 18:00:00</t>
  </si>
  <si>
    <t>3580</t>
  </si>
  <si>
    <t>2024-03-10 19:00:00</t>
  </si>
  <si>
    <t>607</t>
  </si>
  <si>
    <t>2024-03-10 20:00:00</t>
  </si>
  <si>
    <t>3814</t>
  </si>
  <si>
    <t>2024-03-10 21:00:00</t>
  </si>
  <si>
    <t>2984</t>
  </si>
  <si>
    <t>2024-03-10 22:00:00</t>
  </si>
  <si>
    <t>1225</t>
  </si>
  <si>
    <t>2024-03-10 23:00:00</t>
  </si>
  <si>
    <t>985</t>
  </si>
  <si>
    <t>2024-03-11 00:00:00</t>
  </si>
  <si>
    <t>2024-03-11 01:00:00</t>
  </si>
  <si>
    <t>3977</t>
  </si>
  <si>
    <t>2024-03-11 02:00:00</t>
  </si>
  <si>
    <t>4970</t>
  </si>
  <si>
    <t>2024-03-11 03:00:00</t>
  </si>
  <si>
    <t>2024-03-11 04:00:00</t>
  </si>
  <si>
    <t>2024-03-11 05:00:00</t>
  </si>
  <si>
    <t xml:space="preserve"> CUST0319 </t>
  </si>
  <si>
    <t>2024-03-11 06:00:00</t>
  </si>
  <si>
    <t>2038</t>
  </si>
  <si>
    <t>2024-03-11 07:00:00</t>
  </si>
  <si>
    <t>2024-03-11 08:00:00</t>
  </si>
  <si>
    <t>3462</t>
  </si>
  <si>
    <t>2024-03-11 09:00:00</t>
  </si>
  <si>
    <t>4683</t>
  </si>
  <si>
    <t>2024-03-11 10:00:00</t>
  </si>
  <si>
    <t>3332</t>
  </si>
  <si>
    <t>2024-03-11 11:00:00</t>
  </si>
  <si>
    <t>3844</t>
  </si>
  <si>
    <t>2024-03-11 12:00:00</t>
  </si>
  <si>
    <t>2024-03-11 13:00:00</t>
  </si>
  <si>
    <t>2024-03-11 14:00:00</t>
  </si>
  <si>
    <t>2024-03-11 15:00:00</t>
  </si>
  <si>
    <t>2024-03-11 16:00:00</t>
  </si>
  <si>
    <t>2024-03-11 17:00:00</t>
  </si>
  <si>
    <t>3571</t>
  </si>
  <si>
    <t>2024-03-11 18:00:00</t>
  </si>
  <si>
    <t>3263</t>
  </si>
  <si>
    <t>2024-03-11 19:00:00</t>
  </si>
  <si>
    <t>105</t>
  </si>
  <si>
    <t>2024-03-11 20:00:00</t>
  </si>
  <si>
    <t xml:space="preserve"> CUST0323 </t>
  </si>
  <si>
    <t>4876</t>
  </si>
  <si>
    <t>2024-03-11 21:00:00</t>
  </si>
  <si>
    <t>2024-03-11 22:00:00</t>
  </si>
  <si>
    <t>2958</t>
  </si>
  <si>
    <t>2024-03-11 23:00:00</t>
  </si>
  <si>
    <t>2706</t>
  </si>
  <si>
    <t>2024-03-12 00:00:00</t>
  </si>
  <si>
    <t>198</t>
  </si>
  <si>
    <t>2024-03-12 01:00:00</t>
  </si>
  <si>
    <t>625</t>
  </si>
  <si>
    <t>2024-03-12 02:00:00</t>
  </si>
  <si>
    <t>2024-03-12 03:00:00</t>
  </si>
  <si>
    <t>1789</t>
  </si>
  <si>
    <t>2024-03-12 04:00:00</t>
  </si>
  <si>
    <t>2024-03-12 05:00:00</t>
  </si>
  <si>
    <t>2024-03-12 06:00:00</t>
  </si>
  <si>
    <t>2024-03-12 07:00:00</t>
  </si>
  <si>
    <t>2024-03-12 08:00:00</t>
  </si>
  <si>
    <t>3027</t>
  </si>
  <si>
    <t>2024-03-12 09:00:00</t>
  </si>
  <si>
    <t>2892</t>
  </si>
  <si>
    <t>2024-03-12 10:00:00</t>
  </si>
  <si>
    <t>4878</t>
  </si>
  <si>
    <t>2024-03-12 11:00:00</t>
  </si>
  <si>
    <t>114</t>
  </si>
  <si>
    <t>2024-03-12 12:00:00</t>
  </si>
  <si>
    <t>2024-03-12 13:00:00</t>
  </si>
  <si>
    <t>2785</t>
  </si>
  <si>
    <t>2024-03-12 14:00:00</t>
  </si>
  <si>
    <t>3000</t>
  </si>
  <si>
    <t>2024-03-12 15:00:00</t>
  </si>
  <si>
    <t>1336</t>
  </si>
  <si>
    <t>2024-03-12 16:00:00</t>
  </si>
  <si>
    <t>4200</t>
  </si>
  <si>
    <t>2024-03-12 17:00:00</t>
  </si>
  <si>
    <t>2024-03-12 18:00:00</t>
  </si>
  <si>
    <t>2024-03-12 19:00:00</t>
  </si>
  <si>
    <t>3663</t>
  </si>
  <si>
    <t>2024-03-12 20:00:00</t>
  </si>
  <si>
    <t>2024-03-12 21:00:00</t>
  </si>
  <si>
    <t>2733</t>
  </si>
  <si>
    <t>2024-03-12 22:00:00</t>
  </si>
  <si>
    <t>3990</t>
  </si>
  <si>
    <t>2024-03-12 23:00:00</t>
  </si>
  <si>
    <t>4364</t>
  </si>
  <si>
    <t>2024-03-13 00:00:00</t>
  </si>
  <si>
    <t>2024-03-13 01:00:00</t>
  </si>
  <si>
    <t>2024-03-13 02:00:00</t>
  </si>
  <si>
    <t>2024-03-13 03:00:00</t>
  </si>
  <si>
    <t>251</t>
  </si>
  <si>
    <t>2024-03-13 04:00:00</t>
  </si>
  <si>
    <t>3163</t>
  </si>
  <si>
    <t>2024-03-13 05:00:00</t>
  </si>
  <si>
    <t>2024-03-13 06:00:00</t>
  </si>
  <si>
    <t xml:space="preserve"> CUST0705 </t>
  </si>
  <si>
    <t>2191</t>
  </si>
  <si>
    <t>2024-03-13 07:00:00</t>
  </si>
  <si>
    <t>2024-03-13 08:00:00</t>
  </si>
  <si>
    <t>4182</t>
  </si>
  <si>
    <t>2024-03-13 09:00:00</t>
  </si>
  <si>
    <t>4126</t>
  </si>
  <si>
    <t>2024-03-13 10:00:00</t>
  </si>
  <si>
    <t>3077</t>
  </si>
  <si>
    <t>2024-03-13 11:00:00</t>
  </si>
  <si>
    <t>942</t>
  </si>
  <si>
    <t>2024-03-13 12:00:00</t>
  </si>
  <si>
    <t>2024-03-13 13:00:00</t>
  </si>
  <si>
    <t>3893</t>
  </si>
  <si>
    <t>2024-03-13 14:00:00</t>
  </si>
  <si>
    <t>2170</t>
  </si>
  <si>
    <t>2024-03-13 15:00:00</t>
  </si>
  <si>
    <t>1759</t>
  </si>
  <si>
    <t>2024-03-13 16:00:00</t>
  </si>
  <si>
    <t>2024-03-13 17:00:00</t>
  </si>
  <si>
    <t xml:space="preserve"> CUST0289 </t>
  </si>
  <si>
    <t>2613</t>
  </si>
  <si>
    <t>2024-03-13 18:00:00</t>
  </si>
  <si>
    <t>4235</t>
  </si>
  <si>
    <t>2024-03-13 19:00:00</t>
  </si>
  <si>
    <t>2024-03-13 20:00:00</t>
  </si>
  <si>
    <t>3703</t>
  </si>
  <si>
    <t>2024-03-13 21:00:00</t>
  </si>
  <si>
    <t xml:space="preserve"> CUST0126 </t>
  </si>
  <si>
    <t>2024-03-13 22:00:00</t>
  </si>
  <si>
    <t>2391</t>
  </si>
  <si>
    <t>2024-03-13 23:00:00</t>
  </si>
  <si>
    <t xml:space="preserve"> CUST0037 </t>
  </si>
  <si>
    <t>3911</t>
  </si>
  <si>
    <t>2024-03-14 00:00:00</t>
  </si>
  <si>
    <t>1031</t>
  </si>
  <si>
    <t>2024-03-14 01:00:00</t>
  </si>
  <si>
    <t>2238</t>
  </si>
  <si>
    <t>2024-03-14 02:00:00</t>
  </si>
  <si>
    <t>4102</t>
  </si>
  <si>
    <t>2024-03-14 03:00:00</t>
  </si>
  <si>
    <t>3078</t>
  </si>
  <si>
    <t>2024-03-14 04:00:00</t>
  </si>
  <si>
    <t>2024-03-14 05:00:00</t>
  </si>
  <si>
    <t xml:space="preserve"> CUST0168 </t>
  </si>
  <si>
    <t>4695</t>
  </si>
  <si>
    <t>2024-03-14 06:00:00</t>
  </si>
  <si>
    <t xml:space="preserve"> CUST0592 </t>
  </si>
  <si>
    <t>3018</t>
  </si>
  <si>
    <t>2024-03-14 07:00:00</t>
  </si>
  <si>
    <t>2664</t>
  </si>
  <si>
    <t>2024-03-14 08:00:00</t>
  </si>
  <si>
    <t>1863</t>
  </si>
  <si>
    <t>2024-03-14 09:00:00</t>
  </si>
  <si>
    <t>2270</t>
  </si>
  <si>
    <t>2024-03-14 10:00:00</t>
  </si>
  <si>
    <t>2024-03-14 11:00:00</t>
  </si>
  <si>
    <t>1276</t>
  </si>
  <si>
    <t>2024-03-14 12:00:00</t>
  </si>
  <si>
    <t>2024-03-14 13:00:00</t>
  </si>
  <si>
    <t>878</t>
  </si>
  <si>
    <t>2024-03-14 14:00:00</t>
  </si>
  <si>
    <t>2024-03-14 15:00:00</t>
  </si>
  <si>
    <t>2024-03-14 16:00:00</t>
  </si>
  <si>
    <t>3547</t>
  </si>
  <si>
    <t>2024-03-14 17:00:00</t>
  </si>
  <si>
    <t>4091</t>
  </si>
  <si>
    <t>2024-03-14 18:00:00</t>
  </si>
  <si>
    <t>2570</t>
  </si>
  <si>
    <t>2024-03-14 19:00:00</t>
  </si>
  <si>
    <t>1038</t>
  </si>
  <si>
    <t>2024-03-14 20:00:00</t>
  </si>
  <si>
    <t>4999</t>
  </si>
  <si>
    <t>2024-03-14 21:00:00</t>
  </si>
  <si>
    <t>4106</t>
  </si>
  <si>
    <t>2024-03-14 22:00:00</t>
  </si>
  <si>
    <t>2035</t>
  </si>
  <si>
    <t>2024-03-14 23:00:00</t>
  </si>
  <si>
    <t>2024-03-15 00:00:00</t>
  </si>
  <si>
    <t>2024-03-15 01:00:00</t>
  </si>
  <si>
    <t>1182</t>
  </si>
  <si>
    <t>2024-03-15 02:00:00</t>
  </si>
  <si>
    <t>2243</t>
  </si>
  <si>
    <t>2024-03-15 03:00:00</t>
  </si>
  <si>
    <t xml:space="preserve"> CUST0646 </t>
  </si>
  <si>
    <t>1385</t>
  </si>
  <si>
    <t>2024-03-15 04:00:00</t>
  </si>
  <si>
    <t>453</t>
  </si>
  <si>
    <t>2024-03-15 05:00:00</t>
  </si>
  <si>
    <t>2024-03-15 06:00:00</t>
  </si>
  <si>
    <t>1918</t>
  </si>
  <si>
    <t>2024-03-15 07:00:00</t>
  </si>
  <si>
    <t>2620</t>
  </si>
  <si>
    <t>2024-03-15 08:00:00</t>
  </si>
  <si>
    <t xml:space="preserve"> CUST0352 </t>
  </si>
  <si>
    <t>2024-03-15 09:00:00</t>
  </si>
  <si>
    <t xml:space="preserve"> CUST0158 </t>
  </si>
  <si>
    <t>3122</t>
  </si>
  <si>
    <t>2024-03-15 10:00:00</t>
  </si>
  <si>
    <t>2684</t>
  </si>
  <si>
    <t>2024-03-15 11:00:00</t>
  </si>
  <si>
    <t>1647</t>
  </si>
  <si>
    <t>2024-03-15 12:00:00</t>
  </si>
  <si>
    <t>4118</t>
  </si>
  <si>
    <t>2024-03-15 13:00:00</t>
  </si>
  <si>
    <t>4304</t>
  </si>
  <si>
    <t>2024-03-15 14:00:00</t>
  </si>
  <si>
    <t>1468</t>
  </si>
  <si>
    <t>2024-03-15 15:00:00</t>
  </si>
  <si>
    <t>3437</t>
  </si>
  <si>
    <t>2024-03-15 16:00:00</t>
  </si>
  <si>
    <t>1857</t>
  </si>
  <si>
    <t>2024-03-15 17:00:00</t>
  </si>
  <si>
    <t xml:space="preserve"> CUST0466 </t>
  </si>
  <si>
    <t>1617</t>
  </si>
  <si>
    <t>2024-03-15 18:00:00</t>
  </si>
  <si>
    <t>3584</t>
  </si>
  <si>
    <t>2024-03-15 19:00:00</t>
  </si>
  <si>
    <t>3785</t>
  </si>
  <si>
    <t>2024-03-15 20:00:00</t>
  </si>
  <si>
    <t xml:space="preserve"> CUST0680 </t>
  </si>
  <si>
    <t>3152</t>
  </si>
  <si>
    <t>2024-03-15 21:00:00</t>
  </si>
  <si>
    <t>2024-03-15 22:00:00</t>
  </si>
  <si>
    <t>290</t>
  </si>
  <si>
    <t>2024-03-15 23:00:00</t>
  </si>
  <si>
    <t>1032</t>
  </si>
  <si>
    <t>2024-03-16 00:00:00</t>
  </si>
  <si>
    <t>2024-03-16 01:00:00</t>
  </si>
  <si>
    <t>3338</t>
  </si>
  <si>
    <t>2024-03-16 02:00:00</t>
  </si>
  <si>
    <t>2024-03-16 03:00:00</t>
  </si>
  <si>
    <t xml:space="preserve"> CUST0347 </t>
  </si>
  <si>
    <t>665</t>
  </si>
  <si>
    <t>2024-03-16 04:00:00</t>
  </si>
  <si>
    <t>2024-03-16 05:00:00</t>
  </si>
  <si>
    <t>843</t>
  </si>
  <si>
    <t>2024-03-16 06:00:00</t>
  </si>
  <si>
    <t>772</t>
  </si>
  <si>
    <t>2024-03-16 07:00:00</t>
  </si>
  <si>
    <t>3011</t>
  </si>
  <si>
    <t>2024-03-16 08:00:00</t>
  </si>
  <si>
    <t>2024-03-16 09:00:00</t>
  </si>
  <si>
    <t>2024-03-16 10:00:00</t>
  </si>
  <si>
    <t xml:space="preserve"> CUST0533 </t>
  </si>
  <si>
    <t>661</t>
  </si>
  <si>
    <t>2024-03-16 11:00:00</t>
  </si>
  <si>
    <t>401</t>
  </si>
  <si>
    <t>2024-03-16 12:00:00</t>
  </si>
  <si>
    <t>3867</t>
  </si>
  <si>
    <t>2024-03-16 13:00:00</t>
  </si>
  <si>
    <t>4380</t>
  </si>
  <si>
    <t>2024-03-16 14:00:00</t>
  </si>
  <si>
    <t>609</t>
  </si>
  <si>
    <t>2024-03-16 15:00:00</t>
  </si>
  <si>
    <t>3545</t>
  </si>
  <si>
    <t>2024-03-16 16:00:00</t>
  </si>
  <si>
    <t>2303</t>
  </si>
  <si>
    <t>2024-03-16 17:00:00</t>
  </si>
  <si>
    <t>2934</t>
  </si>
  <si>
    <t>2024-03-16 18:00:00</t>
  </si>
  <si>
    <t>2024-03-16 19:00:00</t>
  </si>
  <si>
    <t>2579</t>
  </si>
  <si>
    <t>2024-03-16 20:00:00</t>
  </si>
  <si>
    <t>1623</t>
  </si>
  <si>
    <t>2024-03-16 21:00:00</t>
  </si>
  <si>
    <t xml:space="preserve"> CUST0604 </t>
  </si>
  <si>
    <t>4956</t>
  </si>
  <si>
    <t>2024-03-16 22:00:00</t>
  </si>
  <si>
    <t>2024-03-16 23:00:00</t>
  </si>
  <si>
    <t>2628</t>
  </si>
  <si>
    <t>2024-03-17 00:00:00</t>
  </si>
  <si>
    <t>534</t>
  </si>
  <si>
    <t>2024-03-17 01:00:00</t>
  </si>
  <si>
    <t>2138</t>
  </si>
  <si>
    <t>2024-03-17 02:00:00</t>
  </si>
  <si>
    <t>1806</t>
  </si>
  <si>
    <t>2024-03-17 03:00:00</t>
  </si>
  <si>
    <t xml:space="preserve"> CUST0297 </t>
  </si>
  <si>
    <t>168</t>
  </si>
  <si>
    <t>2024-03-17 04:00:00</t>
  </si>
  <si>
    <t>2024-03-17 05:00:00</t>
  </si>
  <si>
    <t>4059</t>
  </si>
  <si>
    <t>2024-03-17 06:00:00</t>
  </si>
  <si>
    <t>3051</t>
  </si>
  <si>
    <t>2024-03-17 07:00:00</t>
  </si>
  <si>
    <t>2024-03-17 08:00:00</t>
  </si>
  <si>
    <t>2024-03-17 09:00:00</t>
  </si>
  <si>
    <t>3469</t>
  </si>
  <si>
    <t>2024-03-17 10:00:00</t>
  </si>
  <si>
    <t>2024-03-17 11:00:00</t>
  </si>
  <si>
    <t>3827</t>
  </si>
  <si>
    <t>2024-03-17 12:00:00</t>
  </si>
  <si>
    <t>2504</t>
  </si>
  <si>
    <t>2024-03-17 13:00:00</t>
  </si>
  <si>
    <t>2024-03-17 14:00:00</t>
  </si>
  <si>
    <t>3646</t>
  </si>
  <si>
    <t>2024-03-17 15:00:00</t>
  </si>
  <si>
    <t>2403</t>
  </si>
  <si>
    <t>2024-03-17 16:00:00</t>
  </si>
  <si>
    <t>3781</t>
  </si>
  <si>
    <t>2024-03-17 17:00:00</t>
  </si>
  <si>
    <t>3321</t>
  </si>
  <si>
    <t>2024-03-17 18:00:00</t>
  </si>
  <si>
    <t>2024-03-17 19:00:00</t>
  </si>
  <si>
    <t>2024-03-17 20:00:00</t>
  </si>
  <si>
    <t>545</t>
  </si>
  <si>
    <t>2024-03-17 21:00:00</t>
  </si>
  <si>
    <t>4950</t>
  </si>
  <si>
    <t>2024-03-17 22:00:00</t>
  </si>
  <si>
    <t>1692</t>
  </si>
  <si>
    <t>2024-03-17 23:00:00</t>
  </si>
  <si>
    <t>2024-03-18 00:00:00</t>
  </si>
  <si>
    <t xml:space="preserve"> CUST0153 </t>
  </si>
  <si>
    <t>3916</t>
  </si>
  <si>
    <t>2024-03-18 01:00:00</t>
  </si>
  <si>
    <t>3153</t>
  </si>
  <si>
    <t>2024-03-18 02:00:00</t>
  </si>
  <si>
    <t>1690</t>
  </si>
  <si>
    <t>2024-03-18 03:00:00</t>
  </si>
  <si>
    <t>2331</t>
  </si>
  <si>
    <t>2024-03-18 04:00:00</t>
  </si>
  <si>
    <t>2024-03-18 05:00:00</t>
  </si>
  <si>
    <t>4372</t>
  </si>
  <si>
    <t>2024-03-18 06:00:00</t>
  </si>
  <si>
    <t>2024-03-18 07:00:00</t>
  </si>
  <si>
    <t>2024-03-18 08:00:00</t>
  </si>
  <si>
    <t>1700</t>
  </si>
  <si>
    <t>2024-03-18 09:00:00</t>
  </si>
  <si>
    <t xml:space="preserve"> CUST0723 </t>
  </si>
  <si>
    <t>2024-03-18 10:00:00</t>
  </si>
  <si>
    <t>4431</t>
  </si>
  <si>
    <t>2024-03-18 11:00:00</t>
  </si>
  <si>
    <t>809</t>
  </si>
  <si>
    <t>2024-03-18 12:00:00</t>
  </si>
  <si>
    <t>3071</t>
  </si>
  <si>
    <t>2024-03-18 13:00:00</t>
  </si>
  <si>
    <t>2832</t>
  </si>
  <si>
    <t>2024-03-18 14:00:00</t>
  </si>
  <si>
    <t>893</t>
  </si>
  <si>
    <t>2024-03-18 15:00:00</t>
  </si>
  <si>
    <t>3199</t>
  </si>
  <si>
    <t>2024-03-18 16:00:00</t>
  </si>
  <si>
    <t>2955</t>
  </si>
  <si>
    <t>2024-03-18 17:00:00</t>
  </si>
  <si>
    <t>126</t>
  </si>
  <si>
    <t>2024-03-18 18:00:00</t>
  </si>
  <si>
    <t>3367</t>
  </si>
  <si>
    <t>2024-03-18 19:00:00</t>
  </si>
  <si>
    <t xml:space="preserve"> CUST0402 </t>
  </si>
  <si>
    <t>184</t>
  </si>
  <si>
    <t>2024-03-18 20:00:00</t>
  </si>
  <si>
    <t xml:space="preserve"> CUST0546 </t>
  </si>
  <si>
    <t>3201</t>
  </si>
  <si>
    <t>2024-03-18 21:00:00</t>
  </si>
  <si>
    <t>1222</t>
  </si>
  <si>
    <t>2024-03-18 22:00:00</t>
  </si>
  <si>
    <t>111</t>
  </si>
  <si>
    <t>2024-03-18 23:00:00</t>
  </si>
  <si>
    <t>1848</t>
  </si>
  <si>
    <t>2024-03-19 00:00:00</t>
  </si>
  <si>
    <t>3209</t>
  </si>
  <si>
    <t>2024-03-19 01:00:00</t>
  </si>
  <si>
    <t>2024-03-19 02:00:00</t>
  </si>
  <si>
    <t>2719</t>
  </si>
  <si>
    <t>2024-03-19 03:00:00</t>
  </si>
  <si>
    <t>279</t>
  </si>
  <si>
    <t>2024-03-19 04:00:00</t>
  </si>
  <si>
    <t>896</t>
  </si>
  <si>
    <t>2024-03-19 05:00:00</t>
  </si>
  <si>
    <t>3913</t>
  </si>
  <si>
    <t>2024-03-19 06:00:00</t>
  </si>
  <si>
    <t>2024-03-19 07:00:00</t>
  </si>
  <si>
    <t>3317</t>
  </si>
  <si>
    <t>2024-03-19 08:00:00</t>
  </si>
  <si>
    <t>2024-03-19 09:00:00</t>
  </si>
  <si>
    <t>2568</t>
  </si>
  <si>
    <t>2024-03-19 10:00:00</t>
  </si>
  <si>
    <t>3487</t>
  </si>
  <si>
    <t>2024-03-19 11:00:00</t>
  </si>
  <si>
    <t>1619</t>
  </si>
  <si>
    <t>2024-03-19 12:00:00</t>
  </si>
  <si>
    <t>2532</t>
  </si>
  <si>
    <t>2024-03-19 13:00:00</t>
  </si>
  <si>
    <t>2024-03-19 14:00:00</t>
  </si>
  <si>
    <t xml:space="preserve"> CUST0329 </t>
  </si>
  <si>
    <t>1016</t>
  </si>
  <si>
    <t>2024-03-19 15:00:00</t>
  </si>
  <si>
    <t>2024-03-19 16:00:00</t>
  </si>
  <si>
    <t>2024-03-19 17:00:00</t>
  </si>
  <si>
    <t>1881</t>
  </si>
  <si>
    <t>2024-03-19 18:00:00</t>
  </si>
  <si>
    <t>438</t>
  </si>
  <si>
    <t>2024-03-19 19:00:00</t>
  </si>
  <si>
    <t>2024-03-19 20:00:00</t>
  </si>
  <si>
    <t xml:space="preserve"> CUST0521 </t>
  </si>
  <si>
    <t>2970</t>
  </si>
  <si>
    <t>2024-03-19 21:00:00</t>
  </si>
  <si>
    <t>2024-03-19 22:00:00</t>
  </si>
  <si>
    <t>1014</t>
  </si>
  <si>
    <t>2024-03-19 23:00:00</t>
  </si>
  <si>
    <t xml:space="preserve"> CUST0154 </t>
  </si>
  <si>
    <t>3390</t>
  </si>
  <si>
    <t>2024-03-20 00:00:00</t>
  </si>
  <si>
    <t>4670</t>
  </si>
  <si>
    <t>2024-03-20 01:00:00</t>
  </si>
  <si>
    <t>2024-03-20 02:00:00</t>
  </si>
  <si>
    <t>2024-03-20 03:00:00</t>
  </si>
  <si>
    <t>2024-03-20 04:00:00</t>
  </si>
  <si>
    <t>2174</t>
  </si>
  <si>
    <t>2024-03-20 05:00:00</t>
  </si>
  <si>
    <t>2024-03-20 06:00:00</t>
  </si>
  <si>
    <t>1346</t>
  </si>
  <si>
    <t>2024-03-20 07:00:00</t>
  </si>
  <si>
    <t xml:space="preserve"> CUST0261 </t>
  </si>
  <si>
    <t>2024-03-20 08:00:00</t>
  </si>
  <si>
    <t>3595</t>
  </si>
  <si>
    <t>2024-03-20 09:00:00</t>
  </si>
  <si>
    <t>4934</t>
  </si>
  <si>
    <t>2024-03-20 10:00:00</t>
  </si>
  <si>
    <t>2024-03-20 11:00:00</t>
  </si>
  <si>
    <t>2024-03-20 12:00:00</t>
  </si>
  <si>
    <t>1081</t>
  </si>
  <si>
    <t>2024-03-20 13:00:00</t>
  </si>
  <si>
    <t>2576</t>
  </si>
  <si>
    <t>2024-03-20 14:00:00</t>
  </si>
  <si>
    <t>2188</t>
  </si>
  <si>
    <t>2024-03-20 15:00:00</t>
  </si>
  <si>
    <t>3052</t>
  </si>
  <si>
    <t>2024-03-20 16:00:00</t>
  </si>
  <si>
    <t>1111</t>
  </si>
  <si>
    <t>2024-03-20 17:00:00</t>
  </si>
  <si>
    <t>3564</t>
  </si>
  <si>
    <t>2024-03-20 18:00:00</t>
  </si>
  <si>
    <t>2850</t>
  </si>
  <si>
    <t>2024-03-20 19:00:00</t>
  </si>
  <si>
    <t xml:space="preserve"> CUST0095 </t>
  </si>
  <si>
    <t>2226</t>
  </si>
  <si>
    <t>2024-03-20 20:00:00</t>
  </si>
  <si>
    <t xml:space="preserve"> CUST0617 </t>
  </si>
  <si>
    <t>4912</t>
  </si>
  <si>
    <t>2024-03-20 21:00:00</t>
  </si>
  <si>
    <t>3961</t>
  </si>
  <si>
    <t>2024-03-20 22:00:00</t>
  </si>
  <si>
    <t>2691</t>
  </si>
  <si>
    <t>2024-03-20 23:00:00</t>
  </si>
  <si>
    <t>1573</t>
  </si>
  <si>
    <t>2024-03-21 00:00:00</t>
  </si>
  <si>
    <t>2024-03-21 01:00:00</t>
  </si>
  <si>
    <t>1265</t>
  </si>
  <si>
    <t>2024-03-21 02:00:00</t>
  </si>
  <si>
    <t>2024-03-21 03:00:00</t>
  </si>
  <si>
    <t>709</t>
  </si>
  <si>
    <t>2024-03-21 04:00:00</t>
  </si>
  <si>
    <t>2283</t>
  </si>
  <si>
    <t>2024-03-21 05:00:00</t>
  </si>
  <si>
    <t>2024-03-21 06:00:00</t>
  </si>
  <si>
    <t>2961</t>
  </si>
  <si>
    <t>2024-03-21 07:00:00</t>
  </si>
  <si>
    <t>4750</t>
  </si>
  <si>
    <t>2024-03-21 08:00:00</t>
  </si>
  <si>
    <t>1755</t>
  </si>
  <si>
    <t>2024-03-21 09:00:00</t>
  </si>
  <si>
    <t>1855</t>
  </si>
  <si>
    <t>2024-03-21 10:00:00</t>
  </si>
  <si>
    <t>2024-03-21 11:00:00</t>
  </si>
  <si>
    <t>1359</t>
  </si>
  <si>
    <t>2024-03-21 12:00:00</t>
  </si>
  <si>
    <t>4738</t>
  </si>
  <si>
    <t>2024-03-21 13:00:00</t>
  </si>
  <si>
    <t>2024-03-21 14:00:00</t>
  </si>
  <si>
    <t>2024-03-21 15:00:00</t>
  </si>
  <si>
    <t>2218</t>
  </si>
  <si>
    <t>2024-03-21 16:00:00</t>
  </si>
  <si>
    <t>2024-03-21 17:00:00</t>
  </si>
  <si>
    <t>2024-03-21 18:00:00</t>
  </si>
  <si>
    <t>3223</t>
  </si>
  <si>
    <t>2024-03-21 19:00:00</t>
  </si>
  <si>
    <t xml:space="preserve"> CUST0199 </t>
  </si>
  <si>
    <t>2024-03-21 20:00:00</t>
  </si>
  <si>
    <t>1588</t>
  </si>
  <si>
    <t>2024-03-21 21:00:00</t>
  </si>
  <si>
    <t>1673</t>
  </si>
  <si>
    <t>2024-03-21 22:00:00</t>
  </si>
  <si>
    <t>2527</t>
  </si>
  <si>
    <t>2024-03-21 23:00:00</t>
  </si>
  <si>
    <t>1866</t>
  </si>
  <si>
    <t>2024-03-22 00:00:00</t>
  </si>
  <si>
    <t>3649</t>
  </si>
  <si>
    <t>2024-03-22 01:00:00</t>
  </si>
  <si>
    <t>2409</t>
  </si>
  <si>
    <t>2024-03-22 02:00:00</t>
  </si>
  <si>
    <t xml:space="preserve"> CUST0151 </t>
  </si>
  <si>
    <t>2024-03-22 03:00:00</t>
  </si>
  <si>
    <t xml:space="preserve"> CUST0669 </t>
  </si>
  <si>
    <t>2024-03-22 04:00:00</t>
  </si>
  <si>
    <t>1542</t>
  </si>
  <si>
    <t>2024-03-22 05:00:00</t>
  </si>
  <si>
    <t>4893</t>
  </si>
  <si>
    <t>2024-03-22 06:00:00</t>
  </si>
  <si>
    <t>2076</t>
  </si>
  <si>
    <t>2024-03-22 07:00:00</t>
  </si>
  <si>
    <t>2024-03-22 08:00:00</t>
  </si>
  <si>
    <t>2024-03-22 09:00:00</t>
  </si>
  <si>
    <t>825</t>
  </si>
  <si>
    <t>2024-03-22 10:00:00</t>
  </si>
  <si>
    <t>3903</t>
  </si>
  <si>
    <t>2024-03-22 11:00:00</t>
  </si>
  <si>
    <t>4481</t>
  </si>
  <si>
    <t>2024-03-22 12:00:00</t>
  </si>
  <si>
    <t>2024-03-22 13:00:00</t>
  </si>
  <si>
    <t>2024-03-22 14:00:00</t>
  </si>
  <si>
    <t>2024-03-22 15:00:00</t>
  </si>
  <si>
    <t>2987</t>
  </si>
  <si>
    <t>2024-03-22 16:00:00</t>
  </si>
  <si>
    <t>2024-03-22 17:00:00</t>
  </si>
  <si>
    <t>2024-03-22 18:00:00</t>
  </si>
  <si>
    <t>2024-03-22 19:00:00</t>
  </si>
  <si>
    <t>4757</t>
  </si>
  <si>
    <t>2024-03-22 20:00:00</t>
  </si>
  <si>
    <t>2024-03-22 21:00:00</t>
  </si>
  <si>
    <t>2024-03-22 22:00:00</t>
  </si>
  <si>
    <t>4238</t>
  </si>
  <si>
    <t>2024-03-22 23:00:00</t>
  </si>
  <si>
    <t>2016</t>
  </si>
  <si>
    <t>2024-03-23 00:00:00</t>
  </si>
  <si>
    <t xml:space="preserve"> CUST0707 </t>
  </si>
  <si>
    <t>1474</t>
  </si>
  <si>
    <t>2024-03-23 01:00:00</t>
  </si>
  <si>
    <t>1945</t>
  </si>
  <si>
    <t>2024-03-23 02:00:00</t>
  </si>
  <si>
    <t>2024-03-23 03:00:00</t>
  </si>
  <si>
    <t xml:space="preserve"> CUST0594 </t>
  </si>
  <si>
    <t>1536</t>
  </si>
  <si>
    <t>2024-03-23 04:00:00</t>
  </si>
  <si>
    <t>3190</t>
  </si>
  <si>
    <t>2024-03-23 05:00:00</t>
  </si>
  <si>
    <t>1470</t>
  </si>
  <si>
    <t>2024-03-23 06:00:00</t>
  </si>
  <si>
    <t xml:space="preserve"> CUST0325 </t>
  </si>
  <si>
    <t>2028</t>
  </si>
  <si>
    <t>2024-03-23 07:00:00</t>
  </si>
  <si>
    <t>1736</t>
  </si>
  <si>
    <t>2024-03-23 08:00:00</t>
  </si>
  <si>
    <t>191</t>
  </si>
  <si>
    <t>2024-03-23 09:00:00</t>
  </si>
  <si>
    <t>1943</t>
  </si>
  <si>
    <t>2024-03-23 10:00:00</t>
  </si>
  <si>
    <t>2024-03-23 11:00:00</t>
  </si>
  <si>
    <t>4923</t>
  </si>
  <si>
    <t>2024-03-23 12:00:00</t>
  </si>
  <si>
    <t>1671</t>
  </si>
  <si>
    <t>2024-03-23 13:00:00</t>
  </si>
  <si>
    <t xml:space="preserve"> CUST0216 </t>
  </si>
  <si>
    <t>2024-03-23 14:00:00</t>
  </si>
  <si>
    <t>4540</t>
  </si>
  <si>
    <t>2024-03-23 15:00:00</t>
  </si>
  <si>
    <t>2225</t>
  </si>
  <si>
    <t>2024-03-23 16:00:00</t>
  </si>
  <si>
    <t>4362</t>
  </si>
  <si>
    <t>2024-03-23 17:00:00</t>
  </si>
  <si>
    <t>363</t>
  </si>
  <si>
    <t>2024-03-23 18:00:00</t>
  </si>
  <si>
    <t>2024-03-23 19:00:00</t>
  </si>
  <si>
    <t>2024-03-23 20:00:00</t>
  </si>
  <si>
    <t>1908</t>
  </si>
  <si>
    <t>2024-03-23 21:00:00</t>
  </si>
  <si>
    <t>2024-03-23 22:00:00</t>
  </si>
  <si>
    <t>1849</t>
  </si>
  <si>
    <t>2024-03-23 23:00:00</t>
  </si>
  <si>
    <t>2009</t>
  </si>
  <si>
    <t>2024-03-24 00:00:00</t>
  </si>
  <si>
    <t>2723</t>
  </si>
  <si>
    <t>2024-03-24 01:00:00</t>
  </si>
  <si>
    <t>2024-03-24 02:00:00</t>
  </si>
  <si>
    <t>2578</t>
  </si>
  <si>
    <t>2024-03-24 03:00:00</t>
  </si>
  <si>
    <t>2024-03-24 04:00:00</t>
  </si>
  <si>
    <t>2610</t>
  </si>
  <si>
    <t>2024-03-24 05:00:00</t>
  </si>
  <si>
    <t>200</t>
  </si>
  <si>
    <t>2024-03-24 06:00:00</t>
  </si>
  <si>
    <t>2024-03-24 07:00:00</t>
  </si>
  <si>
    <t>Row Labels</t>
  </si>
  <si>
    <t>East</t>
  </si>
  <si>
    <t>North</t>
  </si>
  <si>
    <t>South</t>
  </si>
  <si>
    <t>West</t>
  </si>
  <si>
    <t>Grand Total</t>
  </si>
  <si>
    <t>Sum of Revenue_Final</t>
  </si>
  <si>
    <t>Cash</t>
  </si>
  <si>
    <t>Home Appliances</t>
  </si>
  <si>
    <t>Debit Card</t>
  </si>
  <si>
    <t>Upi</t>
  </si>
  <si>
    <t>Net Banking</t>
  </si>
  <si>
    <t>Count of Sale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</si>
</sst>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22"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0" fillId="0" borderId="0" xfId="0" applyBorder="1"/>
  </cellXfs>
  <cellStyles count="1">
    <cellStyle name="Normal" xfId="0" builtinId="0"/>
  </cellStyles>
  <dxfs count="124">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27" formatCode="dd/mm/yyyy\ hh:mm"/>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[Sales_Pivot_Report.xlsx]Region_Analysis!PivotTable3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Region_Analysis!$B$3</c:f>
              <c:strCache>
                <c:ptCount val="1"/>
                <c:pt idx="0">
                  <c:v>Total</c:v>
                </c:pt>
              </c:strCache>
            </c:strRef>
          </c:tx>
          <c:spPr>
            <a:solidFill>
              <a:schemeClr val="accent1"/>
            </a:solidFill>
            <a:ln>
              <a:noFill/>
            </a:ln>
            <a:effectLst/>
          </c:spPr>
          <c:invertIfNegative val="0"/>
          <c:cat>
            <c:strRef>
              <c:f>Region_Analysis!$A$4:$A$8</c:f>
              <c:strCache>
                <c:ptCount val="4"/>
                <c:pt idx="0">
                  <c:v>East</c:v>
                </c:pt>
                <c:pt idx="1">
                  <c:v>North</c:v>
                </c:pt>
                <c:pt idx="2">
                  <c:v>South</c:v>
                </c:pt>
                <c:pt idx="3">
                  <c:v>West</c:v>
                </c:pt>
              </c:strCache>
            </c:strRef>
          </c:cat>
          <c:val>
            <c:numRef>
              <c:f>Region_Analysis!$B$4:$B$8</c:f>
              <c:numCache>
                <c:formatCode>"₹"\ #,##0.00</c:formatCode>
                <c:ptCount val="4"/>
                <c:pt idx="0">
                  <c:v>9408444</c:v>
                </c:pt>
                <c:pt idx="1">
                  <c:v>10743033</c:v>
                </c:pt>
                <c:pt idx="2">
                  <c:v>9187908</c:v>
                </c:pt>
                <c:pt idx="3">
                  <c:v>9104524</c:v>
                </c:pt>
              </c:numCache>
            </c:numRef>
          </c:val>
          <c:extLst>
            <c:ext xmlns:c16="http://schemas.microsoft.com/office/drawing/2014/chart" uri="{C3380CC4-5D6E-409C-BE32-E72D297353CC}">
              <c16:uniqueId val="{00000000-FE56-463F-96A2-18663899E39B}"/>
            </c:ext>
          </c:extLst>
        </c:ser>
        <c:dLbls>
          <c:showLegendKey val="0"/>
          <c:showVal val="0"/>
          <c:showCatName val="0"/>
          <c:showSerName val="0"/>
          <c:showPercent val="0"/>
          <c:showBubbleSize val="0"/>
        </c:dLbls>
        <c:gapWidth val="219"/>
        <c:overlap val="-27"/>
        <c:axId val="300081616"/>
        <c:axId val="300087024"/>
      </c:barChart>
      <c:catAx>
        <c:axId val="30008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087024"/>
        <c:crosses val="autoZero"/>
        <c:auto val="1"/>
        <c:lblAlgn val="ctr"/>
        <c:lblOffset val="100"/>
        <c:noMultiLvlLbl val="0"/>
      </c:catAx>
      <c:valAx>
        <c:axId val="300087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08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[Sales_Pivot_Report.xlsx]Category_Analysis!PivotTable4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Category_Analysis!$B$3</c:f>
              <c:strCache>
                <c:ptCount val="1"/>
                <c:pt idx="0">
                  <c:v>Total</c:v>
                </c:pt>
              </c:strCache>
            </c:strRef>
          </c:tx>
          <c:spPr>
            <a:solidFill>
              <a:schemeClr val="accent1"/>
            </a:solidFill>
            <a:ln>
              <a:noFill/>
            </a:ln>
            <a:effectLst/>
          </c:spPr>
          <c:invertIfNegative val="0"/>
          <c:cat>
            <c:strRef>
              <c:f>Category_Analysis!$A$4:$A$8</c:f>
              <c:strCache>
                <c:ptCount val="4"/>
                <c:pt idx="0">
                  <c:v>Clothing</c:v>
                </c:pt>
                <c:pt idx="1">
                  <c:v>Electronics</c:v>
                </c:pt>
                <c:pt idx="2">
                  <c:v>Grocery</c:v>
                </c:pt>
                <c:pt idx="3">
                  <c:v>Home Appliances</c:v>
                </c:pt>
              </c:strCache>
            </c:strRef>
          </c:cat>
          <c:val>
            <c:numRef>
              <c:f>Category_Analysis!$B$4:$B$8</c:f>
              <c:numCache>
                <c:formatCode>"₹"\ #,##0.00</c:formatCode>
                <c:ptCount val="4"/>
                <c:pt idx="0">
                  <c:v>8413119</c:v>
                </c:pt>
                <c:pt idx="1">
                  <c:v>10412009</c:v>
                </c:pt>
                <c:pt idx="2">
                  <c:v>9980062</c:v>
                </c:pt>
                <c:pt idx="3">
                  <c:v>9638719</c:v>
                </c:pt>
              </c:numCache>
            </c:numRef>
          </c:val>
          <c:extLst>
            <c:ext xmlns:c16="http://schemas.microsoft.com/office/drawing/2014/chart" uri="{C3380CC4-5D6E-409C-BE32-E72D297353CC}">
              <c16:uniqueId val="{00000000-3E15-462E-A996-6703D39C915A}"/>
            </c:ext>
          </c:extLst>
        </c:ser>
        <c:dLbls>
          <c:showLegendKey val="0"/>
          <c:showVal val="0"/>
          <c:showCatName val="0"/>
          <c:showSerName val="0"/>
          <c:showPercent val="0"/>
          <c:showBubbleSize val="0"/>
        </c:dLbls>
        <c:gapWidth val="182"/>
        <c:axId val="294907056"/>
        <c:axId val="294904144"/>
      </c:barChart>
      <c:catAx>
        <c:axId val="294907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904144"/>
        <c:crosses val="autoZero"/>
        <c:auto val="1"/>
        <c:lblAlgn val="ctr"/>
        <c:lblOffset val="100"/>
        <c:noMultiLvlLbl val="0"/>
      </c:catAx>
      <c:valAx>
        <c:axId val="294904144"/>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90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[Sales_Pivot_Report.xlsx]Weekly_Performance!PivotTable5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Weekly_Performance!$B$3</c:f>
              <c:strCache>
                <c:ptCount val="1"/>
                <c:pt idx="0">
                  <c:v>Total</c:v>
                </c:pt>
              </c:strCache>
            </c:strRef>
          </c:tx>
          <c:spPr>
            <a:ln w="28575" cap="rnd">
              <a:solidFill>
                <a:schemeClr val="accent1"/>
              </a:solidFill>
              <a:round/>
            </a:ln>
            <a:effectLst/>
          </c:spPr>
          <c:marker>
            <c:symbol val="none"/>
          </c:marker>
          <c:cat>
            <c:strRef>
              <c:f>Weekly_Performance!$A$4:$A$16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Weekly_Performance!$B$4:$B$16</c:f>
              <c:numCache>
                <c:formatCode>"₹"\ #,##0.00</c:formatCode>
                <c:ptCount val="12"/>
                <c:pt idx="0">
                  <c:v>3043062</c:v>
                </c:pt>
                <c:pt idx="1">
                  <c:v>3239001</c:v>
                </c:pt>
                <c:pt idx="2">
                  <c:v>3045723</c:v>
                </c:pt>
                <c:pt idx="3">
                  <c:v>3052355</c:v>
                </c:pt>
                <c:pt idx="4">
                  <c:v>3113389</c:v>
                </c:pt>
                <c:pt idx="5">
                  <c:v>3424715</c:v>
                </c:pt>
                <c:pt idx="6">
                  <c:v>3359216</c:v>
                </c:pt>
                <c:pt idx="7">
                  <c:v>3211579</c:v>
                </c:pt>
                <c:pt idx="8">
                  <c:v>3265895</c:v>
                </c:pt>
                <c:pt idx="9">
                  <c:v>3085793</c:v>
                </c:pt>
                <c:pt idx="10">
                  <c:v>3316291</c:v>
                </c:pt>
                <c:pt idx="11">
                  <c:v>3286890</c:v>
                </c:pt>
              </c:numCache>
            </c:numRef>
          </c:val>
          <c:smooth val="0"/>
          <c:extLst>
            <c:ext xmlns:c16="http://schemas.microsoft.com/office/drawing/2014/chart" uri="{C3380CC4-5D6E-409C-BE32-E72D297353CC}">
              <c16:uniqueId val="{00000000-E967-4927-A72E-DC1592D59C60}"/>
            </c:ext>
          </c:extLst>
        </c:ser>
        <c:dLbls>
          <c:showLegendKey val="0"/>
          <c:showVal val="0"/>
          <c:showCatName val="0"/>
          <c:showSerName val="0"/>
          <c:showPercent val="0"/>
          <c:showBubbleSize val="0"/>
        </c:dLbls>
        <c:smooth val="0"/>
        <c:axId val="300092016"/>
        <c:axId val="300094512"/>
      </c:lineChart>
      <c:catAx>
        <c:axId val="30009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094512"/>
        <c:crosses val="autoZero"/>
        <c:auto val="1"/>
        <c:lblAlgn val="ctr"/>
        <c:lblOffset val="100"/>
        <c:noMultiLvlLbl val="0"/>
      </c:catAx>
      <c:valAx>
        <c:axId val="3000945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09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[Sales_Pivot_Report.xlsx]Payment_Analysis!PivotTable6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Payment_Analysis!$B$3</c:f>
              <c:strCache>
                <c:ptCount val="1"/>
                <c:pt idx="0">
                  <c:v>Sum of Revenue_Final</c:v>
                </c:pt>
              </c:strCache>
            </c:strRef>
          </c:tx>
          <c:spPr>
            <a:solidFill>
              <a:schemeClr val="accent1"/>
            </a:solidFill>
            <a:ln>
              <a:noFill/>
            </a:ln>
            <a:effectLst/>
          </c:spPr>
          <c:invertIfNegative val="0"/>
          <c:cat>
            <c:strRef>
              <c:f>Payment_Analysis!$A$4:$A$9</c:f>
              <c:strCache>
                <c:ptCount val="5"/>
                <c:pt idx="0">
                  <c:v>Cash</c:v>
                </c:pt>
                <c:pt idx="1">
                  <c:v>Credit Card</c:v>
                </c:pt>
                <c:pt idx="2">
                  <c:v>Debit Card</c:v>
                </c:pt>
                <c:pt idx="3">
                  <c:v>Net Banking</c:v>
                </c:pt>
                <c:pt idx="4">
                  <c:v>Upi</c:v>
                </c:pt>
              </c:strCache>
            </c:strRef>
          </c:cat>
          <c:val>
            <c:numRef>
              <c:f>Payment_Analysis!$B$4:$B$9</c:f>
              <c:numCache>
                <c:formatCode>"₹"\ #,##0.00</c:formatCode>
                <c:ptCount val="5"/>
                <c:pt idx="0">
                  <c:v>8687981</c:v>
                </c:pt>
                <c:pt idx="1">
                  <c:v>7862097</c:v>
                </c:pt>
                <c:pt idx="2">
                  <c:v>7095748</c:v>
                </c:pt>
                <c:pt idx="3">
                  <c:v>7288928</c:v>
                </c:pt>
                <c:pt idx="4">
                  <c:v>7509155</c:v>
                </c:pt>
              </c:numCache>
            </c:numRef>
          </c:val>
          <c:extLst>
            <c:ext xmlns:c16="http://schemas.microsoft.com/office/drawing/2014/chart" uri="{C3380CC4-5D6E-409C-BE32-E72D297353CC}">
              <c16:uniqueId val="{00000000-A178-4F10-A9BF-6197C08428E6}"/>
            </c:ext>
          </c:extLst>
        </c:ser>
        <c:ser>
          <c:idx val="1"/>
          <c:order val="1"/>
          <c:tx>
            <c:strRef>
              <c:f>Payment_Analysis!$C$3</c:f>
              <c:strCache>
                <c:ptCount val="1"/>
                <c:pt idx="0">
                  <c:v>Count of Sale ID</c:v>
                </c:pt>
              </c:strCache>
            </c:strRef>
          </c:tx>
          <c:spPr>
            <a:solidFill>
              <a:schemeClr val="accent2"/>
            </a:solidFill>
            <a:ln>
              <a:noFill/>
            </a:ln>
            <a:effectLst/>
          </c:spPr>
          <c:invertIfNegative val="0"/>
          <c:cat>
            <c:strRef>
              <c:f>Payment_Analysis!$A$4:$A$9</c:f>
              <c:strCache>
                <c:ptCount val="5"/>
                <c:pt idx="0">
                  <c:v>Cash</c:v>
                </c:pt>
                <c:pt idx="1">
                  <c:v>Credit Card</c:v>
                </c:pt>
                <c:pt idx="2">
                  <c:v>Debit Card</c:v>
                </c:pt>
                <c:pt idx="3">
                  <c:v>Net Banking</c:v>
                </c:pt>
                <c:pt idx="4">
                  <c:v>Upi</c:v>
                </c:pt>
              </c:strCache>
            </c:strRef>
          </c:cat>
          <c:val>
            <c:numRef>
              <c:f>Payment_Analysis!$C$4:$C$9</c:f>
              <c:numCache>
                <c:formatCode>General</c:formatCode>
                <c:ptCount val="5"/>
                <c:pt idx="0">
                  <c:v>454</c:v>
                </c:pt>
                <c:pt idx="1">
                  <c:v>401</c:v>
                </c:pt>
                <c:pt idx="2">
                  <c:v>379</c:v>
                </c:pt>
                <c:pt idx="3">
                  <c:v>392</c:v>
                </c:pt>
                <c:pt idx="4">
                  <c:v>374</c:v>
                </c:pt>
              </c:numCache>
            </c:numRef>
          </c:val>
          <c:extLst>
            <c:ext xmlns:c16="http://schemas.microsoft.com/office/drawing/2014/chart" uri="{C3380CC4-5D6E-409C-BE32-E72D297353CC}">
              <c16:uniqueId val="{00000001-A178-4F10-A9BF-6197C08428E6}"/>
            </c:ext>
          </c:extLst>
        </c:ser>
        <c:dLbls>
          <c:showLegendKey val="0"/>
          <c:showVal val="0"/>
          <c:showCatName val="0"/>
          <c:showSerName val="0"/>
          <c:showPercent val="0"/>
          <c:showBubbleSize val="0"/>
        </c:dLbls>
        <c:gapWidth val="219"/>
        <c:overlap val="-27"/>
        <c:axId val="111159328"/>
        <c:axId val="111160992"/>
      </c:barChart>
      <c:catAx>
        <c:axId val="11115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60992"/>
        <c:crosses val="autoZero"/>
        <c:auto val="1"/>
        <c:lblAlgn val="ctr"/>
        <c:lblOffset val="100"/>
        <c:noMultiLvlLbl val="0"/>
      </c:catAx>
      <c:valAx>
        <c:axId val="1111609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5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[Sales_Pivot_Report.xlsx]Region_Analysis!PivotTable3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Region_Analysis!$B$3</c:f>
              <c:strCache>
                <c:ptCount val="1"/>
                <c:pt idx="0">
                  <c:v>Total</c:v>
                </c:pt>
              </c:strCache>
            </c:strRef>
          </c:tx>
          <c:spPr>
            <a:solidFill>
              <a:schemeClr val="accent1"/>
            </a:solidFill>
            <a:ln>
              <a:noFill/>
            </a:ln>
            <a:effectLst/>
          </c:spPr>
          <c:invertIfNegative val="0"/>
          <c:cat>
            <c:strRef>
              <c:f>Region_Analysis!$A$4:$A$8</c:f>
              <c:strCache>
                <c:ptCount val="4"/>
                <c:pt idx="0">
                  <c:v>East</c:v>
                </c:pt>
                <c:pt idx="1">
                  <c:v>North</c:v>
                </c:pt>
                <c:pt idx="2">
                  <c:v>South</c:v>
                </c:pt>
                <c:pt idx="3">
                  <c:v>West</c:v>
                </c:pt>
              </c:strCache>
            </c:strRef>
          </c:cat>
          <c:val>
            <c:numRef>
              <c:f>Region_Analysis!$B$4:$B$8</c:f>
              <c:numCache>
                <c:formatCode>"₹"\ #,##0.00</c:formatCode>
                <c:ptCount val="4"/>
                <c:pt idx="0">
                  <c:v>9408444</c:v>
                </c:pt>
                <c:pt idx="1">
                  <c:v>10743033</c:v>
                </c:pt>
                <c:pt idx="2">
                  <c:v>9187908</c:v>
                </c:pt>
                <c:pt idx="3">
                  <c:v>9104524</c:v>
                </c:pt>
              </c:numCache>
            </c:numRef>
          </c:val>
          <c:extLst>
            <c:ext xmlns:c16="http://schemas.microsoft.com/office/drawing/2014/chart" uri="{C3380CC4-5D6E-409C-BE32-E72D297353CC}">
              <c16:uniqueId val="{00000000-059D-44E6-97C4-72E3ADB6BA6D}"/>
            </c:ext>
          </c:extLst>
        </c:ser>
        <c:dLbls>
          <c:showLegendKey val="0"/>
          <c:showVal val="0"/>
          <c:showCatName val="0"/>
          <c:showSerName val="0"/>
          <c:showPercent val="0"/>
          <c:showBubbleSize val="0"/>
        </c:dLbls>
        <c:gapWidth val="219"/>
        <c:overlap val="-27"/>
        <c:axId val="300081616"/>
        <c:axId val="300087024"/>
      </c:barChart>
      <c:catAx>
        <c:axId val="30008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087024"/>
        <c:crosses val="autoZero"/>
        <c:auto val="1"/>
        <c:lblAlgn val="ctr"/>
        <c:lblOffset val="100"/>
        <c:noMultiLvlLbl val="0"/>
      </c:catAx>
      <c:valAx>
        <c:axId val="300087024"/>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08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[Sales_Pivot_Report.xlsx]Category_Analysis!PivotTable4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Category_Analysis!$B$3</c:f>
              <c:strCache>
                <c:ptCount val="1"/>
                <c:pt idx="0">
                  <c:v>Total</c:v>
                </c:pt>
              </c:strCache>
            </c:strRef>
          </c:tx>
          <c:spPr>
            <a:solidFill>
              <a:schemeClr val="accent1"/>
            </a:solidFill>
            <a:ln>
              <a:noFill/>
            </a:ln>
            <a:effectLst/>
          </c:spPr>
          <c:invertIfNegative val="0"/>
          <c:cat>
            <c:strRef>
              <c:f>Category_Analysis!$A$4:$A$8</c:f>
              <c:strCache>
                <c:ptCount val="4"/>
                <c:pt idx="0">
                  <c:v>Clothing</c:v>
                </c:pt>
                <c:pt idx="1">
                  <c:v>Electronics</c:v>
                </c:pt>
                <c:pt idx="2">
                  <c:v>Grocery</c:v>
                </c:pt>
                <c:pt idx="3">
                  <c:v>Home Appliances</c:v>
                </c:pt>
              </c:strCache>
            </c:strRef>
          </c:cat>
          <c:val>
            <c:numRef>
              <c:f>Category_Analysis!$B$4:$B$8</c:f>
              <c:numCache>
                <c:formatCode>"₹"\ #,##0.00</c:formatCode>
                <c:ptCount val="4"/>
                <c:pt idx="0">
                  <c:v>8413119</c:v>
                </c:pt>
                <c:pt idx="1">
                  <c:v>10412009</c:v>
                </c:pt>
                <c:pt idx="2">
                  <c:v>9980062</c:v>
                </c:pt>
                <c:pt idx="3">
                  <c:v>9638719</c:v>
                </c:pt>
              </c:numCache>
            </c:numRef>
          </c:val>
          <c:extLst>
            <c:ext xmlns:c16="http://schemas.microsoft.com/office/drawing/2014/chart" uri="{C3380CC4-5D6E-409C-BE32-E72D297353CC}">
              <c16:uniqueId val="{00000000-669E-44C5-8398-F8DDA9CFE3E7}"/>
            </c:ext>
          </c:extLst>
        </c:ser>
        <c:dLbls>
          <c:showLegendKey val="0"/>
          <c:showVal val="0"/>
          <c:showCatName val="0"/>
          <c:showSerName val="0"/>
          <c:showPercent val="0"/>
          <c:showBubbleSize val="0"/>
        </c:dLbls>
        <c:gapWidth val="182"/>
        <c:axId val="294907056"/>
        <c:axId val="294904144"/>
      </c:barChart>
      <c:catAx>
        <c:axId val="294907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904144"/>
        <c:crosses val="autoZero"/>
        <c:auto val="1"/>
        <c:lblAlgn val="ctr"/>
        <c:lblOffset val="100"/>
        <c:noMultiLvlLbl val="0"/>
      </c:catAx>
      <c:valAx>
        <c:axId val="294904144"/>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90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[Sales_Pivot_Report.xlsx]Payment_Analysis!PivotTable6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Payment_Analysis!$B$3</c:f>
              <c:strCache>
                <c:ptCount val="1"/>
                <c:pt idx="0">
                  <c:v>Sum of Revenue_Final</c:v>
                </c:pt>
              </c:strCache>
            </c:strRef>
          </c:tx>
          <c:spPr>
            <a:solidFill>
              <a:schemeClr val="accent1"/>
            </a:solidFill>
            <a:ln>
              <a:noFill/>
            </a:ln>
            <a:effectLst/>
          </c:spPr>
          <c:invertIfNegative val="0"/>
          <c:cat>
            <c:strRef>
              <c:f>Payment_Analysis!$A$4:$A$9</c:f>
              <c:strCache>
                <c:ptCount val="5"/>
                <c:pt idx="0">
                  <c:v>Cash</c:v>
                </c:pt>
                <c:pt idx="1">
                  <c:v>Credit Card</c:v>
                </c:pt>
                <c:pt idx="2">
                  <c:v>Debit Card</c:v>
                </c:pt>
                <c:pt idx="3">
                  <c:v>Net Banking</c:v>
                </c:pt>
                <c:pt idx="4">
                  <c:v>Upi</c:v>
                </c:pt>
              </c:strCache>
            </c:strRef>
          </c:cat>
          <c:val>
            <c:numRef>
              <c:f>Payment_Analysis!$B$4:$B$9</c:f>
              <c:numCache>
                <c:formatCode>"₹"\ #,##0.00</c:formatCode>
                <c:ptCount val="5"/>
                <c:pt idx="0">
                  <c:v>8687981</c:v>
                </c:pt>
                <c:pt idx="1">
                  <c:v>7862097</c:v>
                </c:pt>
                <c:pt idx="2">
                  <c:v>7095748</c:v>
                </c:pt>
                <c:pt idx="3">
                  <c:v>7288928</c:v>
                </c:pt>
                <c:pt idx="4">
                  <c:v>7509155</c:v>
                </c:pt>
              </c:numCache>
            </c:numRef>
          </c:val>
          <c:extLst>
            <c:ext xmlns:c16="http://schemas.microsoft.com/office/drawing/2014/chart" uri="{C3380CC4-5D6E-409C-BE32-E72D297353CC}">
              <c16:uniqueId val="{00000000-6CE5-460E-AA07-58D3C97673A9}"/>
            </c:ext>
          </c:extLst>
        </c:ser>
        <c:ser>
          <c:idx val="1"/>
          <c:order val="1"/>
          <c:tx>
            <c:strRef>
              <c:f>Payment_Analysis!$C$3</c:f>
              <c:strCache>
                <c:ptCount val="1"/>
                <c:pt idx="0">
                  <c:v>Count of Sale ID</c:v>
                </c:pt>
              </c:strCache>
            </c:strRef>
          </c:tx>
          <c:spPr>
            <a:solidFill>
              <a:schemeClr val="accent2"/>
            </a:solidFill>
            <a:ln>
              <a:noFill/>
            </a:ln>
            <a:effectLst/>
          </c:spPr>
          <c:invertIfNegative val="0"/>
          <c:cat>
            <c:strRef>
              <c:f>Payment_Analysis!$A$4:$A$9</c:f>
              <c:strCache>
                <c:ptCount val="5"/>
                <c:pt idx="0">
                  <c:v>Cash</c:v>
                </c:pt>
                <c:pt idx="1">
                  <c:v>Credit Card</c:v>
                </c:pt>
                <c:pt idx="2">
                  <c:v>Debit Card</c:v>
                </c:pt>
                <c:pt idx="3">
                  <c:v>Net Banking</c:v>
                </c:pt>
                <c:pt idx="4">
                  <c:v>Upi</c:v>
                </c:pt>
              </c:strCache>
            </c:strRef>
          </c:cat>
          <c:val>
            <c:numRef>
              <c:f>Payment_Analysis!$C$4:$C$9</c:f>
              <c:numCache>
                <c:formatCode>General</c:formatCode>
                <c:ptCount val="5"/>
                <c:pt idx="0">
                  <c:v>454</c:v>
                </c:pt>
                <c:pt idx="1">
                  <c:v>401</c:v>
                </c:pt>
                <c:pt idx="2">
                  <c:v>379</c:v>
                </c:pt>
                <c:pt idx="3">
                  <c:v>392</c:v>
                </c:pt>
                <c:pt idx="4">
                  <c:v>374</c:v>
                </c:pt>
              </c:numCache>
            </c:numRef>
          </c:val>
          <c:extLst>
            <c:ext xmlns:c16="http://schemas.microsoft.com/office/drawing/2014/chart" uri="{C3380CC4-5D6E-409C-BE32-E72D297353CC}">
              <c16:uniqueId val="{00000001-6CE5-460E-AA07-58D3C97673A9}"/>
            </c:ext>
          </c:extLst>
        </c:ser>
        <c:dLbls>
          <c:showLegendKey val="0"/>
          <c:showVal val="0"/>
          <c:showCatName val="0"/>
          <c:showSerName val="0"/>
          <c:showPercent val="0"/>
          <c:showBubbleSize val="0"/>
        </c:dLbls>
        <c:gapWidth val="219"/>
        <c:overlap val="-27"/>
        <c:axId val="111159328"/>
        <c:axId val="111160992"/>
      </c:barChart>
      <c:catAx>
        <c:axId val="11115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60992"/>
        <c:crosses val="autoZero"/>
        <c:auto val="1"/>
        <c:lblAlgn val="ctr"/>
        <c:lblOffset val="100"/>
        <c:noMultiLvlLbl val="0"/>
      </c:catAx>
      <c:valAx>
        <c:axId val="1111609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5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[Sales_Pivot_Report.xlsx]Weekly_Performance!PivotTable5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Weekly_Performance!$B$3</c:f>
              <c:strCache>
                <c:ptCount val="1"/>
                <c:pt idx="0">
                  <c:v>Total</c:v>
                </c:pt>
              </c:strCache>
            </c:strRef>
          </c:tx>
          <c:spPr>
            <a:ln w="28575" cap="rnd">
              <a:solidFill>
                <a:schemeClr val="accent1"/>
              </a:solidFill>
              <a:round/>
            </a:ln>
            <a:effectLst/>
          </c:spPr>
          <c:marker>
            <c:symbol val="none"/>
          </c:marker>
          <c:cat>
            <c:strRef>
              <c:f>Weekly_Performance!$A$4:$A$16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Weekly_Performance!$B$4:$B$16</c:f>
              <c:numCache>
                <c:formatCode>"₹"\ #,##0.00</c:formatCode>
                <c:ptCount val="12"/>
                <c:pt idx="0">
                  <c:v>3043062</c:v>
                </c:pt>
                <c:pt idx="1">
                  <c:v>3239001</c:v>
                </c:pt>
                <c:pt idx="2">
                  <c:v>3045723</c:v>
                </c:pt>
                <c:pt idx="3">
                  <c:v>3052355</c:v>
                </c:pt>
                <c:pt idx="4">
                  <c:v>3113389</c:v>
                </c:pt>
                <c:pt idx="5">
                  <c:v>3424715</c:v>
                </c:pt>
                <c:pt idx="6">
                  <c:v>3359216</c:v>
                </c:pt>
                <c:pt idx="7">
                  <c:v>3211579</c:v>
                </c:pt>
                <c:pt idx="8">
                  <c:v>3265895</c:v>
                </c:pt>
                <c:pt idx="9">
                  <c:v>3085793</c:v>
                </c:pt>
                <c:pt idx="10">
                  <c:v>3316291</c:v>
                </c:pt>
                <c:pt idx="11">
                  <c:v>3286890</c:v>
                </c:pt>
              </c:numCache>
            </c:numRef>
          </c:val>
          <c:smooth val="0"/>
          <c:extLst>
            <c:ext xmlns:c16="http://schemas.microsoft.com/office/drawing/2014/chart" uri="{C3380CC4-5D6E-409C-BE32-E72D297353CC}">
              <c16:uniqueId val="{00000000-687F-4D78-A67D-05D9DDE60BF3}"/>
            </c:ext>
          </c:extLst>
        </c:ser>
        <c:dLbls>
          <c:showLegendKey val="0"/>
          <c:showVal val="0"/>
          <c:showCatName val="0"/>
          <c:showSerName val="0"/>
          <c:showPercent val="0"/>
          <c:showBubbleSize val="0"/>
        </c:dLbls>
        <c:smooth val="0"/>
        <c:axId val="300092016"/>
        <c:axId val="300094512"/>
      </c:lineChart>
      <c:catAx>
        <c:axId val="30009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094512"/>
        <c:crosses val="autoZero"/>
        <c:auto val="1"/>
        <c:lblAlgn val="ctr"/>
        <c:lblOffset val="100"/>
        <c:noMultiLvlLbl val="0"/>
      </c:catAx>
      <c:valAx>
        <c:axId val="3000945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09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xdr:col>
      <xdr:colOff>167640</xdr:colOff>
      <xdr:row>1</xdr:row>
      <xdr:rowOff>167640</xdr:rowOff>
    </xdr:from>
    <xdr:to>
      <xdr:col>6</xdr:col>
      <xdr:colOff>381000</xdr:colOff>
      <xdr:row>10</xdr:row>
      <xdr:rowOff>0</xdr:rowOff>
    </xdr:to>
    <mc:AlternateContent xmlns:mc="http://schemas.openxmlformats.org/markup-compatibility/2006" xmlns:a14="http://schemas.microsoft.com/office/drawing/2010/main">
      <mc:Choice Requires="a14">
        <xdr:graphicFrame macro="">
          <xdr:nvGraphicFramePr>
            <xdr:cNvPr id="5" name="Region_clean">
              <a:extLst>
                <a:ext uri="{FF2B5EF4-FFF2-40B4-BE49-F238E27FC236}">
                  <a16:creationId xmlns:a16="http://schemas.microsoft.com/office/drawing/2014/main" id="{AFEBEE07-215D-421C-B70C-9E923F1E5C8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_clean"/>
            </a:graphicData>
          </a:graphic>
        </xdr:graphicFrame>
      </mc:Choice>
      <mc:Fallback xmlns="">
        <xdr:sp macro="" textlink="">
          <xdr:nvSpPr>
            <xdr:cNvPr id="0" name=""/>
            <xdr:cNvSpPr>
              <a:spLocks noTextEdit="1"/>
            </xdr:cNvSpPr>
          </xdr:nvSpPr>
          <xdr:spPr>
            <a:xfrm>
              <a:off x="2392680" y="350520"/>
              <a:ext cx="265176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571500</xdr:colOff>
      <xdr:row>2</xdr:row>
      <xdr:rowOff>7620</xdr:rowOff>
    </xdr:from>
    <xdr:to>
      <xdr:col>9</xdr:col>
      <xdr:colOff>571500</xdr:colOff>
      <xdr:row>11</xdr:row>
      <xdr:rowOff>91440</xdr:rowOff>
    </xdr:to>
    <mc:AlternateContent xmlns:mc="http://schemas.openxmlformats.org/markup-compatibility/2006" xmlns:a14="http://schemas.microsoft.com/office/drawing/2010/main">
      <mc:Choice Requires="a14">
        <xdr:graphicFrame macro="">
          <xdr:nvGraphicFramePr>
            <xdr:cNvPr id="6" name="Salesperson_clean">
              <a:extLst>
                <a:ext uri="{FF2B5EF4-FFF2-40B4-BE49-F238E27FC236}">
                  <a16:creationId xmlns:a16="http://schemas.microsoft.com/office/drawing/2014/main" id="{A717699D-79CE-4F94-AD96-29C5A5E68598}"/>
                </a:ext>
              </a:extLst>
            </xdr:cNvPr>
            <xdr:cNvGraphicFramePr/>
          </xdr:nvGraphicFramePr>
          <xdr:xfrm>
            <a:off x="0" y="0"/>
            <a:ext cx="0" cy="0"/>
          </xdr:xfrm>
          <a:graphic>
            <a:graphicData uri="http://schemas.microsoft.com/office/drawing/2010/slicer">
              <sle:slicer xmlns:sle="http://schemas.microsoft.com/office/drawing/2010/slicer" name="Salesperson_clean"/>
            </a:graphicData>
          </a:graphic>
        </xdr:graphicFrame>
      </mc:Choice>
      <mc:Fallback xmlns="">
        <xdr:sp macro="" textlink="">
          <xdr:nvSpPr>
            <xdr:cNvPr id="0" name=""/>
            <xdr:cNvSpPr>
              <a:spLocks noTextEdit="1"/>
            </xdr:cNvSpPr>
          </xdr:nvSpPr>
          <xdr:spPr>
            <a:xfrm>
              <a:off x="5234940" y="373380"/>
              <a:ext cx="1828800"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167640</xdr:colOff>
      <xdr:row>11</xdr:row>
      <xdr:rowOff>3810</xdr:rowOff>
    </xdr:from>
    <xdr:to>
      <xdr:col>6</xdr:col>
      <xdr:colOff>76200</xdr:colOff>
      <xdr:row>26</xdr:row>
      <xdr:rowOff>3810</xdr:rowOff>
    </xdr:to>
    <xdr:graphicFrame macro="">
      <xdr:nvGraphicFramePr>
        <xdr:cNvPr id="2" name="Chart 1">
          <a:extLst>
            <a:ext uri="{FF2B5EF4-FFF2-40B4-BE49-F238E27FC236}">
              <a16:creationId xmlns:a16="http://schemas.microsoft.com/office/drawing/2014/main" id="{785BB88F-17AC-A6F0-EFA4-0C6357148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182880</xdr:colOff>
      <xdr:row>2</xdr:row>
      <xdr:rowOff>15240</xdr:rowOff>
    </xdr:from>
    <xdr:to>
      <xdr:col>5</xdr:col>
      <xdr:colOff>182880</xdr:colOff>
      <xdr:row>9</xdr:row>
      <xdr:rowOff>175260</xdr:rowOff>
    </xdr:to>
    <mc:AlternateContent xmlns:mc="http://schemas.openxmlformats.org/markup-compatibility/2006" xmlns:a14="http://schemas.microsoft.com/office/drawing/2010/main">
      <mc:Choice Requires="a14">
        <xdr:graphicFrame macro="">
          <xdr:nvGraphicFramePr>
            <xdr:cNvPr id="4" name=" Product Category_clean">
              <a:extLst>
                <a:ext uri="{FF2B5EF4-FFF2-40B4-BE49-F238E27FC236}">
                  <a16:creationId xmlns:a16="http://schemas.microsoft.com/office/drawing/2014/main" id="{57E4E91D-E922-41BE-9572-BD0C44156D2A}"/>
                </a:ext>
              </a:extLst>
            </xdr:cNvPr>
            <xdr:cNvGraphicFramePr/>
          </xdr:nvGraphicFramePr>
          <xdr:xfrm>
            <a:off x="0" y="0"/>
            <a:ext cx="0" cy="0"/>
          </xdr:xfrm>
          <a:graphic>
            <a:graphicData uri="http://schemas.microsoft.com/office/drawing/2010/slicer">
              <sle:slicer xmlns:sle="http://schemas.microsoft.com/office/drawing/2010/slicer" name=" Product Category_clean"/>
            </a:graphicData>
          </a:graphic>
        </xdr:graphicFrame>
      </mc:Choice>
      <mc:Fallback xmlns="">
        <xdr:sp macro="" textlink="">
          <xdr:nvSpPr>
            <xdr:cNvPr id="0" name=""/>
            <xdr:cNvSpPr>
              <a:spLocks noTextEdit="1"/>
            </xdr:cNvSpPr>
          </xdr:nvSpPr>
          <xdr:spPr>
            <a:xfrm>
              <a:off x="2583180" y="381000"/>
              <a:ext cx="18288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106680</xdr:colOff>
      <xdr:row>10</xdr:row>
      <xdr:rowOff>57150</xdr:rowOff>
    </xdr:from>
    <xdr:to>
      <xdr:col>5</xdr:col>
      <xdr:colOff>449580</xdr:colOff>
      <xdr:row>25</xdr:row>
      <xdr:rowOff>57150</xdr:rowOff>
    </xdr:to>
    <xdr:graphicFrame macro="">
      <xdr:nvGraphicFramePr>
        <xdr:cNvPr id="2" name="Chart 1">
          <a:extLst>
            <a:ext uri="{FF2B5EF4-FFF2-40B4-BE49-F238E27FC236}">
              <a16:creationId xmlns:a16="http://schemas.microsoft.com/office/drawing/2014/main" id="{2DA1243F-4E9A-D99F-DA8D-6E115CA26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251460</xdr:colOff>
      <xdr:row>0</xdr:row>
      <xdr:rowOff>1</xdr:rowOff>
    </xdr:from>
    <xdr:to>
      <xdr:col>5</xdr:col>
      <xdr:colOff>251460</xdr:colOff>
      <xdr:row>6</xdr:row>
      <xdr:rowOff>114301</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A9F932F1-6486-4C49-A43C-7270CD80BA8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476500" y="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220980</xdr:colOff>
      <xdr:row>7</xdr:row>
      <xdr:rowOff>125730</xdr:rowOff>
    </xdr:from>
    <xdr:to>
      <xdr:col>9</xdr:col>
      <xdr:colOff>525780</xdr:colOff>
      <xdr:row>22</xdr:row>
      <xdr:rowOff>125730</xdr:rowOff>
    </xdr:to>
    <xdr:graphicFrame macro="">
      <xdr:nvGraphicFramePr>
        <xdr:cNvPr id="3" name="Chart 2">
          <a:extLst>
            <a:ext uri="{FF2B5EF4-FFF2-40B4-BE49-F238E27FC236}">
              <a16:creationId xmlns:a16="http://schemas.microsoft.com/office/drawing/2014/main" id="{9950C1EB-3F2F-B88F-77E8-550CD3F7F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403860</xdr:colOff>
      <xdr:row>2</xdr:row>
      <xdr:rowOff>15240</xdr:rowOff>
    </xdr:from>
    <xdr:to>
      <xdr:col>6</xdr:col>
      <xdr:colOff>403860</xdr:colOff>
      <xdr:row>11</xdr:row>
      <xdr:rowOff>129540</xdr:rowOff>
    </xdr:to>
    <mc:AlternateContent xmlns:mc="http://schemas.openxmlformats.org/markup-compatibility/2006" xmlns:a14="http://schemas.microsoft.com/office/drawing/2010/main">
      <mc:Choice Requires="a14">
        <xdr:graphicFrame macro="">
          <xdr:nvGraphicFramePr>
            <xdr:cNvPr id="5" name="Payment Method_clean">
              <a:extLst>
                <a:ext uri="{FF2B5EF4-FFF2-40B4-BE49-F238E27FC236}">
                  <a16:creationId xmlns:a16="http://schemas.microsoft.com/office/drawing/2014/main" id="{2DA2B2F1-FC3A-0FAC-F833-39E18C144533}"/>
                </a:ext>
              </a:extLst>
            </xdr:cNvPr>
            <xdr:cNvGraphicFramePr/>
          </xdr:nvGraphicFramePr>
          <xdr:xfrm>
            <a:off x="0" y="0"/>
            <a:ext cx="0" cy="0"/>
          </xdr:xfrm>
          <a:graphic>
            <a:graphicData uri="http://schemas.microsoft.com/office/drawing/2010/slicer">
              <sle:slicer xmlns:sle="http://schemas.microsoft.com/office/drawing/2010/slicer" name="Payment Method_clean"/>
            </a:graphicData>
          </a:graphic>
        </xdr:graphicFrame>
      </mc:Choice>
      <mc:Fallback xmlns="">
        <xdr:sp macro="" textlink="">
          <xdr:nvSpPr>
            <xdr:cNvPr id="0" name=""/>
            <xdr:cNvSpPr>
              <a:spLocks noTextEdit="1"/>
            </xdr:cNvSpPr>
          </xdr:nvSpPr>
          <xdr:spPr>
            <a:xfrm>
              <a:off x="3627120" y="381000"/>
              <a:ext cx="1828800" cy="1760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525780</xdr:colOff>
      <xdr:row>2</xdr:row>
      <xdr:rowOff>11430</xdr:rowOff>
    </xdr:from>
    <xdr:to>
      <xdr:col>14</xdr:col>
      <xdr:colOff>220980</xdr:colOff>
      <xdr:row>17</xdr:row>
      <xdr:rowOff>11430</xdr:rowOff>
    </xdr:to>
    <xdr:graphicFrame macro="">
      <xdr:nvGraphicFramePr>
        <xdr:cNvPr id="2" name="Chart 1">
          <a:extLst>
            <a:ext uri="{FF2B5EF4-FFF2-40B4-BE49-F238E27FC236}">
              <a16:creationId xmlns:a16="http://schemas.microsoft.com/office/drawing/2014/main" id="{21FD7287-0AB5-5BBB-9957-07A058633F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525780</xdr:colOff>
      <xdr:row>8</xdr:row>
      <xdr:rowOff>102870</xdr:rowOff>
    </xdr:from>
    <xdr:to>
      <xdr:col>11</xdr:col>
      <xdr:colOff>504556</xdr:colOff>
      <xdr:row>12</xdr:row>
      <xdr:rowOff>95250</xdr:rowOff>
    </xdr:to>
    <mc:AlternateContent xmlns:mc="http://schemas.openxmlformats.org/markup-compatibility/2006">
      <mc:Choice xmlns:a14="http://schemas.microsoft.com/office/drawing/2010/main" Requires="a14">
        <xdr:graphicFrame macro="">
          <xdr:nvGraphicFramePr>
            <xdr:cNvPr id="2" name="Region_clean 1">
              <a:extLst>
                <a:ext uri="{FF2B5EF4-FFF2-40B4-BE49-F238E27FC236}">
                  <a16:creationId xmlns:a16="http://schemas.microsoft.com/office/drawing/2014/main" id="{F6560838-0444-4BE8-9FCF-B43CCB1495D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_clean 1"/>
            </a:graphicData>
          </a:graphic>
        </xdr:graphicFrame>
      </mc:Choice>
      <mc:Fallback>
        <xdr:sp macro="" textlink="">
          <xdr:nvSpPr>
            <xdr:cNvPr id="0" name=""/>
            <xdr:cNvSpPr>
              <a:spLocks noTextEdit="1"/>
            </xdr:cNvSpPr>
          </xdr:nvSpPr>
          <xdr:spPr>
            <a:xfrm>
              <a:off x="4792980" y="1550670"/>
              <a:ext cx="2417176" cy="716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251460</xdr:colOff>
      <xdr:row>12</xdr:row>
      <xdr:rowOff>158114</xdr:rowOff>
    </xdr:from>
    <xdr:to>
      <xdr:col>10</xdr:col>
      <xdr:colOff>601980</xdr:colOff>
      <xdr:row>17</xdr:row>
      <xdr:rowOff>9524</xdr:rowOff>
    </xdr:to>
    <mc:AlternateContent xmlns:mc="http://schemas.openxmlformats.org/markup-compatibility/2006">
      <mc:Choice xmlns:a14="http://schemas.microsoft.com/office/drawing/2010/main" Requires="a14">
        <xdr:graphicFrame macro="">
          <xdr:nvGraphicFramePr>
            <xdr:cNvPr id="3" name=" Product Category_clean 1">
              <a:extLst>
                <a:ext uri="{FF2B5EF4-FFF2-40B4-BE49-F238E27FC236}">
                  <a16:creationId xmlns:a16="http://schemas.microsoft.com/office/drawing/2014/main" id="{8017C360-E025-498A-853D-8C1DCB20A835}"/>
                </a:ext>
              </a:extLst>
            </xdr:cNvPr>
            <xdr:cNvGraphicFramePr/>
          </xdr:nvGraphicFramePr>
          <xdr:xfrm>
            <a:off x="0" y="0"/>
            <a:ext cx="0" cy="0"/>
          </xdr:xfrm>
          <a:graphic>
            <a:graphicData uri="http://schemas.microsoft.com/office/drawing/2010/slicer">
              <sle:slicer xmlns:sle="http://schemas.microsoft.com/office/drawing/2010/slicer" name=" Product Category_clean 1"/>
            </a:graphicData>
          </a:graphic>
        </xdr:graphicFrame>
      </mc:Choice>
      <mc:Fallback>
        <xdr:sp macro="" textlink="">
          <xdr:nvSpPr>
            <xdr:cNvPr id="0" name=""/>
            <xdr:cNvSpPr>
              <a:spLocks noTextEdit="1"/>
            </xdr:cNvSpPr>
          </xdr:nvSpPr>
          <xdr:spPr>
            <a:xfrm>
              <a:off x="2689860" y="2329814"/>
              <a:ext cx="4008120" cy="756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386715</xdr:colOff>
      <xdr:row>12</xdr:row>
      <xdr:rowOff>160020</xdr:rowOff>
    </xdr:from>
    <xdr:to>
      <xdr:col>26</xdr:col>
      <xdr:colOff>36195</xdr:colOff>
      <xdr:row>16</xdr:row>
      <xdr:rowOff>171450</xdr:rowOff>
    </xdr:to>
    <mc:AlternateContent xmlns:mc="http://schemas.openxmlformats.org/markup-compatibility/2006">
      <mc:Choice xmlns:a14="http://schemas.microsoft.com/office/drawing/2010/main" Requires="a14">
        <xdr:graphicFrame macro="">
          <xdr:nvGraphicFramePr>
            <xdr:cNvPr id="4" name="Payment Method_clean 1">
              <a:extLst>
                <a:ext uri="{FF2B5EF4-FFF2-40B4-BE49-F238E27FC236}">
                  <a16:creationId xmlns:a16="http://schemas.microsoft.com/office/drawing/2014/main" id="{A4C22E75-1346-4EA0-B494-E8626D4F6EC0}"/>
                </a:ext>
              </a:extLst>
            </xdr:cNvPr>
            <xdr:cNvGraphicFramePr/>
          </xdr:nvGraphicFramePr>
          <xdr:xfrm>
            <a:off x="0" y="0"/>
            <a:ext cx="0" cy="0"/>
          </xdr:xfrm>
          <a:graphic>
            <a:graphicData uri="http://schemas.microsoft.com/office/drawing/2010/slicer">
              <sle:slicer xmlns:sle="http://schemas.microsoft.com/office/drawing/2010/slicer" name="Payment Method_clean 1"/>
            </a:graphicData>
          </a:graphic>
        </xdr:graphicFrame>
      </mc:Choice>
      <mc:Fallback>
        <xdr:sp macro="" textlink="">
          <xdr:nvSpPr>
            <xdr:cNvPr id="0" name=""/>
            <xdr:cNvSpPr>
              <a:spLocks noTextEdit="1"/>
            </xdr:cNvSpPr>
          </xdr:nvSpPr>
          <xdr:spPr>
            <a:xfrm>
              <a:off x="11359515" y="2331720"/>
              <a:ext cx="4526280" cy="7353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228600</xdr:colOff>
      <xdr:row>9</xdr:row>
      <xdr:rowOff>24765</xdr:rowOff>
    </xdr:from>
    <xdr:to>
      <xdr:col>20</xdr:col>
      <xdr:colOff>220980</xdr:colOff>
      <xdr:row>12</xdr:row>
      <xdr:rowOff>116205</xdr:rowOff>
    </xdr:to>
    <mc:AlternateContent xmlns:mc="http://schemas.openxmlformats.org/markup-compatibility/2006">
      <mc:Choice xmlns:a14="http://schemas.microsoft.com/office/drawing/2010/main" Requires="a14">
        <xdr:graphicFrame macro="">
          <xdr:nvGraphicFramePr>
            <xdr:cNvPr id="5" name="Month 1">
              <a:extLst>
                <a:ext uri="{FF2B5EF4-FFF2-40B4-BE49-F238E27FC236}">
                  <a16:creationId xmlns:a16="http://schemas.microsoft.com/office/drawing/2014/main" id="{A6F1FB06-4D0D-474D-96A1-1A3141FF31E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9982200" y="1653540"/>
              <a:ext cx="2430780" cy="634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66675</xdr:colOff>
      <xdr:row>12</xdr:row>
      <xdr:rowOff>165735</xdr:rowOff>
    </xdr:from>
    <xdr:to>
      <xdr:col>18</xdr:col>
      <xdr:colOff>325755</xdr:colOff>
      <xdr:row>17</xdr:row>
      <xdr:rowOff>5715</xdr:rowOff>
    </xdr:to>
    <mc:AlternateContent xmlns:mc="http://schemas.openxmlformats.org/markup-compatibility/2006">
      <mc:Choice xmlns:a14="http://schemas.microsoft.com/office/drawing/2010/main" Requires="a14">
        <xdr:graphicFrame macro="">
          <xdr:nvGraphicFramePr>
            <xdr:cNvPr id="6" name="Salesperson_clean 1">
              <a:extLst>
                <a:ext uri="{FF2B5EF4-FFF2-40B4-BE49-F238E27FC236}">
                  <a16:creationId xmlns:a16="http://schemas.microsoft.com/office/drawing/2014/main" id="{7F7A8376-B1D2-493D-83A4-D406A2C65C45}"/>
                </a:ext>
              </a:extLst>
            </xdr:cNvPr>
            <xdr:cNvGraphicFramePr/>
          </xdr:nvGraphicFramePr>
          <xdr:xfrm>
            <a:off x="0" y="0"/>
            <a:ext cx="0" cy="0"/>
          </xdr:xfrm>
          <a:graphic>
            <a:graphicData uri="http://schemas.microsoft.com/office/drawing/2010/slicer">
              <sle:slicer xmlns:sle="http://schemas.microsoft.com/office/drawing/2010/slicer" name="Salesperson_clean 1"/>
            </a:graphicData>
          </a:graphic>
        </xdr:graphicFrame>
      </mc:Choice>
      <mc:Fallback>
        <xdr:sp macro="" textlink="">
          <xdr:nvSpPr>
            <xdr:cNvPr id="0" name=""/>
            <xdr:cNvSpPr>
              <a:spLocks noTextEdit="1"/>
            </xdr:cNvSpPr>
          </xdr:nvSpPr>
          <xdr:spPr>
            <a:xfrm>
              <a:off x="6772275" y="2337435"/>
              <a:ext cx="4526280" cy="744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154305</xdr:colOff>
      <xdr:row>20</xdr:row>
      <xdr:rowOff>83820</xdr:rowOff>
    </xdr:from>
    <xdr:to>
      <xdr:col>12</xdr:col>
      <xdr:colOff>169545</xdr:colOff>
      <xdr:row>24</xdr:row>
      <xdr:rowOff>9525</xdr:rowOff>
    </xdr:to>
    <xdr:sp macro="" textlink="">
      <xdr:nvSpPr>
        <xdr:cNvPr id="7" name="Rectangle: Rounded Corners 6">
          <a:extLst>
            <a:ext uri="{FF2B5EF4-FFF2-40B4-BE49-F238E27FC236}">
              <a16:creationId xmlns:a16="http://schemas.microsoft.com/office/drawing/2014/main" id="{E46BDA85-C163-5BFE-AC2B-BDAA3A8D57D1}"/>
            </a:ext>
          </a:extLst>
        </xdr:cNvPr>
        <xdr:cNvSpPr/>
      </xdr:nvSpPr>
      <xdr:spPr>
        <a:xfrm>
          <a:off x="5640705" y="3703320"/>
          <a:ext cx="1844040" cy="649605"/>
        </a:xfrm>
        <a:prstGeom prst="roundRect">
          <a:avLst/>
        </a:prstGeom>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554355</xdr:colOff>
      <xdr:row>20</xdr:row>
      <xdr:rowOff>93345</xdr:rowOff>
    </xdr:from>
    <xdr:to>
      <xdr:col>15</xdr:col>
      <xdr:colOff>569595</xdr:colOff>
      <xdr:row>24</xdr:row>
      <xdr:rowOff>19050</xdr:rowOff>
    </xdr:to>
    <xdr:sp macro="" textlink="">
      <xdr:nvSpPr>
        <xdr:cNvPr id="8" name="Rectangle: Rounded Corners 7">
          <a:extLst>
            <a:ext uri="{FF2B5EF4-FFF2-40B4-BE49-F238E27FC236}">
              <a16:creationId xmlns:a16="http://schemas.microsoft.com/office/drawing/2014/main" id="{42C7E60A-D927-42D4-9C74-B14637411FE2}"/>
            </a:ext>
          </a:extLst>
        </xdr:cNvPr>
        <xdr:cNvSpPr/>
      </xdr:nvSpPr>
      <xdr:spPr>
        <a:xfrm>
          <a:off x="7869555" y="3712845"/>
          <a:ext cx="1844040" cy="649605"/>
        </a:xfrm>
        <a:prstGeom prst="roundRect">
          <a:avLst/>
        </a:prstGeom>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356235</xdr:colOff>
      <xdr:row>20</xdr:row>
      <xdr:rowOff>93345</xdr:rowOff>
    </xdr:from>
    <xdr:to>
      <xdr:col>19</xdr:col>
      <xdr:colOff>371475</xdr:colOff>
      <xdr:row>24</xdr:row>
      <xdr:rowOff>17145</xdr:rowOff>
    </xdr:to>
    <xdr:sp macro="" textlink="">
      <xdr:nvSpPr>
        <xdr:cNvPr id="9" name="Rectangle: Rounded Corners 8">
          <a:extLst>
            <a:ext uri="{FF2B5EF4-FFF2-40B4-BE49-F238E27FC236}">
              <a16:creationId xmlns:a16="http://schemas.microsoft.com/office/drawing/2014/main" id="{2933CE3C-76E0-4EC1-876C-80EFB207BE11}"/>
            </a:ext>
          </a:extLst>
        </xdr:cNvPr>
        <xdr:cNvSpPr/>
      </xdr:nvSpPr>
      <xdr:spPr>
        <a:xfrm>
          <a:off x="10109835" y="3712845"/>
          <a:ext cx="1844040" cy="647700"/>
        </a:xfrm>
        <a:prstGeom prst="roundRect">
          <a:avLst/>
        </a:prstGeom>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142875</xdr:colOff>
      <xdr:row>27</xdr:row>
      <xdr:rowOff>133350</xdr:rowOff>
    </xdr:from>
    <xdr:to>
      <xdr:col>14</xdr:col>
      <xdr:colOff>361950</xdr:colOff>
      <xdr:row>42</xdr:row>
      <xdr:rowOff>133350</xdr:rowOff>
    </xdr:to>
    <xdr:graphicFrame macro="">
      <xdr:nvGraphicFramePr>
        <xdr:cNvPr id="10" name="Chart 9">
          <a:extLst>
            <a:ext uri="{FF2B5EF4-FFF2-40B4-BE49-F238E27FC236}">
              <a16:creationId xmlns:a16="http://schemas.microsoft.com/office/drawing/2014/main" id="{46F8B669-AF5A-415F-B4AB-910834FD1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139064</xdr:colOff>
      <xdr:row>43</xdr:row>
      <xdr:rowOff>152400</xdr:rowOff>
    </xdr:from>
    <xdr:to>
      <xdr:col>14</xdr:col>
      <xdr:colOff>380999</xdr:colOff>
      <xdr:row>58</xdr:row>
      <xdr:rowOff>152400</xdr:rowOff>
    </xdr:to>
    <xdr:graphicFrame macro="">
      <xdr:nvGraphicFramePr>
        <xdr:cNvPr id="11" name="Chart 10">
          <a:extLst>
            <a:ext uri="{FF2B5EF4-FFF2-40B4-BE49-F238E27FC236}">
              <a16:creationId xmlns:a16="http://schemas.microsoft.com/office/drawing/2014/main" id="{940EEB18-D8FC-46C4-A227-9E0FD9136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180974</xdr:colOff>
      <xdr:row>43</xdr:row>
      <xdr:rowOff>150495</xdr:rowOff>
    </xdr:from>
    <xdr:to>
      <xdr:col>26</xdr:col>
      <xdr:colOff>209549</xdr:colOff>
      <xdr:row>58</xdr:row>
      <xdr:rowOff>150495</xdr:rowOff>
    </xdr:to>
    <xdr:graphicFrame macro="">
      <xdr:nvGraphicFramePr>
        <xdr:cNvPr id="12" name="Chart 11">
          <a:extLst>
            <a:ext uri="{FF2B5EF4-FFF2-40B4-BE49-F238E27FC236}">
              <a16:creationId xmlns:a16="http://schemas.microsoft.com/office/drawing/2014/main" id="{2CE87386-22BE-4D8B-B7D6-FC90F49EF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200025</xdr:colOff>
      <xdr:row>27</xdr:row>
      <xdr:rowOff>171450</xdr:rowOff>
    </xdr:from>
    <xdr:to>
      <xdr:col>26</xdr:col>
      <xdr:colOff>219075</xdr:colOff>
      <xdr:row>42</xdr:row>
      <xdr:rowOff>123825</xdr:rowOff>
    </xdr:to>
    <xdr:graphicFrame macro="">
      <xdr:nvGraphicFramePr>
        <xdr:cNvPr id="13" name="Chart 12">
          <a:extLst>
            <a:ext uri="{FF2B5EF4-FFF2-40B4-BE49-F238E27FC236}">
              <a16:creationId xmlns:a16="http://schemas.microsoft.com/office/drawing/2014/main" id="{DE78E25C-7DA4-42DA-8C77-EEFF2BAC97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304799</xdr:colOff>
      <xdr:row>2</xdr:row>
      <xdr:rowOff>95250</xdr:rowOff>
    </xdr:from>
    <xdr:to>
      <xdr:col>17</xdr:col>
      <xdr:colOff>38100</xdr:colOff>
      <xdr:row>4</xdr:row>
      <xdr:rowOff>133350</xdr:rowOff>
    </xdr:to>
    <xdr:sp macro="" textlink="">
      <xdr:nvSpPr>
        <xdr:cNvPr id="14" name="TextBox 13">
          <a:extLst>
            <a:ext uri="{FF2B5EF4-FFF2-40B4-BE49-F238E27FC236}">
              <a16:creationId xmlns:a16="http://schemas.microsoft.com/office/drawing/2014/main" id="{21153BBE-4A59-11F6-1F78-26790EB49265}"/>
            </a:ext>
          </a:extLst>
        </xdr:cNvPr>
        <xdr:cNvSpPr txBox="1"/>
      </xdr:nvSpPr>
      <xdr:spPr>
        <a:xfrm>
          <a:off x="7010399" y="457200"/>
          <a:ext cx="3390901" cy="400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1">
              <a:solidFill>
                <a:srgbClr val="C00000"/>
              </a:solidFill>
              <a:latin typeface="Broadway" panose="04040905080B02020502" pitchFamily="82" charset="0"/>
            </a:rPr>
            <a:t>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0.593896527775" createdVersion="8" refreshedVersion="8" minRefreshableVersion="3" recordCount="2000" xr:uid="{48B36531-60AB-4116-AB7C-38617ABBD85D}">
  <cacheSource type="worksheet">
    <worksheetSource name="Sales_Table"/>
  </cacheSource>
  <cacheFields count="26">
    <cacheField name="Sale ID" numFmtId="0">
      <sharedItems containsSemiMixedTypes="0" containsString="0" containsNumber="1" containsInteger="1" minValue="1" maxValue="2000"/>
    </cacheField>
    <cacheField name="Date_clean" numFmtId="22">
      <sharedItems containsSemiMixedTypes="0" containsNonDate="0" containsDate="1" containsString="0" minDate="2024-01-01T00:00:00" maxDate="2024-03-25T00:00:00"/>
    </cacheField>
    <cacheField name="Date" numFmtId="0">
      <sharedItems/>
    </cacheField>
    <cacheField name="Region" numFmtId="0">
      <sharedItems/>
    </cacheField>
    <cacheField name="Region_clean" numFmtId="0">
      <sharedItems count="4">
        <s v="East"/>
        <s v="West"/>
        <s v="North"/>
        <s v="South"/>
      </sharedItems>
    </cacheField>
    <cacheField name="Product Category" numFmtId="0">
      <sharedItems/>
    </cacheField>
    <cacheField name=" Product Category_clean" numFmtId="0">
      <sharedItems count="4">
        <s v="Clothing"/>
        <s v="Home Appliances"/>
        <s v="Electronics"/>
        <s v="Grocery"/>
      </sharedItems>
    </cacheField>
    <cacheField name="Product Name_clean" numFmtId="0">
      <sharedItems/>
    </cacheField>
    <cacheField name="Product Name" numFmtId="0">
      <sharedItems/>
    </cacheField>
    <cacheField name="Customer Id_clean" numFmtId="0">
      <sharedItems/>
    </cacheField>
    <cacheField name="Customer ID" numFmtId="0">
      <sharedItems/>
    </cacheField>
    <cacheField name="Salesperson_clean" numFmtId="0">
      <sharedItems count="5">
        <s v="Rahul"/>
        <s v="Meena"/>
        <s v="Suresh"/>
        <s v="Anita"/>
        <s v="Karthik"/>
      </sharedItems>
    </cacheField>
    <cacheField name="Salesperson" numFmtId="0">
      <sharedItems/>
    </cacheField>
    <cacheField name="Payment Method_clean" numFmtId="0">
      <sharedItems count="5">
        <s v="Cash"/>
        <s v="Debit Card"/>
        <s v="Upi"/>
        <s v="Net Banking"/>
        <s v="Credit Card"/>
      </sharedItems>
    </cacheField>
    <cacheField name="Payment Method" numFmtId="0">
      <sharedItems/>
    </cacheField>
    <cacheField name="Quantity_num" numFmtId="0">
      <sharedItems containsSemiMixedTypes="0" containsString="0" containsNumber="1" containsInteger="1" minValue="1" maxValue="14"/>
    </cacheField>
    <cacheField name="Quantity" numFmtId="0">
      <sharedItems/>
    </cacheField>
    <cacheField name="Unit Price_num" numFmtId="0">
      <sharedItems containsSemiMixedTypes="0" containsString="0" containsNumber="1" containsInteger="1" minValue="102" maxValue="4999"/>
    </cacheField>
    <cacheField name="Unit Price" numFmtId="0">
      <sharedItems/>
    </cacheField>
    <cacheField name="Revenue" numFmtId="0">
      <sharedItems containsSemiMixedTypes="0" containsString="0" containsNumber="1" containsInteger="1" minValue="156" maxValue="69804"/>
    </cacheField>
    <cacheField name="year" numFmtId="0">
      <sharedItems containsSemiMixedTypes="0" containsString="0" containsNumber="1" containsInteger="1" minValue="2024" maxValue="2024" count="1">
        <n v="2024"/>
      </sharedItems>
    </cacheField>
    <cacheField name="Month" numFmtId="0">
      <sharedItems count="3">
        <s v="January"/>
        <s v="February"/>
        <s v="March"/>
      </sharedItems>
    </cacheField>
    <cacheField name="Week_No" numFmtId="0">
      <sharedItems containsSemiMixedTypes="0" containsString="0" containsNumber="1" containsInteger="1" minValue="1" maxValue="12" count="12">
        <n v="1"/>
        <n v="2"/>
        <n v="3"/>
        <n v="4"/>
        <n v="5"/>
        <n v="6"/>
        <n v="7"/>
        <n v="8"/>
        <n v="9"/>
        <n v="10"/>
        <n v="11"/>
        <n v="12"/>
      </sharedItems>
    </cacheField>
    <cacheField name="Revenue category" numFmtId="0">
      <sharedItems/>
    </cacheField>
    <cacheField name="Payment status" numFmtId="0">
      <sharedItems/>
    </cacheField>
    <cacheField name="Revenue_Final" numFmtId="0">
      <sharedItems containsSemiMixedTypes="0" containsString="0" containsNumber="1" containsInteger="1" minValue="156" maxValue="69804"/>
    </cacheField>
  </cacheFields>
  <extLst>
    <ext xmlns:x14="http://schemas.microsoft.com/office/spreadsheetml/2009/9/main" uri="{725AE2AE-9491-48be-B2B4-4EB974FC3084}">
      <x14:pivotCacheDefinition pivotCacheId="16274654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d v="2024-01-01T00:00:00"/>
    <s v="2024-01-01 00:00:00"/>
    <s v="EAST"/>
    <x v="0"/>
    <s v="Clothing"/>
    <x v="0"/>
    <s v="Mixer Grinder"/>
    <s v="Mixer Grinder"/>
    <s v="CUST0479"/>
    <s v=" CUST0479 "/>
    <x v="0"/>
    <s v="Rahul"/>
    <x v="0"/>
    <s v=" Cash"/>
    <n v="12"/>
    <s v="12"/>
    <n v="619"/>
    <s v="619"/>
    <n v="7428"/>
    <x v="0"/>
    <x v="0"/>
    <x v="0"/>
    <s v="Low"/>
    <s v="Offline"/>
    <n v="7428"/>
  </r>
  <r>
    <n v="2"/>
    <d v="2024-01-01T01:00:00"/>
    <s v="2024-01-01 01:00:00"/>
    <s v=" west"/>
    <x v="1"/>
    <s v=" Home Appliances "/>
    <x v="1"/>
    <s v="Men T-Shirt"/>
    <s v="Men T-Shirt"/>
    <s v="CUST0619"/>
    <s v=" CUST0619 "/>
    <x v="1"/>
    <s v="Meena"/>
    <x v="1"/>
    <s v="Debit card "/>
    <n v="8"/>
    <s v="8"/>
    <n v="2383"/>
    <s v="2383"/>
    <n v="19064"/>
    <x v="0"/>
    <x v="0"/>
    <x v="0"/>
    <s v="Low"/>
    <s v="Online"/>
    <n v="19064"/>
  </r>
  <r>
    <n v="3"/>
    <d v="2024-01-01T02:00:00"/>
    <s v="2024-01-01 02:00:00"/>
    <s v=" North "/>
    <x v="2"/>
    <s v="Electronics"/>
    <x v="2"/>
    <s v="Mixer Grinder"/>
    <s v="Mixer Grinder"/>
    <s v="CUST0096"/>
    <s v=" CUST0096 "/>
    <x v="1"/>
    <s v="Meena"/>
    <x v="2"/>
    <s v="UPI"/>
    <n v="7"/>
    <s v="7"/>
    <n v="4658"/>
    <s v="4658"/>
    <n v="32606"/>
    <x v="0"/>
    <x v="0"/>
    <x v="0"/>
    <s v="Medium"/>
    <s v="Online"/>
    <n v="32606"/>
  </r>
  <r>
    <n v="4"/>
    <d v="2024-01-01T03:00:00"/>
    <s v="2024-01-01 03:00:00"/>
    <s v="EAST"/>
    <x v="0"/>
    <s v=" Home Appliances "/>
    <x v="1"/>
    <s v="Laptop"/>
    <s v="Laptop"/>
    <s v="CUST0414"/>
    <s v=" CUST0414 "/>
    <x v="2"/>
    <s v="Suresh"/>
    <x v="2"/>
    <s v="UPI"/>
    <n v="14"/>
    <s v="14"/>
    <n v="582"/>
    <s v="582"/>
    <n v="8148"/>
    <x v="0"/>
    <x v="0"/>
    <x v="0"/>
    <s v="Low"/>
    <s v="Online"/>
    <n v="8148"/>
  </r>
  <r>
    <n v="5"/>
    <d v="2024-01-01T04:00:00"/>
    <s v="2024-01-01 04:00:00"/>
    <s v="EAST"/>
    <x v="0"/>
    <s v=" Home Appliances "/>
    <x v="1"/>
    <s v="Led Tv 42Inch"/>
    <s v="LED TV 42inch"/>
    <s v="CUST0235"/>
    <s v=" CUST0235 "/>
    <x v="0"/>
    <s v="Rahul"/>
    <x v="3"/>
    <s v=" Net Banking "/>
    <n v="7"/>
    <s v="7"/>
    <n v="2577"/>
    <s v="2577"/>
    <n v="18039"/>
    <x v="0"/>
    <x v="0"/>
    <x v="0"/>
    <s v="Low"/>
    <s v="Online"/>
    <n v="18039"/>
  </r>
  <r>
    <n v="6"/>
    <d v="2024-01-01T05:00:00"/>
    <s v="2024-01-01 05:00:00"/>
    <s v=" west"/>
    <x v="1"/>
    <s v="Clothing"/>
    <x v="0"/>
    <s v="Laptop"/>
    <s v="Laptop"/>
    <s v="CUST0062"/>
    <s v=" CUST0062 "/>
    <x v="3"/>
    <s v="Anita"/>
    <x v="4"/>
    <s v="Credit Card"/>
    <n v="3"/>
    <s v="3"/>
    <n v="3193"/>
    <s v="3193"/>
    <n v="9579"/>
    <x v="0"/>
    <x v="0"/>
    <x v="0"/>
    <s v="Low"/>
    <s v="Online"/>
    <n v="9579"/>
  </r>
  <r>
    <n v="7"/>
    <d v="2024-01-01T06:00:00"/>
    <s v="2024-01-01 06:00:00"/>
    <s v=" North "/>
    <x v="2"/>
    <s v=" Home Appliances "/>
    <x v="1"/>
    <s v="Led Tv 42Inch"/>
    <s v="LED TV 42inch"/>
    <s v="CUST0256"/>
    <s v=" CUST0256 "/>
    <x v="4"/>
    <s v="Karthik"/>
    <x v="1"/>
    <s v="Debit card "/>
    <n v="14"/>
    <s v="14"/>
    <n v="442"/>
    <s v="442"/>
    <n v="6188"/>
    <x v="0"/>
    <x v="0"/>
    <x v="0"/>
    <s v="Low"/>
    <s v="Online"/>
    <n v="6188"/>
  </r>
  <r>
    <n v="8"/>
    <d v="2024-01-01T07:00:00"/>
    <s v="2024-01-01 07:00:00"/>
    <s v=" North "/>
    <x v="2"/>
    <s v="Clothing"/>
    <x v="0"/>
    <s v="Rice 5Kg"/>
    <s v="Rice 5kg"/>
    <s v="CUST0561"/>
    <s v=" CUST0561 "/>
    <x v="4"/>
    <s v="Karthik"/>
    <x v="4"/>
    <s v="Credit Card"/>
    <n v="6"/>
    <s v="6"/>
    <n v="1562"/>
    <s v="1562"/>
    <n v="9372"/>
    <x v="0"/>
    <x v="0"/>
    <x v="0"/>
    <s v="Low"/>
    <s v="Online"/>
    <n v="9372"/>
  </r>
  <r>
    <n v="9"/>
    <d v="2024-01-01T08:00:00"/>
    <s v="2024-01-01 08:00:00"/>
    <s v="EAST"/>
    <x v="0"/>
    <s v="Grocery"/>
    <x v="3"/>
    <s v="Washing Machine"/>
    <s v="Washing Machine"/>
    <s v="CUST0348"/>
    <s v=" CUST0348 "/>
    <x v="2"/>
    <s v="Suresh"/>
    <x v="1"/>
    <s v="Debit card "/>
    <n v="13"/>
    <s v="13"/>
    <n v="1302"/>
    <s v="1302"/>
    <n v="16926"/>
    <x v="0"/>
    <x v="0"/>
    <x v="0"/>
    <s v="Low"/>
    <s v="Online"/>
    <n v="16926"/>
  </r>
  <r>
    <n v="10"/>
    <d v="2024-01-01T09:00:00"/>
    <s v="2024-01-01 09:00:00"/>
    <s v="south"/>
    <x v="3"/>
    <s v="Grocery"/>
    <x v="3"/>
    <s v="Laptop"/>
    <s v="Laptop"/>
    <s v="CUST0671"/>
    <s v=" CUST0671 "/>
    <x v="0"/>
    <s v="Rahul"/>
    <x v="2"/>
    <s v="UPI"/>
    <n v="13"/>
    <s v="13"/>
    <n v="1721"/>
    <s v="1721"/>
    <n v="22373"/>
    <x v="0"/>
    <x v="0"/>
    <x v="0"/>
    <s v="Medium"/>
    <s v="Online"/>
    <n v="22373"/>
  </r>
  <r>
    <n v="11"/>
    <d v="2024-01-01T10:00:00"/>
    <s v="2024-01-01 10:00:00"/>
    <s v="EAST"/>
    <x v="0"/>
    <s v="Clothing"/>
    <x v="0"/>
    <s v="Mixer Grinder"/>
    <s v="Mixer Grinder"/>
    <s v="CUST0124"/>
    <s v=" CUST0124 "/>
    <x v="0"/>
    <s v="Rahul"/>
    <x v="3"/>
    <s v=" Net Banking "/>
    <n v="5"/>
    <s v="5"/>
    <n v="2498"/>
    <s v="2498"/>
    <n v="12490"/>
    <x v="0"/>
    <x v="0"/>
    <x v="0"/>
    <s v="Low"/>
    <s v="Online"/>
    <n v="12490"/>
  </r>
  <r>
    <n v="12"/>
    <d v="2024-01-01T11:00:00"/>
    <s v="2024-01-01 11:00:00"/>
    <s v="EAST"/>
    <x v="0"/>
    <s v="Grocery"/>
    <x v="3"/>
    <s v="Rice 5Kg"/>
    <s v="Rice 5kg"/>
    <s v="CUST0482"/>
    <s v=" CUST0482 "/>
    <x v="1"/>
    <s v="Meena"/>
    <x v="4"/>
    <s v="Credit Card"/>
    <n v="1"/>
    <s v="1"/>
    <n v="3696"/>
    <s v="3696"/>
    <n v="3696"/>
    <x v="0"/>
    <x v="0"/>
    <x v="0"/>
    <s v="Low"/>
    <s v="Online"/>
    <n v="3696"/>
  </r>
  <r>
    <n v="13"/>
    <d v="2024-01-01T12:00:00"/>
    <s v="2024-01-01 12:00:00"/>
    <s v="EAST"/>
    <x v="0"/>
    <s v="Electronics"/>
    <x v="2"/>
    <s v="Washing Machine"/>
    <s v="Washing Machine"/>
    <s v="CUST0317"/>
    <s v=" CUST0317 "/>
    <x v="3"/>
    <s v="Anita"/>
    <x v="2"/>
    <s v="UPI"/>
    <n v="11"/>
    <s v="11"/>
    <n v="3635"/>
    <s v="3635"/>
    <n v="39985"/>
    <x v="0"/>
    <x v="0"/>
    <x v="0"/>
    <s v="Medium"/>
    <s v="Online"/>
    <n v="39985"/>
  </r>
  <r>
    <n v="14"/>
    <d v="2024-01-01T13:00:00"/>
    <s v="2024-01-01 13:00:00"/>
    <s v="EAST"/>
    <x v="0"/>
    <s v=" Home Appliances "/>
    <x v="1"/>
    <s v="Mixer Grinder"/>
    <s v="Mixer Grinder"/>
    <s v="CUST0504"/>
    <s v=" CUST0504 "/>
    <x v="0"/>
    <s v="Rahul"/>
    <x v="1"/>
    <s v="Debit card "/>
    <n v="3"/>
    <s v="3"/>
    <n v="2977"/>
    <s v="2977"/>
    <n v="8931"/>
    <x v="0"/>
    <x v="0"/>
    <x v="0"/>
    <s v="Low"/>
    <s v="Online"/>
    <n v="8931"/>
  </r>
  <r>
    <n v="15"/>
    <d v="2024-01-01T14:00:00"/>
    <s v="2024-01-01 14:00:00"/>
    <s v=" west"/>
    <x v="1"/>
    <s v="Electronics"/>
    <x v="2"/>
    <s v="Men T-Shirt"/>
    <s v="Men T-Shirt"/>
    <s v="CUST0719"/>
    <s v=" CUST0719 "/>
    <x v="4"/>
    <s v="Karthik"/>
    <x v="4"/>
    <s v="Credit Card"/>
    <n v="13"/>
    <s v="13"/>
    <n v="2490"/>
    <s v="2490"/>
    <n v="32370"/>
    <x v="0"/>
    <x v="0"/>
    <x v="0"/>
    <s v="Medium"/>
    <s v="Online"/>
    <n v="32370"/>
  </r>
  <r>
    <n v="16"/>
    <d v="2024-01-01T15:00:00"/>
    <s v="2024-01-01 15:00:00"/>
    <s v=" North "/>
    <x v="2"/>
    <s v=" Home Appliances "/>
    <x v="1"/>
    <s v="Mixer Grinder"/>
    <s v="Mixer Grinder"/>
    <s v="CUST0048"/>
    <s v=" CUST0048 "/>
    <x v="3"/>
    <s v="Anita"/>
    <x v="4"/>
    <s v="Credit Card"/>
    <n v="12"/>
    <s v="12"/>
    <n v="3451"/>
    <s v="3451"/>
    <n v="41412"/>
    <x v="0"/>
    <x v="0"/>
    <x v="0"/>
    <s v="Medium"/>
    <s v="Online"/>
    <n v="41412"/>
  </r>
  <r>
    <n v="17"/>
    <d v="2024-01-01T16:00:00"/>
    <s v="2024-01-01 16:00:00"/>
    <s v=" west"/>
    <x v="1"/>
    <s v="Grocery"/>
    <x v="3"/>
    <s v="Led Tv 42Inch"/>
    <s v="LED TV 42inch"/>
    <s v="CUST0409"/>
    <s v=" CUST0409 "/>
    <x v="3"/>
    <s v="Anita"/>
    <x v="2"/>
    <s v="UPI"/>
    <n v="1"/>
    <s v="1"/>
    <n v="3013"/>
    <s v="3013"/>
    <n v="3013"/>
    <x v="0"/>
    <x v="0"/>
    <x v="0"/>
    <s v="Low"/>
    <s v="Online"/>
    <n v="3013"/>
  </r>
  <r>
    <n v="18"/>
    <d v="2024-01-01T17:00:00"/>
    <s v="2024-01-01 17:00:00"/>
    <s v=" west"/>
    <x v="1"/>
    <s v="Electronics"/>
    <x v="2"/>
    <s v="Led Tv 42Inch"/>
    <s v="LED TV 42inch"/>
    <s v="CUST0136"/>
    <s v=" CUST0136 "/>
    <x v="2"/>
    <s v="Suresh"/>
    <x v="4"/>
    <s v="Credit Card"/>
    <n v="4"/>
    <s v="4"/>
    <n v="1289"/>
    <s v="1289"/>
    <n v="5156"/>
    <x v="0"/>
    <x v="0"/>
    <x v="0"/>
    <s v="Low"/>
    <s v="Online"/>
    <n v="5156"/>
  </r>
  <r>
    <n v="19"/>
    <d v="2024-01-01T18:00:00"/>
    <s v="2024-01-01 18:00:00"/>
    <s v=" west"/>
    <x v="1"/>
    <s v="Grocery"/>
    <x v="3"/>
    <s v="Men T-Shirt"/>
    <s v="Men T-Shirt"/>
    <s v="CUST0201"/>
    <s v=" CUST0201 "/>
    <x v="0"/>
    <s v="Rahul"/>
    <x v="3"/>
    <s v=" Net Banking "/>
    <n v="10"/>
    <s v="10"/>
    <n v="2440"/>
    <s v="2440"/>
    <n v="24400"/>
    <x v="0"/>
    <x v="0"/>
    <x v="0"/>
    <s v="Medium"/>
    <s v="Online"/>
    <n v="24400"/>
  </r>
  <r>
    <n v="20"/>
    <d v="2024-01-01T19:00:00"/>
    <s v="2024-01-01 19:00:00"/>
    <s v="EAST"/>
    <x v="0"/>
    <s v=" Home Appliances "/>
    <x v="1"/>
    <s v="Rice 5Kg"/>
    <s v="Rice 5kg"/>
    <s v="CUST0250"/>
    <s v=" CUST0250 "/>
    <x v="2"/>
    <s v="Suresh"/>
    <x v="3"/>
    <s v=" Net Banking "/>
    <n v="3"/>
    <s v="3"/>
    <n v="3680"/>
    <s v="3680"/>
    <n v="11040"/>
    <x v="0"/>
    <x v="0"/>
    <x v="0"/>
    <s v="Low"/>
    <s v="Online"/>
    <n v="11040"/>
  </r>
  <r>
    <n v="21"/>
    <d v="2024-01-01T20:00:00"/>
    <s v="2024-01-01 20:00:00"/>
    <s v="south"/>
    <x v="3"/>
    <s v="Clothing"/>
    <x v="0"/>
    <s v="Washing Machine"/>
    <s v="Washing Machine"/>
    <s v="CUST0314"/>
    <s v=" CUST0314 "/>
    <x v="0"/>
    <s v="Rahul"/>
    <x v="2"/>
    <s v="UPI"/>
    <n v="11"/>
    <s v="11"/>
    <n v="1703"/>
    <s v="1703"/>
    <n v="18733"/>
    <x v="0"/>
    <x v="0"/>
    <x v="0"/>
    <s v="Low"/>
    <s v="Online"/>
    <n v="18733"/>
  </r>
  <r>
    <n v="22"/>
    <d v="2024-01-01T21:00:00"/>
    <s v="2024-01-01 21:00:00"/>
    <s v=" North "/>
    <x v="2"/>
    <s v="Clothing"/>
    <x v="0"/>
    <s v="Mixer Grinder"/>
    <s v="Mixer Grinder"/>
    <s v="CUST0368"/>
    <s v=" CUST0368 "/>
    <x v="1"/>
    <s v="Meena"/>
    <x v="1"/>
    <s v="Debit card "/>
    <n v="4"/>
    <s v="4"/>
    <n v="3397"/>
    <s v="3397"/>
    <n v="13588"/>
    <x v="0"/>
    <x v="0"/>
    <x v="0"/>
    <s v="Low"/>
    <s v="Online"/>
    <n v="13588"/>
  </r>
  <r>
    <n v="23"/>
    <d v="2024-01-01T22:00:00"/>
    <s v="2024-01-01 22:00:00"/>
    <s v="south"/>
    <x v="3"/>
    <s v="Electronics"/>
    <x v="2"/>
    <s v="Led Tv 42Inch"/>
    <s v="LED TV 42inch"/>
    <s v="CUST0429"/>
    <s v=" CUST0429 "/>
    <x v="2"/>
    <s v="Suresh"/>
    <x v="2"/>
    <s v="UPI"/>
    <n v="9"/>
    <s v="9"/>
    <n v="697"/>
    <s v="697"/>
    <n v="6273"/>
    <x v="0"/>
    <x v="0"/>
    <x v="0"/>
    <s v="Low"/>
    <s v="Online"/>
    <n v="6273"/>
  </r>
  <r>
    <n v="24"/>
    <d v="2024-01-01T23:00:00"/>
    <s v="2024-01-01 23:00:00"/>
    <s v=" west"/>
    <x v="1"/>
    <s v="Grocery"/>
    <x v="3"/>
    <s v="Rice 5Kg"/>
    <s v="Rice 5kg"/>
    <s v="CUST0480"/>
    <s v=" CUST0480 "/>
    <x v="2"/>
    <s v="Suresh"/>
    <x v="3"/>
    <s v=" Net Banking "/>
    <n v="3"/>
    <s v="3"/>
    <n v="744"/>
    <s v="744"/>
    <n v="2232"/>
    <x v="0"/>
    <x v="0"/>
    <x v="0"/>
    <s v="Low"/>
    <s v="Online"/>
    <n v="2232"/>
  </r>
  <r>
    <n v="25"/>
    <d v="2024-01-02T00:00:00"/>
    <s v="2024-01-02 00:00:00"/>
    <s v=" west"/>
    <x v="1"/>
    <s v="Grocery"/>
    <x v="3"/>
    <s v="Men T-Shirt"/>
    <s v="Men T-Shirt"/>
    <s v="CUST0314"/>
    <s v=" CUST0314 "/>
    <x v="4"/>
    <s v="Karthik"/>
    <x v="0"/>
    <s v=" Cash"/>
    <n v="12"/>
    <s v="12"/>
    <n v="4643"/>
    <s v="4643"/>
    <n v="55716"/>
    <x v="0"/>
    <x v="0"/>
    <x v="0"/>
    <s v="High"/>
    <s v="Offline"/>
    <n v="55716"/>
  </r>
  <r>
    <n v="26"/>
    <d v="2024-01-02T01:00:00"/>
    <s v="2024-01-02 01:00:00"/>
    <s v="south"/>
    <x v="3"/>
    <s v="Electronics"/>
    <x v="2"/>
    <s v="Laptop"/>
    <s v="Laptop"/>
    <s v="CUST0500"/>
    <s v=" CUST0500 "/>
    <x v="2"/>
    <s v="Suresh"/>
    <x v="0"/>
    <s v=" Cash"/>
    <n v="6"/>
    <s v="6"/>
    <n v="3002"/>
    <s v="3002"/>
    <n v="18012"/>
    <x v="0"/>
    <x v="0"/>
    <x v="0"/>
    <s v="Low"/>
    <s v="Offline"/>
    <n v="18012"/>
  </r>
  <r>
    <n v="27"/>
    <d v="2024-01-02T02:00:00"/>
    <s v="2024-01-02 02:00:00"/>
    <s v="south"/>
    <x v="3"/>
    <s v="Clothing"/>
    <x v="0"/>
    <s v="Led Tv 42Inch"/>
    <s v="LED TV 42inch"/>
    <s v="CUST0721"/>
    <s v=" CUST0721 "/>
    <x v="0"/>
    <s v="Rahul"/>
    <x v="4"/>
    <s v="Credit Card"/>
    <n v="6"/>
    <s v="6"/>
    <n v="863"/>
    <s v="863"/>
    <n v="5178"/>
    <x v="0"/>
    <x v="0"/>
    <x v="0"/>
    <s v="Low"/>
    <s v="Online"/>
    <n v="5178"/>
  </r>
  <r>
    <n v="28"/>
    <d v="2024-01-02T03:00:00"/>
    <s v="2024-01-02 03:00:00"/>
    <s v="south"/>
    <x v="3"/>
    <s v=" Home Appliances "/>
    <x v="1"/>
    <s v="Men T-Shirt"/>
    <s v="Men T-Shirt"/>
    <s v="CUST0355"/>
    <s v=" CUST0355 "/>
    <x v="4"/>
    <s v="Karthik"/>
    <x v="4"/>
    <s v="Credit Card"/>
    <n v="7"/>
    <s v="7"/>
    <n v="4930"/>
    <s v="4930"/>
    <n v="34510"/>
    <x v="0"/>
    <x v="0"/>
    <x v="0"/>
    <s v="Medium"/>
    <s v="Online"/>
    <n v="34510"/>
  </r>
  <r>
    <n v="29"/>
    <d v="2024-01-02T04:00:00"/>
    <s v="2024-01-02 04:00:00"/>
    <s v=" west"/>
    <x v="1"/>
    <s v="Electronics"/>
    <x v="2"/>
    <s v="Mixer Grinder"/>
    <s v="Mixer Grinder"/>
    <s v="CUST0485"/>
    <s v=" CUST0485 "/>
    <x v="2"/>
    <s v="Suresh"/>
    <x v="0"/>
    <s v=" Cash"/>
    <n v="9"/>
    <s v="9"/>
    <n v="1742"/>
    <s v="1742"/>
    <n v="15678"/>
    <x v="0"/>
    <x v="0"/>
    <x v="0"/>
    <s v="Low"/>
    <s v="Offline"/>
    <n v="15678"/>
  </r>
  <r>
    <n v="30"/>
    <d v="2024-01-02T05:00:00"/>
    <s v="2024-01-02 05:00:00"/>
    <s v=" west"/>
    <x v="1"/>
    <s v=" Home Appliances "/>
    <x v="1"/>
    <s v="Washing Machine"/>
    <s v="Washing Machine"/>
    <s v="CUST0211"/>
    <s v=" CUST0211 "/>
    <x v="2"/>
    <s v="Suresh"/>
    <x v="3"/>
    <s v=" Net Banking "/>
    <n v="12"/>
    <s v="12"/>
    <n v="2397"/>
    <s v="2397"/>
    <n v="28764"/>
    <x v="0"/>
    <x v="0"/>
    <x v="0"/>
    <s v="Medium"/>
    <s v="Online"/>
    <n v="28764"/>
  </r>
  <r>
    <n v="31"/>
    <d v="2024-01-02T06:00:00"/>
    <s v="2024-01-02 06:00:00"/>
    <s v=" North "/>
    <x v="2"/>
    <s v="Clothing"/>
    <x v="0"/>
    <s v="Led Tv 42Inch"/>
    <s v="LED TV 42inch"/>
    <s v="CUST0704"/>
    <s v=" CUST0704 "/>
    <x v="1"/>
    <s v="Meena"/>
    <x v="4"/>
    <s v="Credit Card"/>
    <n v="7"/>
    <s v="7"/>
    <n v="4796"/>
    <s v="4796"/>
    <n v="33572"/>
    <x v="0"/>
    <x v="0"/>
    <x v="0"/>
    <s v="Medium"/>
    <s v="Online"/>
    <n v="33572"/>
  </r>
  <r>
    <n v="32"/>
    <d v="2024-01-02T07:00:00"/>
    <s v="2024-01-02 07:00:00"/>
    <s v=" North "/>
    <x v="2"/>
    <s v="Grocery"/>
    <x v="3"/>
    <s v="Led Tv 42Inch"/>
    <s v="LED TV 42inch"/>
    <s v="CUST0044"/>
    <s v=" CUST0044 "/>
    <x v="2"/>
    <s v="Suresh"/>
    <x v="2"/>
    <s v="UPI"/>
    <n v="14"/>
    <s v="14"/>
    <n v="2272"/>
    <s v="2272"/>
    <n v="31808"/>
    <x v="0"/>
    <x v="0"/>
    <x v="0"/>
    <s v="Medium"/>
    <s v="Online"/>
    <n v="31808"/>
  </r>
  <r>
    <n v="33"/>
    <d v="2024-01-02T08:00:00"/>
    <s v="2024-01-02 08:00:00"/>
    <s v=" west"/>
    <x v="1"/>
    <s v="Clothing"/>
    <x v="0"/>
    <s v="Mixer Grinder"/>
    <s v="Mixer Grinder"/>
    <s v="CUST0541"/>
    <s v=" CUST0541 "/>
    <x v="3"/>
    <s v="Anita"/>
    <x v="2"/>
    <s v="UPI"/>
    <n v="1"/>
    <s v="1"/>
    <n v="2260"/>
    <s v="2260"/>
    <n v="2260"/>
    <x v="0"/>
    <x v="0"/>
    <x v="0"/>
    <s v="Low"/>
    <s v="Online"/>
    <n v="2260"/>
  </r>
  <r>
    <n v="34"/>
    <d v="2024-01-02T09:00:00"/>
    <s v="2024-01-02 09:00:00"/>
    <s v="south"/>
    <x v="3"/>
    <s v="Electronics"/>
    <x v="2"/>
    <s v="Laptop"/>
    <s v="Laptop"/>
    <s v="CUST0571"/>
    <s v=" CUST0571 "/>
    <x v="4"/>
    <s v="Karthik"/>
    <x v="3"/>
    <s v=" Net Banking "/>
    <n v="8"/>
    <s v="8"/>
    <n v="3849"/>
    <s v="3849"/>
    <n v="30792"/>
    <x v="0"/>
    <x v="0"/>
    <x v="0"/>
    <s v="Medium"/>
    <s v="Online"/>
    <n v="30792"/>
  </r>
  <r>
    <n v="35"/>
    <d v="2024-01-02T10:00:00"/>
    <s v="2024-01-02 10:00:00"/>
    <s v="south"/>
    <x v="3"/>
    <s v="Grocery"/>
    <x v="3"/>
    <s v="Rice 5Kg"/>
    <s v="Rice 5kg"/>
    <s v="CUST0583"/>
    <s v=" CUST0583 "/>
    <x v="3"/>
    <s v="Anita"/>
    <x v="4"/>
    <s v="Credit Card"/>
    <n v="5"/>
    <s v="5"/>
    <n v="3022"/>
    <s v="3022"/>
    <n v="15110"/>
    <x v="0"/>
    <x v="0"/>
    <x v="0"/>
    <s v="Low"/>
    <s v="Online"/>
    <n v="15110"/>
  </r>
  <r>
    <n v="36"/>
    <d v="2024-01-02T11:00:00"/>
    <s v="2024-01-02 11:00:00"/>
    <s v=" North "/>
    <x v="2"/>
    <s v="Electronics"/>
    <x v="2"/>
    <s v="Washing Machine"/>
    <s v="Washing Machine"/>
    <s v="CUST0092"/>
    <s v=" CUST0092 "/>
    <x v="4"/>
    <s v="Karthik"/>
    <x v="2"/>
    <s v="UPI"/>
    <n v="9"/>
    <s v="9"/>
    <n v="679"/>
    <s v="679"/>
    <n v="6111"/>
    <x v="0"/>
    <x v="0"/>
    <x v="0"/>
    <s v="Low"/>
    <s v="Online"/>
    <n v="6111"/>
  </r>
  <r>
    <n v="37"/>
    <d v="2024-01-02T12:00:00"/>
    <s v="2024-01-02 12:00:00"/>
    <s v=" west"/>
    <x v="1"/>
    <s v="Electronics"/>
    <x v="2"/>
    <s v="Led Tv 42Inch"/>
    <s v="LED TV 42inch"/>
    <s v="CUST0265"/>
    <s v=" CUST0265 "/>
    <x v="1"/>
    <s v="Meena"/>
    <x v="4"/>
    <s v="Credit Card"/>
    <n v="10"/>
    <s v="10"/>
    <n v="3904"/>
    <s v="3904"/>
    <n v="39040"/>
    <x v="0"/>
    <x v="0"/>
    <x v="0"/>
    <s v="Medium"/>
    <s v="Online"/>
    <n v="39040"/>
  </r>
  <r>
    <n v="38"/>
    <d v="2024-01-02T13:00:00"/>
    <s v="2024-01-02 13:00:00"/>
    <s v=" North "/>
    <x v="2"/>
    <s v="Clothing"/>
    <x v="0"/>
    <s v="Washing Machine"/>
    <s v="Washing Machine"/>
    <s v="CUST0220"/>
    <s v=" CUST0220 "/>
    <x v="2"/>
    <s v="Suresh"/>
    <x v="4"/>
    <s v="Credit Card"/>
    <n v="13"/>
    <s v="13"/>
    <n v="4978"/>
    <s v="4978"/>
    <n v="64714"/>
    <x v="0"/>
    <x v="0"/>
    <x v="0"/>
    <s v="High"/>
    <s v="Online"/>
    <n v="64714"/>
  </r>
  <r>
    <n v="39"/>
    <d v="2024-01-02T14:00:00"/>
    <s v="2024-01-02 14:00:00"/>
    <s v=" North "/>
    <x v="2"/>
    <s v="Electronics"/>
    <x v="2"/>
    <s v="Led Tv 42Inch"/>
    <s v="LED TV 42inch"/>
    <s v="CUST0442"/>
    <s v=" CUST0442 "/>
    <x v="2"/>
    <s v="Suresh"/>
    <x v="2"/>
    <s v="UPI"/>
    <n v="12"/>
    <s v="12"/>
    <n v="2468"/>
    <s v="2468"/>
    <n v="29616"/>
    <x v="0"/>
    <x v="0"/>
    <x v="0"/>
    <s v="Medium"/>
    <s v="Online"/>
    <n v="29616"/>
  </r>
  <r>
    <n v="40"/>
    <d v="2024-01-02T15:00:00"/>
    <s v="2024-01-02 15:00:00"/>
    <s v="EAST"/>
    <x v="0"/>
    <s v="Clothing"/>
    <x v="0"/>
    <s v="Washing Machine"/>
    <s v="Washing Machine"/>
    <s v="CUST0401"/>
    <s v=" CUST0401 "/>
    <x v="2"/>
    <s v="Suresh"/>
    <x v="0"/>
    <s v=" Cash"/>
    <n v="5"/>
    <s v="5"/>
    <n v="4032"/>
    <s v="4032"/>
    <n v="20160"/>
    <x v="0"/>
    <x v="0"/>
    <x v="0"/>
    <s v="Medium"/>
    <s v="Offline"/>
    <n v="20160"/>
  </r>
  <r>
    <n v="41"/>
    <d v="2024-01-02T16:00:00"/>
    <s v="2024-01-02 16:00:00"/>
    <s v="EAST"/>
    <x v="0"/>
    <s v="Grocery"/>
    <x v="3"/>
    <s v="Men T-Shirt"/>
    <s v="Men T-Shirt"/>
    <s v="CUST0400"/>
    <s v=" CUST0400 "/>
    <x v="4"/>
    <s v="Karthik"/>
    <x v="2"/>
    <s v="UPI"/>
    <n v="5"/>
    <s v="5"/>
    <n v="4727"/>
    <s v="4727"/>
    <n v="23635"/>
    <x v="0"/>
    <x v="0"/>
    <x v="0"/>
    <s v="Medium"/>
    <s v="Online"/>
    <n v="23635"/>
  </r>
  <r>
    <n v="42"/>
    <d v="2024-01-02T17:00:00"/>
    <s v="2024-01-02 17:00:00"/>
    <s v="EAST"/>
    <x v="0"/>
    <s v="Clothing"/>
    <x v="0"/>
    <s v="Led Tv 42Inch"/>
    <s v="LED TV 42inch"/>
    <s v="CUST0727"/>
    <s v=" CUST0727 "/>
    <x v="2"/>
    <s v="Suresh"/>
    <x v="3"/>
    <s v=" Net Banking "/>
    <n v="12"/>
    <s v="12"/>
    <n v="3460"/>
    <s v="3460"/>
    <n v="41520"/>
    <x v="0"/>
    <x v="0"/>
    <x v="0"/>
    <s v="Medium"/>
    <s v="Online"/>
    <n v="41520"/>
  </r>
  <r>
    <n v="43"/>
    <d v="2024-01-02T18:00:00"/>
    <s v="2024-01-02 18:00:00"/>
    <s v="south"/>
    <x v="3"/>
    <s v="Grocery"/>
    <x v="3"/>
    <s v="Washing Machine"/>
    <s v="Washing Machine"/>
    <s v="CUST0789"/>
    <s v=" CUST0789 "/>
    <x v="3"/>
    <s v="Anita"/>
    <x v="1"/>
    <s v="Debit card "/>
    <n v="12"/>
    <s v="12"/>
    <n v="4807"/>
    <s v="4807"/>
    <n v="57684"/>
    <x v="0"/>
    <x v="0"/>
    <x v="0"/>
    <s v="High"/>
    <s v="Online"/>
    <n v="57684"/>
  </r>
  <r>
    <n v="44"/>
    <d v="2024-01-02T19:00:00"/>
    <s v="2024-01-02 19:00:00"/>
    <s v=" west"/>
    <x v="1"/>
    <s v="Clothing"/>
    <x v="0"/>
    <s v="Rice 5Kg"/>
    <s v="Rice 5kg"/>
    <s v="CUST0576"/>
    <s v=" CUST0576 "/>
    <x v="2"/>
    <s v="Suresh"/>
    <x v="2"/>
    <s v="UPI"/>
    <n v="14"/>
    <s v="14"/>
    <n v="1200"/>
    <s v="1200"/>
    <n v="16800"/>
    <x v="0"/>
    <x v="0"/>
    <x v="0"/>
    <s v="Low"/>
    <s v="Online"/>
    <n v="16800"/>
  </r>
  <r>
    <n v="45"/>
    <d v="2024-01-02T20:00:00"/>
    <s v="2024-01-02 20:00:00"/>
    <s v=" west"/>
    <x v="1"/>
    <s v=" Home Appliances "/>
    <x v="1"/>
    <s v="Men T-Shirt"/>
    <s v="Men T-Shirt"/>
    <s v="CUST0490"/>
    <s v=" CUST0490 "/>
    <x v="1"/>
    <s v="Meena"/>
    <x v="4"/>
    <s v="Credit Card"/>
    <n v="2"/>
    <s v="2"/>
    <n v="1770"/>
    <s v="1770"/>
    <n v="3540"/>
    <x v="0"/>
    <x v="0"/>
    <x v="0"/>
    <s v="Low"/>
    <s v="Online"/>
    <n v="3540"/>
  </r>
  <r>
    <n v="46"/>
    <d v="2024-01-02T21:00:00"/>
    <s v="2024-01-02 21:00:00"/>
    <s v=" west"/>
    <x v="1"/>
    <s v=" Home Appliances "/>
    <x v="1"/>
    <s v="Men T-Shirt"/>
    <s v="Men T-Shirt"/>
    <s v="CUST0485"/>
    <s v=" CUST0485 "/>
    <x v="3"/>
    <s v="Anita"/>
    <x v="4"/>
    <s v="Credit Card"/>
    <n v="12"/>
    <s v="12"/>
    <n v="2320"/>
    <s v="2320"/>
    <n v="27840"/>
    <x v="0"/>
    <x v="0"/>
    <x v="0"/>
    <s v="Medium"/>
    <s v="Online"/>
    <n v="27840"/>
  </r>
  <r>
    <n v="47"/>
    <d v="2024-01-02T22:00:00"/>
    <s v="2024-01-02 22:00:00"/>
    <s v=" west"/>
    <x v="1"/>
    <s v="Electronics"/>
    <x v="2"/>
    <s v="Rice 5Kg"/>
    <s v="Rice 5kg"/>
    <s v="CUST0757"/>
    <s v=" CUST0757 "/>
    <x v="2"/>
    <s v="Suresh"/>
    <x v="2"/>
    <s v="UPI"/>
    <n v="11"/>
    <s v="11"/>
    <n v="316"/>
    <s v="316"/>
    <n v="3476"/>
    <x v="0"/>
    <x v="0"/>
    <x v="0"/>
    <s v="Low"/>
    <s v="Online"/>
    <n v="3476"/>
  </r>
  <r>
    <n v="48"/>
    <d v="2024-01-02T23:00:00"/>
    <s v="2024-01-02 23:00:00"/>
    <s v="EAST"/>
    <x v="0"/>
    <s v="Clothing"/>
    <x v="0"/>
    <s v="Washing Machine"/>
    <s v="Washing Machine"/>
    <s v="CUST0470"/>
    <s v=" CUST0470 "/>
    <x v="2"/>
    <s v="Suresh"/>
    <x v="1"/>
    <s v="Debit card "/>
    <n v="3"/>
    <s v="3"/>
    <n v="475"/>
    <s v="475"/>
    <n v="1425"/>
    <x v="0"/>
    <x v="0"/>
    <x v="0"/>
    <s v="Low"/>
    <s v="Online"/>
    <n v="1425"/>
  </r>
  <r>
    <n v="49"/>
    <d v="2024-01-03T00:00:00"/>
    <s v="2024-01-03 00:00:00"/>
    <s v="south"/>
    <x v="3"/>
    <s v="Clothing"/>
    <x v="0"/>
    <s v="Mixer Grinder"/>
    <s v="Mixer Grinder"/>
    <s v="CUST0574"/>
    <s v=" CUST0574 "/>
    <x v="0"/>
    <s v="Rahul"/>
    <x v="2"/>
    <s v="UPI"/>
    <n v="10"/>
    <s v="10"/>
    <n v="1709"/>
    <s v="1709"/>
    <n v="17090"/>
    <x v="0"/>
    <x v="0"/>
    <x v="0"/>
    <s v="Low"/>
    <s v="Online"/>
    <n v="17090"/>
  </r>
  <r>
    <n v="50"/>
    <d v="2024-01-03T01:00:00"/>
    <s v="2024-01-03 01:00:00"/>
    <s v="south"/>
    <x v="3"/>
    <s v="Grocery"/>
    <x v="3"/>
    <s v="Rice 5Kg"/>
    <s v="Rice 5kg"/>
    <s v="CUST0682"/>
    <s v=" CUST0682 "/>
    <x v="4"/>
    <s v="Karthik"/>
    <x v="1"/>
    <s v="Debit card "/>
    <n v="9"/>
    <s v="9"/>
    <n v="4206"/>
    <s v="4206"/>
    <n v="37854"/>
    <x v="0"/>
    <x v="0"/>
    <x v="0"/>
    <s v="Medium"/>
    <s v="Online"/>
    <n v="37854"/>
  </r>
  <r>
    <n v="51"/>
    <d v="2024-01-03T02:00:00"/>
    <s v="2024-01-03 02:00:00"/>
    <s v="EAST"/>
    <x v="0"/>
    <s v="Electronics"/>
    <x v="2"/>
    <s v="Washing Machine"/>
    <s v="Washing Machine"/>
    <s v="CUST0445"/>
    <s v=" CUST0445 "/>
    <x v="3"/>
    <s v="Anita"/>
    <x v="1"/>
    <s v="Debit card "/>
    <n v="7"/>
    <s v="7"/>
    <n v="3939"/>
    <s v="3939"/>
    <n v="27573"/>
    <x v="0"/>
    <x v="0"/>
    <x v="0"/>
    <s v="Medium"/>
    <s v="Online"/>
    <n v="27573"/>
  </r>
  <r>
    <n v="52"/>
    <d v="2024-01-03T03:00:00"/>
    <s v="2024-01-03 03:00:00"/>
    <s v="south"/>
    <x v="3"/>
    <s v="Clothing"/>
    <x v="0"/>
    <s v="Rice 5Kg"/>
    <s v="Rice 5kg"/>
    <s v="CUST0269"/>
    <s v=" CUST0269 "/>
    <x v="0"/>
    <s v="Rahul"/>
    <x v="3"/>
    <s v=" Net Banking "/>
    <n v="1"/>
    <s v="1"/>
    <n v="3039"/>
    <s v="3039"/>
    <n v="3039"/>
    <x v="0"/>
    <x v="0"/>
    <x v="0"/>
    <s v="Low"/>
    <s v="Online"/>
    <n v="3039"/>
  </r>
  <r>
    <n v="53"/>
    <d v="2024-01-03T04:00:00"/>
    <s v="2024-01-03 04:00:00"/>
    <s v="EAST"/>
    <x v="0"/>
    <s v="Electronics"/>
    <x v="2"/>
    <s v="Rice 5Kg"/>
    <s v="Rice 5kg"/>
    <s v="CUST0267"/>
    <s v=" CUST0267 "/>
    <x v="1"/>
    <s v="Meena"/>
    <x v="4"/>
    <s v="Credit Card"/>
    <n v="3"/>
    <s v="3"/>
    <n v="4162"/>
    <s v="4162"/>
    <n v="12486"/>
    <x v="0"/>
    <x v="0"/>
    <x v="0"/>
    <s v="Low"/>
    <s v="Online"/>
    <n v="12486"/>
  </r>
  <r>
    <n v="54"/>
    <d v="2024-01-03T05:00:00"/>
    <s v="2024-01-03 05:00:00"/>
    <s v=" west"/>
    <x v="1"/>
    <s v=" Home Appliances "/>
    <x v="1"/>
    <s v="Led Tv 42Inch"/>
    <s v="LED TV 42inch"/>
    <s v="CUST0054"/>
    <s v=" CUST0054 "/>
    <x v="4"/>
    <s v="Karthik"/>
    <x v="4"/>
    <s v="Credit Card"/>
    <n v="12"/>
    <s v="12"/>
    <n v="1713"/>
    <s v="1713"/>
    <n v="20556"/>
    <x v="0"/>
    <x v="0"/>
    <x v="0"/>
    <s v="Medium"/>
    <s v="Online"/>
    <n v="20556"/>
  </r>
  <r>
    <n v="55"/>
    <d v="2024-01-03T06:00:00"/>
    <s v="2024-01-03 06:00:00"/>
    <s v="EAST"/>
    <x v="0"/>
    <s v="Clothing"/>
    <x v="0"/>
    <s v="Washing Machine"/>
    <s v="Washing Machine"/>
    <s v="CUST0528"/>
    <s v=" CUST0528 "/>
    <x v="3"/>
    <s v="Anita"/>
    <x v="1"/>
    <s v="Debit card "/>
    <n v="2"/>
    <s v="2"/>
    <n v="3779"/>
    <s v="3779"/>
    <n v="7558"/>
    <x v="0"/>
    <x v="0"/>
    <x v="0"/>
    <s v="Low"/>
    <s v="Online"/>
    <n v="7558"/>
  </r>
  <r>
    <n v="56"/>
    <d v="2024-01-03T07:00:00"/>
    <s v="2024-01-03 07:00:00"/>
    <s v=" west"/>
    <x v="1"/>
    <s v="Clothing"/>
    <x v="0"/>
    <s v="Mixer Grinder"/>
    <s v="Mixer Grinder"/>
    <s v="CUST0520"/>
    <s v=" CUST0520 "/>
    <x v="2"/>
    <s v="Suresh"/>
    <x v="4"/>
    <s v="Credit Card"/>
    <n v="1"/>
    <s v="1"/>
    <n v="1396"/>
    <s v="1396"/>
    <n v="1396"/>
    <x v="0"/>
    <x v="0"/>
    <x v="0"/>
    <s v="Low"/>
    <s v="Online"/>
    <n v="1396"/>
  </r>
  <r>
    <n v="57"/>
    <d v="2024-01-03T08:00:00"/>
    <s v="2024-01-03 08:00:00"/>
    <s v=" west"/>
    <x v="1"/>
    <s v="Electronics"/>
    <x v="2"/>
    <s v="Led Tv 42Inch"/>
    <s v="LED TV 42inch"/>
    <s v="CUST0616"/>
    <s v=" CUST0616 "/>
    <x v="3"/>
    <s v="Anita"/>
    <x v="0"/>
    <s v=" Cash"/>
    <n v="9"/>
    <s v="9"/>
    <n v="4096"/>
    <s v="4096"/>
    <n v="36864"/>
    <x v="0"/>
    <x v="0"/>
    <x v="0"/>
    <s v="Medium"/>
    <s v="Offline"/>
    <n v="36864"/>
  </r>
  <r>
    <n v="58"/>
    <d v="2024-01-03T09:00:00"/>
    <s v="2024-01-03 09:00:00"/>
    <s v=" North "/>
    <x v="2"/>
    <s v="Clothing"/>
    <x v="0"/>
    <s v="Rice 5Kg"/>
    <s v="Rice 5kg"/>
    <s v="CUST0059"/>
    <s v=" CUST0059 "/>
    <x v="2"/>
    <s v="Suresh"/>
    <x v="1"/>
    <s v="Debit card "/>
    <n v="8"/>
    <s v="8"/>
    <n v="4886"/>
    <s v="4886"/>
    <n v="39088"/>
    <x v="0"/>
    <x v="0"/>
    <x v="0"/>
    <s v="Medium"/>
    <s v="Online"/>
    <n v="39088"/>
  </r>
  <r>
    <n v="59"/>
    <d v="2024-01-03T10:00:00"/>
    <s v="2024-01-03 10:00:00"/>
    <s v="EAST"/>
    <x v="0"/>
    <s v="Electronics"/>
    <x v="2"/>
    <s v="Laptop"/>
    <s v="Laptop"/>
    <s v="CUST0040"/>
    <s v=" CUST0040 "/>
    <x v="4"/>
    <s v="Karthik"/>
    <x v="4"/>
    <s v="Credit Card"/>
    <n v="5"/>
    <s v="5"/>
    <n v="1255"/>
    <s v="1255"/>
    <n v="6275"/>
    <x v="0"/>
    <x v="0"/>
    <x v="0"/>
    <s v="Low"/>
    <s v="Online"/>
    <n v="6275"/>
  </r>
  <r>
    <n v="60"/>
    <d v="2024-01-03T11:00:00"/>
    <s v="2024-01-03 11:00:00"/>
    <s v=" North "/>
    <x v="2"/>
    <s v="Clothing"/>
    <x v="0"/>
    <s v="Rice 5Kg"/>
    <s v="Rice 5kg"/>
    <s v="CUST0237"/>
    <s v=" CUST0237 "/>
    <x v="2"/>
    <s v="Suresh"/>
    <x v="0"/>
    <s v=" Cash"/>
    <n v="11"/>
    <s v="11"/>
    <n v="4979"/>
    <s v="4979"/>
    <n v="54769"/>
    <x v="0"/>
    <x v="0"/>
    <x v="0"/>
    <s v="High"/>
    <s v="Offline"/>
    <n v="54769"/>
  </r>
  <r>
    <n v="61"/>
    <d v="2024-01-03T12:00:00"/>
    <s v="2024-01-03 12:00:00"/>
    <s v="EAST"/>
    <x v="0"/>
    <s v="Grocery"/>
    <x v="3"/>
    <s v="Rice 5Kg"/>
    <s v="Rice 5kg"/>
    <s v="CUST0386"/>
    <s v=" CUST0386 "/>
    <x v="1"/>
    <s v="Meena"/>
    <x v="3"/>
    <s v=" Net Banking "/>
    <n v="12"/>
    <s v="12"/>
    <n v="2466"/>
    <s v="2466"/>
    <n v="29592"/>
    <x v="0"/>
    <x v="0"/>
    <x v="0"/>
    <s v="Medium"/>
    <s v="Online"/>
    <n v="29592"/>
  </r>
  <r>
    <n v="62"/>
    <d v="2024-01-03T13:00:00"/>
    <s v="2024-01-03 13:00:00"/>
    <s v="EAST"/>
    <x v="0"/>
    <s v="Electronics"/>
    <x v="2"/>
    <s v="Washing Machine"/>
    <s v="Washing Machine"/>
    <s v="CUST0606"/>
    <s v=" CUST0606 "/>
    <x v="2"/>
    <s v="Suresh"/>
    <x v="4"/>
    <s v="Credit Card"/>
    <n v="2"/>
    <s v="2"/>
    <n v="2991"/>
    <s v="2991"/>
    <n v="5982"/>
    <x v="0"/>
    <x v="0"/>
    <x v="0"/>
    <s v="Low"/>
    <s v="Online"/>
    <n v="5982"/>
  </r>
  <r>
    <n v="63"/>
    <d v="2024-01-03T14:00:00"/>
    <s v="2024-01-03 14:00:00"/>
    <s v=" North "/>
    <x v="2"/>
    <s v="Clothing"/>
    <x v="0"/>
    <s v="Washing Machine"/>
    <s v="Washing Machine"/>
    <s v="CUST0734"/>
    <s v=" CUST0734 "/>
    <x v="1"/>
    <s v="Meena"/>
    <x v="0"/>
    <s v=" Cash"/>
    <n v="1"/>
    <s v="1"/>
    <n v="2072"/>
    <s v="2072"/>
    <n v="2072"/>
    <x v="0"/>
    <x v="0"/>
    <x v="0"/>
    <s v="Low"/>
    <s v="Offline"/>
    <n v="2072"/>
  </r>
  <r>
    <n v="64"/>
    <d v="2024-01-03T15:00:00"/>
    <s v="2024-01-03 15:00:00"/>
    <s v=" North "/>
    <x v="2"/>
    <s v=" Home Appliances "/>
    <x v="1"/>
    <s v="Led Tv 42Inch"/>
    <s v="LED TV 42inch"/>
    <s v="CUST0716"/>
    <s v=" CUST0716 "/>
    <x v="4"/>
    <s v="Karthik"/>
    <x v="2"/>
    <s v="UPI"/>
    <n v="7"/>
    <s v="7"/>
    <n v="884"/>
    <s v="884"/>
    <n v="6188"/>
    <x v="0"/>
    <x v="0"/>
    <x v="0"/>
    <s v="Low"/>
    <s v="Online"/>
    <n v="6188"/>
  </r>
  <r>
    <n v="65"/>
    <d v="2024-01-03T16:00:00"/>
    <s v="2024-01-03 16:00:00"/>
    <s v="EAST"/>
    <x v="0"/>
    <s v="Clothing"/>
    <x v="0"/>
    <s v="Mixer Grinder"/>
    <s v="Mixer Grinder"/>
    <s v="CUST0650"/>
    <s v=" CUST0650 "/>
    <x v="4"/>
    <s v="Karthik"/>
    <x v="2"/>
    <s v="UPI"/>
    <n v="13"/>
    <s v="13"/>
    <n v="4592"/>
    <s v="4592"/>
    <n v="59696"/>
    <x v="0"/>
    <x v="0"/>
    <x v="0"/>
    <s v="High"/>
    <s v="Online"/>
    <n v="59696"/>
  </r>
  <r>
    <n v="66"/>
    <d v="2024-01-03T17:00:00"/>
    <s v="2024-01-03 17:00:00"/>
    <s v="south"/>
    <x v="3"/>
    <s v=" Home Appliances "/>
    <x v="1"/>
    <s v="Led Tv 42Inch"/>
    <s v="LED TV 42inch"/>
    <s v="CUST0300"/>
    <s v=" CUST0300 "/>
    <x v="3"/>
    <s v="Anita"/>
    <x v="0"/>
    <s v=" Cash"/>
    <n v="11"/>
    <s v="11"/>
    <n v="1181"/>
    <s v="1181"/>
    <n v="12991"/>
    <x v="0"/>
    <x v="0"/>
    <x v="0"/>
    <s v="Low"/>
    <s v="Offline"/>
    <n v="12991"/>
  </r>
  <r>
    <n v="67"/>
    <d v="2024-01-03T18:00:00"/>
    <s v="2024-01-03 18:00:00"/>
    <s v=" west"/>
    <x v="1"/>
    <s v=" Home Appliances "/>
    <x v="1"/>
    <s v="Men T-Shirt"/>
    <s v="Men T-Shirt"/>
    <s v="CUST0395"/>
    <s v=" CUST0395 "/>
    <x v="1"/>
    <s v="Meena"/>
    <x v="1"/>
    <s v="Debit card "/>
    <n v="11"/>
    <s v="11"/>
    <n v="2133"/>
    <s v="2133"/>
    <n v="23463"/>
    <x v="0"/>
    <x v="0"/>
    <x v="0"/>
    <s v="Medium"/>
    <s v="Online"/>
    <n v="23463"/>
  </r>
  <r>
    <n v="68"/>
    <d v="2024-01-03T19:00:00"/>
    <s v="2024-01-03 19:00:00"/>
    <s v=" North "/>
    <x v="2"/>
    <s v="Grocery"/>
    <x v="3"/>
    <s v="Rice 5Kg"/>
    <s v="Rice 5kg"/>
    <s v="CUST0207"/>
    <s v=" CUST0207 "/>
    <x v="1"/>
    <s v="Meena"/>
    <x v="1"/>
    <s v="Debit card "/>
    <n v="2"/>
    <s v="2"/>
    <n v="1714"/>
    <s v="1714"/>
    <n v="3428"/>
    <x v="0"/>
    <x v="0"/>
    <x v="0"/>
    <s v="Low"/>
    <s v="Online"/>
    <n v="3428"/>
  </r>
  <r>
    <n v="69"/>
    <d v="2024-01-03T20:00:00"/>
    <s v="2024-01-03 20:00:00"/>
    <s v=" west"/>
    <x v="1"/>
    <s v="Electronics"/>
    <x v="2"/>
    <s v="Laptop"/>
    <s v="Laptop"/>
    <s v="CUST0336"/>
    <s v=" CUST0336 "/>
    <x v="0"/>
    <s v="Rahul"/>
    <x v="4"/>
    <s v="Credit Card"/>
    <n v="1"/>
    <s v="1"/>
    <n v="4655"/>
    <s v="4655"/>
    <n v="4655"/>
    <x v="0"/>
    <x v="0"/>
    <x v="0"/>
    <s v="Low"/>
    <s v="Online"/>
    <n v="4655"/>
  </r>
  <r>
    <n v="70"/>
    <d v="2024-01-03T21:00:00"/>
    <s v="2024-01-03 21:00:00"/>
    <s v="south"/>
    <x v="3"/>
    <s v="Clothing"/>
    <x v="0"/>
    <s v="Rice 5Kg"/>
    <s v="Rice 5kg"/>
    <s v="CUST0593"/>
    <s v=" CUST0593 "/>
    <x v="0"/>
    <s v="Rahul"/>
    <x v="2"/>
    <s v="UPI"/>
    <n v="2"/>
    <s v="2"/>
    <n v="2516"/>
    <s v="2516"/>
    <n v="5032"/>
    <x v="0"/>
    <x v="0"/>
    <x v="0"/>
    <s v="Low"/>
    <s v="Online"/>
    <n v="5032"/>
  </r>
  <r>
    <n v="71"/>
    <d v="2024-01-03T22:00:00"/>
    <s v="2024-01-03 22:00:00"/>
    <s v="south"/>
    <x v="3"/>
    <s v="Grocery"/>
    <x v="3"/>
    <s v="Rice 5Kg"/>
    <s v="Rice 5kg"/>
    <s v="CUST0730"/>
    <s v=" CUST0730 "/>
    <x v="0"/>
    <s v="Rahul"/>
    <x v="1"/>
    <s v="Debit card "/>
    <n v="7"/>
    <s v="7"/>
    <n v="4741"/>
    <s v="4741"/>
    <n v="33187"/>
    <x v="0"/>
    <x v="0"/>
    <x v="0"/>
    <s v="Medium"/>
    <s v="Online"/>
    <n v="33187"/>
  </r>
  <r>
    <n v="72"/>
    <d v="2024-01-03T23:00:00"/>
    <s v="2024-01-03 23:00:00"/>
    <s v="south"/>
    <x v="3"/>
    <s v="Clothing"/>
    <x v="0"/>
    <s v="Led Tv 42Inch"/>
    <s v="LED TV 42inch"/>
    <s v="CUST0514"/>
    <s v=" CUST0514 "/>
    <x v="2"/>
    <s v="Suresh"/>
    <x v="1"/>
    <s v="Debit card "/>
    <n v="7"/>
    <s v="7"/>
    <n v="3753"/>
    <s v="3753"/>
    <n v="26271"/>
    <x v="0"/>
    <x v="0"/>
    <x v="0"/>
    <s v="Medium"/>
    <s v="Online"/>
    <n v="26271"/>
  </r>
  <r>
    <n v="73"/>
    <d v="2024-01-04T00:00:00"/>
    <s v="2024-01-04 00:00:00"/>
    <s v=" North "/>
    <x v="2"/>
    <s v=" Home Appliances "/>
    <x v="1"/>
    <s v="Laptop"/>
    <s v="Laptop"/>
    <s v="CUST0178"/>
    <s v=" CUST0178 "/>
    <x v="0"/>
    <s v="Rahul"/>
    <x v="2"/>
    <s v="UPI"/>
    <n v="10"/>
    <s v="10"/>
    <n v="596"/>
    <s v="596"/>
    <n v="5960"/>
    <x v="0"/>
    <x v="0"/>
    <x v="0"/>
    <s v="Low"/>
    <s v="Online"/>
    <n v="5960"/>
  </r>
  <r>
    <n v="74"/>
    <d v="2024-01-04T01:00:00"/>
    <s v="2024-01-04 01:00:00"/>
    <s v="south"/>
    <x v="3"/>
    <s v="Electronics"/>
    <x v="2"/>
    <s v="Laptop"/>
    <s v="Laptop"/>
    <s v="CUST0396"/>
    <s v=" CUST0396 "/>
    <x v="1"/>
    <s v="Meena"/>
    <x v="3"/>
    <s v=" Net Banking "/>
    <n v="6"/>
    <s v="6"/>
    <n v="604"/>
    <s v="604"/>
    <n v="3624"/>
    <x v="0"/>
    <x v="0"/>
    <x v="0"/>
    <s v="Low"/>
    <s v="Online"/>
    <n v="3624"/>
  </r>
  <r>
    <n v="75"/>
    <d v="2024-01-04T02:00:00"/>
    <s v="2024-01-04 02:00:00"/>
    <s v=" North "/>
    <x v="2"/>
    <s v="Clothing"/>
    <x v="0"/>
    <s v="Laptop"/>
    <s v="Laptop"/>
    <s v="CUST0371"/>
    <s v=" CUST0371 "/>
    <x v="2"/>
    <s v="Suresh"/>
    <x v="1"/>
    <s v="Debit card "/>
    <n v="5"/>
    <s v="5"/>
    <n v="3486"/>
    <s v="3486"/>
    <n v="17430"/>
    <x v="0"/>
    <x v="0"/>
    <x v="0"/>
    <s v="Low"/>
    <s v="Online"/>
    <n v="17430"/>
  </r>
  <r>
    <n v="76"/>
    <d v="2024-01-04T03:00:00"/>
    <s v="2024-01-04 03:00:00"/>
    <s v="south"/>
    <x v="3"/>
    <s v="Clothing"/>
    <x v="0"/>
    <s v="Led Tv 42Inch"/>
    <s v="LED TV 42inch"/>
    <s v="CUST0791"/>
    <s v=" CUST0791 "/>
    <x v="4"/>
    <s v="Karthik"/>
    <x v="0"/>
    <s v=" Cash"/>
    <n v="3"/>
    <s v="3"/>
    <n v="2308"/>
    <s v="2308"/>
    <n v="6924"/>
    <x v="0"/>
    <x v="0"/>
    <x v="0"/>
    <s v="Low"/>
    <s v="Offline"/>
    <n v="6924"/>
  </r>
  <r>
    <n v="77"/>
    <d v="2024-01-04T04:00:00"/>
    <s v="2024-01-04 04:00:00"/>
    <s v=" west"/>
    <x v="1"/>
    <s v=" Home Appliances "/>
    <x v="1"/>
    <s v="Rice 5Kg"/>
    <s v="Rice 5kg"/>
    <s v="CUST0658"/>
    <s v=" CUST0658 "/>
    <x v="3"/>
    <s v="Anita"/>
    <x v="4"/>
    <s v="Credit Card"/>
    <n v="14"/>
    <s v="14"/>
    <n v="4913"/>
    <s v="4913"/>
    <n v="68782"/>
    <x v="0"/>
    <x v="0"/>
    <x v="0"/>
    <s v="High"/>
    <s v="Online"/>
    <n v="68782"/>
  </r>
  <r>
    <n v="78"/>
    <d v="2024-01-04T05:00:00"/>
    <s v="2024-01-04 05:00:00"/>
    <s v=" west"/>
    <x v="1"/>
    <s v="Clothing"/>
    <x v="0"/>
    <s v="Led Tv 42Inch"/>
    <s v="LED TV 42inch"/>
    <s v="CUST0318"/>
    <s v=" CUST0318 "/>
    <x v="0"/>
    <s v="Rahul"/>
    <x v="1"/>
    <s v="Debit card "/>
    <n v="12"/>
    <s v="12"/>
    <n v="3316"/>
    <s v="3316"/>
    <n v="39792"/>
    <x v="0"/>
    <x v="0"/>
    <x v="0"/>
    <s v="Medium"/>
    <s v="Online"/>
    <n v="39792"/>
  </r>
  <r>
    <n v="79"/>
    <d v="2024-01-04T06:00:00"/>
    <s v="2024-01-04 06:00:00"/>
    <s v="EAST"/>
    <x v="0"/>
    <s v="Clothing"/>
    <x v="0"/>
    <s v="Washing Machine"/>
    <s v="Washing Machine"/>
    <s v="CUST0736"/>
    <s v=" CUST0736 "/>
    <x v="4"/>
    <s v="Karthik"/>
    <x v="1"/>
    <s v="Debit card "/>
    <n v="3"/>
    <s v="3"/>
    <n v="3766"/>
    <s v="3766"/>
    <n v="11298"/>
    <x v="0"/>
    <x v="0"/>
    <x v="0"/>
    <s v="Low"/>
    <s v="Online"/>
    <n v="11298"/>
  </r>
  <r>
    <n v="80"/>
    <d v="2024-01-04T07:00:00"/>
    <s v="2024-01-04 07:00:00"/>
    <s v=" west"/>
    <x v="1"/>
    <s v=" Home Appliances "/>
    <x v="1"/>
    <s v="Washing Machine"/>
    <s v="Washing Machine"/>
    <s v="CUST0369"/>
    <s v=" CUST0369 "/>
    <x v="1"/>
    <s v="Meena"/>
    <x v="3"/>
    <s v=" Net Banking "/>
    <n v="11"/>
    <s v="11"/>
    <n v="1508"/>
    <s v="1508"/>
    <n v="16588"/>
    <x v="0"/>
    <x v="0"/>
    <x v="0"/>
    <s v="Low"/>
    <s v="Online"/>
    <n v="16588"/>
  </r>
  <r>
    <n v="81"/>
    <d v="2024-01-04T08:00:00"/>
    <s v="2024-01-04 08:00:00"/>
    <s v="EAST"/>
    <x v="0"/>
    <s v="Grocery"/>
    <x v="3"/>
    <s v="Led Tv 42Inch"/>
    <s v="LED TV 42inch"/>
    <s v="CUST0384"/>
    <s v=" CUST0384 "/>
    <x v="3"/>
    <s v="Anita"/>
    <x v="0"/>
    <s v=" Cash"/>
    <n v="13"/>
    <s v="13"/>
    <n v="4464"/>
    <s v="4464"/>
    <n v="58032"/>
    <x v="0"/>
    <x v="0"/>
    <x v="0"/>
    <s v="High"/>
    <s v="Offline"/>
    <n v="58032"/>
  </r>
  <r>
    <n v="82"/>
    <d v="2024-01-04T09:00:00"/>
    <s v="2024-01-04 09:00:00"/>
    <s v=" west"/>
    <x v="1"/>
    <s v=" Home Appliances "/>
    <x v="1"/>
    <s v="Laptop"/>
    <s v="Laptop"/>
    <s v="CUST0062"/>
    <s v=" CUST0062 "/>
    <x v="4"/>
    <s v="Karthik"/>
    <x v="4"/>
    <s v="Credit Card"/>
    <n v="12"/>
    <s v="12"/>
    <n v="4177"/>
    <s v="4177"/>
    <n v="50124"/>
    <x v="0"/>
    <x v="0"/>
    <x v="0"/>
    <s v="High"/>
    <s v="Online"/>
    <n v="50124"/>
  </r>
  <r>
    <n v="83"/>
    <d v="2024-01-04T10:00:00"/>
    <s v="2024-01-04 10:00:00"/>
    <s v=" North "/>
    <x v="2"/>
    <s v="Grocery"/>
    <x v="3"/>
    <s v="Rice 5Kg"/>
    <s v="Rice 5kg"/>
    <s v="CUST0505"/>
    <s v=" CUST0505 "/>
    <x v="3"/>
    <s v="Anita"/>
    <x v="1"/>
    <s v="Debit card "/>
    <n v="9"/>
    <s v="9"/>
    <n v="1577"/>
    <s v="1577"/>
    <n v="14193"/>
    <x v="0"/>
    <x v="0"/>
    <x v="0"/>
    <s v="Low"/>
    <s v="Online"/>
    <n v="14193"/>
  </r>
  <r>
    <n v="84"/>
    <d v="2024-01-04T11:00:00"/>
    <s v="2024-01-04 11:00:00"/>
    <s v=" west"/>
    <x v="1"/>
    <s v="Electronics"/>
    <x v="2"/>
    <s v="Led Tv 42Inch"/>
    <s v="LED TV 42inch"/>
    <s v="CUST0239"/>
    <s v=" CUST0239 "/>
    <x v="0"/>
    <s v="Rahul"/>
    <x v="4"/>
    <s v="Credit Card"/>
    <n v="4"/>
    <s v="4"/>
    <n v="2497"/>
    <s v="2497"/>
    <n v="9988"/>
    <x v="0"/>
    <x v="0"/>
    <x v="0"/>
    <s v="Low"/>
    <s v="Online"/>
    <n v="9988"/>
  </r>
  <r>
    <n v="85"/>
    <d v="2024-01-04T12:00:00"/>
    <s v="2024-01-04 12:00:00"/>
    <s v="EAST"/>
    <x v="0"/>
    <s v="Grocery"/>
    <x v="3"/>
    <s v="Led Tv 42Inch"/>
    <s v="LED TV 42inch"/>
    <s v="CUST0195"/>
    <s v=" CUST0195 "/>
    <x v="1"/>
    <s v="Meena"/>
    <x v="2"/>
    <s v="UPI"/>
    <n v="9"/>
    <s v="9"/>
    <n v="209"/>
    <s v="209"/>
    <n v="1881"/>
    <x v="0"/>
    <x v="0"/>
    <x v="0"/>
    <s v="Low"/>
    <s v="Online"/>
    <n v="1881"/>
  </r>
  <r>
    <n v="86"/>
    <d v="2024-01-04T13:00:00"/>
    <s v="2024-01-04 13:00:00"/>
    <s v="EAST"/>
    <x v="0"/>
    <s v="Grocery"/>
    <x v="3"/>
    <s v="Led Tv 42Inch"/>
    <s v="LED TV 42inch"/>
    <s v="CUST0678"/>
    <s v=" CUST0678 "/>
    <x v="3"/>
    <s v="Anita"/>
    <x v="1"/>
    <s v="Debit card "/>
    <n v="4"/>
    <s v="4"/>
    <n v="3654"/>
    <s v="3654"/>
    <n v="14616"/>
    <x v="0"/>
    <x v="0"/>
    <x v="0"/>
    <s v="Low"/>
    <s v="Online"/>
    <n v="14616"/>
  </r>
  <r>
    <n v="87"/>
    <d v="2024-01-04T14:00:00"/>
    <s v="2024-01-04 14:00:00"/>
    <s v="south"/>
    <x v="3"/>
    <s v="Electronics"/>
    <x v="2"/>
    <s v="Men T-Shirt"/>
    <s v="Men T-Shirt"/>
    <s v="CUST0222"/>
    <s v=" CUST0222 "/>
    <x v="4"/>
    <s v="Karthik"/>
    <x v="1"/>
    <s v="Debit card "/>
    <n v="2"/>
    <s v="2"/>
    <n v="749"/>
    <s v="749"/>
    <n v="1498"/>
    <x v="0"/>
    <x v="0"/>
    <x v="0"/>
    <s v="Low"/>
    <s v="Online"/>
    <n v="1498"/>
  </r>
  <r>
    <n v="88"/>
    <d v="2024-01-04T15:00:00"/>
    <s v="2024-01-04 15:00:00"/>
    <s v=" North "/>
    <x v="2"/>
    <s v="Grocery"/>
    <x v="3"/>
    <s v="Washing Machine"/>
    <s v="Washing Machine"/>
    <s v="CUST0061"/>
    <s v=" CUST0061 "/>
    <x v="0"/>
    <s v="Rahul"/>
    <x v="2"/>
    <s v="UPI"/>
    <n v="4"/>
    <s v="4"/>
    <n v="1599"/>
    <s v="1599"/>
    <n v="6396"/>
    <x v="0"/>
    <x v="0"/>
    <x v="0"/>
    <s v="Low"/>
    <s v="Online"/>
    <n v="6396"/>
  </r>
  <r>
    <n v="89"/>
    <d v="2024-01-04T16:00:00"/>
    <s v="2024-01-04 16:00:00"/>
    <s v=" west"/>
    <x v="1"/>
    <s v=" Home Appliances "/>
    <x v="1"/>
    <s v="Laptop"/>
    <s v="Laptop"/>
    <s v="CUST0129"/>
    <s v=" CUST0129 "/>
    <x v="0"/>
    <s v="Rahul"/>
    <x v="3"/>
    <s v=" Net Banking "/>
    <n v="6"/>
    <s v="6"/>
    <n v="695"/>
    <s v="695"/>
    <n v="4170"/>
    <x v="0"/>
    <x v="0"/>
    <x v="0"/>
    <s v="Low"/>
    <s v="Online"/>
    <n v="4170"/>
  </r>
  <r>
    <n v="90"/>
    <d v="2024-01-04T17:00:00"/>
    <s v="2024-01-04 17:00:00"/>
    <s v="south"/>
    <x v="3"/>
    <s v="Grocery"/>
    <x v="3"/>
    <s v="Mixer Grinder"/>
    <s v="Mixer Grinder"/>
    <s v="CUST0685"/>
    <s v=" CUST0685 "/>
    <x v="4"/>
    <s v="Karthik"/>
    <x v="1"/>
    <s v="Debit card "/>
    <n v="6"/>
    <s v="6"/>
    <n v="1078"/>
    <s v="1078"/>
    <n v="6468"/>
    <x v="0"/>
    <x v="0"/>
    <x v="0"/>
    <s v="Low"/>
    <s v="Online"/>
    <n v="6468"/>
  </r>
  <r>
    <n v="91"/>
    <d v="2024-01-04T18:00:00"/>
    <s v="2024-01-04 18:00:00"/>
    <s v=" west"/>
    <x v="1"/>
    <s v="Electronics"/>
    <x v="2"/>
    <s v="Laptop"/>
    <s v="Laptop"/>
    <s v="CUST0156"/>
    <s v=" CUST0156 "/>
    <x v="4"/>
    <s v="Karthik"/>
    <x v="4"/>
    <s v="Credit Card"/>
    <n v="5"/>
    <s v="5"/>
    <n v="830"/>
    <s v="830"/>
    <n v="4150"/>
    <x v="0"/>
    <x v="0"/>
    <x v="0"/>
    <s v="Low"/>
    <s v="Online"/>
    <n v="4150"/>
  </r>
  <r>
    <n v="92"/>
    <d v="2024-01-04T19:00:00"/>
    <s v="2024-01-04 19:00:00"/>
    <s v=" west"/>
    <x v="1"/>
    <s v=" Home Appliances "/>
    <x v="1"/>
    <s v="Mixer Grinder"/>
    <s v="Mixer Grinder"/>
    <s v="CUST0378"/>
    <s v=" CUST0378 "/>
    <x v="3"/>
    <s v="Anita"/>
    <x v="0"/>
    <s v=" Cash"/>
    <n v="1"/>
    <s v="1"/>
    <n v="156"/>
    <s v="156"/>
    <n v="156"/>
    <x v="0"/>
    <x v="0"/>
    <x v="0"/>
    <s v="Low"/>
    <s v="Offline"/>
    <n v="156"/>
  </r>
  <r>
    <n v="93"/>
    <d v="2024-01-04T20:00:00"/>
    <s v="2024-01-04 20:00:00"/>
    <s v="south"/>
    <x v="3"/>
    <s v="Electronics"/>
    <x v="2"/>
    <s v="Men T-Shirt"/>
    <s v="Men T-Shirt"/>
    <s v="CUST0622"/>
    <s v=" CUST0622 "/>
    <x v="2"/>
    <s v="Suresh"/>
    <x v="4"/>
    <s v="Credit Card"/>
    <n v="3"/>
    <s v="3"/>
    <n v="2343"/>
    <s v="2343"/>
    <n v="7029"/>
    <x v="0"/>
    <x v="0"/>
    <x v="0"/>
    <s v="Low"/>
    <s v="Online"/>
    <n v="7029"/>
  </r>
  <r>
    <n v="94"/>
    <d v="2024-01-04T21:00:00"/>
    <s v="2024-01-04 21:00:00"/>
    <s v="south"/>
    <x v="3"/>
    <s v="Electronics"/>
    <x v="2"/>
    <s v="Led Tv 42Inch"/>
    <s v="LED TV 42inch"/>
    <s v="CUST0781"/>
    <s v=" CUST0781 "/>
    <x v="0"/>
    <s v="Rahul"/>
    <x v="3"/>
    <s v=" Net Banking "/>
    <n v="5"/>
    <s v="5"/>
    <n v="1801"/>
    <s v="1801"/>
    <n v="9005"/>
    <x v="0"/>
    <x v="0"/>
    <x v="0"/>
    <s v="Low"/>
    <s v="Online"/>
    <n v="9005"/>
  </r>
  <r>
    <n v="95"/>
    <d v="2024-01-04T22:00:00"/>
    <s v="2024-01-04 22:00:00"/>
    <s v="south"/>
    <x v="3"/>
    <s v="Clothing"/>
    <x v="0"/>
    <s v="Men T-Shirt"/>
    <s v="Men T-Shirt"/>
    <s v="CUST0790"/>
    <s v=" CUST0790 "/>
    <x v="3"/>
    <s v="Anita"/>
    <x v="0"/>
    <s v=" Cash"/>
    <n v="6"/>
    <s v="6"/>
    <n v="1386"/>
    <s v="1386"/>
    <n v="8316"/>
    <x v="0"/>
    <x v="0"/>
    <x v="0"/>
    <s v="Low"/>
    <s v="Offline"/>
    <n v="8316"/>
  </r>
  <r>
    <n v="96"/>
    <d v="2024-01-04T23:00:00"/>
    <s v="2024-01-04 23:00:00"/>
    <s v="south"/>
    <x v="3"/>
    <s v="Clothing"/>
    <x v="0"/>
    <s v="Men T-Shirt"/>
    <s v="Men T-Shirt"/>
    <s v="CUST0586"/>
    <s v=" CUST0586 "/>
    <x v="4"/>
    <s v="Karthik"/>
    <x v="4"/>
    <s v="Credit Card"/>
    <n v="14"/>
    <s v="14"/>
    <n v="211"/>
    <s v="211"/>
    <n v="2954"/>
    <x v="0"/>
    <x v="0"/>
    <x v="0"/>
    <s v="Low"/>
    <s v="Online"/>
    <n v="2954"/>
  </r>
  <r>
    <n v="97"/>
    <d v="2024-01-05T00:00:00"/>
    <s v="2024-01-05 00:00:00"/>
    <s v="south"/>
    <x v="3"/>
    <s v="Electronics"/>
    <x v="2"/>
    <s v="Rice 5Kg"/>
    <s v="Rice 5kg"/>
    <s v="CUST0437"/>
    <s v=" CUST0437 "/>
    <x v="3"/>
    <s v="Anita"/>
    <x v="4"/>
    <s v="Credit Card"/>
    <n v="1"/>
    <s v="1"/>
    <n v="4906"/>
    <s v="4906"/>
    <n v="4906"/>
    <x v="0"/>
    <x v="0"/>
    <x v="0"/>
    <s v="Low"/>
    <s v="Online"/>
    <n v="4906"/>
  </r>
  <r>
    <n v="98"/>
    <d v="2024-01-05T01:00:00"/>
    <s v="2024-01-05 01:00:00"/>
    <s v=" west"/>
    <x v="1"/>
    <s v="Electronics"/>
    <x v="2"/>
    <s v="Washing Machine"/>
    <s v="Washing Machine"/>
    <s v="CUST0207"/>
    <s v=" CUST0207 "/>
    <x v="4"/>
    <s v="Karthik"/>
    <x v="2"/>
    <s v="UPI"/>
    <n v="14"/>
    <s v="14"/>
    <n v="1301"/>
    <s v="1301"/>
    <n v="18214"/>
    <x v="0"/>
    <x v="0"/>
    <x v="0"/>
    <s v="Low"/>
    <s v="Online"/>
    <n v="18214"/>
  </r>
  <r>
    <n v="99"/>
    <d v="2024-01-05T02:00:00"/>
    <s v="2024-01-05 02:00:00"/>
    <s v="south"/>
    <x v="3"/>
    <s v="Electronics"/>
    <x v="2"/>
    <s v="Mixer Grinder"/>
    <s v="Mixer Grinder"/>
    <s v="CUST0388"/>
    <s v=" CUST0388 "/>
    <x v="1"/>
    <s v="Meena"/>
    <x v="3"/>
    <s v=" Net Banking "/>
    <n v="14"/>
    <s v="14"/>
    <n v="1047"/>
    <s v="1047"/>
    <n v="14658"/>
    <x v="0"/>
    <x v="0"/>
    <x v="0"/>
    <s v="Low"/>
    <s v="Online"/>
    <n v="14658"/>
  </r>
  <r>
    <n v="100"/>
    <d v="2024-01-05T03:00:00"/>
    <s v="2024-01-05 03:00:00"/>
    <s v=" North "/>
    <x v="2"/>
    <s v="Clothing"/>
    <x v="0"/>
    <s v="Led Tv 42Inch"/>
    <s v="LED TV 42inch"/>
    <s v="CUST0480"/>
    <s v=" CUST0480 "/>
    <x v="4"/>
    <s v="Karthik"/>
    <x v="2"/>
    <s v="UPI"/>
    <n v="9"/>
    <s v="9"/>
    <n v="4221"/>
    <s v="4221"/>
    <n v="37989"/>
    <x v="0"/>
    <x v="0"/>
    <x v="0"/>
    <s v="Medium"/>
    <s v="Online"/>
    <n v="37989"/>
  </r>
  <r>
    <n v="101"/>
    <d v="2024-01-05T04:00:00"/>
    <s v="2024-01-05 04:00:00"/>
    <s v="EAST"/>
    <x v="0"/>
    <s v="Clothing"/>
    <x v="0"/>
    <s v="Mixer Grinder"/>
    <s v="Mixer Grinder"/>
    <s v="CUST0791"/>
    <s v=" CUST0791 "/>
    <x v="4"/>
    <s v="Karthik"/>
    <x v="0"/>
    <s v=" Cash"/>
    <n v="14"/>
    <s v="14"/>
    <n v="857"/>
    <s v="857"/>
    <n v="11998"/>
    <x v="0"/>
    <x v="0"/>
    <x v="0"/>
    <s v="Low"/>
    <s v="Offline"/>
    <n v="11998"/>
  </r>
  <r>
    <n v="102"/>
    <d v="2024-01-05T05:00:00"/>
    <s v="2024-01-05 05:00:00"/>
    <s v="south"/>
    <x v="3"/>
    <s v="Grocery"/>
    <x v="3"/>
    <s v="Laptop"/>
    <s v="Laptop"/>
    <s v="CUST0340"/>
    <s v=" CUST0340 "/>
    <x v="4"/>
    <s v="Karthik"/>
    <x v="2"/>
    <s v="UPI"/>
    <n v="3"/>
    <s v="3"/>
    <n v="3488"/>
    <s v="3488"/>
    <n v="10464"/>
    <x v="0"/>
    <x v="0"/>
    <x v="0"/>
    <s v="Low"/>
    <s v="Online"/>
    <n v="10464"/>
  </r>
  <r>
    <n v="103"/>
    <d v="2024-01-05T06:00:00"/>
    <s v="2024-01-05 06:00:00"/>
    <s v="south"/>
    <x v="3"/>
    <s v="Grocery"/>
    <x v="3"/>
    <s v="Mixer Grinder"/>
    <s v="Mixer Grinder"/>
    <s v="CUST0340"/>
    <s v=" CUST0340 "/>
    <x v="2"/>
    <s v="Suresh"/>
    <x v="3"/>
    <s v=" Net Banking "/>
    <n v="10"/>
    <s v="10"/>
    <n v="1941"/>
    <s v="1941"/>
    <n v="19410"/>
    <x v="0"/>
    <x v="0"/>
    <x v="0"/>
    <s v="Low"/>
    <s v="Online"/>
    <n v="19410"/>
  </r>
  <r>
    <n v="104"/>
    <d v="2024-01-05T07:00:00"/>
    <s v="2024-01-05 07:00:00"/>
    <s v=" west"/>
    <x v="1"/>
    <s v="Electronics"/>
    <x v="2"/>
    <s v="Laptop"/>
    <s v="Laptop"/>
    <s v="CUST0204"/>
    <s v=" CUST0204 "/>
    <x v="4"/>
    <s v="Karthik"/>
    <x v="1"/>
    <s v="Debit card "/>
    <n v="13"/>
    <s v="13"/>
    <n v="3635"/>
    <s v="3635"/>
    <n v="47255"/>
    <x v="0"/>
    <x v="0"/>
    <x v="0"/>
    <s v="Medium"/>
    <s v="Online"/>
    <n v="47255"/>
  </r>
  <r>
    <n v="105"/>
    <d v="2024-01-05T08:00:00"/>
    <s v="2024-01-05 08:00:00"/>
    <s v="south"/>
    <x v="3"/>
    <s v=" Home Appliances "/>
    <x v="1"/>
    <s v="Washing Machine"/>
    <s v="Washing Machine"/>
    <s v="CUST0161"/>
    <s v=" CUST0161 "/>
    <x v="0"/>
    <s v="Rahul"/>
    <x v="1"/>
    <s v="Debit card "/>
    <n v="3"/>
    <s v="3"/>
    <n v="2393"/>
    <s v="2393"/>
    <n v="7179"/>
    <x v="0"/>
    <x v="0"/>
    <x v="0"/>
    <s v="Low"/>
    <s v="Online"/>
    <n v="7179"/>
  </r>
  <r>
    <n v="106"/>
    <d v="2024-01-05T09:00:00"/>
    <s v="2024-01-05 09:00:00"/>
    <s v="south"/>
    <x v="3"/>
    <s v=" Home Appliances "/>
    <x v="1"/>
    <s v="Laptop"/>
    <s v="Laptop"/>
    <s v="CUST0540"/>
    <s v=" CUST0540 "/>
    <x v="0"/>
    <s v="Rahul"/>
    <x v="0"/>
    <s v=" Cash"/>
    <n v="11"/>
    <s v="11"/>
    <n v="1204"/>
    <s v="1204"/>
    <n v="13244"/>
    <x v="0"/>
    <x v="0"/>
    <x v="0"/>
    <s v="Low"/>
    <s v="Offline"/>
    <n v="13244"/>
  </r>
  <r>
    <n v="107"/>
    <d v="2024-01-05T10:00:00"/>
    <s v="2024-01-05 10:00:00"/>
    <s v="south"/>
    <x v="3"/>
    <s v="Clothing"/>
    <x v="0"/>
    <s v="Mixer Grinder"/>
    <s v="Mixer Grinder"/>
    <s v="CUST0392"/>
    <s v=" CUST0392 "/>
    <x v="3"/>
    <s v="Anita"/>
    <x v="1"/>
    <s v="Debit card "/>
    <n v="2"/>
    <s v="2"/>
    <n v="761"/>
    <s v="761"/>
    <n v="1522"/>
    <x v="0"/>
    <x v="0"/>
    <x v="0"/>
    <s v="Low"/>
    <s v="Online"/>
    <n v="1522"/>
  </r>
  <r>
    <n v="108"/>
    <d v="2024-01-05T11:00:00"/>
    <s v="2024-01-05 11:00:00"/>
    <s v=" west"/>
    <x v="1"/>
    <s v="Clothing"/>
    <x v="0"/>
    <s v="Mixer Grinder"/>
    <s v="Mixer Grinder"/>
    <s v="CUST0769"/>
    <s v=" CUST0769 "/>
    <x v="2"/>
    <s v="Suresh"/>
    <x v="2"/>
    <s v="UPI"/>
    <n v="8"/>
    <s v="8"/>
    <n v="1008"/>
    <s v="1008"/>
    <n v="8064"/>
    <x v="0"/>
    <x v="0"/>
    <x v="0"/>
    <s v="Low"/>
    <s v="Online"/>
    <n v="8064"/>
  </r>
  <r>
    <n v="109"/>
    <d v="2024-01-05T12:00:00"/>
    <s v="2024-01-05 12:00:00"/>
    <s v="south"/>
    <x v="3"/>
    <s v="Clothing"/>
    <x v="0"/>
    <s v="Laptop"/>
    <s v="Laptop"/>
    <s v="CUST0677"/>
    <s v=" CUST0677 "/>
    <x v="3"/>
    <s v="Anita"/>
    <x v="0"/>
    <s v=" Cash"/>
    <n v="13"/>
    <s v="13"/>
    <n v="4717"/>
    <s v="4717"/>
    <n v="61321"/>
    <x v="0"/>
    <x v="0"/>
    <x v="0"/>
    <s v="High"/>
    <s v="Offline"/>
    <n v="61321"/>
  </r>
  <r>
    <n v="110"/>
    <d v="2024-01-05T13:00:00"/>
    <s v="2024-01-05 13:00:00"/>
    <s v="EAST"/>
    <x v="0"/>
    <s v="Electronics"/>
    <x v="2"/>
    <s v="Men T-Shirt"/>
    <s v="Men T-Shirt"/>
    <s v="CUST0575"/>
    <s v=" CUST0575 "/>
    <x v="0"/>
    <s v="Rahul"/>
    <x v="3"/>
    <s v=" Net Banking "/>
    <n v="3"/>
    <s v="3"/>
    <n v="1956"/>
    <s v="1956"/>
    <n v="5868"/>
    <x v="0"/>
    <x v="0"/>
    <x v="0"/>
    <s v="Low"/>
    <s v="Online"/>
    <n v="5868"/>
  </r>
  <r>
    <n v="111"/>
    <d v="2024-01-05T14:00:00"/>
    <s v="2024-01-05 14:00:00"/>
    <s v=" west"/>
    <x v="1"/>
    <s v=" Home Appliances "/>
    <x v="1"/>
    <s v="Washing Machine"/>
    <s v="Washing Machine"/>
    <s v="CUST0534"/>
    <s v=" CUST0534 "/>
    <x v="0"/>
    <s v="Rahul"/>
    <x v="0"/>
    <s v=" Cash"/>
    <n v="6"/>
    <s v="6"/>
    <n v="2411"/>
    <s v="2411"/>
    <n v="14466"/>
    <x v="0"/>
    <x v="0"/>
    <x v="0"/>
    <s v="Low"/>
    <s v="Offline"/>
    <n v="14466"/>
  </r>
  <r>
    <n v="112"/>
    <d v="2024-01-05T15:00:00"/>
    <s v="2024-01-05 15:00:00"/>
    <s v="EAST"/>
    <x v="0"/>
    <s v="Grocery"/>
    <x v="3"/>
    <s v="Rice 5Kg"/>
    <s v="Rice 5kg"/>
    <s v="CUST0070"/>
    <s v=" CUST0070 "/>
    <x v="1"/>
    <s v="Meena"/>
    <x v="0"/>
    <s v=" Cash"/>
    <n v="2"/>
    <s v="2"/>
    <n v="889"/>
    <s v="889"/>
    <n v="1778"/>
    <x v="0"/>
    <x v="0"/>
    <x v="0"/>
    <s v="Low"/>
    <s v="Offline"/>
    <n v="1778"/>
  </r>
  <r>
    <n v="113"/>
    <d v="2024-01-05T16:00:00"/>
    <s v="2024-01-05 16:00:00"/>
    <s v=" west"/>
    <x v="1"/>
    <s v="Electronics"/>
    <x v="2"/>
    <s v="Led Tv 42Inch"/>
    <s v="LED TV 42inch"/>
    <s v="CUST0405"/>
    <s v=" CUST0405 "/>
    <x v="4"/>
    <s v="Karthik"/>
    <x v="4"/>
    <s v="Credit Card"/>
    <n v="7"/>
    <s v="7"/>
    <n v="271"/>
    <s v="271"/>
    <n v="1897"/>
    <x v="0"/>
    <x v="0"/>
    <x v="0"/>
    <s v="Low"/>
    <s v="Online"/>
    <n v="1897"/>
  </r>
  <r>
    <n v="114"/>
    <d v="2024-01-05T17:00:00"/>
    <s v="2024-01-05 17:00:00"/>
    <s v="south"/>
    <x v="3"/>
    <s v="Grocery"/>
    <x v="3"/>
    <s v="Mixer Grinder"/>
    <s v="Mixer Grinder"/>
    <s v="CUST0608"/>
    <s v=" CUST0608 "/>
    <x v="0"/>
    <s v="Rahul"/>
    <x v="4"/>
    <s v="Credit Card"/>
    <n v="13"/>
    <s v="13"/>
    <n v="4460"/>
    <s v="4460"/>
    <n v="57980"/>
    <x v="0"/>
    <x v="0"/>
    <x v="0"/>
    <s v="High"/>
    <s v="Online"/>
    <n v="57980"/>
  </r>
  <r>
    <n v="115"/>
    <d v="2024-01-05T18:00:00"/>
    <s v="2024-01-05 18:00:00"/>
    <s v="EAST"/>
    <x v="0"/>
    <s v="Grocery"/>
    <x v="3"/>
    <s v="Led Tv 42Inch"/>
    <s v="LED TV 42inch"/>
    <s v="CUST0675"/>
    <s v=" CUST0675 "/>
    <x v="3"/>
    <s v="Anita"/>
    <x v="0"/>
    <s v=" Cash"/>
    <n v="4"/>
    <s v="4"/>
    <n v="2086"/>
    <s v="2086"/>
    <n v="8344"/>
    <x v="0"/>
    <x v="0"/>
    <x v="0"/>
    <s v="Low"/>
    <s v="Offline"/>
    <n v="8344"/>
  </r>
  <r>
    <n v="116"/>
    <d v="2024-01-05T19:00:00"/>
    <s v="2024-01-05 19:00:00"/>
    <s v=" west"/>
    <x v="1"/>
    <s v="Electronics"/>
    <x v="2"/>
    <s v="Rice 5Kg"/>
    <s v="Rice 5kg"/>
    <s v="CUST0591"/>
    <s v=" CUST0591 "/>
    <x v="3"/>
    <s v="Anita"/>
    <x v="1"/>
    <s v="Debit card "/>
    <n v="9"/>
    <s v="9"/>
    <n v="1985"/>
    <s v="1985"/>
    <n v="17865"/>
    <x v="0"/>
    <x v="0"/>
    <x v="0"/>
    <s v="Low"/>
    <s v="Online"/>
    <n v="17865"/>
  </r>
  <r>
    <n v="117"/>
    <d v="2024-01-05T20:00:00"/>
    <s v="2024-01-05 20:00:00"/>
    <s v=" North "/>
    <x v="2"/>
    <s v="Grocery"/>
    <x v="3"/>
    <s v="Led Tv 42Inch"/>
    <s v="LED TV 42inch"/>
    <s v="CUST0517"/>
    <s v=" CUST0517 "/>
    <x v="4"/>
    <s v="Karthik"/>
    <x v="4"/>
    <s v="Credit Card"/>
    <n v="14"/>
    <s v="14"/>
    <n v="575"/>
    <s v="575"/>
    <n v="8050"/>
    <x v="0"/>
    <x v="0"/>
    <x v="0"/>
    <s v="Low"/>
    <s v="Online"/>
    <n v="8050"/>
  </r>
  <r>
    <n v="118"/>
    <d v="2024-01-05T21:00:00"/>
    <s v="2024-01-05 21:00:00"/>
    <s v="south"/>
    <x v="3"/>
    <s v=" Home Appliances "/>
    <x v="1"/>
    <s v="Rice 5Kg"/>
    <s v="Rice 5kg"/>
    <s v="CUST0120"/>
    <s v=" CUST0120 "/>
    <x v="4"/>
    <s v="Karthik"/>
    <x v="3"/>
    <s v=" Net Banking "/>
    <n v="10"/>
    <s v="10"/>
    <n v="1149"/>
    <s v="1149"/>
    <n v="11490"/>
    <x v="0"/>
    <x v="0"/>
    <x v="0"/>
    <s v="Low"/>
    <s v="Online"/>
    <n v="11490"/>
  </r>
  <r>
    <n v="119"/>
    <d v="2024-01-05T22:00:00"/>
    <s v="2024-01-05 22:00:00"/>
    <s v=" west"/>
    <x v="1"/>
    <s v="Grocery"/>
    <x v="3"/>
    <s v="Laptop"/>
    <s v="Laptop"/>
    <s v="CUST0690"/>
    <s v=" CUST0690 "/>
    <x v="1"/>
    <s v="Meena"/>
    <x v="2"/>
    <s v="UPI"/>
    <n v="9"/>
    <s v="9"/>
    <n v="4229"/>
    <s v="4229"/>
    <n v="38061"/>
    <x v="0"/>
    <x v="0"/>
    <x v="0"/>
    <s v="Medium"/>
    <s v="Online"/>
    <n v="38061"/>
  </r>
  <r>
    <n v="120"/>
    <d v="2024-01-05T23:00:00"/>
    <s v="2024-01-05 23:00:00"/>
    <s v=" North "/>
    <x v="2"/>
    <s v=" Home Appliances "/>
    <x v="1"/>
    <s v="Men T-Shirt"/>
    <s v="Men T-Shirt"/>
    <s v="CUST0688"/>
    <s v=" CUST0688 "/>
    <x v="2"/>
    <s v="Suresh"/>
    <x v="4"/>
    <s v="Credit Card"/>
    <n v="7"/>
    <s v="7"/>
    <n v="2411"/>
    <s v="2411"/>
    <n v="16877"/>
    <x v="0"/>
    <x v="0"/>
    <x v="0"/>
    <s v="Low"/>
    <s v="Online"/>
    <n v="16877"/>
  </r>
  <r>
    <n v="121"/>
    <d v="2024-01-06T00:00:00"/>
    <s v="2024-01-06 00:00:00"/>
    <s v=" west"/>
    <x v="1"/>
    <s v=" Home Appliances "/>
    <x v="1"/>
    <s v="Mixer Grinder"/>
    <s v="Mixer Grinder"/>
    <s v="CUST0217"/>
    <s v=" CUST0217 "/>
    <x v="3"/>
    <s v="Anita"/>
    <x v="0"/>
    <s v=" Cash"/>
    <n v="12"/>
    <s v="12"/>
    <n v="1261"/>
    <s v="1261"/>
    <n v="15132"/>
    <x v="0"/>
    <x v="0"/>
    <x v="0"/>
    <s v="Low"/>
    <s v="Offline"/>
    <n v="15132"/>
  </r>
  <r>
    <n v="122"/>
    <d v="2024-01-06T01:00:00"/>
    <s v="2024-01-06 01:00:00"/>
    <s v=" North "/>
    <x v="2"/>
    <s v=" Home Appliances "/>
    <x v="1"/>
    <s v="Rice 5Kg"/>
    <s v="Rice 5kg"/>
    <s v="CUST0056"/>
    <s v=" CUST0056 "/>
    <x v="4"/>
    <s v="Karthik"/>
    <x v="1"/>
    <s v="Debit card "/>
    <n v="8"/>
    <s v="8"/>
    <n v="915"/>
    <s v="915"/>
    <n v="7320"/>
    <x v="0"/>
    <x v="0"/>
    <x v="0"/>
    <s v="Low"/>
    <s v="Online"/>
    <n v="7320"/>
  </r>
  <r>
    <n v="123"/>
    <d v="2024-01-06T02:00:00"/>
    <s v="2024-01-06 02:00:00"/>
    <s v="south"/>
    <x v="3"/>
    <s v="Clothing"/>
    <x v="0"/>
    <s v="Led Tv 42Inch"/>
    <s v="LED TV 42inch"/>
    <s v="CUST0366"/>
    <s v=" CUST0366 "/>
    <x v="3"/>
    <s v="Anita"/>
    <x v="2"/>
    <s v="UPI"/>
    <n v="3"/>
    <s v="3"/>
    <n v="3866"/>
    <s v="3866"/>
    <n v="11598"/>
    <x v="0"/>
    <x v="0"/>
    <x v="0"/>
    <s v="Low"/>
    <s v="Online"/>
    <n v="11598"/>
  </r>
  <r>
    <n v="124"/>
    <d v="2024-01-06T03:00:00"/>
    <s v="2024-01-06 03:00:00"/>
    <s v="EAST"/>
    <x v="0"/>
    <s v="Grocery"/>
    <x v="3"/>
    <s v="Mixer Grinder"/>
    <s v="Mixer Grinder"/>
    <s v="CUST0699"/>
    <s v=" CUST0699 "/>
    <x v="4"/>
    <s v="Karthik"/>
    <x v="4"/>
    <s v="Credit Card"/>
    <n v="11"/>
    <s v="11"/>
    <n v="3022"/>
    <s v="3022"/>
    <n v="33242"/>
    <x v="0"/>
    <x v="0"/>
    <x v="0"/>
    <s v="Medium"/>
    <s v="Online"/>
    <n v="33242"/>
  </r>
  <r>
    <n v="125"/>
    <d v="2024-01-06T04:00:00"/>
    <s v="2024-01-06 04:00:00"/>
    <s v=" North "/>
    <x v="2"/>
    <s v="Electronics"/>
    <x v="2"/>
    <s v="Men T-Shirt"/>
    <s v="Men T-Shirt"/>
    <s v="CUST0504"/>
    <s v=" CUST0504 "/>
    <x v="0"/>
    <s v="Rahul"/>
    <x v="1"/>
    <s v="Debit card "/>
    <n v="5"/>
    <s v="5"/>
    <n v="853"/>
    <s v="853"/>
    <n v="4265"/>
    <x v="0"/>
    <x v="0"/>
    <x v="0"/>
    <s v="Low"/>
    <s v="Online"/>
    <n v="4265"/>
  </r>
  <r>
    <n v="126"/>
    <d v="2024-01-06T05:00:00"/>
    <s v="2024-01-06 05:00:00"/>
    <s v=" west"/>
    <x v="1"/>
    <s v="Electronics"/>
    <x v="2"/>
    <s v="Laptop"/>
    <s v="Laptop"/>
    <s v="CUST0744"/>
    <s v=" CUST0744 "/>
    <x v="3"/>
    <s v="Anita"/>
    <x v="1"/>
    <s v="Debit card "/>
    <n v="2"/>
    <s v="2"/>
    <n v="4761"/>
    <s v="4761"/>
    <n v="9522"/>
    <x v="0"/>
    <x v="0"/>
    <x v="0"/>
    <s v="Low"/>
    <s v="Online"/>
    <n v="9522"/>
  </r>
  <r>
    <n v="127"/>
    <d v="2024-01-06T06:00:00"/>
    <s v="2024-01-06 06:00:00"/>
    <s v="south"/>
    <x v="3"/>
    <s v="Grocery"/>
    <x v="3"/>
    <s v="Mixer Grinder"/>
    <s v="Mixer Grinder"/>
    <s v="CUST0767"/>
    <s v=" CUST0767 "/>
    <x v="0"/>
    <s v="Rahul"/>
    <x v="1"/>
    <s v="Debit card "/>
    <n v="10"/>
    <s v="10"/>
    <n v="561"/>
    <s v="561"/>
    <n v="5610"/>
    <x v="0"/>
    <x v="0"/>
    <x v="0"/>
    <s v="Low"/>
    <s v="Online"/>
    <n v="5610"/>
  </r>
  <r>
    <n v="128"/>
    <d v="2024-01-06T07:00:00"/>
    <s v="2024-01-06 07:00:00"/>
    <s v=" North "/>
    <x v="2"/>
    <s v="Clothing"/>
    <x v="0"/>
    <s v="Rice 5Kg"/>
    <s v="Rice 5kg"/>
    <s v="CUST0455"/>
    <s v=" CUST0455 "/>
    <x v="3"/>
    <s v="Anita"/>
    <x v="0"/>
    <s v=" Cash"/>
    <n v="7"/>
    <s v="7"/>
    <n v="3339"/>
    <s v="3339"/>
    <n v="23373"/>
    <x v="0"/>
    <x v="0"/>
    <x v="0"/>
    <s v="Medium"/>
    <s v="Offline"/>
    <n v="23373"/>
  </r>
  <r>
    <n v="129"/>
    <d v="2024-01-06T08:00:00"/>
    <s v="2024-01-06 08:00:00"/>
    <s v=" west"/>
    <x v="1"/>
    <s v="Clothing"/>
    <x v="0"/>
    <s v="Men T-Shirt"/>
    <s v="Men T-Shirt"/>
    <s v="CUST0104"/>
    <s v=" CUST0104 "/>
    <x v="2"/>
    <s v="Suresh"/>
    <x v="3"/>
    <s v=" Net Banking "/>
    <n v="13"/>
    <s v="13"/>
    <n v="2802"/>
    <s v="2802"/>
    <n v="36426"/>
    <x v="0"/>
    <x v="0"/>
    <x v="0"/>
    <s v="Medium"/>
    <s v="Online"/>
    <n v="36426"/>
  </r>
  <r>
    <n v="130"/>
    <d v="2024-01-06T09:00:00"/>
    <s v="2024-01-06 09:00:00"/>
    <s v=" west"/>
    <x v="1"/>
    <s v=" Home Appliances "/>
    <x v="1"/>
    <s v="Led Tv 42Inch"/>
    <s v="LED TV 42inch"/>
    <s v="CUST0077"/>
    <s v=" CUST0077 "/>
    <x v="1"/>
    <s v="Meena"/>
    <x v="1"/>
    <s v="Debit card "/>
    <n v="8"/>
    <s v="8"/>
    <n v="180"/>
    <s v="180"/>
    <n v="1440"/>
    <x v="0"/>
    <x v="0"/>
    <x v="0"/>
    <s v="Low"/>
    <s v="Online"/>
    <n v="1440"/>
  </r>
  <r>
    <n v="131"/>
    <d v="2024-01-06T10:00:00"/>
    <s v="2024-01-06 10:00:00"/>
    <s v=" west"/>
    <x v="1"/>
    <s v="Grocery"/>
    <x v="3"/>
    <s v="Men T-Shirt"/>
    <s v="Men T-Shirt"/>
    <s v="CUST0230"/>
    <s v=" CUST0230 "/>
    <x v="0"/>
    <s v="Rahul"/>
    <x v="2"/>
    <s v="UPI"/>
    <n v="9"/>
    <s v="9"/>
    <n v="2904"/>
    <s v="2904"/>
    <n v="26136"/>
    <x v="0"/>
    <x v="0"/>
    <x v="0"/>
    <s v="Medium"/>
    <s v="Online"/>
    <n v="26136"/>
  </r>
  <r>
    <n v="132"/>
    <d v="2024-01-06T11:00:00"/>
    <s v="2024-01-06 11:00:00"/>
    <s v=" North "/>
    <x v="2"/>
    <s v="Grocery"/>
    <x v="3"/>
    <s v="Men T-Shirt"/>
    <s v="Men T-Shirt"/>
    <s v="CUST0258"/>
    <s v=" CUST0258 "/>
    <x v="4"/>
    <s v="Karthik"/>
    <x v="4"/>
    <s v="Credit Card"/>
    <n v="11"/>
    <s v="11"/>
    <n v="969"/>
    <s v="969"/>
    <n v="10659"/>
    <x v="0"/>
    <x v="0"/>
    <x v="0"/>
    <s v="Low"/>
    <s v="Online"/>
    <n v="10659"/>
  </r>
  <r>
    <n v="133"/>
    <d v="2024-01-06T12:00:00"/>
    <s v="2024-01-06 12:00:00"/>
    <s v=" North "/>
    <x v="2"/>
    <s v="Electronics"/>
    <x v="2"/>
    <s v="Washing Machine"/>
    <s v="Washing Machine"/>
    <s v="CUST0264"/>
    <s v=" CUST0264 "/>
    <x v="2"/>
    <s v="Suresh"/>
    <x v="2"/>
    <s v="UPI"/>
    <n v="11"/>
    <s v="11"/>
    <n v="4794"/>
    <s v="4794"/>
    <n v="52734"/>
    <x v="0"/>
    <x v="0"/>
    <x v="0"/>
    <s v="High"/>
    <s v="Online"/>
    <n v="52734"/>
  </r>
  <r>
    <n v="134"/>
    <d v="2024-01-06T13:00:00"/>
    <s v="2024-01-06 13:00:00"/>
    <s v=" North "/>
    <x v="2"/>
    <s v="Grocery"/>
    <x v="3"/>
    <s v="Men T-Shirt"/>
    <s v="Men T-Shirt"/>
    <s v="CUST0331"/>
    <s v=" CUST0331 "/>
    <x v="3"/>
    <s v="Anita"/>
    <x v="0"/>
    <s v=" Cash"/>
    <n v="7"/>
    <s v="7"/>
    <n v="906"/>
    <s v="906"/>
    <n v="6342"/>
    <x v="0"/>
    <x v="0"/>
    <x v="0"/>
    <s v="Low"/>
    <s v="Offline"/>
    <n v="6342"/>
  </r>
  <r>
    <n v="135"/>
    <d v="2024-01-06T14:00:00"/>
    <s v="2024-01-06 14:00:00"/>
    <s v="EAST"/>
    <x v="0"/>
    <s v="Clothing"/>
    <x v="0"/>
    <s v="Men T-Shirt"/>
    <s v="Men T-Shirt"/>
    <s v="CUST0182"/>
    <s v=" CUST0182 "/>
    <x v="0"/>
    <s v="Rahul"/>
    <x v="0"/>
    <s v=" Cash"/>
    <n v="10"/>
    <s v="10"/>
    <n v="2034"/>
    <s v="2034"/>
    <n v="20340"/>
    <x v="0"/>
    <x v="0"/>
    <x v="0"/>
    <s v="Medium"/>
    <s v="Offline"/>
    <n v="20340"/>
  </r>
  <r>
    <n v="136"/>
    <d v="2024-01-06T15:00:00"/>
    <s v="2024-01-06 15:00:00"/>
    <s v=" North "/>
    <x v="2"/>
    <s v="Grocery"/>
    <x v="3"/>
    <s v="Mixer Grinder"/>
    <s v="Mixer Grinder"/>
    <s v="CUST0768"/>
    <s v=" CUST0768 "/>
    <x v="3"/>
    <s v="Anita"/>
    <x v="2"/>
    <s v="UPI"/>
    <n v="10"/>
    <s v="10"/>
    <n v="803"/>
    <s v="803"/>
    <n v="8030"/>
    <x v="0"/>
    <x v="0"/>
    <x v="0"/>
    <s v="Low"/>
    <s v="Online"/>
    <n v="8030"/>
  </r>
  <r>
    <n v="137"/>
    <d v="2024-01-06T16:00:00"/>
    <s v="2024-01-06 16:00:00"/>
    <s v=" North "/>
    <x v="2"/>
    <s v="Electronics"/>
    <x v="2"/>
    <s v="Led Tv 42Inch"/>
    <s v="LED TV 42inch"/>
    <s v="CUST0550"/>
    <s v=" CUST0550 "/>
    <x v="3"/>
    <s v="Anita"/>
    <x v="3"/>
    <s v=" Net Banking "/>
    <n v="13"/>
    <s v="13"/>
    <n v="2623"/>
    <s v="2623"/>
    <n v="34099"/>
    <x v="0"/>
    <x v="0"/>
    <x v="0"/>
    <s v="Medium"/>
    <s v="Online"/>
    <n v="34099"/>
  </r>
  <r>
    <n v="138"/>
    <d v="2024-01-06T17:00:00"/>
    <s v="2024-01-06 17:00:00"/>
    <s v=" North "/>
    <x v="2"/>
    <s v=" Home Appliances "/>
    <x v="1"/>
    <s v="Mixer Grinder"/>
    <s v="Mixer Grinder"/>
    <s v="CUST0688"/>
    <s v=" CUST0688 "/>
    <x v="3"/>
    <s v="Anita"/>
    <x v="0"/>
    <s v=" Cash"/>
    <n v="8"/>
    <s v="8"/>
    <n v="2739"/>
    <s v="2739"/>
    <n v="21912"/>
    <x v="0"/>
    <x v="0"/>
    <x v="0"/>
    <s v="Medium"/>
    <s v="Offline"/>
    <n v="21912"/>
  </r>
  <r>
    <n v="139"/>
    <d v="2024-01-06T18:00:00"/>
    <s v="2024-01-06 18:00:00"/>
    <s v="EAST"/>
    <x v="0"/>
    <s v="Electronics"/>
    <x v="2"/>
    <s v="Mixer Grinder"/>
    <s v="Mixer Grinder"/>
    <s v="CUST0027"/>
    <s v=" CUST0027 "/>
    <x v="1"/>
    <s v="Meena"/>
    <x v="0"/>
    <s v=" Cash"/>
    <n v="12"/>
    <s v="12"/>
    <n v="4682"/>
    <s v="4682"/>
    <n v="56184"/>
    <x v="0"/>
    <x v="0"/>
    <x v="0"/>
    <s v="High"/>
    <s v="Offline"/>
    <n v="56184"/>
  </r>
  <r>
    <n v="140"/>
    <d v="2024-01-06T19:00:00"/>
    <s v="2024-01-06 19:00:00"/>
    <s v=" North "/>
    <x v="2"/>
    <s v="Electronics"/>
    <x v="2"/>
    <s v="Rice 5Kg"/>
    <s v="Rice 5kg"/>
    <s v="CUST0276"/>
    <s v=" CUST0276 "/>
    <x v="1"/>
    <s v="Meena"/>
    <x v="2"/>
    <s v="UPI"/>
    <n v="9"/>
    <s v="9"/>
    <n v="4009"/>
    <s v="4009"/>
    <n v="36081"/>
    <x v="0"/>
    <x v="0"/>
    <x v="0"/>
    <s v="Medium"/>
    <s v="Online"/>
    <n v="36081"/>
  </r>
  <r>
    <n v="141"/>
    <d v="2024-01-06T20:00:00"/>
    <s v="2024-01-06 20:00:00"/>
    <s v=" west"/>
    <x v="1"/>
    <s v=" Home Appliances "/>
    <x v="1"/>
    <s v="Mixer Grinder"/>
    <s v="Mixer Grinder"/>
    <s v="CUST0652"/>
    <s v=" CUST0652 "/>
    <x v="4"/>
    <s v="Karthik"/>
    <x v="0"/>
    <s v=" Cash"/>
    <n v="6"/>
    <s v="6"/>
    <n v="4901"/>
    <s v="4901"/>
    <n v="29406"/>
    <x v="0"/>
    <x v="0"/>
    <x v="0"/>
    <s v="Medium"/>
    <s v="Offline"/>
    <n v="29406"/>
  </r>
  <r>
    <n v="142"/>
    <d v="2024-01-06T21:00:00"/>
    <s v="2024-01-06 21:00:00"/>
    <s v=" North "/>
    <x v="2"/>
    <s v="Electronics"/>
    <x v="2"/>
    <s v="Washing Machine"/>
    <s v="Washing Machine"/>
    <s v="CUST0299"/>
    <s v=" CUST0299 "/>
    <x v="0"/>
    <s v="Rahul"/>
    <x v="3"/>
    <s v=" Net Banking "/>
    <n v="12"/>
    <s v="12"/>
    <n v="1264"/>
    <s v="1264"/>
    <n v="15168"/>
    <x v="0"/>
    <x v="0"/>
    <x v="0"/>
    <s v="Low"/>
    <s v="Online"/>
    <n v="15168"/>
  </r>
  <r>
    <n v="143"/>
    <d v="2024-01-06T22:00:00"/>
    <s v="2024-01-06 22:00:00"/>
    <s v=" west"/>
    <x v="1"/>
    <s v="Electronics"/>
    <x v="2"/>
    <s v="Washing Machine"/>
    <s v="Washing Machine"/>
    <s v="CUST0799"/>
    <s v=" CUST0799 "/>
    <x v="2"/>
    <s v="Suresh"/>
    <x v="3"/>
    <s v=" Net Banking "/>
    <n v="12"/>
    <s v="12"/>
    <n v="719"/>
    <s v="719"/>
    <n v="8628"/>
    <x v="0"/>
    <x v="0"/>
    <x v="0"/>
    <s v="Low"/>
    <s v="Online"/>
    <n v="8628"/>
  </r>
  <r>
    <n v="144"/>
    <d v="2024-01-06T23:00:00"/>
    <s v="2024-01-06 23:00:00"/>
    <s v=" west"/>
    <x v="1"/>
    <s v="Grocery"/>
    <x v="3"/>
    <s v="Rice 5Kg"/>
    <s v="Rice 5kg"/>
    <s v="CUST0091"/>
    <s v=" CUST0091 "/>
    <x v="2"/>
    <s v="Suresh"/>
    <x v="3"/>
    <s v=" Net Banking "/>
    <n v="10"/>
    <s v="10"/>
    <n v="3166"/>
    <s v="3166"/>
    <n v="31660"/>
    <x v="0"/>
    <x v="0"/>
    <x v="0"/>
    <s v="Medium"/>
    <s v="Online"/>
    <n v="31660"/>
  </r>
  <r>
    <n v="145"/>
    <d v="2024-01-07T00:00:00"/>
    <s v="2024-01-07 00:00:00"/>
    <s v=" west"/>
    <x v="1"/>
    <s v="Grocery"/>
    <x v="3"/>
    <s v="Laptop"/>
    <s v="Laptop"/>
    <s v="CUST0480"/>
    <s v=" CUST0480 "/>
    <x v="2"/>
    <s v="Suresh"/>
    <x v="4"/>
    <s v="Credit Card"/>
    <n v="2"/>
    <s v="2"/>
    <n v="4972"/>
    <s v="4972"/>
    <n v="9944"/>
    <x v="0"/>
    <x v="0"/>
    <x v="0"/>
    <s v="Low"/>
    <s v="Online"/>
    <n v="9944"/>
  </r>
  <r>
    <n v="146"/>
    <d v="2024-01-07T01:00:00"/>
    <s v="2024-01-07 01:00:00"/>
    <s v="EAST"/>
    <x v="0"/>
    <s v=" Home Appliances "/>
    <x v="1"/>
    <s v="Led Tv 42Inch"/>
    <s v="LED TV 42inch"/>
    <s v="CUST0573"/>
    <s v=" CUST0573 "/>
    <x v="3"/>
    <s v="Anita"/>
    <x v="3"/>
    <s v=" Net Banking "/>
    <n v="2"/>
    <s v="2"/>
    <n v="546"/>
    <s v="546"/>
    <n v="1092"/>
    <x v="0"/>
    <x v="0"/>
    <x v="0"/>
    <s v="Low"/>
    <s v="Online"/>
    <n v="1092"/>
  </r>
  <r>
    <n v="147"/>
    <d v="2024-01-07T02:00:00"/>
    <s v="2024-01-07 02:00:00"/>
    <s v="EAST"/>
    <x v="0"/>
    <s v="Grocery"/>
    <x v="3"/>
    <s v="Led Tv 42Inch"/>
    <s v="LED TV 42inch"/>
    <s v="CUST0458"/>
    <s v=" CUST0458 "/>
    <x v="1"/>
    <s v="Meena"/>
    <x v="3"/>
    <s v=" Net Banking "/>
    <n v="4"/>
    <s v="4"/>
    <n v="2437"/>
    <s v="2437"/>
    <n v="9748"/>
    <x v="0"/>
    <x v="0"/>
    <x v="0"/>
    <s v="Low"/>
    <s v="Online"/>
    <n v="9748"/>
  </r>
  <r>
    <n v="148"/>
    <d v="2024-01-07T03:00:00"/>
    <s v="2024-01-07 03:00:00"/>
    <s v="EAST"/>
    <x v="0"/>
    <s v="Grocery"/>
    <x v="3"/>
    <s v="Mixer Grinder"/>
    <s v="Mixer Grinder"/>
    <s v="CUST0451"/>
    <s v=" CUST0451 "/>
    <x v="0"/>
    <s v="Rahul"/>
    <x v="4"/>
    <s v="Credit Card"/>
    <n v="9"/>
    <s v="9"/>
    <n v="308"/>
    <s v="308"/>
    <n v="2772"/>
    <x v="0"/>
    <x v="0"/>
    <x v="0"/>
    <s v="Low"/>
    <s v="Online"/>
    <n v="2772"/>
  </r>
  <r>
    <n v="149"/>
    <d v="2024-01-07T04:00:00"/>
    <s v="2024-01-07 04:00:00"/>
    <s v=" North "/>
    <x v="2"/>
    <s v="Electronics"/>
    <x v="2"/>
    <s v="Mixer Grinder"/>
    <s v="Mixer Grinder"/>
    <s v="CUST0365"/>
    <s v=" CUST0365 "/>
    <x v="3"/>
    <s v="Anita"/>
    <x v="1"/>
    <s v="Debit card "/>
    <n v="7"/>
    <s v="7"/>
    <n v="2560"/>
    <s v="2560"/>
    <n v="17920"/>
    <x v="0"/>
    <x v="0"/>
    <x v="0"/>
    <s v="Low"/>
    <s v="Online"/>
    <n v="17920"/>
  </r>
  <r>
    <n v="150"/>
    <d v="2024-01-07T05:00:00"/>
    <s v="2024-01-07 05:00:00"/>
    <s v=" west"/>
    <x v="1"/>
    <s v="Clothing"/>
    <x v="0"/>
    <s v="Laptop"/>
    <s v="Laptop"/>
    <s v="CUST0675"/>
    <s v=" CUST0675 "/>
    <x v="1"/>
    <s v="Meena"/>
    <x v="0"/>
    <s v=" Cash"/>
    <n v="2"/>
    <s v="2"/>
    <n v="3542"/>
    <s v="3542"/>
    <n v="7084"/>
    <x v="0"/>
    <x v="0"/>
    <x v="0"/>
    <s v="Low"/>
    <s v="Offline"/>
    <n v="7084"/>
  </r>
  <r>
    <n v="151"/>
    <d v="2024-01-07T06:00:00"/>
    <s v="2024-01-07 06:00:00"/>
    <s v="EAST"/>
    <x v="0"/>
    <s v="Grocery"/>
    <x v="3"/>
    <s v="Mixer Grinder"/>
    <s v="Mixer Grinder"/>
    <s v="CUST0351"/>
    <s v=" CUST0351 "/>
    <x v="1"/>
    <s v="Meena"/>
    <x v="3"/>
    <s v=" Net Banking "/>
    <n v="8"/>
    <s v="8"/>
    <n v="2811"/>
    <s v="2811"/>
    <n v="22488"/>
    <x v="0"/>
    <x v="0"/>
    <x v="0"/>
    <s v="Medium"/>
    <s v="Online"/>
    <n v="22488"/>
  </r>
  <r>
    <n v="152"/>
    <d v="2024-01-07T07:00:00"/>
    <s v="2024-01-07 07:00:00"/>
    <s v="EAST"/>
    <x v="0"/>
    <s v="Clothing"/>
    <x v="0"/>
    <s v="Led Tv 42Inch"/>
    <s v="LED TV 42inch"/>
    <s v="CUST0655"/>
    <s v=" CUST0655 "/>
    <x v="0"/>
    <s v="Rahul"/>
    <x v="0"/>
    <s v=" Cash"/>
    <n v="11"/>
    <s v="11"/>
    <n v="2437"/>
    <s v="2437"/>
    <n v="26807"/>
    <x v="0"/>
    <x v="0"/>
    <x v="0"/>
    <s v="Medium"/>
    <s v="Offline"/>
    <n v="26807"/>
  </r>
  <r>
    <n v="153"/>
    <d v="2024-01-07T08:00:00"/>
    <s v="2024-01-07 08:00:00"/>
    <s v=" North "/>
    <x v="2"/>
    <s v="Grocery"/>
    <x v="3"/>
    <s v="Men T-Shirt"/>
    <s v="Men T-Shirt"/>
    <s v="CUST0400"/>
    <s v=" CUST0400 "/>
    <x v="0"/>
    <s v="Rahul"/>
    <x v="2"/>
    <s v="UPI"/>
    <n v="7"/>
    <s v="7"/>
    <n v="1391"/>
    <s v="1391"/>
    <n v="9737"/>
    <x v="0"/>
    <x v="0"/>
    <x v="0"/>
    <s v="Low"/>
    <s v="Online"/>
    <n v="9737"/>
  </r>
  <r>
    <n v="154"/>
    <d v="2024-01-07T09:00:00"/>
    <s v="2024-01-07 09:00:00"/>
    <s v="EAST"/>
    <x v="0"/>
    <s v="Grocery"/>
    <x v="3"/>
    <s v="Washing Machine"/>
    <s v="Washing Machine"/>
    <s v="CUST0253"/>
    <s v=" CUST0253 "/>
    <x v="0"/>
    <s v="Rahul"/>
    <x v="0"/>
    <s v=" Cash"/>
    <n v="9"/>
    <s v="9"/>
    <n v="2298"/>
    <s v="2298"/>
    <n v="20682"/>
    <x v="0"/>
    <x v="0"/>
    <x v="0"/>
    <s v="Medium"/>
    <s v="Offline"/>
    <n v="20682"/>
  </r>
  <r>
    <n v="155"/>
    <d v="2024-01-07T10:00:00"/>
    <s v="2024-01-07 10:00:00"/>
    <s v=" North "/>
    <x v="2"/>
    <s v=" Home Appliances "/>
    <x v="1"/>
    <s v="Men T-Shirt"/>
    <s v="Men T-Shirt"/>
    <s v="CUST0781"/>
    <s v=" CUST0781 "/>
    <x v="3"/>
    <s v="Anita"/>
    <x v="4"/>
    <s v="Credit Card"/>
    <n v="8"/>
    <s v="8"/>
    <n v="1500"/>
    <s v="1500"/>
    <n v="12000"/>
    <x v="0"/>
    <x v="0"/>
    <x v="0"/>
    <s v="Low"/>
    <s v="Online"/>
    <n v="12000"/>
  </r>
  <r>
    <n v="156"/>
    <d v="2024-01-07T11:00:00"/>
    <s v="2024-01-07 11:00:00"/>
    <s v="south"/>
    <x v="3"/>
    <s v=" Home Appliances "/>
    <x v="1"/>
    <s v="Men T-Shirt"/>
    <s v="Men T-Shirt"/>
    <s v="CUST0459"/>
    <s v=" CUST0459 "/>
    <x v="4"/>
    <s v="Karthik"/>
    <x v="0"/>
    <s v=" Cash"/>
    <n v="3"/>
    <s v="3"/>
    <n v="2755"/>
    <s v="2755"/>
    <n v="8265"/>
    <x v="0"/>
    <x v="0"/>
    <x v="0"/>
    <s v="Low"/>
    <s v="Offline"/>
    <n v="8265"/>
  </r>
  <r>
    <n v="157"/>
    <d v="2024-01-07T12:00:00"/>
    <s v="2024-01-07 12:00:00"/>
    <s v="EAST"/>
    <x v="0"/>
    <s v=" Home Appliances "/>
    <x v="1"/>
    <s v="Led Tv 42Inch"/>
    <s v="LED TV 42inch"/>
    <s v="CUST0699"/>
    <s v=" CUST0699 "/>
    <x v="0"/>
    <s v="Rahul"/>
    <x v="0"/>
    <s v=" Cash"/>
    <n v="1"/>
    <s v="1"/>
    <n v="4112"/>
    <s v="4112"/>
    <n v="4112"/>
    <x v="0"/>
    <x v="0"/>
    <x v="0"/>
    <s v="Low"/>
    <s v="Offline"/>
    <n v="4112"/>
  </r>
  <r>
    <n v="158"/>
    <d v="2024-01-07T13:00:00"/>
    <s v="2024-01-07 13:00:00"/>
    <s v="south"/>
    <x v="3"/>
    <s v="Clothing"/>
    <x v="0"/>
    <s v="Men T-Shirt"/>
    <s v="Men T-Shirt"/>
    <s v="CUST0499"/>
    <s v=" CUST0499 "/>
    <x v="4"/>
    <s v="Karthik"/>
    <x v="0"/>
    <s v=" Cash"/>
    <n v="2"/>
    <s v="2"/>
    <n v="804"/>
    <s v="804"/>
    <n v="1608"/>
    <x v="0"/>
    <x v="0"/>
    <x v="0"/>
    <s v="Low"/>
    <s v="Offline"/>
    <n v="1608"/>
  </r>
  <r>
    <n v="159"/>
    <d v="2024-01-07T14:00:00"/>
    <s v="2024-01-07 14:00:00"/>
    <s v=" North "/>
    <x v="2"/>
    <s v="Electronics"/>
    <x v="2"/>
    <s v="Laptop"/>
    <s v="Laptop"/>
    <s v="CUST0508"/>
    <s v=" CUST0508 "/>
    <x v="3"/>
    <s v="Anita"/>
    <x v="1"/>
    <s v="Debit card "/>
    <n v="14"/>
    <s v="14"/>
    <n v="925"/>
    <s v="925"/>
    <n v="12950"/>
    <x v="0"/>
    <x v="0"/>
    <x v="0"/>
    <s v="Low"/>
    <s v="Online"/>
    <n v="12950"/>
  </r>
  <r>
    <n v="160"/>
    <d v="2024-01-07T15:00:00"/>
    <s v="2024-01-07 15:00:00"/>
    <s v=" west"/>
    <x v="1"/>
    <s v="Grocery"/>
    <x v="3"/>
    <s v="Rice 5Kg"/>
    <s v="Rice 5kg"/>
    <s v="CUST0304"/>
    <s v=" CUST0304 "/>
    <x v="4"/>
    <s v="Karthik"/>
    <x v="1"/>
    <s v="Debit card "/>
    <n v="13"/>
    <s v="13"/>
    <n v="1104"/>
    <s v="1104"/>
    <n v="14352"/>
    <x v="0"/>
    <x v="0"/>
    <x v="0"/>
    <s v="Low"/>
    <s v="Online"/>
    <n v="14352"/>
  </r>
  <r>
    <n v="161"/>
    <d v="2024-01-07T16:00:00"/>
    <s v="2024-01-07 16:00:00"/>
    <s v="EAST"/>
    <x v="0"/>
    <s v="Grocery"/>
    <x v="3"/>
    <s v="Mixer Grinder"/>
    <s v="Mixer Grinder"/>
    <s v="CUST0501"/>
    <s v=" CUST0501 "/>
    <x v="2"/>
    <s v="Suresh"/>
    <x v="2"/>
    <s v="UPI"/>
    <n v="2"/>
    <s v="2"/>
    <n v="3560"/>
    <s v="3560"/>
    <n v="7120"/>
    <x v="0"/>
    <x v="0"/>
    <x v="0"/>
    <s v="Low"/>
    <s v="Online"/>
    <n v="7120"/>
  </r>
  <r>
    <n v="162"/>
    <d v="2024-01-07T17:00:00"/>
    <s v="2024-01-07 17:00:00"/>
    <s v=" North "/>
    <x v="2"/>
    <s v="Grocery"/>
    <x v="3"/>
    <s v="Rice 5Kg"/>
    <s v="Rice 5kg"/>
    <s v="CUST0598"/>
    <s v=" CUST0598 "/>
    <x v="4"/>
    <s v="Karthik"/>
    <x v="4"/>
    <s v="Credit Card"/>
    <n v="4"/>
    <s v="4"/>
    <n v="476"/>
    <s v="476"/>
    <n v="1904"/>
    <x v="0"/>
    <x v="0"/>
    <x v="0"/>
    <s v="Low"/>
    <s v="Online"/>
    <n v="1904"/>
  </r>
  <r>
    <n v="163"/>
    <d v="2024-01-07T18:00:00"/>
    <s v="2024-01-07 18:00:00"/>
    <s v=" west"/>
    <x v="1"/>
    <s v="Clothing"/>
    <x v="0"/>
    <s v="Washing Machine"/>
    <s v="Washing Machine"/>
    <s v="CUST0166"/>
    <s v=" CUST0166 "/>
    <x v="0"/>
    <s v="Rahul"/>
    <x v="0"/>
    <s v=" Cash"/>
    <n v="6"/>
    <s v="6"/>
    <n v="1072"/>
    <s v="1072"/>
    <n v="6432"/>
    <x v="0"/>
    <x v="0"/>
    <x v="0"/>
    <s v="Low"/>
    <s v="Offline"/>
    <n v="6432"/>
  </r>
  <r>
    <n v="164"/>
    <d v="2024-01-07T19:00:00"/>
    <s v="2024-01-07 19:00:00"/>
    <s v=" west"/>
    <x v="1"/>
    <s v=" Home Appliances "/>
    <x v="1"/>
    <s v="Mixer Grinder"/>
    <s v="Mixer Grinder"/>
    <s v="CUST0415"/>
    <s v=" CUST0415 "/>
    <x v="3"/>
    <s v="Anita"/>
    <x v="0"/>
    <s v=" Cash"/>
    <n v="4"/>
    <s v="4"/>
    <n v="4313"/>
    <s v="4313"/>
    <n v="17252"/>
    <x v="0"/>
    <x v="0"/>
    <x v="0"/>
    <s v="Low"/>
    <s v="Offline"/>
    <n v="17252"/>
  </r>
  <r>
    <n v="165"/>
    <d v="2024-01-07T20:00:00"/>
    <s v="2024-01-07 20:00:00"/>
    <s v="south"/>
    <x v="3"/>
    <s v="Electronics"/>
    <x v="2"/>
    <s v="Men T-Shirt"/>
    <s v="Men T-Shirt"/>
    <s v="CUST0462"/>
    <s v=" CUST0462 "/>
    <x v="0"/>
    <s v="Rahul"/>
    <x v="0"/>
    <s v=" Cash"/>
    <n v="9"/>
    <s v="9"/>
    <n v="3176"/>
    <s v="3176"/>
    <n v="28584"/>
    <x v="0"/>
    <x v="0"/>
    <x v="0"/>
    <s v="Medium"/>
    <s v="Offline"/>
    <n v="28584"/>
  </r>
  <r>
    <n v="166"/>
    <d v="2024-01-07T21:00:00"/>
    <s v="2024-01-07 21:00:00"/>
    <s v=" North "/>
    <x v="2"/>
    <s v="Clothing"/>
    <x v="0"/>
    <s v="Washing Machine"/>
    <s v="Washing Machine"/>
    <s v="CUST0114"/>
    <s v=" CUST0114 "/>
    <x v="2"/>
    <s v="Suresh"/>
    <x v="0"/>
    <s v=" Cash"/>
    <n v="4"/>
    <s v="4"/>
    <n v="543"/>
    <s v="543"/>
    <n v="2172"/>
    <x v="0"/>
    <x v="0"/>
    <x v="0"/>
    <s v="Low"/>
    <s v="Offline"/>
    <n v="2172"/>
  </r>
  <r>
    <n v="167"/>
    <d v="2024-01-07T22:00:00"/>
    <s v="2024-01-07 22:00:00"/>
    <s v=" west"/>
    <x v="1"/>
    <s v=" Home Appliances "/>
    <x v="1"/>
    <s v="Mixer Grinder"/>
    <s v="Mixer Grinder"/>
    <s v="CUST0433"/>
    <s v=" CUST0433 "/>
    <x v="0"/>
    <s v="Rahul"/>
    <x v="1"/>
    <s v="Debit card "/>
    <n v="6"/>
    <s v="6"/>
    <n v="854"/>
    <s v="854"/>
    <n v="5124"/>
    <x v="0"/>
    <x v="0"/>
    <x v="0"/>
    <s v="Low"/>
    <s v="Online"/>
    <n v="5124"/>
  </r>
  <r>
    <n v="168"/>
    <d v="2024-01-07T23:00:00"/>
    <s v="2024-01-07 23:00:00"/>
    <s v="EAST"/>
    <x v="0"/>
    <s v="Clothing"/>
    <x v="0"/>
    <s v="Laptop"/>
    <s v="Laptop"/>
    <s v="CUST0356"/>
    <s v=" CUST0356 "/>
    <x v="0"/>
    <s v="Rahul"/>
    <x v="2"/>
    <s v="UPI"/>
    <n v="6"/>
    <s v="6"/>
    <n v="3704"/>
    <s v="3704"/>
    <n v="22224"/>
    <x v="0"/>
    <x v="0"/>
    <x v="0"/>
    <s v="Medium"/>
    <s v="Online"/>
    <n v="22224"/>
  </r>
  <r>
    <n v="169"/>
    <d v="2024-01-08T00:00:00"/>
    <s v="2024-01-08 00:00:00"/>
    <s v="EAST"/>
    <x v="0"/>
    <s v="Electronics"/>
    <x v="2"/>
    <s v="Laptop"/>
    <s v="Laptop"/>
    <s v="CUST0695"/>
    <s v=" CUST0695 "/>
    <x v="0"/>
    <s v="Rahul"/>
    <x v="3"/>
    <s v=" Net Banking "/>
    <n v="10"/>
    <s v="10"/>
    <n v="4835"/>
    <s v="4835"/>
    <n v="48350"/>
    <x v="0"/>
    <x v="0"/>
    <x v="1"/>
    <s v="Medium"/>
    <s v="Online"/>
    <n v="48350"/>
  </r>
  <r>
    <n v="170"/>
    <d v="2024-01-08T01:00:00"/>
    <s v="2024-01-08 01:00:00"/>
    <s v="south"/>
    <x v="3"/>
    <s v=" Home Appliances "/>
    <x v="1"/>
    <s v="Laptop"/>
    <s v="Laptop"/>
    <s v="CUST0207"/>
    <s v=" CUST0207 "/>
    <x v="1"/>
    <s v="Meena"/>
    <x v="4"/>
    <s v="Credit Card"/>
    <n v="11"/>
    <s v="11"/>
    <n v="2271"/>
    <s v="2271"/>
    <n v="24981"/>
    <x v="0"/>
    <x v="0"/>
    <x v="1"/>
    <s v="Medium"/>
    <s v="Online"/>
    <n v="24981"/>
  </r>
  <r>
    <n v="171"/>
    <d v="2024-01-08T02:00:00"/>
    <s v="2024-01-08 02:00:00"/>
    <s v=" west"/>
    <x v="1"/>
    <s v="Clothing"/>
    <x v="0"/>
    <s v="Laptop"/>
    <s v="Laptop"/>
    <s v="CUST0768"/>
    <s v=" CUST0768 "/>
    <x v="2"/>
    <s v="Suresh"/>
    <x v="0"/>
    <s v=" Cash"/>
    <n v="10"/>
    <s v="10"/>
    <n v="2805"/>
    <s v="2805"/>
    <n v="28050"/>
    <x v="0"/>
    <x v="0"/>
    <x v="1"/>
    <s v="Medium"/>
    <s v="Offline"/>
    <n v="28050"/>
  </r>
  <r>
    <n v="172"/>
    <d v="2024-01-08T03:00:00"/>
    <s v="2024-01-08 03:00:00"/>
    <s v=" North "/>
    <x v="2"/>
    <s v="Electronics"/>
    <x v="2"/>
    <s v="Men T-Shirt"/>
    <s v="Men T-Shirt"/>
    <s v="CUST0235"/>
    <s v=" CUST0235 "/>
    <x v="0"/>
    <s v="Rahul"/>
    <x v="2"/>
    <s v="UPI"/>
    <n v="1"/>
    <s v="1"/>
    <n v="3565"/>
    <s v="3565"/>
    <n v="3565"/>
    <x v="0"/>
    <x v="0"/>
    <x v="1"/>
    <s v="Low"/>
    <s v="Online"/>
    <n v="3565"/>
  </r>
  <r>
    <n v="173"/>
    <d v="2024-01-08T04:00:00"/>
    <s v="2024-01-08 04:00:00"/>
    <s v="EAST"/>
    <x v="0"/>
    <s v="Grocery"/>
    <x v="3"/>
    <s v="Rice 5Kg"/>
    <s v="Rice 5kg"/>
    <s v="CUST0442"/>
    <s v=" CUST0442 "/>
    <x v="0"/>
    <s v="Rahul"/>
    <x v="3"/>
    <s v=" Net Banking "/>
    <n v="8"/>
    <s v="8"/>
    <n v="2811"/>
    <s v="2811"/>
    <n v="22488"/>
    <x v="0"/>
    <x v="0"/>
    <x v="1"/>
    <s v="Medium"/>
    <s v="Online"/>
    <n v="22488"/>
  </r>
  <r>
    <n v="174"/>
    <d v="2024-01-08T05:00:00"/>
    <s v="2024-01-08 05:00:00"/>
    <s v=" west"/>
    <x v="1"/>
    <s v="Electronics"/>
    <x v="2"/>
    <s v="Mixer Grinder"/>
    <s v="Mixer Grinder"/>
    <s v="CUST0355"/>
    <s v=" CUST0355 "/>
    <x v="0"/>
    <s v="Rahul"/>
    <x v="2"/>
    <s v="UPI"/>
    <n v="12"/>
    <s v="12"/>
    <n v="2507"/>
    <s v="2507"/>
    <n v="30084"/>
    <x v="0"/>
    <x v="0"/>
    <x v="1"/>
    <s v="Medium"/>
    <s v="Online"/>
    <n v="30084"/>
  </r>
  <r>
    <n v="175"/>
    <d v="2024-01-08T06:00:00"/>
    <s v="2024-01-08 06:00:00"/>
    <s v=" west"/>
    <x v="1"/>
    <s v="Grocery"/>
    <x v="3"/>
    <s v="Men T-Shirt"/>
    <s v="Men T-Shirt"/>
    <s v="CUST0515"/>
    <s v=" CUST0515 "/>
    <x v="3"/>
    <s v="Anita"/>
    <x v="1"/>
    <s v="Debit card "/>
    <n v="3"/>
    <s v="3"/>
    <n v="722"/>
    <s v="722"/>
    <n v="2166"/>
    <x v="0"/>
    <x v="0"/>
    <x v="1"/>
    <s v="Low"/>
    <s v="Online"/>
    <n v="2166"/>
  </r>
  <r>
    <n v="176"/>
    <d v="2024-01-08T07:00:00"/>
    <s v="2024-01-08 07:00:00"/>
    <s v="south"/>
    <x v="3"/>
    <s v="Clothing"/>
    <x v="0"/>
    <s v="Laptop"/>
    <s v="Laptop"/>
    <s v="CUST0208"/>
    <s v=" CUST0208 "/>
    <x v="1"/>
    <s v="Meena"/>
    <x v="3"/>
    <s v=" Net Banking "/>
    <n v="13"/>
    <s v="13"/>
    <n v="1823"/>
    <s v="1823"/>
    <n v="23699"/>
    <x v="0"/>
    <x v="0"/>
    <x v="1"/>
    <s v="Medium"/>
    <s v="Online"/>
    <n v="23699"/>
  </r>
  <r>
    <n v="177"/>
    <d v="2024-01-08T08:00:00"/>
    <s v="2024-01-08 08:00:00"/>
    <s v="EAST"/>
    <x v="0"/>
    <s v=" Home Appliances "/>
    <x v="1"/>
    <s v="Rice 5Kg"/>
    <s v="Rice 5kg"/>
    <s v="CUST0709"/>
    <s v=" CUST0709 "/>
    <x v="3"/>
    <s v="Anita"/>
    <x v="2"/>
    <s v="UPI"/>
    <n v="6"/>
    <s v="6"/>
    <n v="3422"/>
    <s v="3422"/>
    <n v="20532"/>
    <x v="0"/>
    <x v="0"/>
    <x v="1"/>
    <s v="Medium"/>
    <s v="Online"/>
    <n v="20532"/>
  </r>
  <r>
    <n v="178"/>
    <d v="2024-01-08T09:00:00"/>
    <s v="2024-01-08 09:00:00"/>
    <s v="EAST"/>
    <x v="0"/>
    <s v=" Home Appliances "/>
    <x v="1"/>
    <s v="Washing Machine"/>
    <s v="Washing Machine"/>
    <s v="CUST0125"/>
    <s v=" CUST0125 "/>
    <x v="1"/>
    <s v="Meena"/>
    <x v="1"/>
    <s v="Debit card "/>
    <n v="3"/>
    <s v="3"/>
    <n v="2019"/>
    <s v="2019"/>
    <n v="6057"/>
    <x v="0"/>
    <x v="0"/>
    <x v="1"/>
    <s v="Low"/>
    <s v="Online"/>
    <n v="6057"/>
  </r>
  <r>
    <n v="179"/>
    <d v="2024-01-08T10:00:00"/>
    <s v="2024-01-08 10:00:00"/>
    <s v=" North "/>
    <x v="2"/>
    <s v="Clothing"/>
    <x v="0"/>
    <s v="Washing Machine"/>
    <s v="Washing Machine"/>
    <s v="CUST0138"/>
    <s v=" CUST0138 "/>
    <x v="0"/>
    <s v="Rahul"/>
    <x v="2"/>
    <s v="UPI"/>
    <n v="11"/>
    <s v="11"/>
    <n v="1018"/>
    <s v="1018"/>
    <n v="11198"/>
    <x v="0"/>
    <x v="0"/>
    <x v="1"/>
    <s v="Low"/>
    <s v="Online"/>
    <n v="11198"/>
  </r>
  <r>
    <n v="180"/>
    <d v="2024-01-08T11:00:00"/>
    <s v="2024-01-08 11:00:00"/>
    <s v="EAST"/>
    <x v="0"/>
    <s v=" Home Appliances "/>
    <x v="1"/>
    <s v="Washing Machine"/>
    <s v="Washing Machine"/>
    <s v="CUST0339"/>
    <s v=" CUST0339 "/>
    <x v="2"/>
    <s v="Suresh"/>
    <x v="2"/>
    <s v="UPI"/>
    <n v="2"/>
    <s v="2"/>
    <n v="4315"/>
    <s v="4315"/>
    <n v="8630"/>
    <x v="0"/>
    <x v="0"/>
    <x v="1"/>
    <s v="Low"/>
    <s v="Online"/>
    <n v="8630"/>
  </r>
  <r>
    <n v="181"/>
    <d v="2024-01-08T12:00:00"/>
    <s v="2024-01-08 12:00:00"/>
    <s v=" North "/>
    <x v="2"/>
    <s v=" Home Appliances "/>
    <x v="1"/>
    <s v="Laptop"/>
    <s v="Laptop"/>
    <s v="CUST0537"/>
    <s v=" CUST0537 "/>
    <x v="4"/>
    <s v="Karthik"/>
    <x v="3"/>
    <s v=" Net Banking "/>
    <n v="5"/>
    <s v="5"/>
    <n v="681"/>
    <s v="681"/>
    <n v="3405"/>
    <x v="0"/>
    <x v="0"/>
    <x v="1"/>
    <s v="Low"/>
    <s v="Online"/>
    <n v="3405"/>
  </r>
  <r>
    <n v="182"/>
    <d v="2024-01-08T13:00:00"/>
    <s v="2024-01-08 13:00:00"/>
    <s v="EAST"/>
    <x v="0"/>
    <s v="Grocery"/>
    <x v="3"/>
    <s v="Washing Machine"/>
    <s v="Washing Machine"/>
    <s v="CUST0068"/>
    <s v=" CUST0068 "/>
    <x v="4"/>
    <s v="Karthik"/>
    <x v="1"/>
    <s v="Debit card "/>
    <n v="14"/>
    <s v="14"/>
    <n v="3981"/>
    <s v="3981"/>
    <n v="55734"/>
    <x v="0"/>
    <x v="0"/>
    <x v="1"/>
    <s v="High"/>
    <s v="Online"/>
    <n v="55734"/>
  </r>
  <r>
    <n v="183"/>
    <d v="2024-01-08T14:00:00"/>
    <s v="2024-01-08 14:00:00"/>
    <s v="south"/>
    <x v="3"/>
    <s v="Clothing"/>
    <x v="0"/>
    <s v="Led Tv 42Inch"/>
    <s v="LED TV 42inch"/>
    <s v="CUST0573"/>
    <s v=" CUST0573 "/>
    <x v="0"/>
    <s v="Rahul"/>
    <x v="0"/>
    <s v=" Cash"/>
    <n v="1"/>
    <s v="1"/>
    <n v="1786"/>
    <s v="1786"/>
    <n v="1786"/>
    <x v="0"/>
    <x v="0"/>
    <x v="1"/>
    <s v="Low"/>
    <s v="Offline"/>
    <n v="1786"/>
  </r>
  <r>
    <n v="184"/>
    <d v="2024-01-08T15:00:00"/>
    <s v="2024-01-08 15:00:00"/>
    <s v="EAST"/>
    <x v="0"/>
    <s v="Electronics"/>
    <x v="2"/>
    <s v="Mixer Grinder"/>
    <s v="Mixer Grinder"/>
    <s v="CUST0541"/>
    <s v=" CUST0541 "/>
    <x v="3"/>
    <s v="Anita"/>
    <x v="4"/>
    <s v="Credit Card"/>
    <n v="9"/>
    <s v="9"/>
    <n v="4009"/>
    <s v="4009"/>
    <n v="36081"/>
    <x v="0"/>
    <x v="0"/>
    <x v="1"/>
    <s v="Medium"/>
    <s v="Online"/>
    <n v="36081"/>
  </r>
  <r>
    <n v="185"/>
    <d v="2024-01-08T16:00:00"/>
    <s v="2024-01-08 16:00:00"/>
    <s v=" North "/>
    <x v="2"/>
    <s v="Grocery"/>
    <x v="3"/>
    <s v="Mixer Grinder"/>
    <s v="Mixer Grinder"/>
    <s v="CUST0383"/>
    <s v=" CUST0383 "/>
    <x v="2"/>
    <s v="Suresh"/>
    <x v="3"/>
    <s v=" Net Banking "/>
    <n v="11"/>
    <s v="11"/>
    <n v="2099"/>
    <s v="2099"/>
    <n v="23089"/>
    <x v="0"/>
    <x v="0"/>
    <x v="1"/>
    <s v="Medium"/>
    <s v="Online"/>
    <n v="23089"/>
  </r>
  <r>
    <n v="186"/>
    <d v="2024-01-08T17:00:00"/>
    <s v="2024-01-08 17:00:00"/>
    <s v=" North "/>
    <x v="2"/>
    <s v="Clothing"/>
    <x v="0"/>
    <s v="Laptop"/>
    <s v="Laptop"/>
    <s v="CUST0019"/>
    <s v=" CUST0019 "/>
    <x v="1"/>
    <s v="Meena"/>
    <x v="1"/>
    <s v="Debit card "/>
    <n v="7"/>
    <s v="7"/>
    <n v="2811"/>
    <s v="2811"/>
    <n v="19677"/>
    <x v="0"/>
    <x v="0"/>
    <x v="1"/>
    <s v="Low"/>
    <s v="Online"/>
    <n v="19677"/>
  </r>
  <r>
    <n v="187"/>
    <d v="2024-01-08T18:00:00"/>
    <s v="2024-01-08 18:00:00"/>
    <s v="south"/>
    <x v="3"/>
    <s v="Grocery"/>
    <x v="3"/>
    <s v="Led Tv 42Inch"/>
    <s v="LED TV 42inch"/>
    <s v="CUST0683"/>
    <s v=" CUST0683 "/>
    <x v="0"/>
    <s v="Rahul"/>
    <x v="2"/>
    <s v="UPI"/>
    <n v="3"/>
    <s v="3"/>
    <n v="500"/>
    <s v="500"/>
    <n v="1500"/>
    <x v="0"/>
    <x v="0"/>
    <x v="1"/>
    <s v="Low"/>
    <s v="Online"/>
    <n v="1500"/>
  </r>
  <r>
    <n v="188"/>
    <d v="2024-01-08T19:00:00"/>
    <s v="2024-01-08 19:00:00"/>
    <s v="EAST"/>
    <x v="0"/>
    <s v="Electronics"/>
    <x v="2"/>
    <s v="Men T-Shirt"/>
    <s v="Men T-Shirt"/>
    <s v="CUST0450"/>
    <s v=" CUST0450 "/>
    <x v="2"/>
    <s v="Suresh"/>
    <x v="1"/>
    <s v="Debit card "/>
    <n v="4"/>
    <s v="4"/>
    <n v="3748"/>
    <s v="3748"/>
    <n v="14992"/>
    <x v="0"/>
    <x v="0"/>
    <x v="1"/>
    <s v="Low"/>
    <s v="Online"/>
    <n v="14992"/>
  </r>
  <r>
    <n v="189"/>
    <d v="2024-01-08T20:00:00"/>
    <s v="2024-01-08 20:00:00"/>
    <s v="EAST"/>
    <x v="0"/>
    <s v="Electronics"/>
    <x v="2"/>
    <s v="Men T-Shirt"/>
    <s v="Men T-Shirt"/>
    <s v="CUST0074"/>
    <s v=" CUST0074 "/>
    <x v="2"/>
    <s v="Suresh"/>
    <x v="4"/>
    <s v="Credit Card"/>
    <n v="13"/>
    <s v="13"/>
    <n v="2728"/>
    <s v="2728"/>
    <n v="35464"/>
    <x v="0"/>
    <x v="0"/>
    <x v="1"/>
    <s v="Medium"/>
    <s v="Online"/>
    <n v="35464"/>
  </r>
  <r>
    <n v="190"/>
    <d v="2024-01-08T21:00:00"/>
    <s v="2024-01-08 21:00:00"/>
    <s v="south"/>
    <x v="3"/>
    <s v="Clothing"/>
    <x v="0"/>
    <s v="Washing Machine"/>
    <s v="Washing Machine"/>
    <s v="CUST0573"/>
    <s v=" CUST0573 "/>
    <x v="1"/>
    <s v="Meena"/>
    <x v="4"/>
    <s v="Credit Card"/>
    <n v="6"/>
    <s v="6"/>
    <n v="1756"/>
    <s v="1756"/>
    <n v="10536"/>
    <x v="0"/>
    <x v="0"/>
    <x v="1"/>
    <s v="Low"/>
    <s v="Online"/>
    <n v="10536"/>
  </r>
  <r>
    <n v="191"/>
    <d v="2024-01-08T22:00:00"/>
    <s v="2024-01-08 22:00:00"/>
    <s v="EAST"/>
    <x v="0"/>
    <s v="Electronics"/>
    <x v="2"/>
    <s v="Rice 5Kg"/>
    <s v="Rice 5kg"/>
    <s v="CUST0665"/>
    <s v=" CUST0665 "/>
    <x v="2"/>
    <s v="Suresh"/>
    <x v="0"/>
    <s v=" Cash"/>
    <n v="3"/>
    <s v="3"/>
    <n v="720"/>
    <s v="720"/>
    <n v="2160"/>
    <x v="0"/>
    <x v="0"/>
    <x v="1"/>
    <s v="Low"/>
    <s v="Offline"/>
    <n v="2160"/>
  </r>
  <r>
    <n v="192"/>
    <d v="2024-01-08T23:00:00"/>
    <s v="2024-01-08 23:00:00"/>
    <s v="EAST"/>
    <x v="0"/>
    <s v="Grocery"/>
    <x v="3"/>
    <s v="Men T-Shirt"/>
    <s v="Men T-Shirt"/>
    <s v="CUST0276"/>
    <s v=" CUST0276 "/>
    <x v="3"/>
    <s v="Anita"/>
    <x v="0"/>
    <s v=" Cash"/>
    <n v="12"/>
    <s v="12"/>
    <n v="346"/>
    <s v="346"/>
    <n v="4152"/>
    <x v="0"/>
    <x v="0"/>
    <x v="1"/>
    <s v="Low"/>
    <s v="Offline"/>
    <n v="4152"/>
  </r>
  <r>
    <n v="193"/>
    <d v="2024-01-09T00:00:00"/>
    <s v="2024-01-09 00:00:00"/>
    <s v=" North "/>
    <x v="2"/>
    <s v="Electronics"/>
    <x v="2"/>
    <s v="Rice 5Kg"/>
    <s v="Rice 5kg"/>
    <s v="CUST0048"/>
    <s v=" CUST0048 "/>
    <x v="3"/>
    <s v="Anita"/>
    <x v="4"/>
    <s v="Credit Card"/>
    <n v="7"/>
    <s v="7"/>
    <n v="3439"/>
    <s v="3439"/>
    <n v="24073"/>
    <x v="0"/>
    <x v="0"/>
    <x v="1"/>
    <s v="Medium"/>
    <s v="Online"/>
    <n v="24073"/>
  </r>
  <r>
    <n v="194"/>
    <d v="2024-01-09T01:00:00"/>
    <s v="2024-01-09 01:00:00"/>
    <s v="EAST"/>
    <x v="0"/>
    <s v="Grocery"/>
    <x v="3"/>
    <s v="Mixer Grinder"/>
    <s v="Mixer Grinder"/>
    <s v="CUST0211"/>
    <s v=" CUST0211 "/>
    <x v="3"/>
    <s v="Anita"/>
    <x v="3"/>
    <s v=" Net Banking "/>
    <n v="13"/>
    <s v="13"/>
    <n v="3110"/>
    <s v="3110"/>
    <n v="40430"/>
    <x v="0"/>
    <x v="0"/>
    <x v="1"/>
    <s v="Medium"/>
    <s v="Online"/>
    <n v="40430"/>
  </r>
  <r>
    <n v="195"/>
    <d v="2024-01-09T02:00:00"/>
    <s v="2024-01-09 02:00:00"/>
    <s v="EAST"/>
    <x v="0"/>
    <s v="Grocery"/>
    <x v="3"/>
    <s v="Rice 5Kg"/>
    <s v="Rice 5kg"/>
    <s v="CUST0651"/>
    <s v=" CUST0651 "/>
    <x v="2"/>
    <s v="Suresh"/>
    <x v="3"/>
    <s v=" Net Banking "/>
    <n v="6"/>
    <s v="6"/>
    <n v="4819"/>
    <s v="4819"/>
    <n v="28914"/>
    <x v="0"/>
    <x v="0"/>
    <x v="1"/>
    <s v="Medium"/>
    <s v="Online"/>
    <n v="28914"/>
  </r>
  <r>
    <n v="196"/>
    <d v="2024-01-09T03:00:00"/>
    <s v="2024-01-09 03:00:00"/>
    <s v="south"/>
    <x v="3"/>
    <s v="Electronics"/>
    <x v="2"/>
    <s v="Mixer Grinder"/>
    <s v="Mixer Grinder"/>
    <s v="CUST0622"/>
    <s v=" CUST0622 "/>
    <x v="3"/>
    <s v="Anita"/>
    <x v="2"/>
    <s v="UPI"/>
    <n v="9"/>
    <s v="9"/>
    <n v="2468"/>
    <s v="2468"/>
    <n v="22212"/>
    <x v="0"/>
    <x v="0"/>
    <x v="1"/>
    <s v="Medium"/>
    <s v="Online"/>
    <n v="22212"/>
  </r>
  <r>
    <n v="197"/>
    <d v="2024-01-09T04:00:00"/>
    <s v="2024-01-09 04:00:00"/>
    <s v="south"/>
    <x v="3"/>
    <s v="Clothing"/>
    <x v="0"/>
    <s v="Led Tv 42Inch"/>
    <s v="LED TV 42inch"/>
    <s v="CUST0695"/>
    <s v=" CUST0695 "/>
    <x v="1"/>
    <s v="Meena"/>
    <x v="0"/>
    <s v=" Cash"/>
    <n v="12"/>
    <s v="12"/>
    <n v="4094"/>
    <s v="4094"/>
    <n v="49128"/>
    <x v="0"/>
    <x v="0"/>
    <x v="1"/>
    <s v="Medium"/>
    <s v="Offline"/>
    <n v="49128"/>
  </r>
  <r>
    <n v="198"/>
    <d v="2024-01-09T05:00:00"/>
    <s v="2024-01-09 05:00:00"/>
    <s v=" west"/>
    <x v="1"/>
    <s v=" Home Appliances "/>
    <x v="1"/>
    <s v="Led Tv 42Inch"/>
    <s v="LED TV 42inch"/>
    <s v="CUST0540"/>
    <s v=" CUST0540 "/>
    <x v="2"/>
    <s v="Suresh"/>
    <x v="2"/>
    <s v="UPI"/>
    <n v="5"/>
    <s v="5"/>
    <n v="1939"/>
    <s v="1939"/>
    <n v="9695"/>
    <x v="0"/>
    <x v="0"/>
    <x v="1"/>
    <s v="Low"/>
    <s v="Online"/>
    <n v="9695"/>
  </r>
  <r>
    <n v="199"/>
    <d v="2024-01-09T06:00:00"/>
    <s v="2024-01-09 06:00:00"/>
    <s v=" North "/>
    <x v="2"/>
    <s v="Electronics"/>
    <x v="2"/>
    <s v="Laptop"/>
    <s v="Laptop"/>
    <s v="CUST0709"/>
    <s v=" CUST0709 "/>
    <x v="4"/>
    <s v="Karthik"/>
    <x v="0"/>
    <s v=" Cash"/>
    <n v="4"/>
    <s v="4"/>
    <n v="3003"/>
    <s v="3003"/>
    <n v="12012"/>
    <x v="0"/>
    <x v="0"/>
    <x v="1"/>
    <s v="Low"/>
    <s v="Offline"/>
    <n v="12012"/>
  </r>
  <r>
    <n v="200"/>
    <d v="2024-01-09T07:00:00"/>
    <s v="2024-01-09 07:00:00"/>
    <s v="EAST"/>
    <x v="0"/>
    <s v="Grocery"/>
    <x v="3"/>
    <s v="Laptop"/>
    <s v="Laptop"/>
    <s v="CUST0191"/>
    <s v=" CUST0191 "/>
    <x v="2"/>
    <s v="Suresh"/>
    <x v="4"/>
    <s v="Credit Card"/>
    <n v="3"/>
    <s v="3"/>
    <n v="4495"/>
    <s v="4495"/>
    <n v="13485"/>
    <x v="0"/>
    <x v="0"/>
    <x v="1"/>
    <s v="Low"/>
    <s v="Online"/>
    <n v="13485"/>
  </r>
  <r>
    <n v="201"/>
    <d v="2024-01-09T08:00:00"/>
    <s v="2024-01-09 08:00:00"/>
    <s v="EAST"/>
    <x v="0"/>
    <s v="Grocery"/>
    <x v="3"/>
    <s v="Washing Machine"/>
    <s v="Washing Machine"/>
    <s v="CUST0315"/>
    <s v=" CUST0315 "/>
    <x v="1"/>
    <s v="Meena"/>
    <x v="3"/>
    <s v=" Net Banking "/>
    <n v="10"/>
    <s v="10"/>
    <n v="4598"/>
    <s v="4598"/>
    <n v="45980"/>
    <x v="0"/>
    <x v="0"/>
    <x v="1"/>
    <s v="Medium"/>
    <s v="Online"/>
    <n v="45980"/>
  </r>
  <r>
    <n v="202"/>
    <d v="2024-01-09T09:00:00"/>
    <s v="2024-01-09 09:00:00"/>
    <s v=" west"/>
    <x v="1"/>
    <s v="Electronics"/>
    <x v="2"/>
    <s v="Men T-Shirt"/>
    <s v="Men T-Shirt"/>
    <s v="CUST0563"/>
    <s v=" CUST0563 "/>
    <x v="4"/>
    <s v="Karthik"/>
    <x v="3"/>
    <s v=" Net Banking "/>
    <n v="1"/>
    <s v="1"/>
    <n v="3791"/>
    <s v="3791"/>
    <n v="3791"/>
    <x v="0"/>
    <x v="0"/>
    <x v="1"/>
    <s v="Low"/>
    <s v="Online"/>
    <n v="3791"/>
  </r>
  <r>
    <n v="203"/>
    <d v="2024-01-09T10:00:00"/>
    <s v="2024-01-09 10:00:00"/>
    <s v="EAST"/>
    <x v="0"/>
    <s v="Clothing"/>
    <x v="0"/>
    <s v="Washing Machine"/>
    <s v="Washing Machine"/>
    <s v="CUST0661"/>
    <s v=" CUST0661 "/>
    <x v="2"/>
    <s v="Suresh"/>
    <x v="4"/>
    <s v="Credit Card"/>
    <n v="3"/>
    <s v="3"/>
    <n v="3941"/>
    <s v="3941"/>
    <n v="11823"/>
    <x v="0"/>
    <x v="0"/>
    <x v="1"/>
    <s v="Low"/>
    <s v="Online"/>
    <n v="11823"/>
  </r>
  <r>
    <n v="204"/>
    <d v="2024-01-09T11:00:00"/>
    <s v="2024-01-09 11:00:00"/>
    <s v=" North "/>
    <x v="2"/>
    <s v="Clothing"/>
    <x v="0"/>
    <s v="Mixer Grinder"/>
    <s v="Mixer Grinder"/>
    <s v="CUST0780"/>
    <s v=" CUST0780 "/>
    <x v="3"/>
    <s v="Anita"/>
    <x v="2"/>
    <s v="UPI"/>
    <n v="3"/>
    <s v="3"/>
    <n v="4448"/>
    <s v="4448"/>
    <n v="13344"/>
    <x v="0"/>
    <x v="0"/>
    <x v="1"/>
    <s v="Low"/>
    <s v="Online"/>
    <n v="13344"/>
  </r>
  <r>
    <n v="205"/>
    <d v="2024-01-09T12:00:00"/>
    <s v="2024-01-09 12:00:00"/>
    <s v=" west"/>
    <x v="1"/>
    <s v="Grocery"/>
    <x v="3"/>
    <s v="Washing Machine"/>
    <s v="Washing Machine"/>
    <s v="CUST0562"/>
    <s v=" CUST0562 "/>
    <x v="0"/>
    <s v="Rahul"/>
    <x v="2"/>
    <s v="UPI"/>
    <n v="7"/>
    <s v="7"/>
    <n v="1492"/>
    <s v="1492"/>
    <n v="10444"/>
    <x v="0"/>
    <x v="0"/>
    <x v="1"/>
    <s v="Low"/>
    <s v="Online"/>
    <n v="10444"/>
  </r>
  <r>
    <n v="206"/>
    <d v="2024-01-09T13:00:00"/>
    <s v="2024-01-09 13:00:00"/>
    <s v=" North "/>
    <x v="2"/>
    <s v="Grocery"/>
    <x v="3"/>
    <s v="Rice 5Kg"/>
    <s v="Rice 5kg"/>
    <s v="CUST0758"/>
    <s v=" CUST0758 "/>
    <x v="0"/>
    <s v="Rahul"/>
    <x v="1"/>
    <s v="Debit card "/>
    <n v="7"/>
    <s v="7"/>
    <n v="3850"/>
    <s v="3850"/>
    <n v="26950"/>
    <x v="0"/>
    <x v="0"/>
    <x v="1"/>
    <s v="Medium"/>
    <s v="Online"/>
    <n v="26950"/>
  </r>
  <r>
    <n v="207"/>
    <d v="2024-01-09T14:00:00"/>
    <s v="2024-01-09 14:00:00"/>
    <s v=" west"/>
    <x v="1"/>
    <s v="Clothing"/>
    <x v="0"/>
    <s v="Mixer Grinder"/>
    <s v="Mixer Grinder"/>
    <s v="CUST0113"/>
    <s v=" CUST0113 "/>
    <x v="3"/>
    <s v="Anita"/>
    <x v="0"/>
    <s v=" Cash"/>
    <n v="13"/>
    <s v="13"/>
    <n v="4355"/>
    <s v="4355"/>
    <n v="56615"/>
    <x v="0"/>
    <x v="0"/>
    <x v="1"/>
    <s v="High"/>
    <s v="Offline"/>
    <n v="56615"/>
  </r>
  <r>
    <n v="208"/>
    <d v="2024-01-09T15:00:00"/>
    <s v="2024-01-09 15:00:00"/>
    <s v=" west"/>
    <x v="1"/>
    <s v=" Home Appliances "/>
    <x v="1"/>
    <s v="Laptop"/>
    <s v="Laptop"/>
    <s v="CUST0170"/>
    <s v=" CUST0170 "/>
    <x v="0"/>
    <s v="Rahul"/>
    <x v="2"/>
    <s v="UPI"/>
    <n v="12"/>
    <s v="12"/>
    <n v="3108"/>
    <s v="3108"/>
    <n v="37296"/>
    <x v="0"/>
    <x v="0"/>
    <x v="1"/>
    <s v="Medium"/>
    <s v="Online"/>
    <n v="37296"/>
  </r>
  <r>
    <n v="209"/>
    <d v="2024-01-09T16:00:00"/>
    <s v="2024-01-09 16:00:00"/>
    <s v="south"/>
    <x v="3"/>
    <s v="Electronics"/>
    <x v="2"/>
    <s v="Led Tv 42Inch"/>
    <s v="LED TV 42inch"/>
    <s v="CUST0468"/>
    <s v=" CUST0468 "/>
    <x v="0"/>
    <s v="Rahul"/>
    <x v="4"/>
    <s v="Credit Card"/>
    <n v="1"/>
    <s v="1"/>
    <n v="4400"/>
    <s v="4400"/>
    <n v="4400"/>
    <x v="0"/>
    <x v="0"/>
    <x v="1"/>
    <s v="Low"/>
    <s v="Online"/>
    <n v="4400"/>
  </r>
  <r>
    <n v="210"/>
    <d v="2024-01-09T17:00:00"/>
    <s v="2024-01-09 17:00:00"/>
    <s v=" North "/>
    <x v="2"/>
    <s v="Grocery"/>
    <x v="3"/>
    <s v="Laptop"/>
    <s v="Laptop"/>
    <s v="CUST0678"/>
    <s v=" CUST0678 "/>
    <x v="3"/>
    <s v="Anita"/>
    <x v="2"/>
    <s v="UPI"/>
    <n v="3"/>
    <s v="3"/>
    <n v="3438"/>
    <s v="3438"/>
    <n v="10314"/>
    <x v="0"/>
    <x v="0"/>
    <x v="1"/>
    <s v="Low"/>
    <s v="Online"/>
    <n v="10314"/>
  </r>
  <r>
    <n v="211"/>
    <d v="2024-01-09T18:00:00"/>
    <s v="2024-01-09 18:00:00"/>
    <s v="EAST"/>
    <x v="0"/>
    <s v="Grocery"/>
    <x v="3"/>
    <s v="Men T-Shirt"/>
    <s v="Men T-Shirt"/>
    <s v="CUST0014"/>
    <s v=" CUST0014 "/>
    <x v="3"/>
    <s v="Anita"/>
    <x v="3"/>
    <s v=" Net Banking "/>
    <n v="13"/>
    <s v="13"/>
    <n v="3614"/>
    <s v="3614"/>
    <n v="46982"/>
    <x v="0"/>
    <x v="0"/>
    <x v="1"/>
    <s v="Medium"/>
    <s v="Online"/>
    <n v="46982"/>
  </r>
  <r>
    <n v="212"/>
    <d v="2024-01-09T19:00:00"/>
    <s v="2024-01-09 19:00:00"/>
    <s v="EAST"/>
    <x v="0"/>
    <s v="Clothing"/>
    <x v="0"/>
    <s v="Mixer Grinder"/>
    <s v="Mixer Grinder"/>
    <s v="CUST0715"/>
    <s v=" CUST0715 "/>
    <x v="2"/>
    <s v="Suresh"/>
    <x v="0"/>
    <s v=" Cash"/>
    <n v="8"/>
    <s v="8"/>
    <n v="859"/>
    <s v="859"/>
    <n v="6872"/>
    <x v="0"/>
    <x v="0"/>
    <x v="1"/>
    <s v="Low"/>
    <s v="Offline"/>
    <n v="6872"/>
  </r>
  <r>
    <n v="213"/>
    <d v="2024-01-09T20:00:00"/>
    <s v="2024-01-09 20:00:00"/>
    <s v=" North "/>
    <x v="2"/>
    <s v="Electronics"/>
    <x v="2"/>
    <s v="Mixer Grinder"/>
    <s v="Mixer Grinder"/>
    <s v="CUST0288"/>
    <s v=" CUST0288 "/>
    <x v="2"/>
    <s v="Suresh"/>
    <x v="1"/>
    <s v="Debit card "/>
    <n v="9"/>
    <s v="9"/>
    <n v="2868"/>
    <s v="2868"/>
    <n v="25812"/>
    <x v="0"/>
    <x v="0"/>
    <x v="1"/>
    <s v="Medium"/>
    <s v="Online"/>
    <n v="25812"/>
  </r>
  <r>
    <n v="214"/>
    <d v="2024-01-09T21:00:00"/>
    <s v="2024-01-09 21:00:00"/>
    <s v="EAST"/>
    <x v="0"/>
    <s v="Clothing"/>
    <x v="0"/>
    <s v="Rice 5Kg"/>
    <s v="Rice 5kg"/>
    <s v="CUST0189"/>
    <s v=" CUST0189 "/>
    <x v="3"/>
    <s v="Anita"/>
    <x v="0"/>
    <s v=" Cash"/>
    <n v="7"/>
    <s v="7"/>
    <n v="3188"/>
    <s v="3188"/>
    <n v="22316"/>
    <x v="0"/>
    <x v="0"/>
    <x v="1"/>
    <s v="Medium"/>
    <s v="Offline"/>
    <n v="22316"/>
  </r>
  <r>
    <n v="215"/>
    <d v="2024-01-09T22:00:00"/>
    <s v="2024-01-09 22:00:00"/>
    <s v="EAST"/>
    <x v="0"/>
    <s v="Electronics"/>
    <x v="2"/>
    <s v="Men T-Shirt"/>
    <s v="Men T-Shirt"/>
    <s v="CUST0155"/>
    <s v=" CUST0155 "/>
    <x v="1"/>
    <s v="Meena"/>
    <x v="3"/>
    <s v=" Net Banking "/>
    <n v="7"/>
    <s v="7"/>
    <n v="2215"/>
    <s v="2215"/>
    <n v="15505"/>
    <x v="0"/>
    <x v="0"/>
    <x v="1"/>
    <s v="Low"/>
    <s v="Online"/>
    <n v="15505"/>
  </r>
  <r>
    <n v="216"/>
    <d v="2024-01-09T23:00:00"/>
    <s v="2024-01-09 23:00:00"/>
    <s v=" North "/>
    <x v="2"/>
    <s v="Electronics"/>
    <x v="2"/>
    <s v="Led Tv 42Inch"/>
    <s v="LED TV 42inch"/>
    <s v="CUST0567"/>
    <s v=" CUST0567 "/>
    <x v="0"/>
    <s v="Rahul"/>
    <x v="3"/>
    <s v=" Net Banking "/>
    <n v="12"/>
    <s v="12"/>
    <n v="4328"/>
    <s v="4328"/>
    <n v="51936"/>
    <x v="0"/>
    <x v="0"/>
    <x v="1"/>
    <s v="High"/>
    <s v="Online"/>
    <n v="51936"/>
  </r>
  <r>
    <n v="217"/>
    <d v="2024-01-10T00:00:00"/>
    <s v="2024-01-10 00:00:00"/>
    <s v=" west"/>
    <x v="1"/>
    <s v="Electronics"/>
    <x v="2"/>
    <s v="Mixer Grinder"/>
    <s v="Mixer Grinder"/>
    <s v="CUST0694"/>
    <s v=" CUST0694 "/>
    <x v="2"/>
    <s v="Suresh"/>
    <x v="3"/>
    <s v=" Net Banking "/>
    <n v="11"/>
    <s v="11"/>
    <n v="1823"/>
    <s v="1823"/>
    <n v="20053"/>
    <x v="0"/>
    <x v="0"/>
    <x v="1"/>
    <s v="Medium"/>
    <s v="Online"/>
    <n v="20053"/>
  </r>
  <r>
    <n v="218"/>
    <d v="2024-01-10T01:00:00"/>
    <s v="2024-01-10 01:00:00"/>
    <s v=" North "/>
    <x v="2"/>
    <s v="Grocery"/>
    <x v="3"/>
    <s v="Mixer Grinder"/>
    <s v="Mixer Grinder"/>
    <s v="CUST0722"/>
    <s v=" CUST0722 "/>
    <x v="0"/>
    <s v="Rahul"/>
    <x v="3"/>
    <s v=" Net Banking "/>
    <n v="8"/>
    <s v="8"/>
    <n v="3066"/>
    <s v="3066"/>
    <n v="24528"/>
    <x v="0"/>
    <x v="0"/>
    <x v="1"/>
    <s v="Medium"/>
    <s v="Online"/>
    <n v="24528"/>
  </r>
  <r>
    <n v="219"/>
    <d v="2024-01-10T02:00:00"/>
    <s v="2024-01-10 02:00:00"/>
    <s v=" west"/>
    <x v="1"/>
    <s v=" Home Appliances "/>
    <x v="1"/>
    <s v="Rice 5Kg"/>
    <s v="Rice 5kg"/>
    <s v="CUST0471"/>
    <s v=" CUST0471 "/>
    <x v="4"/>
    <s v="Karthik"/>
    <x v="4"/>
    <s v="Credit Card"/>
    <n v="6"/>
    <s v="6"/>
    <n v="529"/>
    <s v="529"/>
    <n v="3174"/>
    <x v="0"/>
    <x v="0"/>
    <x v="1"/>
    <s v="Low"/>
    <s v="Online"/>
    <n v="3174"/>
  </r>
  <r>
    <n v="220"/>
    <d v="2024-01-10T03:00:00"/>
    <s v="2024-01-10 03:00:00"/>
    <s v="EAST"/>
    <x v="0"/>
    <s v="Clothing"/>
    <x v="0"/>
    <s v="Washing Machine"/>
    <s v="Washing Machine"/>
    <s v="CUST0075"/>
    <s v=" CUST0075 "/>
    <x v="3"/>
    <s v="Anita"/>
    <x v="1"/>
    <s v="Debit card "/>
    <n v="11"/>
    <s v="11"/>
    <n v="2455"/>
    <s v="2455"/>
    <n v="27005"/>
    <x v="0"/>
    <x v="0"/>
    <x v="1"/>
    <s v="Medium"/>
    <s v="Online"/>
    <n v="27005"/>
  </r>
  <r>
    <n v="221"/>
    <d v="2024-01-10T04:00:00"/>
    <s v="2024-01-10 04:00:00"/>
    <s v="EAST"/>
    <x v="0"/>
    <s v=" Home Appliances "/>
    <x v="1"/>
    <s v="Led Tv 42Inch"/>
    <s v="LED TV 42inch"/>
    <s v="CUST0277"/>
    <s v=" CUST0277 "/>
    <x v="1"/>
    <s v="Meena"/>
    <x v="3"/>
    <s v=" Net Banking "/>
    <n v="3"/>
    <s v="3"/>
    <n v="2559"/>
    <s v="2559"/>
    <n v="7677"/>
    <x v="0"/>
    <x v="0"/>
    <x v="1"/>
    <s v="Low"/>
    <s v="Online"/>
    <n v="7677"/>
  </r>
  <r>
    <n v="222"/>
    <d v="2024-01-10T05:00:00"/>
    <s v="2024-01-10 05:00:00"/>
    <s v="EAST"/>
    <x v="0"/>
    <s v="Clothing"/>
    <x v="0"/>
    <s v="Laptop"/>
    <s v="Laptop"/>
    <s v="CUST0645"/>
    <s v=" CUST0645 "/>
    <x v="4"/>
    <s v="Karthik"/>
    <x v="3"/>
    <s v=" Net Banking "/>
    <n v="1"/>
    <s v="1"/>
    <n v="4292"/>
    <s v="4292"/>
    <n v="4292"/>
    <x v="0"/>
    <x v="0"/>
    <x v="1"/>
    <s v="Low"/>
    <s v="Online"/>
    <n v="4292"/>
  </r>
  <r>
    <n v="223"/>
    <d v="2024-01-10T06:00:00"/>
    <s v="2024-01-10 06:00:00"/>
    <s v="south"/>
    <x v="3"/>
    <s v="Electronics"/>
    <x v="2"/>
    <s v="Men T-Shirt"/>
    <s v="Men T-Shirt"/>
    <s v="CUST0343"/>
    <s v=" CUST0343 "/>
    <x v="4"/>
    <s v="Karthik"/>
    <x v="2"/>
    <s v="UPI"/>
    <n v="7"/>
    <s v="7"/>
    <n v="1818"/>
    <s v="1818"/>
    <n v="12726"/>
    <x v="0"/>
    <x v="0"/>
    <x v="1"/>
    <s v="Low"/>
    <s v="Online"/>
    <n v="12726"/>
  </r>
  <r>
    <n v="224"/>
    <d v="2024-01-10T07:00:00"/>
    <s v="2024-01-10 07:00:00"/>
    <s v=" west"/>
    <x v="1"/>
    <s v="Grocery"/>
    <x v="3"/>
    <s v="Mixer Grinder"/>
    <s v="Mixer Grinder"/>
    <s v="CUST0425"/>
    <s v=" CUST0425 "/>
    <x v="4"/>
    <s v="Karthik"/>
    <x v="1"/>
    <s v="Debit card "/>
    <n v="1"/>
    <s v="1"/>
    <n v="1365"/>
    <s v="1365"/>
    <n v="1365"/>
    <x v="0"/>
    <x v="0"/>
    <x v="1"/>
    <s v="Low"/>
    <s v="Online"/>
    <n v="1365"/>
  </r>
  <r>
    <n v="225"/>
    <d v="2024-01-10T08:00:00"/>
    <s v="2024-01-10 08:00:00"/>
    <s v="south"/>
    <x v="3"/>
    <s v=" Home Appliances "/>
    <x v="1"/>
    <s v="Mixer Grinder"/>
    <s v="Mixer Grinder"/>
    <s v="CUST0571"/>
    <s v=" CUST0571 "/>
    <x v="3"/>
    <s v="Anita"/>
    <x v="0"/>
    <s v=" Cash"/>
    <n v="1"/>
    <s v="1"/>
    <n v="1408"/>
    <s v="1408"/>
    <n v="1408"/>
    <x v="0"/>
    <x v="0"/>
    <x v="1"/>
    <s v="Low"/>
    <s v="Offline"/>
    <n v="1408"/>
  </r>
  <r>
    <n v="226"/>
    <d v="2024-01-10T09:00:00"/>
    <s v="2024-01-10 09:00:00"/>
    <s v="south"/>
    <x v="3"/>
    <s v="Grocery"/>
    <x v="3"/>
    <s v="Laptop"/>
    <s v="Laptop"/>
    <s v="CUST0511"/>
    <s v=" CUST0511 "/>
    <x v="2"/>
    <s v="Suresh"/>
    <x v="1"/>
    <s v="Debit card "/>
    <n v="9"/>
    <s v="9"/>
    <n v="1150"/>
    <s v="1150"/>
    <n v="10350"/>
    <x v="0"/>
    <x v="0"/>
    <x v="1"/>
    <s v="Low"/>
    <s v="Online"/>
    <n v="10350"/>
  </r>
  <r>
    <n v="227"/>
    <d v="2024-01-10T10:00:00"/>
    <s v="2024-01-10 10:00:00"/>
    <s v=" North "/>
    <x v="2"/>
    <s v="Clothing"/>
    <x v="0"/>
    <s v="Led Tv 42Inch"/>
    <s v="LED TV 42inch"/>
    <s v="CUST0182"/>
    <s v=" CUST0182 "/>
    <x v="3"/>
    <s v="Anita"/>
    <x v="1"/>
    <s v="Debit card "/>
    <n v="13"/>
    <s v="13"/>
    <n v="3573"/>
    <s v="3573"/>
    <n v="46449"/>
    <x v="0"/>
    <x v="0"/>
    <x v="1"/>
    <s v="Medium"/>
    <s v="Online"/>
    <n v="46449"/>
  </r>
  <r>
    <n v="228"/>
    <d v="2024-01-10T11:00:00"/>
    <s v="2024-01-10 11:00:00"/>
    <s v="south"/>
    <x v="3"/>
    <s v="Grocery"/>
    <x v="3"/>
    <s v="Washing Machine"/>
    <s v="Washing Machine"/>
    <s v="CUST0458"/>
    <s v=" CUST0458 "/>
    <x v="2"/>
    <s v="Suresh"/>
    <x v="1"/>
    <s v="Debit card "/>
    <n v="10"/>
    <s v="10"/>
    <n v="2349"/>
    <s v="2349"/>
    <n v="23490"/>
    <x v="0"/>
    <x v="0"/>
    <x v="1"/>
    <s v="Medium"/>
    <s v="Online"/>
    <n v="23490"/>
  </r>
  <r>
    <n v="229"/>
    <d v="2024-01-10T12:00:00"/>
    <s v="2024-01-10 12:00:00"/>
    <s v=" North "/>
    <x v="2"/>
    <s v="Grocery"/>
    <x v="3"/>
    <s v="Mixer Grinder"/>
    <s v="Mixer Grinder"/>
    <s v="CUST0064"/>
    <s v=" CUST0064 "/>
    <x v="4"/>
    <s v="Karthik"/>
    <x v="3"/>
    <s v=" Net Banking "/>
    <n v="7"/>
    <s v="7"/>
    <n v="2909"/>
    <s v="2909"/>
    <n v="20363"/>
    <x v="0"/>
    <x v="0"/>
    <x v="1"/>
    <s v="Medium"/>
    <s v="Online"/>
    <n v="20363"/>
  </r>
  <r>
    <n v="230"/>
    <d v="2024-01-10T13:00:00"/>
    <s v="2024-01-10 13:00:00"/>
    <s v=" North "/>
    <x v="2"/>
    <s v=" Home Appliances "/>
    <x v="1"/>
    <s v="Led Tv 42Inch"/>
    <s v="LED TV 42inch"/>
    <s v="CUST0260"/>
    <s v=" CUST0260 "/>
    <x v="4"/>
    <s v="Karthik"/>
    <x v="3"/>
    <s v=" Net Banking "/>
    <n v="13"/>
    <s v="13"/>
    <n v="3021"/>
    <s v="3021"/>
    <n v="39273"/>
    <x v="0"/>
    <x v="0"/>
    <x v="1"/>
    <s v="Medium"/>
    <s v="Online"/>
    <n v="39273"/>
  </r>
  <r>
    <n v="231"/>
    <d v="2024-01-10T14:00:00"/>
    <s v="2024-01-10 14:00:00"/>
    <s v="south"/>
    <x v="3"/>
    <s v="Electronics"/>
    <x v="2"/>
    <s v="Laptop"/>
    <s v="Laptop"/>
    <s v="CUST0193"/>
    <s v=" CUST0193 "/>
    <x v="1"/>
    <s v="Meena"/>
    <x v="4"/>
    <s v="Credit Card"/>
    <n v="11"/>
    <s v="11"/>
    <n v="4776"/>
    <s v="4776"/>
    <n v="52536"/>
    <x v="0"/>
    <x v="0"/>
    <x v="1"/>
    <s v="High"/>
    <s v="Online"/>
    <n v="52536"/>
  </r>
  <r>
    <n v="232"/>
    <d v="2024-01-10T15:00:00"/>
    <s v="2024-01-10 15:00:00"/>
    <s v=" west"/>
    <x v="1"/>
    <s v="Grocery"/>
    <x v="3"/>
    <s v="Rice 5Kg"/>
    <s v="Rice 5kg"/>
    <s v="CUST0655"/>
    <s v=" CUST0655 "/>
    <x v="2"/>
    <s v="Suresh"/>
    <x v="0"/>
    <s v=" Cash"/>
    <n v="13"/>
    <s v="13"/>
    <n v="4141"/>
    <s v="4141"/>
    <n v="53833"/>
    <x v="0"/>
    <x v="0"/>
    <x v="1"/>
    <s v="High"/>
    <s v="Offline"/>
    <n v="53833"/>
  </r>
  <r>
    <n v="233"/>
    <d v="2024-01-10T16:00:00"/>
    <s v="2024-01-10 16:00:00"/>
    <s v=" west"/>
    <x v="1"/>
    <s v="Electronics"/>
    <x v="2"/>
    <s v="Washing Machine"/>
    <s v="Washing Machine"/>
    <s v="CUST0616"/>
    <s v=" CUST0616 "/>
    <x v="4"/>
    <s v="Karthik"/>
    <x v="2"/>
    <s v="UPI"/>
    <n v="4"/>
    <s v="4"/>
    <n v="2517"/>
    <s v="2517"/>
    <n v="10068"/>
    <x v="0"/>
    <x v="0"/>
    <x v="1"/>
    <s v="Low"/>
    <s v="Online"/>
    <n v="10068"/>
  </r>
  <r>
    <n v="234"/>
    <d v="2024-01-10T17:00:00"/>
    <s v="2024-01-10 17:00:00"/>
    <s v=" west"/>
    <x v="1"/>
    <s v="Clothing"/>
    <x v="0"/>
    <s v="Men T-Shirt"/>
    <s v="Men T-Shirt"/>
    <s v="CUST0406"/>
    <s v=" CUST0406 "/>
    <x v="0"/>
    <s v="Rahul"/>
    <x v="1"/>
    <s v="Debit card "/>
    <n v="6"/>
    <s v="6"/>
    <n v="632"/>
    <s v="632"/>
    <n v="3792"/>
    <x v="0"/>
    <x v="0"/>
    <x v="1"/>
    <s v="Low"/>
    <s v="Online"/>
    <n v="3792"/>
  </r>
  <r>
    <n v="235"/>
    <d v="2024-01-10T18:00:00"/>
    <s v="2024-01-10 18:00:00"/>
    <s v=" west"/>
    <x v="1"/>
    <s v="Grocery"/>
    <x v="3"/>
    <s v="Mixer Grinder"/>
    <s v="Mixer Grinder"/>
    <s v="CUST0726"/>
    <s v=" CUST0726 "/>
    <x v="1"/>
    <s v="Meena"/>
    <x v="0"/>
    <s v=" Cash"/>
    <n v="1"/>
    <s v="1"/>
    <n v="998"/>
    <s v="998"/>
    <n v="998"/>
    <x v="0"/>
    <x v="0"/>
    <x v="1"/>
    <s v="Low"/>
    <s v="Offline"/>
    <n v="998"/>
  </r>
  <r>
    <n v="236"/>
    <d v="2024-01-10T19:00:00"/>
    <s v="2024-01-10 19:00:00"/>
    <s v=" west"/>
    <x v="1"/>
    <s v=" Home Appliances "/>
    <x v="1"/>
    <s v="Led Tv 42Inch"/>
    <s v="LED TV 42inch"/>
    <s v="CUST0754"/>
    <s v=" CUST0754 "/>
    <x v="3"/>
    <s v="Anita"/>
    <x v="0"/>
    <s v=" Cash"/>
    <n v="7"/>
    <s v="7"/>
    <n v="2754"/>
    <s v="2754"/>
    <n v="19278"/>
    <x v="0"/>
    <x v="0"/>
    <x v="1"/>
    <s v="Low"/>
    <s v="Offline"/>
    <n v="19278"/>
  </r>
  <r>
    <n v="237"/>
    <d v="2024-01-10T20:00:00"/>
    <s v="2024-01-10 20:00:00"/>
    <s v="south"/>
    <x v="3"/>
    <s v="Clothing"/>
    <x v="0"/>
    <s v="Rice 5Kg"/>
    <s v="Rice 5kg"/>
    <s v="CUST0721"/>
    <s v=" CUST0721 "/>
    <x v="1"/>
    <s v="Meena"/>
    <x v="4"/>
    <s v="Credit Card"/>
    <n v="12"/>
    <s v="12"/>
    <n v="1569"/>
    <s v="1569"/>
    <n v="18828"/>
    <x v="0"/>
    <x v="0"/>
    <x v="1"/>
    <s v="Low"/>
    <s v="Online"/>
    <n v="18828"/>
  </r>
  <r>
    <n v="238"/>
    <d v="2024-01-10T21:00:00"/>
    <s v="2024-01-10 21:00:00"/>
    <s v="south"/>
    <x v="3"/>
    <s v="Clothing"/>
    <x v="0"/>
    <s v="Men T-Shirt"/>
    <s v="Men T-Shirt"/>
    <s v="CUST0093"/>
    <s v=" CUST0093 "/>
    <x v="0"/>
    <s v="Rahul"/>
    <x v="2"/>
    <s v="UPI"/>
    <n v="6"/>
    <s v="6"/>
    <n v="3020"/>
    <s v="3020"/>
    <n v="18120"/>
    <x v="0"/>
    <x v="0"/>
    <x v="1"/>
    <s v="Low"/>
    <s v="Online"/>
    <n v="18120"/>
  </r>
  <r>
    <n v="239"/>
    <d v="2024-01-10T22:00:00"/>
    <s v="2024-01-10 22:00:00"/>
    <s v="EAST"/>
    <x v="0"/>
    <s v=" Home Appliances "/>
    <x v="1"/>
    <s v="Led Tv 42Inch"/>
    <s v="LED TV 42inch"/>
    <s v="CUST0430"/>
    <s v=" CUST0430 "/>
    <x v="2"/>
    <s v="Suresh"/>
    <x v="1"/>
    <s v="Debit card "/>
    <n v="4"/>
    <s v="4"/>
    <n v="1352"/>
    <s v="1352"/>
    <n v="5408"/>
    <x v="0"/>
    <x v="0"/>
    <x v="1"/>
    <s v="Low"/>
    <s v="Online"/>
    <n v="5408"/>
  </r>
  <r>
    <n v="240"/>
    <d v="2024-01-10T23:00:00"/>
    <s v="2024-01-10 23:00:00"/>
    <s v=" west"/>
    <x v="1"/>
    <s v="Grocery"/>
    <x v="3"/>
    <s v="Led Tv 42Inch"/>
    <s v="LED TV 42inch"/>
    <s v="CUST0654"/>
    <s v=" CUST0654 "/>
    <x v="3"/>
    <s v="Anita"/>
    <x v="2"/>
    <s v="UPI"/>
    <n v="7"/>
    <s v="7"/>
    <n v="869"/>
    <s v="869"/>
    <n v="6083"/>
    <x v="0"/>
    <x v="0"/>
    <x v="1"/>
    <s v="Low"/>
    <s v="Online"/>
    <n v="6083"/>
  </r>
  <r>
    <n v="241"/>
    <d v="2024-01-11T00:00:00"/>
    <s v="2024-01-11 00:00:00"/>
    <s v="south"/>
    <x v="3"/>
    <s v="Grocery"/>
    <x v="3"/>
    <s v="Men T-Shirt"/>
    <s v="Men T-Shirt"/>
    <s v="CUST0434"/>
    <s v=" CUST0434 "/>
    <x v="3"/>
    <s v="Anita"/>
    <x v="4"/>
    <s v="Credit Card"/>
    <n v="3"/>
    <s v="3"/>
    <n v="933"/>
    <s v="933"/>
    <n v="2799"/>
    <x v="0"/>
    <x v="0"/>
    <x v="1"/>
    <s v="Low"/>
    <s v="Online"/>
    <n v="2799"/>
  </r>
  <r>
    <n v="242"/>
    <d v="2024-01-11T01:00:00"/>
    <s v="2024-01-11 01:00:00"/>
    <s v="EAST"/>
    <x v="0"/>
    <s v="Clothing"/>
    <x v="0"/>
    <s v="Rice 5Kg"/>
    <s v="Rice 5kg"/>
    <s v="CUST0404"/>
    <s v=" CUST0404 "/>
    <x v="2"/>
    <s v="Suresh"/>
    <x v="3"/>
    <s v=" Net Banking "/>
    <n v="1"/>
    <s v="1"/>
    <n v="2309"/>
    <s v="2309"/>
    <n v="2309"/>
    <x v="0"/>
    <x v="0"/>
    <x v="1"/>
    <s v="Low"/>
    <s v="Online"/>
    <n v="2309"/>
  </r>
  <r>
    <n v="243"/>
    <d v="2024-01-11T02:00:00"/>
    <s v="2024-01-11 02:00:00"/>
    <s v=" west"/>
    <x v="1"/>
    <s v="Grocery"/>
    <x v="3"/>
    <s v="Laptop"/>
    <s v="Laptop"/>
    <s v="CUST0434"/>
    <s v=" CUST0434 "/>
    <x v="1"/>
    <s v="Meena"/>
    <x v="0"/>
    <s v=" Cash"/>
    <n v="4"/>
    <s v="4"/>
    <n v="4749"/>
    <s v="4749"/>
    <n v="18996"/>
    <x v="0"/>
    <x v="0"/>
    <x v="1"/>
    <s v="Low"/>
    <s v="Offline"/>
    <n v="18996"/>
  </r>
  <r>
    <n v="244"/>
    <d v="2024-01-11T03:00:00"/>
    <s v="2024-01-11 03:00:00"/>
    <s v=" North "/>
    <x v="2"/>
    <s v="Electronics"/>
    <x v="2"/>
    <s v="Rice 5Kg"/>
    <s v="Rice 5kg"/>
    <s v="CUST0112"/>
    <s v=" CUST0112 "/>
    <x v="4"/>
    <s v="Karthik"/>
    <x v="1"/>
    <s v="Debit card "/>
    <n v="3"/>
    <s v="3"/>
    <n v="3524"/>
    <s v="3524"/>
    <n v="10572"/>
    <x v="0"/>
    <x v="0"/>
    <x v="1"/>
    <s v="Low"/>
    <s v="Online"/>
    <n v="10572"/>
  </r>
  <r>
    <n v="245"/>
    <d v="2024-01-11T04:00:00"/>
    <s v="2024-01-11 04:00:00"/>
    <s v="EAST"/>
    <x v="0"/>
    <s v=" Home Appliances "/>
    <x v="1"/>
    <s v="Washing Machine"/>
    <s v="Washing Machine"/>
    <s v="CUST0375"/>
    <s v=" CUST0375 "/>
    <x v="1"/>
    <s v="Meena"/>
    <x v="3"/>
    <s v=" Net Banking "/>
    <n v="1"/>
    <s v="1"/>
    <n v="1191"/>
    <s v="1191"/>
    <n v="1191"/>
    <x v="0"/>
    <x v="0"/>
    <x v="1"/>
    <s v="Low"/>
    <s v="Online"/>
    <n v="1191"/>
  </r>
  <r>
    <n v="246"/>
    <d v="2024-01-11T05:00:00"/>
    <s v="2024-01-11 05:00:00"/>
    <s v="south"/>
    <x v="3"/>
    <s v="Electronics"/>
    <x v="2"/>
    <s v="Mixer Grinder"/>
    <s v="Mixer Grinder"/>
    <s v="CUST0059"/>
    <s v=" CUST0059 "/>
    <x v="0"/>
    <s v="Rahul"/>
    <x v="4"/>
    <s v="Credit Card"/>
    <n v="2"/>
    <s v="2"/>
    <n v="1296"/>
    <s v="1296"/>
    <n v="2592"/>
    <x v="0"/>
    <x v="0"/>
    <x v="1"/>
    <s v="Low"/>
    <s v="Online"/>
    <n v="2592"/>
  </r>
  <r>
    <n v="247"/>
    <d v="2024-01-11T06:00:00"/>
    <s v="2024-01-11 06:00:00"/>
    <s v=" North "/>
    <x v="2"/>
    <s v="Grocery"/>
    <x v="3"/>
    <s v="Men T-Shirt"/>
    <s v="Men T-Shirt"/>
    <s v="CUST0043"/>
    <s v=" CUST0043 "/>
    <x v="4"/>
    <s v="Karthik"/>
    <x v="2"/>
    <s v="UPI"/>
    <n v="11"/>
    <s v="11"/>
    <n v="4014"/>
    <s v="4014"/>
    <n v="44154"/>
    <x v="0"/>
    <x v="0"/>
    <x v="1"/>
    <s v="Medium"/>
    <s v="Online"/>
    <n v="44154"/>
  </r>
  <r>
    <n v="248"/>
    <d v="2024-01-11T07:00:00"/>
    <s v="2024-01-11 07:00:00"/>
    <s v=" North "/>
    <x v="2"/>
    <s v="Clothing"/>
    <x v="0"/>
    <s v="Laptop"/>
    <s v="Laptop"/>
    <s v="CUST0207"/>
    <s v=" CUST0207 "/>
    <x v="1"/>
    <s v="Meena"/>
    <x v="0"/>
    <s v=" Cash"/>
    <n v="5"/>
    <s v="5"/>
    <n v="1760"/>
    <s v="1760"/>
    <n v="8800"/>
    <x v="0"/>
    <x v="0"/>
    <x v="1"/>
    <s v="Low"/>
    <s v="Offline"/>
    <n v="8800"/>
  </r>
  <r>
    <n v="249"/>
    <d v="2024-01-11T08:00:00"/>
    <s v="2024-01-11 08:00:00"/>
    <s v=" North "/>
    <x v="2"/>
    <s v=" Home Appliances "/>
    <x v="1"/>
    <s v="Men T-Shirt"/>
    <s v="Men T-Shirt"/>
    <s v="CUST0780"/>
    <s v=" CUST0780 "/>
    <x v="2"/>
    <s v="Suresh"/>
    <x v="1"/>
    <s v="Debit card "/>
    <n v="8"/>
    <s v="8"/>
    <n v="4754"/>
    <s v="4754"/>
    <n v="38032"/>
    <x v="0"/>
    <x v="0"/>
    <x v="1"/>
    <s v="Medium"/>
    <s v="Online"/>
    <n v="38032"/>
  </r>
  <r>
    <n v="250"/>
    <d v="2024-01-11T09:00:00"/>
    <s v="2024-01-11 09:00:00"/>
    <s v="EAST"/>
    <x v="0"/>
    <s v="Grocery"/>
    <x v="3"/>
    <s v="Men T-Shirt"/>
    <s v="Men T-Shirt"/>
    <s v="CUST0296"/>
    <s v=" CUST0296 "/>
    <x v="0"/>
    <s v="Rahul"/>
    <x v="3"/>
    <s v=" Net Banking "/>
    <n v="1"/>
    <s v="1"/>
    <n v="360"/>
    <s v="360"/>
    <n v="360"/>
    <x v="0"/>
    <x v="0"/>
    <x v="1"/>
    <s v="Low"/>
    <s v="Online"/>
    <n v="360"/>
  </r>
  <r>
    <n v="251"/>
    <d v="2024-01-11T10:00:00"/>
    <s v="2024-01-11 10:00:00"/>
    <s v="south"/>
    <x v="3"/>
    <s v="Grocery"/>
    <x v="3"/>
    <s v="Rice 5Kg"/>
    <s v="Rice 5kg"/>
    <s v="CUST0118"/>
    <s v=" CUST0118 "/>
    <x v="0"/>
    <s v="Rahul"/>
    <x v="3"/>
    <s v=" Net Banking "/>
    <n v="4"/>
    <s v="4"/>
    <n v="2364"/>
    <s v="2364"/>
    <n v="9456"/>
    <x v="0"/>
    <x v="0"/>
    <x v="1"/>
    <s v="Low"/>
    <s v="Online"/>
    <n v="9456"/>
  </r>
  <r>
    <n v="252"/>
    <d v="2024-01-11T11:00:00"/>
    <s v="2024-01-11 11:00:00"/>
    <s v=" North "/>
    <x v="2"/>
    <s v="Clothing"/>
    <x v="0"/>
    <s v="Mixer Grinder"/>
    <s v="Mixer Grinder"/>
    <s v="CUST0532"/>
    <s v=" CUST0532 "/>
    <x v="0"/>
    <s v="Rahul"/>
    <x v="0"/>
    <s v=" Cash"/>
    <n v="14"/>
    <s v="14"/>
    <n v="1285"/>
    <s v="1285"/>
    <n v="17990"/>
    <x v="0"/>
    <x v="0"/>
    <x v="1"/>
    <s v="Low"/>
    <s v="Offline"/>
    <n v="17990"/>
  </r>
  <r>
    <n v="253"/>
    <d v="2024-01-11T12:00:00"/>
    <s v="2024-01-11 12:00:00"/>
    <s v=" west"/>
    <x v="1"/>
    <s v="Clothing"/>
    <x v="0"/>
    <s v="Washing Machine"/>
    <s v="Washing Machine"/>
    <s v="CUST0222"/>
    <s v=" CUST0222 "/>
    <x v="4"/>
    <s v="Karthik"/>
    <x v="2"/>
    <s v="UPI"/>
    <n v="4"/>
    <s v="4"/>
    <n v="2549"/>
    <s v="2549"/>
    <n v="10196"/>
    <x v="0"/>
    <x v="0"/>
    <x v="1"/>
    <s v="Low"/>
    <s v="Online"/>
    <n v="10196"/>
  </r>
  <r>
    <n v="254"/>
    <d v="2024-01-11T13:00:00"/>
    <s v="2024-01-11 13:00:00"/>
    <s v=" North "/>
    <x v="2"/>
    <s v="Electronics"/>
    <x v="2"/>
    <s v="Led Tv 42Inch"/>
    <s v="LED TV 42inch"/>
    <s v="CUST0166"/>
    <s v=" CUST0166 "/>
    <x v="3"/>
    <s v="Anita"/>
    <x v="4"/>
    <s v="Credit Card"/>
    <n v="5"/>
    <s v="5"/>
    <n v="3633"/>
    <s v="3633"/>
    <n v="18165"/>
    <x v="0"/>
    <x v="0"/>
    <x v="1"/>
    <s v="Low"/>
    <s v="Online"/>
    <n v="18165"/>
  </r>
  <r>
    <n v="255"/>
    <d v="2024-01-11T14:00:00"/>
    <s v="2024-01-11 14:00:00"/>
    <s v=" North "/>
    <x v="2"/>
    <s v=" Home Appliances "/>
    <x v="1"/>
    <s v="Led Tv 42Inch"/>
    <s v="LED TV 42inch"/>
    <s v="CUST0643"/>
    <s v=" CUST0643 "/>
    <x v="4"/>
    <s v="Karthik"/>
    <x v="2"/>
    <s v="UPI"/>
    <n v="7"/>
    <s v="7"/>
    <n v="4470"/>
    <s v="4470"/>
    <n v="31290"/>
    <x v="0"/>
    <x v="0"/>
    <x v="1"/>
    <s v="Medium"/>
    <s v="Online"/>
    <n v="31290"/>
  </r>
  <r>
    <n v="256"/>
    <d v="2024-01-11T15:00:00"/>
    <s v="2024-01-11 15:00:00"/>
    <s v="EAST"/>
    <x v="0"/>
    <s v=" Home Appliances "/>
    <x v="1"/>
    <s v="Men T-Shirt"/>
    <s v="Men T-Shirt"/>
    <s v="CUST0156"/>
    <s v=" CUST0156 "/>
    <x v="1"/>
    <s v="Meena"/>
    <x v="2"/>
    <s v="UPI"/>
    <n v="13"/>
    <s v="13"/>
    <n v="4401"/>
    <s v="4401"/>
    <n v="57213"/>
    <x v="0"/>
    <x v="0"/>
    <x v="1"/>
    <s v="High"/>
    <s v="Online"/>
    <n v="57213"/>
  </r>
  <r>
    <n v="257"/>
    <d v="2024-01-11T16:00:00"/>
    <s v="2024-01-11 16:00:00"/>
    <s v="EAST"/>
    <x v="0"/>
    <s v="Clothing"/>
    <x v="0"/>
    <s v="Mixer Grinder"/>
    <s v="Mixer Grinder"/>
    <s v="CUST0184"/>
    <s v=" CUST0184 "/>
    <x v="3"/>
    <s v="Anita"/>
    <x v="2"/>
    <s v="UPI"/>
    <n v="12"/>
    <s v="12"/>
    <n v="3444"/>
    <s v="3444"/>
    <n v="41328"/>
    <x v="0"/>
    <x v="0"/>
    <x v="1"/>
    <s v="Medium"/>
    <s v="Online"/>
    <n v="41328"/>
  </r>
  <r>
    <n v="258"/>
    <d v="2024-01-11T17:00:00"/>
    <s v="2024-01-11 17:00:00"/>
    <s v="south"/>
    <x v="3"/>
    <s v="Electronics"/>
    <x v="2"/>
    <s v="Laptop"/>
    <s v="Laptop"/>
    <s v="CUST0090"/>
    <s v=" CUST0090 "/>
    <x v="1"/>
    <s v="Meena"/>
    <x v="0"/>
    <s v=" Cash"/>
    <n v="8"/>
    <s v="8"/>
    <n v="966"/>
    <s v="966"/>
    <n v="7728"/>
    <x v="0"/>
    <x v="0"/>
    <x v="1"/>
    <s v="Low"/>
    <s v="Offline"/>
    <n v="7728"/>
  </r>
  <r>
    <n v="259"/>
    <d v="2024-01-11T18:00:00"/>
    <s v="2024-01-11 18:00:00"/>
    <s v=" west"/>
    <x v="1"/>
    <s v=" Home Appliances "/>
    <x v="1"/>
    <s v="Rice 5Kg"/>
    <s v="Rice 5kg"/>
    <s v="CUST0094"/>
    <s v=" CUST0094 "/>
    <x v="3"/>
    <s v="Anita"/>
    <x v="0"/>
    <s v=" Cash"/>
    <n v="6"/>
    <s v="6"/>
    <n v="192"/>
    <s v="192"/>
    <n v="1152"/>
    <x v="0"/>
    <x v="0"/>
    <x v="1"/>
    <s v="Low"/>
    <s v="Offline"/>
    <n v="1152"/>
  </r>
  <r>
    <n v="260"/>
    <d v="2024-01-11T19:00:00"/>
    <s v="2024-01-11 19:00:00"/>
    <s v="EAST"/>
    <x v="0"/>
    <s v="Clothing"/>
    <x v="0"/>
    <s v="Mixer Grinder"/>
    <s v="Mixer Grinder"/>
    <s v="CUST0013"/>
    <s v=" CUST0013 "/>
    <x v="4"/>
    <s v="Karthik"/>
    <x v="4"/>
    <s v="Credit Card"/>
    <n v="1"/>
    <s v="1"/>
    <n v="3278"/>
    <s v="3278"/>
    <n v="3278"/>
    <x v="0"/>
    <x v="0"/>
    <x v="1"/>
    <s v="Low"/>
    <s v="Online"/>
    <n v="3278"/>
  </r>
  <r>
    <n v="261"/>
    <d v="2024-01-11T20:00:00"/>
    <s v="2024-01-11 20:00:00"/>
    <s v=" North "/>
    <x v="2"/>
    <s v="Grocery"/>
    <x v="3"/>
    <s v="Mixer Grinder"/>
    <s v="Mixer Grinder"/>
    <s v="CUST0742"/>
    <s v=" CUST0742 "/>
    <x v="0"/>
    <s v="Rahul"/>
    <x v="2"/>
    <s v="UPI"/>
    <n v="7"/>
    <s v="7"/>
    <n v="1451"/>
    <s v="1451"/>
    <n v="10157"/>
    <x v="0"/>
    <x v="0"/>
    <x v="1"/>
    <s v="Low"/>
    <s v="Online"/>
    <n v="10157"/>
  </r>
  <r>
    <n v="262"/>
    <d v="2024-01-11T21:00:00"/>
    <s v="2024-01-11 21:00:00"/>
    <s v="south"/>
    <x v="3"/>
    <s v=" Home Appliances "/>
    <x v="1"/>
    <s v="Rice 5Kg"/>
    <s v="Rice 5kg"/>
    <s v="CUST0438"/>
    <s v=" CUST0438 "/>
    <x v="2"/>
    <s v="Suresh"/>
    <x v="0"/>
    <s v=" Cash"/>
    <n v="3"/>
    <s v="3"/>
    <n v="464"/>
    <s v="464"/>
    <n v="1392"/>
    <x v="0"/>
    <x v="0"/>
    <x v="1"/>
    <s v="Low"/>
    <s v="Offline"/>
    <n v="1392"/>
  </r>
  <r>
    <n v="263"/>
    <d v="2024-01-11T22:00:00"/>
    <s v="2024-01-11 22:00:00"/>
    <s v=" North "/>
    <x v="2"/>
    <s v="Electronics"/>
    <x v="2"/>
    <s v="Men T-Shirt"/>
    <s v="Men T-Shirt"/>
    <s v="CUST0538"/>
    <s v=" CUST0538 "/>
    <x v="0"/>
    <s v="Rahul"/>
    <x v="4"/>
    <s v="Credit Card"/>
    <n v="13"/>
    <s v="13"/>
    <n v="3818"/>
    <s v="3818"/>
    <n v="49634"/>
    <x v="0"/>
    <x v="0"/>
    <x v="1"/>
    <s v="Medium"/>
    <s v="Online"/>
    <n v="49634"/>
  </r>
  <r>
    <n v="264"/>
    <d v="2024-01-11T23:00:00"/>
    <s v="2024-01-11 23:00:00"/>
    <s v=" North "/>
    <x v="2"/>
    <s v="Electronics"/>
    <x v="2"/>
    <s v="Mixer Grinder"/>
    <s v="Mixer Grinder"/>
    <s v="CUST0587"/>
    <s v=" CUST0587 "/>
    <x v="4"/>
    <s v="Karthik"/>
    <x v="4"/>
    <s v="Credit Card"/>
    <n v="13"/>
    <s v="13"/>
    <n v="2024"/>
    <s v="2024"/>
    <n v="26312"/>
    <x v="0"/>
    <x v="0"/>
    <x v="1"/>
    <s v="Medium"/>
    <s v="Online"/>
    <n v="26312"/>
  </r>
  <r>
    <n v="265"/>
    <d v="2024-01-12T00:00:00"/>
    <s v="2024-01-12 00:00:00"/>
    <s v="EAST"/>
    <x v="0"/>
    <s v="Electronics"/>
    <x v="2"/>
    <s v="Led Tv 42Inch"/>
    <s v="LED TV 42inch"/>
    <s v="CUST0150"/>
    <s v=" CUST0150 "/>
    <x v="3"/>
    <s v="Anita"/>
    <x v="2"/>
    <s v="UPI"/>
    <n v="13"/>
    <s v="13"/>
    <n v="3195"/>
    <s v="3195"/>
    <n v="41535"/>
    <x v="0"/>
    <x v="0"/>
    <x v="1"/>
    <s v="Medium"/>
    <s v="Online"/>
    <n v="41535"/>
  </r>
  <r>
    <n v="266"/>
    <d v="2024-01-12T01:00:00"/>
    <s v="2024-01-12 01:00:00"/>
    <s v="south"/>
    <x v="3"/>
    <s v="Grocery"/>
    <x v="3"/>
    <s v="Rice 5Kg"/>
    <s v="Rice 5kg"/>
    <s v="CUST0660"/>
    <s v=" CUST0660 "/>
    <x v="0"/>
    <s v="Rahul"/>
    <x v="1"/>
    <s v="Debit card "/>
    <n v="6"/>
    <s v="6"/>
    <n v="2638"/>
    <s v="2638"/>
    <n v="15828"/>
    <x v="0"/>
    <x v="0"/>
    <x v="1"/>
    <s v="Low"/>
    <s v="Online"/>
    <n v="15828"/>
  </r>
  <r>
    <n v="267"/>
    <d v="2024-01-12T02:00:00"/>
    <s v="2024-01-12 02:00:00"/>
    <s v=" west"/>
    <x v="1"/>
    <s v=" Home Appliances "/>
    <x v="1"/>
    <s v="Laptop"/>
    <s v="Laptop"/>
    <s v="CUST0008"/>
    <s v=" CUST0008 "/>
    <x v="4"/>
    <s v="Karthik"/>
    <x v="2"/>
    <s v="UPI"/>
    <n v="8"/>
    <s v="8"/>
    <n v="1396"/>
    <s v="1396"/>
    <n v="11168"/>
    <x v="0"/>
    <x v="0"/>
    <x v="1"/>
    <s v="Low"/>
    <s v="Online"/>
    <n v="11168"/>
  </r>
  <r>
    <n v="268"/>
    <d v="2024-01-12T03:00:00"/>
    <s v="2024-01-12 03:00:00"/>
    <s v=" west"/>
    <x v="1"/>
    <s v=" Home Appliances "/>
    <x v="1"/>
    <s v="Washing Machine"/>
    <s v="Washing Machine"/>
    <s v="CUST0029"/>
    <s v=" CUST0029 "/>
    <x v="1"/>
    <s v="Meena"/>
    <x v="1"/>
    <s v="Debit card "/>
    <n v="7"/>
    <s v="7"/>
    <n v="2376"/>
    <s v="2376"/>
    <n v="16632"/>
    <x v="0"/>
    <x v="0"/>
    <x v="1"/>
    <s v="Low"/>
    <s v="Online"/>
    <n v="16632"/>
  </r>
  <r>
    <n v="269"/>
    <d v="2024-01-12T04:00:00"/>
    <s v="2024-01-12 04:00:00"/>
    <s v="EAST"/>
    <x v="0"/>
    <s v="Grocery"/>
    <x v="3"/>
    <s v="Men T-Shirt"/>
    <s v="Men T-Shirt"/>
    <s v="CUST0296"/>
    <s v=" CUST0296 "/>
    <x v="2"/>
    <s v="Suresh"/>
    <x v="4"/>
    <s v="Credit Card"/>
    <n v="10"/>
    <s v="10"/>
    <n v="102"/>
    <s v="102"/>
    <n v="1020"/>
    <x v="0"/>
    <x v="0"/>
    <x v="1"/>
    <s v="Low"/>
    <s v="Online"/>
    <n v="1020"/>
  </r>
  <r>
    <n v="270"/>
    <d v="2024-01-12T05:00:00"/>
    <s v="2024-01-12 05:00:00"/>
    <s v="EAST"/>
    <x v="0"/>
    <s v=" Home Appliances "/>
    <x v="1"/>
    <s v="Rice 5Kg"/>
    <s v="Rice 5kg"/>
    <s v="CUST0721"/>
    <s v=" CUST0721 "/>
    <x v="0"/>
    <s v="Rahul"/>
    <x v="0"/>
    <s v=" Cash"/>
    <n v="6"/>
    <s v="6"/>
    <n v="3592"/>
    <s v="3592"/>
    <n v="21552"/>
    <x v="0"/>
    <x v="0"/>
    <x v="1"/>
    <s v="Medium"/>
    <s v="Offline"/>
    <n v="21552"/>
  </r>
  <r>
    <n v="271"/>
    <d v="2024-01-12T06:00:00"/>
    <s v="2024-01-12 06:00:00"/>
    <s v="south"/>
    <x v="3"/>
    <s v="Grocery"/>
    <x v="3"/>
    <s v="Washing Machine"/>
    <s v="Washing Machine"/>
    <s v="CUST0640"/>
    <s v=" CUST0640 "/>
    <x v="3"/>
    <s v="Anita"/>
    <x v="3"/>
    <s v=" Net Banking "/>
    <n v="9"/>
    <s v="9"/>
    <n v="1853"/>
    <s v="1853"/>
    <n v="16677"/>
    <x v="0"/>
    <x v="0"/>
    <x v="1"/>
    <s v="Low"/>
    <s v="Online"/>
    <n v="16677"/>
  </r>
  <r>
    <n v="272"/>
    <d v="2024-01-12T07:00:00"/>
    <s v="2024-01-12 07:00:00"/>
    <s v=" west"/>
    <x v="1"/>
    <s v="Grocery"/>
    <x v="3"/>
    <s v="Washing Machine"/>
    <s v="Washing Machine"/>
    <s v="CUST0340"/>
    <s v=" CUST0340 "/>
    <x v="1"/>
    <s v="Meena"/>
    <x v="4"/>
    <s v="Credit Card"/>
    <n v="9"/>
    <s v="9"/>
    <n v="1010"/>
    <s v="1010"/>
    <n v="9090"/>
    <x v="0"/>
    <x v="0"/>
    <x v="1"/>
    <s v="Low"/>
    <s v="Online"/>
    <n v="9090"/>
  </r>
  <r>
    <n v="273"/>
    <d v="2024-01-12T08:00:00"/>
    <s v="2024-01-12 08:00:00"/>
    <s v=" west"/>
    <x v="1"/>
    <s v="Grocery"/>
    <x v="3"/>
    <s v="Laptop"/>
    <s v="Laptop"/>
    <s v="CUST0628"/>
    <s v=" CUST0628 "/>
    <x v="4"/>
    <s v="Karthik"/>
    <x v="0"/>
    <s v=" Cash"/>
    <n v="1"/>
    <s v="1"/>
    <n v="406"/>
    <s v="406"/>
    <n v="406"/>
    <x v="0"/>
    <x v="0"/>
    <x v="1"/>
    <s v="Low"/>
    <s v="Offline"/>
    <n v="406"/>
  </r>
  <r>
    <n v="274"/>
    <d v="2024-01-12T09:00:00"/>
    <s v="2024-01-12 09:00:00"/>
    <s v=" west"/>
    <x v="1"/>
    <s v="Electronics"/>
    <x v="2"/>
    <s v="Mixer Grinder"/>
    <s v="Mixer Grinder"/>
    <s v="CUST0439"/>
    <s v=" CUST0439 "/>
    <x v="2"/>
    <s v="Suresh"/>
    <x v="4"/>
    <s v="Credit Card"/>
    <n v="1"/>
    <s v="1"/>
    <n v="4331"/>
    <s v="4331"/>
    <n v="4331"/>
    <x v="0"/>
    <x v="0"/>
    <x v="1"/>
    <s v="Low"/>
    <s v="Online"/>
    <n v="4331"/>
  </r>
  <r>
    <n v="275"/>
    <d v="2024-01-12T10:00:00"/>
    <s v="2024-01-12 10:00:00"/>
    <s v=" North "/>
    <x v="2"/>
    <s v=" Home Appliances "/>
    <x v="1"/>
    <s v="Laptop"/>
    <s v="Laptop"/>
    <s v="CUST0144"/>
    <s v=" CUST0144 "/>
    <x v="3"/>
    <s v="Anita"/>
    <x v="2"/>
    <s v="UPI"/>
    <n v="1"/>
    <s v="1"/>
    <n v="4115"/>
    <s v="4115"/>
    <n v="4115"/>
    <x v="0"/>
    <x v="0"/>
    <x v="1"/>
    <s v="Low"/>
    <s v="Online"/>
    <n v="4115"/>
  </r>
  <r>
    <n v="276"/>
    <d v="2024-01-12T11:00:00"/>
    <s v="2024-01-12 11:00:00"/>
    <s v=" west"/>
    <x v="1"/>
    <s v="Grocery"/>
    <x v="3"/>
    <s v="Mixer Grinder"/>
    <s v="Mixer Grinder"/>
    <s v="CUST0747"/>
    <s v=" CUST0747 "/>
    <x v="4"/>
    <s v="Karthik"/>
    <x v="1"/>
    <s v="Debit card "/>
    <n v="8"/>
    <s v="8"/>
    <n v="1538"/>
    <s v="1538"/>
    <n v="12304"/>
    <x v="0"/>
    <x v="0"/>
    <x v="1"/>
    <s v="Low"/>
    <s v="Online"/>
    <n v="12304"/>
  </r>
  <r>
    <n v="277"/>
    <d v="2024-01-12T12:00:00"/>
    <s v="2024-01-12 12:00:00"/>
    <s v=" North "/>
    <x v="2"/>
    <s v=" Home Appliances "/>
    <x v="1"/>
    <s v="Mixer Grinder"/>
    <s v="Mixer Grinder"/>
    <s v="CUST0519"/>
    <s v=" CUST0519 "/>
    <x v="4"/>
    <s v="Karthik"/>
    <x v="4"/>
    <s v="Credit Card"/>
    <n v="12"/>
    <s v="12"/>
    <n v="972"/>
    <s v="972"/>
    <n v="11664"/>
    <x v="0"/>
    <x v="0"/>
    <x v="1"/>
    <s v="Low"/>
    <s v="Online"/>
    <n v="11664"/>
  </r>
  <r>
    <n v="278"/>
    <d v="2024-01-12T13:00:00"/>
    <s v="2024-01-12 13:00:00"/>
    <s v="south"/>
    <x v="3"/>
    <s v="Electronics"/>
    <x v="2"/>
    <s v="Rice 5Kg"/>
    <s v="Rice 5kg"/>
    <s v="CUST0045"/>
    <s v=" CUST0045 "/>
    <x v="0"/>
    <s v="Rahul"/>
    <x v="0"/>
    <s v=" Cash"/>
    <n v="13"/>
    <s v="13"/>
    <n v="1241"/>
    <s v="1241"/>
    <n v="16133"/>
    <x v="0"/>
    <x v="0"/>
    <x v="1"/>
    <s v="Low"/>
    <s v="Offline"/>
    <n v="16133"/>
  </r>
  <r>
    <n v="279"/>
    <d v="2024-01-12T14:00:00"/>
    <s v="2024-01-12 14:00:00"/>
    <s v=" North "/>
    <x v="2"/>
    <s v="Grocery"/>
    <x v="3"/>
    <s v="Rice 5Kg"/>
    <s v="Rice 5kg"/>
    <s v="CUST0239"/>
    <s v=" CUST0239 "/>
    <x v="0"/>
    <s v="Rahul"/>
    <x v="2"/>
    <s v="UPI"/>
    <n v="14"/>
    <s v="14"/>
    <n v="765"/>
    <s v="765"/>
    <n v="10710"/>
    <x v="0"/>
    <x v="0"/>
    <x v="1"/>
    <s v="Low"/>
    <s v="Online"/>
    <n v="10710"/>
  </r>
  <r>
    <n v="280"/>
    <d v="2024-01-12T15:00:00"/>
    <s v="2024-01-12 15:00:00"/>
    <s v="south"/>
    <x v="3"/>
    <s v="Clothing"/>
    <x v="0"/>
    <s v="Men T-Shirt"/>
    <s v="Men T-Shirt"/>
    <s v="CUST0155"/>
    <s v=" CUST0155 "/>
    <x v="3"/>
    <s v="Anita"/>
    <x v="3"/>
    <s v=" Net Banking "/>
    <n v="12"/>
    <s v="12"/>
    <n v="308"/>
    <s v="308"/>
    <n v="3696"/>
    <x v="0"/>
    <x v="0"/>
    <x v="1"/>
    <s v="Low"/>
    <s v="Online"/>
    <n v="3696"/>
  </r>
  <r>
    <n v="281"/>
    <d v="2024-01-12T16:00:00"/>
    <s v="2024-01-12 16:00:00"/>
    <s v=" west"/>
    <x v="1"/>
    <s v="Electronics"/>
    <x v="2"/>
    <s v="Mixer Grinder"/>
    <s v="Mixer Grinder"/>
    <s v="CUST0181"/>
    <s v=" CUST0181 "/>
    <x v="4"/>
    <s v="Karthik"/>
    <x v="2"/>
    <s v="UPI"/>
    <n v="14"/>
    <s v="14"/>
    <n v="1051"/>
    <s v="1051"/>
    <n v="14714"/>
    <x v="0"/>
    <x v="0"/>
    <x v="1"/>
    <s v="Low"/>
    <s v="Online"/>
    <n v="14714"/>
  </r>
  <r>
    <n v="282"/>
    <d v="2024-01-12T17:00:00"/>
    <s v="2024-01-12 17:00:00"/>
    <s v=" west"/>
    <x v="1"/>
    <s v="Clothing"/>
    <x v="0"/>
    <s v="Washing Machine"/>
    <s v="Washing Machine"/>
    <s v="CUST0215"/>
    <s v=" CUST0215 "/>
    <x v="0"/>
    <s v="Rahul"/>
    <x v="1"/>
    <s v="Debit card "/>
    <n v="10"/>
    <s v="10"/>
    <n v="1157"/>
    <s v="1157"/>
    <n v="11570"/>
    <x v="0"/>
    <x v="0"/>
    <x v="1"/>
    <s v="Low"/>
    <s v="Online"/>
    <n v="11570"/>
  </r>
  <r>
    <n v="283"/>
    <d v="2024-01-12T18:00:00"/>
    <s v="2024-01-12 18:00:00"/>
    <s v="south"/>
    <x v="3"/>
    <s v=" Home Appliances "/>
    <x v="1"/>
    <s v="Led Tv 42Inch"/>
    <s v="LED TV 42inch"/>
    <s v="CUST0088"/>
    <s v=" CUST0088 "/>
    <x v="2"/>
    <s v="Suresh"/>
    <x v="2"/>
    <s v="UPI"/>
    <n v="7"/>
    <s v="7"/>
    <n v="4844"/>
    <s v="4844"/>
    <n v="33908"/>
    <x v="0"/>
    <x v="0"/>
    <x v="1"/>
    <s v="Medium"/>
    <s v="Online"/>
    <n v="33908"/>
  </r>
  <r>
    <n v="284"/>
    <d v="2024-01-12T19:00:00"/>
    <s v="2024-01-12 19:00:00"/>
    <s v="EAST"/>
    <x v="0"/>
    <s v=" Home Appliances "/>
    <x v="1"/>
    <s v="Men T-Shirt"/>
    <s v="Men T-Shirt"/>
    <s v="CUST0256"/>
    <s v=" CUST0256 "/>
    <x v="2"/>
    <s v="Suresh"/>
    <x v="3"/>
    <s v=" Net Banking "/>
    <n v="3"/>
    <s v="3"/>
    <n v="4822"/>
    <s v="4822"/>
    <n v="14466"/>
    <x v="0"/>
    <x v="0"/>
    <x v="1"/>
    <s v="Low"/>
    <s v="Online"/>
    <n v="14466"/>
  </r>
  <r>
    <n v="285"/>
    <d v="2024-01-12T20:00:00"/>
    <s v="2024-01-12 20:00:00"/>
    <s v="south"/>
    <x v="3"/>
    <s v="Electronics"/>
    <x v="2"/>
    <s v="Rice 5Kg"/>
    <s v="Rice 5kg"/>
    <s v="CUST0511"/>
    <s v=" CUST0511 "/>
    <x v="4"/>
    <s v="Karthik"/>
    <x v="0"/>
    <s v=" Cash"/>
    <n v="13"/>
    <s v="13"/>
    <n v="4720"/>
    <s v="4720"/>
    <n v="61360"/>
    <x v="0"/>
    <x v="0"/>
    <x v="1"/>
    <s v="High"/>
    <s v="Offline"/>
    <n v="61360"/>
  </r>
  <r>
    <n v="286"/>
    <d v="2024-01-12T21:00:00"/>
    <s v="2024-01-12 21:00:00"/>
    <s v="EAST"/>
    <x v="0"/>
    <s v=" Home Appliances "/>
    <x v="1"/>
    <s v="Laptop"/>
    <s v="Laptop"/>
    <s v="CUST0073"/>
    <s v=" CUST0073 "/>
    <x v="0"/>
    <s v="Rahul"/>
    <x v="4"/>
    <s v="Credit Card"/>
    <n v="2"/>
    <s v="2"/>
    <n v="4108"/>
    <s v="4108"/>
    <n v="8216"/>
    <x v="0"/>
    <x v="0"/>
    <x v="1"/>
    <s v="Low"/>
    <s v="Online"/>
    <n v="8216"/>
  </r>
  <r>
    <n v="287"/>
    <d v="2024-01-12T22:00:00"/>
    <s v="2024-01-12 22:00:00"/>
    <s v=" North "/>
    <x v="2"/>
    <s v="Clothing"/>
    <x v="0"/>
    <s v="Men T-Shirt"/>
    <s v="Men T-Shirt"/>
    <s v="CUST0179"/>
    <s v=" CUST0179 "/>
    <x v="3"/>
    <s v="Anita"/>
    <x v="1"/>
    <s v="Debit card "/>
    <n v="4"/>
    <s v="4"/>
    <n v="1968"/>
    <s v="1968"/>
    <n v="7872"/>
    <x v="0"/>
    <x v="0"/>
    <x v="1"/>
    <s v="Low"/>
    <s v="Online"/>
    <n v="7872"/>
  </r>
  <r>
    <n v="288"/>
    <d v="2024-01-12T23:00:00"/>
    <s v="2024-01-12 23:00:00"/>
    <s v=" North "/>
    <x v="2"/>
    <s v="Grocery"/>
    <x v="3"/>
    <s v="Men T-Shirt"/>
    <s v="Men T-Shirt"/>
    <s v="CUST0212"/>
    <s v=" CUST0212 "/>
    <x v="3"/>
    <s v="Anita"/>
    <x v="3"/>
    <s v=" Net Banking "/>
    <n v="3"/>
    <s v="3"/>
    <n v="4964"/>
    <s v="4964"/>
    <n v="14892"/>
    <x v="0"/>
    <x v="0"/>
    <x v="1"/>
    <s v="Low"/>
    <s v="Online"/>
    <n v="14892"/>
  </r>
  <r>
    <n v="289"/>
    <d v="2024-01-13T00:00:00"/>
    <s v="2024-01-13 00:00:00"/>
    <s v=" North "/>
    <x v="2"/>
    <s v="Grocery"/>
    <x v="3"/>
    <s v="Men T-Shirt"/>
    <s v="Men T-Shirt"/>
    <s v="CUST0234"/>
    <s v=" CUST0234 "/>
    <x v="3"/>
    <s v="Anita"/>
    <x v="1"/>
    <s v="Debit card "/>
    <n v="7"/>
    <s v="7"/>
    <n v="871"/>
    <s v="871"/>
    <n v="6097"/>
    <x v="0"/>
    <x v="0"/>
    <x v="1"/>
    <s v="Low"/>
    <s v="Online"/>
    <n v="6097"/>
  </r>
  <r>
    <n v="290"/>
    <d v="2024-01-13T01:00:00"/>
    <s v="2024-01-13 01:00:00"/>
    <s v=" west"/>
    <x v="1"/>
    <s v="Grocery"/>
    <x v="3"/>
    <s v="Men T-Shirt"/>
    <s v="Men T-Shirt"/>
    <s v="CUST0465"/>
    <s v=" CUST0465 "/>
    <x v="2"/>
    <s v="Suresh"/>
    <x v="2"/>
    <s v="UPI"/>
    <n v="10"/>
    <s v="10"/>
    <n v="4935"/>
    <s v="4935"/>
    <n v="49350"/>
    <x v="0"/>
    <x v="0"/>
    <x v="1"/>
    <s v="Medium"/>
    <s v="Online"/>
    <n v="49350"/>
  </r>
  <r>
    <n v="291"/>
    <d v="2024-01-13T02:00:00"/>
    <s v="2024-01-13 02:00:00"/>
    <s v=" North "/>
    <x v="2"/>
    <s v="Electronics"/>
    <x v="2"/>
    <s v="Led Tv 42Inch"/>
    <s v="LED TV 42inch"/>
    <s v="CUST0751"/>
    <s v=" CUST0751 "/>
    <x v="0"/>
    <s v="Rahul"/>
    <x v="1"/>
    <s v="Debit card "/>
    <n v="8"/>
    <s v="8"/>
    <n v="4130"/>
    <s v="4130"/>
    <n v="33040"/>
    <x v="0"/>
    <x v="0"/>
    <x v="1"/>
    <s v="Medium"/>
    <s v="Online"/>
    <n v="33040"/>
  </r>
  <r>
    <n v="292"/>
    <d v="2024-01-13T03:00:00"/>
    <s v="2024-01-13 03:00:00"/>
    <s v="EAST"/>
    <x v="0"/>
    <s v=" Home Appliances "/>
    <x v="1"/>
    <s v="Laptop"/>
    <s v="Laptop"/>
    <s v="CUST0223"/>
    <s v=" CUST0223 "/>
    <x v="0"/>
    <s v="Rahul"/>
    <x v="3"/>
    <s v=" Net Banking "/>
    <n v="6"/>
    <s v="6"/>
    <n v="621"/>
    <s v="621"/>
    <n v="3726"/>
    <x v="0"/>
    <x v="0"/>
    <x v="1"/>
    <s v="Low"/>
    <s v="Online"/>
    <n v="3726"/>
  </r>
  <r>
    <n v="293"/>
    <d v="2024-01-13T04:00:00"/>
    <s v="2024-01-13 04:00:00"/>
    <s v=" North "/>
    <x v="2"/>
    <s v="Clothing"/>
    <x v="0"/>
    <s v="Laptop"/>
    <s v="Laptop"/>
    <s v="CUST0631"/>
    <s v=" CUST0631 "/>
    <x v="2"/>
    <s v="Suresh"/>
    <x v="4"/>
    <s v="Credit Card"/>
    <n v="3"/>
    <s v="3"/>
    <n v="3455"/>
    <s v="3455"/>
    <n v="10365"/>
    <x v="0"/>
    <x v="0"/>
    <x v="1"/>
    <s v="Low"/>
    <s v="Online"/>
    <n v="10365"/>
  </r>
  <r>
    <n v="294"/>
    <d v="2024-01-13T05:00:00"/>
    <s v="2024-01-13 05:00:00"/>
    <s v="south"/>
    <x v="3"/>
    <s v=" Home Appliances "/>
    <x v="1"/>
    <s v="Laptop"/>
    <s v="Laptop"/>
    <s v="CUST0264"/>
    <s v=" CUST0264 "/>
    <x v="3"/>
    <s v="Anita"/>
    <x v="4"/>
    <s v="Credit Card"/>
    <n v="6"/>
    <s v="6"/>
    <n v="1500"/>
    <s v="1500"/>
    <n v="9000"/>
    <x v="0"/>
    <x v="0"/>
    <x v="1"/>
    <s v="Low"/>
    <s v="Online"/>
    <n v="9000"/>
  </r>
  <r>
    <n v="295"/>
    <d v="2024-01-13T06:00:00"/>
    <s v="2024-01-13 06:00:00"/>
    <s v="south"/>
    <x v="3"/>
    <s v=" Home Appliances "/>
    <x v="1"/>
    <s v="Mixer Grinder"/>
    <s v="Mixer Grinder"/>
    <s v="CUST0207"/>
    <s v=" CUST0207 "/>
    <x v="3"/>
    <s v="Anita"/>
    <x v="1"/>
    <s v="Debit card "/>
    <n v="2"/>
    <s v="2"/>
    <n v="3838"/>
    <s v="3838"/>
    <n v="7676"/>
    <x v="0"/>
    <x v="0"/>
    <x v="1"/>
    <s v="Low"/>
    <s v="Online"/>
    <n v="7676"/>
  </r>
  <r>
    <n v="296"/>
    <d v="2024-01-13T07:00:00"/>
    <s v="2024-01-13 07:00:00"/>
    <s v=" west"/>
    <x v="1"/>
    <s v=" Home Appliances "/>
    <x v="1"/>
    <s v="Washing Machine"/>
    <s v="Washing Machine"/>
    <s v="CUST0607"/>
    <s v=" CUST0607 "/>
    <x v="4"/>
    <s v="Karthik"/>
    <x v="0"/>
    <s v=" Cash"/>
    <n v="12"/>
    <s v="12"/>
    <n v="4443"/>
    <s v="4443"/>
    <n v="53316"/>
    <x v="0"/>
    <x v="0"/>
    <x v="1"/>
    <s v="High"/>
    <s v="Offline"/>
    <n v="53316"/>
  </r>
  <r>
    <n v="297"/>
    <d v="2024-01-13T08:00:00"/>
    <s v="2024-01-13 08:00:00"/>
    <s v="south"/>
    <x v="3"/>
    <s v="Grocery"/>
    <x v="3"/>
    <s v="Laptop"/>
    <s v="Laptop"/>
    <s v="CUST0734"/>
    <s v=" CUST0734 "/>
    <x v="1"/>
    <s v="Meena"/>
    <x v="1"/>
    <s v="Debit card "/>
    <n v="7"/>
    <s v="7"/>
    <n v="3823"/>
    <s v="3823"/>
    <n v="26761"/>
    <x v="0"/>
    <x v="0"/>
    <x v="1"/>
    <s v="Medium"/>
    <s v="Online"/>
    <n v="26761"/>
  </r>
  <r>
    <n v="298"/>
    <d v="2024-01-13T09:00:00"/>
    <s v="2024-01-13 09:00:00"/>
    <s v="EAST"/>
    <x v="0"/>
    <s v="Clothing"/>
    <x v="0"/>
    <s v="Men T-Shirt"/>
    <s v="Men T-Shirt"/>
    <s v="CUST0366"/>
    <s v=" CUST0366 "/>
    <x v="0"/>
    <s v="Rahul"/>
    <x v="2"/>
    <s v="UPI"/>
    <n v="14"/>
    <s v="14"/>
    <n v="3347"/>
    <s v="3347"/>
    <n v="46858"/>
    <x v="0"/>
    <x v="0"/>
    <x v="1"/>
    <s v="Medium"/>
    <s v="Online"/>
    <n v="46858"/>
  </r>
  <r>
    <n v="299"/>
    <d v="2024-01-13T10:00:00"/>
    <s v="2024-01-13 10:00:00"/>
    <s v=" North "/>
    <x v="2"/>
    <s v="Clothing"/>
    <x v="0"/>
    <s v="Men T-Shirt"/>
    <s v="Men T-Shirt"/>
    <s v="CUST0276"/>
    <s v=" CUST0276 "/>
    <x v="0"/>
    <s v="Rahul"/>
    <x v="4"/>
    <s v="Credit Card"/>
    <n v="11"/>
    <s v="11"/>
    <n v="1958"/>
    <s v="1958"/>
    <n v="21538"/>
    <x v="0"/>
    <x v="0"/>
    <x v="1"/>
    <s v="Medium"/>
    <s v="Online"/>
    <n v="21538"/>
  </r>
  <r>
    <n v="300"/>
    <d v="2024-01-13T11:00:00"/>
    <s v="2024-01-13 11:00:00"/>
    <s v=" west"/>
    <x v="1"/>
    <s v=" Home Appliances "/>
    <x v="1"/>
    <s v="Laptop"/>
    <s v="Laptop"/>
    <s v="CUST0380"/>
    <s v=" CUST0380 "/>
    <x v="0"/>
    <s v="Rahul"/>
    <x v="4"/>
    <s v="Credit Card"/>
    <n v="10"/>
    <s v="10"/>
    <n v="4881"/>
    <s v="4881"/>
    <n v="48810"/>
    <x v="0"/>
    <x v="0"/>
    <x v="1"/>
    <s v="Medium"/>
    <s v="Online"/>
    <n v="48810"/>
  </r>
  <r>
    <n v="301"/>
    <d v="2024-01-13T12:00:00"/>
    <s v="2024-01-13 12:00:00"/>
    <s v=" North "/>
    <x v="2"/>
    <s v="Grocery"/>
    <x v="3"/>
    <s v="Laptop"/>
    <s v="Laptop"/>
    <s v="CUST0743"/>
    <s v=" CUST0743 "/>
    <x v="1"/>
    <s v="Meena"/>
    <x v="4"/>
    <s v="Credit Card"/>
    <n v="14"/>
    <s v="14"/>
    <n v="4164"/>
    <s v="4164"/>
    <n v="58296"/>
    <x v="0"/>
    <x v="0"/>
    <x v="1"/>
    <s v="High"/>
    <s v="Online"/>
    <n v="58296"/>
  </r>
  <r>
    <n v="302"/>
    <d v="2024-01-13T13:00:00"/>
    <s v="2024-01-13 13:00:00"/>
    <s v=" North "/>
    <x v="2"/>
    <s v="Grocery"/>
    <x v="3"/>
    <s v="Men T-Shirt"/>
    <s v="Men T-Shirt"/>
    <s v="CUST0309"/>
    <s v=" CUST0309 "/>
    <x v="4"/>
    <s v="Karthik"/>
    <x v="0"/>
    <s v=" Cash"/>
    <n v="7"/>
    <s v="7"/>
    <n v="4781"/>
    <s v="4781"/>
    <n v="33467"/>
    <x v="0"/>
    <x v="0"/>
    <x v="1"/>
    <s v="Medium"/>
    <s v="Offline"/>
    <n v="33467"/>
  </r>
  <r>
    <n v="303"/>
    <d v="2024-01-13T14:00:00"/>
    <s v="2024-01-13 14:00:00"/>
    <s v="EAST"/>
    <x v="0"/>
    <s v="Clothing"/>
    <x v="0"/>
    <s v="Mixer Grinder"/>
    <s v="Mixer Grinder"/>
    <s v="CUST0631"/>
    <s v=" CUST0631 "/>
    <x v="1"/>
    <s v="Meena"/>
    <x v="0"/>
    <s v=" Cash"/>
    <n v="4"/>
    <s v="4"/>
    <n v="2498"/>
    <s v="2498"/>
    <n v="9992"/>
    <x v="0"/>
    <x v="0"/>
    <x v="1"/>
    <s v="Low"/>
    <s v="Offline"/>
    <n v="9992"/>
  </r>
  <r>
    <n v="304"/>
    <d v="2024-01-13T15:00:00"/>
    <s v="2024-01-13 15:00:00"/>
    <s v="south"/>
    <x v="3"/>
    <s v="Grocery"/>
    <x v="3"/>
    <s v="Rice 5Kg"/>
    <s v="Rice 5kg"/>
    <s v="CUST0268"/>
    <s v=" CUST0268 "/>
    <x v="3"/>
    <s v="Anita"/>
    <x v="3"/>
    <s v=" Net Banking "/>
    <n v="13"/>
    <s v="13"/>
    <n v="242"/>
    <s v="242"/>
    <n v="3146"/>
    <x v="0"/>
    <x v="0"/>
    <x v="1"/>
    <s v="Low"/>
    <s v="Online"/>
    <n v="3146"/>
  </r>
  <r>
    <n v="305"/>
    <d v="2024-01-13T16:00:00"/>
    <s v="2024-01-13 16:00:00"/>
    <s v="south"/>
    <x v="3"/>
    <s v="Grocery"/>
    <x v="3"/>
    <s v="Rice 5Kg"/>
    <s v="Rice 5kg"/>
    <s v="CUST0785"/>
    <s v=" CUST0785 "/>
    <x v="3"/>
    <s v="Anita"/>
    <x v="1"/>
    <s v="Debit card "/>
    <n v="8"/>
    <s v="8"/>
    <n v="2951"/>
    <s v="2951"/>
    <n v="23608"/>
    <x v="0"/>
    <x v="0"/>
    <x v="1"/>
    <s v="Medium"/>
    <s v="Online"/>
    <n v="23608"/>
  </r>
  <r>
    <n v="306"/>
    <d v="2024-01-13T17:00:00"/>
    <s v="2024-01-13 17:00:00"/>
    <s v=" North "/>
    <x v="2"/>
    <s v="Grocery"/>
    <x v="3"/>
    <s v="Laptop"/>
    <s v="Laptop"/>
    <s v="CUST0064"/>
    <s v=" CUST0064 "/>
    <x v="0"/>
    <s v="Rahul"/>
    <x v="1"/>
    <s v="Debit card "/>
    <n v="4"/>
    <s v="4"/>
    <n v="3569"/>
    <s v="3569"/>
    <n v="14276"/>
    <x v="0"/>
    <x v="0"/>
    <x v="1"/>
    <s v="Low"/>
    <s v="Online"/>
    <n v="14276"/>
  </r>
  <r>
    <n v="307"/>
    <d v="2024-01-13T18:00:00"/>
    <s v="2024-01-13 18:00:00"/>
    <s v=" west"/>
    <x v="1"/>
    <s v="Electronics"/>
    <x v="2"/>
    <s v="Led Tv 42Inch"/>
    <s v="LED TV 42inch"/>
    <s v="CUST0350"/>
    <s v=" CUST0350 "/>
    <x v="2"/>
    <s v="Suresh"/>
    <x v="2"/>
    <s v="UPI"/>
    <n v="7"/>
    <s v="7"/>
    <n v="3795"/>
    <s v="3795"/>
    <n v="26565"/>
    <x v="0"/>
    <x v="0"/>
    <x v="1"/>
    <s v="Medium"/>
    <s v="Online"/>
    <n v="26565"/>
  </r>
  <r>
    <n v="308"/>
    <d v="2024-01-13T19:00:00"/>
    <s v="2024-01-13 19:00:00"/>
    <s v="south"/>
    <x v="3"/>
    <s v=" Home Appliances "/>
    <x v="1"/>
    <s v="Laptop"/>
    <s v="Laptop"/>
    <s v="CUST0494"/>
    <s v=" CUST0494 "/>
    <x v="0"/>
    <s v="Rahul"/>
    <x v="4"/>
    <s v="Credit Card"/>
    <n v="4"/>
    <s v="4"/>
    <n v="817"/>
    <s v="817"/>
    <n v="3268"/>
    <x v="0"/>
    <x v="0"/>
    <x v="1"/>
    <s v="Low"/>
    <s v="Online"/>
    <n v="3268"/>
  </r>
  <r>
    <n v="309"/>
    <d v="2024-01-13T20:00:00"/>
    <s v="2024-01-13 20:00:00"/>
    <s v=" west"/>
    <x v="1"/>
    <s v="Clothing"/>
    <x v="0"/>
    <s v="Laptop"/>
    <s v="Laptop"/>
    <s v="CUST0523"/>
    <s v=" CUST0523 "/>
    <x v="2"/>
    <s v="Suresh"/>
    <x v="0"/>
    <s v=" Cash"/>
    <n v="13"/>
    <s v="13"/>
    <n v="742"/>
    <s v="742"/>
    <n v="9646"/>
    <x v="0"/>
    <x v="0"/>
    <x v="1"/>
    <s v="Low"/>
    <s v="Offline"/>
    <n v="9646"/>
  </r>
  <r>
    <n v="310"/>
    <d v="2024-01-13T21:00:00"/>
    <s v="2024-01-13 21:00:00"/>
    <s v="south"/>
    <x v="3"/>
    <s v="Clothing"/>
    <x v="0"/>
    <s v="Rice 5Kg"/>
    <s v="Rice 5kg"/>
    <s v="CUST0098"/>
    <s v=" CUST0098 "/>
    <x v="1"/>
    <s v="Meena"/>
    <x v="2"/>
    <s v="UPI"/>
    <n v="12"/>
    <s v="12"/>
    <n v="3540"/>
    <s v="3540"/>
    <n v="42480"/>
    <x v="0"/>
    <x v="0"/>
    <x v="1"/>
    <s v="Medium"/>
    <s v="Online"/>
    <n v="42480"/>
  </r>
  <r>
    <n v="311"/>
    <d v="2024-01-13T22:00:00"/>
    <s v="2024-01-13 22:00:00"/>
    <s v=" west"/>
    <x v="1"/>
    <s v="Electronics"/>
    <x v="2"/>
    <s v="Men T-Shirt"/>
    <s v="Men T-Shirt"/>
    <s v="CUST0071"/>
    <s v=" CUST0071 "/>
    <x v="3"/>
    <s v="Anita"/>
    <x v="2"/>
    <s v="UPI"/>
    <n v="5"/>
    <s v="5"/>
    <n v="2648"/>
    <s v="2648"/>
    <n v="13240"/>
    <x v="0"/>
    <x v="0"/>
    <x v="1"/>
    <s v="Low"/>
    <s v="Online"/>
    <n v="13240"/>
  </r>
  <r>
    <n v="312"/>
    <d v="2024-01-13T23:00:00"/>
    <s v="2024-01-13 23:00:00"/>
    <s v="EAST"/>
    <x v="0"/>
    <s v=" Home Appliances "/>
    <x v="1"/>
    <s v="Laptop"/>
    <s v="Laptop"/>
    <s v="CUST0364"/>
    <s v=" CUST0364 "/>
    <x v="2"/>
    <s v="Suresh"/>
    <x v="0"/>
    <s v=" Cash"/>
    <n v="7"/>
    <s v="7"/>
    <n v="3793"/>
    <s v="3793"/>
    <n v="26551"/>
    <x v="0"/>
    <x v="0"/>
    <x v="1"/>
    <s v="Medium"/>
    <s v="Offline"/>
    <n v="26551"/>
  </r>
  <r>
    <n v="313"/>
    <d v="2024-01-14T00:00:00"/>
    <s v="2024-01-14 00:00:00"/>
    <s v=" west"/>
    <x v="1"/>
    <s v="Clothing"/>
    <x v="0"/>
    <s v="Men T-Shirt"/>
    <s v="Men T-Shirt"/>
    <s v="CUST0570"/>
    <s v=" CUST0570 "/>
    <x v="1"/>
    <s v="Meena"/>
    <x v="1"/>
    <s v="Debit card "/>
    <n v="13"/>
    <s v="13"/>
    <n v="469"/>
    <s v="469"/>
    <n v="6097"/>
    <x v="0"/>
    <x v="0"/>
    <x v="1"/>
    <s v="Low"/>
    <s v="Online"/>
    <n v="6097"/>
  </r>
  <r>
    <n v="314"/>
    <d v="2024-01-14T01:00:00"/>
    <s v="2024-01-14 01:00:00"/>
    <s v="EAST"/>
    <x v="0"/>
    <s v="Grocery"/>
    <x v="3"/>
    <s v="Men T-Shirt"/>
    <s v="Men T-Shirt"/>
    <s v="CUST0763"/>
    <s v=" CUST0763 "/>
    <x v="3"/>
    <s v="Anita"/>
    <x v="4"/>
    <s v="Credit Card"/>
    <n v="14"/>
    <s v="14"/>
    <n v="3750"/>
    <s v="3750"/>
    <n v="52500"/>
    <x v="0"/>
    <x v="0"/>
    <x v="1"/>
    <s v="High"/>
    <s v="Online"/>
    <n v="52500"/>
  </r>
  <r>
    <n v="315"/>
    <d v="2024-01-14T02:00:00"/>
    <s v="2024-01-14 02:00:00"/>
    <s v="EAST"/>
    <x v="0"/>
    <s v="Clothing"/>
    <x v="0"/>
    <s v="Led Tv 42Inch"/>
    <s v="LED TV 42inch"/>
    <s v="CUST0276"/>
    <s v=" CUST0276 "/>
    <x v="2"/>
    <s v="Suresh"/>
    <x v="1"/>
    <s v="Debit card "/>
    <n v="14"/>
    <s v="14"/>
    <n v="886"/>
    <s v="886"/>
    <n v="12404"/>
    <x v="0"/>
    <x v="0"/>
    <x v="1"/>
    <s v="Low"/>
    <s v="Online"/>
    <n v="12404"/>
  </r>
  <r>
    <n v="316"/>
    <d v="2024-01-14T03:00:00"/>
    <s v="2024-01-14 03:00:00"/>
    <s v=" west"/>
    <x v="1"/>
    <s v="Grocery"/>
    <x v="3"/>
    <s v="Men T-Shirt"/>
    <s v="Men T-Shirt"/>
    <s v="CUST0050"/>
    <s v=" CUST0050 "/>
    <x v="0"/>
    <s v="Rahul"/>
    <x v="2"/>
    <s v="UPI"/>
    <n v="13"/>
    <s v="13"/>
    <n v="1049"/>
    <s v="1049"/>
    <n v="13637"/>
    <x v="0"/>
    <x v="0"/>
    <x v="1"/>
    <s v="Low"/>
    <s v="Online"/>
    <n v="13637"/>
  </r>
  <r>
    <n v="317"/>
    <d v="2024-01-14T04:00:00"/>
    <s v="2024-01-14 04:00:00"/>
    <s v="EAST"/>
    <x v="0"/>
    <s v="Electronics"/>
    <x v="2"/>
    <s v="Rice 5Kg"/>
    <s v="Rice 5kg"/>
    <s v="CUST0358"/>
    <s v=" CUST0358 "/>
    <x v="0"/>
    <s v="Rahul"/>
    <x v="4"/>
    <s v="Credit Card"/>
    <n v="10"/>
    <s v="10"/>
    <n v="621"/>
    <s v="621"/>
    <n v="6210"/>
    <x v="0"/>
    <x v="0"/>
    <x v="1"/>
    <s v="Low"/>
    <s v="Online"/>
    <n v="6210"/>
  </r>
  <r>
    <n v="318"/>
    <d v="2024-01-14T05:00:00"/>
    <s v="2024-01-14 05:00:00"/>
    <s v=" North "/>
    <x v="2"/>
    <s v="Grocery"/>
    <x v="3"/>
    <s v="Mixer Grinder"/>
    <s v="Mixer Grinder"/>
    <s v="CUST0728"/>
    <s v=" CUST0728 "/>
    <x v="0"/>
    <s v="Rahul"/>
    <x v="3"/>
    <s v=" Net Banking "/>
    <n v="3"/>
    <s v="3"/>
    <n v="3043"/>
    <s v="3043"/>
    <n v="9129"/>
    <x v="0"/>
    <x v="0"/>
    <x v="1"/>
    <s v="Low"/>
    <s v="Online"/>
    <n v="9129"/>
  </r>
  <r>
    <n v="319"/>
    <d v="2024-01-14T06:00:00"/>
    <s v="2024-01-14 06:00:00"/>
    <s v="EAST"/>
    <x v="0"/>
    <s v="Clothing"/>
    <x v="0"/>
    <s v="Mixer Grinder"/>
    <s v="Mixer Grinder"/>
    <s v="CUST0564"/>
    <s v=" CUST0564 "/>
    <x v="1"/>
    <s v="Meena"/>
    <x v="2"/>
    <s v="UPI"/>
    <n v="10"/>
    <s v="10"/>
    <n v="454"/>
    <s v="454"/>
    <n v="4540"/>
    <x v="0"/>
    <x v="0"/>
    <x v="1"/>
    <s v="Low"/>
    <s v="Online"/>
    <n v="4540"/>
  </r>
  <r>
    <n v="320"/>
    <d v="2024-01-14T07:00:00"/>
    <s v="2024-01-14 07:00:00"/>
    <s v="south"/>
    <x v="3"/>
    <s v="Clothing"/>
    <x v="0"/>
    <s v="Washing Machine"/>
    <s v="Washing Machine"/>
    <s v="CUST0783"/>
    <s v=" CUST0783 "/>
    <x v="0"/>
    <s v="Rahul"/>
    <x v="1"/>
    <s v="Debit card "/>
    <n v="5"/>
    <s v="5"/>
    <n v="2435"/>
    <s v="2435"/>
    <n v="12175"/>
    <x v="0"/>
    <x v="0"/>
    <x v="1"/>
    <s v="Low"/>
    <s v="Online"/>
    <n v="12175"/>
  </r>
  <r>
    <n v="321"/>
    <d v="2024-01-14T08:00:00"/>
    <s v="2024-01-14 08:00:00"/>
    <s v=" west"/>
    <x v="1"/>
    <s v="Clothing"/>
    <x v="0"/>
    <s v="Laptop"/>
    <s v="Laptop"/>
    <s v="CUST0485"/>
    <s v=" CUST0485 "/>
    <x v="4"/>
    <s v="Karthik"/>
    <x v="1"/>
    <s v="Debit card "/>
    <n v="11"/>
    <s v="11"/>
    <n v="1582"/>
    <s v="1582"/>
    <n v="17402"/>
    <x v="0"/>
    <x v="0"/>
    <x v="1"/>
    <s v="Low"/>
    <s v="Online"/>
    <n v="17402"/>
  </r>
  <r>
    <n v="322"/>
    <d v="2024-01-14T09:00:00"/>
    <s v="2024-01-14 09:00:00"/>
    <s v=" North "/>
    <x v="2"/>
    <s v="Electronics"/>
    <x v="2"/>
    <s v="Rice 5Kg"/>
    <s v="Rice 5kg"/>
    <s v="CUST0084"/>
    <s v=" CUST0084 "/>
    <x v="3"/>
    <s v="Anita"/>
    <x v="1"/>
    <s v="Debit card "/>
    <n v="14"/>
    <s v="14"/>
    <n v="1747"/>
    <s v="1747"/>
    <n v="24458"/>
    <x v="0"/>
    <x v="0"/>
    <x v="1"/>
    <s v="Medium"/>
    <s v="Online"/>
    <n v="24458"/>
  </r>
  <r>
    <n v="323"/>
    <d v="2024-01-14T10:00:00"/>
    <s v="2024-01-14 10:00:00"/>
    <s v=" west"/>
    <x v="1"/>
    <s v="Electronics"/>
    <x v="2"/>
    <s v="Men T-Shirt"/>
    <s v="Men T-Shirt"/>
    <s v="CUST0638"/>
    <s v=" CUST0638 "/>
    <x v="1"/>
    <s v="Meena"/>
    <x v="0"/>
    <s v=" Cash"/>
    <n v="3"/>
    <s v="3"/>
    <n v="3145"/>
    <s v="3145"/>
    <n v="9435"/>
    <x v="0"/>
    <x v="0"/>
    <x v="1"/>
    <s v="Low"/>
    <s v="Offline"/>
    <n v="9435"/>
  </r>
  <r>
    <n v="324"/>
    <d v="2024-01-14T11:00:00"/>
    <s v="2024-01-14 11:00:00"/>
    <s v="south"/>
    <x v="3"/>
    <s v=" Home Appliances "/>
    <x v="1"/>
    <s v="Mixer Grinder"/>
    <s v="Mixer Grinder"/>
    <s v="CUST0584"/>
    <s v=" CUST0584 "/>
    <x v="0"/>
    <s v="Rahul"/>
    <x v="2"/>
    <s v="UPI"/>
    <n v="5"/>
    <s v="5"/>
    <n v="4731"/>
    <s v="4731"/>
    <n v="23655"/>
    <x v="0"/>
    <x v="0"/>
    <x v="1"/>
    <s v="Medium"/>
    <s v="Online"/>
    <n v="23655"/>
  </r>
  <r>
    <n v="325"/>
    <d v="2024-01-14T12:00:00"/>
    <s v="2024-01-14 12:00:00"/>
    <s v="south"/>
    <x v="3"/>
    <s v="Clothing"/>
    <x v="0"/>
    <s v="Rice 5Kg"/>
    <s v="Rice 5kg"/>
    <s v="CUST0296"/>
    <s v=" CUST0296 "/>
    <x v="3"/>
    <s v="Anita"/>
    <x v="4"/>
    <s v="Credit Card"/>
    <n v="14"/>
    <s v="14"/>
    <n v="2315"/>
    <s v="2315"/>
    <n v="32410"/>
    <x v="0"/>
    <x v="0"/>
    <x v="1"/>
    <s v="Medium"/>
    <s v="Online"/>
    <n v="32410"/>
  </r>
  <r>
    <n v="326"/>
    <d v="2024-01-14T13:00:00"/>
    <s v="2024-01-14 13:00:00"/>
    <s v="south"/>
    <x v="3"/>
    <s v="Grocery"/>
    <x v="3"/>
    <s v="Mixer Grinder"/>
    <s v="Mixer Grinder"/>
    <s v="CUST0236"/>
    <s v=" CUST0236 "/>
    <x v="2"/>
    <s v="Suresh"/>
    <x v="1"/>
    <s v="Debit card "/>
    <n v="3"/>
    <s v="3"/>
    <n v="4816"/>
    <s v="4816"/>
    <n v="14448"/>
    <x v="0"/>
    <x v="0"/>
    <x v="1"/>
    <s v="Low"/>
    <s v="Online"/>
    <n v="14448"/>
  </r>
  <r>
    <n v="327"/>
    <d v="2024-01-14T14:00:00"/>
    <s v="2024-01-14 14:00:00"/>
    <s v="EAST"/>
    <x v="0"/>
    <s v="Electronics"/>
    <x v="2"/>
    <s v="Men T-Shirt"/>
    <s v="Men T-Shirt"/>
    <s v="CUST0056"/>
    <s v=" CUST0056 "/>
    <x v="0"/>
    <s v="Rahul"/>
    <x v="1"/>
    <s v="Debit card "/>
    <n v="11"/>
    <s v="11"/>
    <n v="527"/>
    <s v="527"/>
    <n v="5797"/>
    <x v="0"/>
    <x v="0"/>
    <x v="1"/>
    <s v="Low"/>
    <s v="Online"/>
    <n v="5797"/>
  </r>
  <r>
    <n v="328"/>
    <d v="2024-01-14T15:00:00"/>
    <s v="2024-01-14 15:00:00"/>
    <s v="EAST"/>
    <x v="0"/>
    <s v="Clothing"/>
    <x v="0"/>
    <s v="Mixer Grinder"/>
    <s v="Mixer Grinder"/>
    <s v="CUST0360"/>
    <s v=" CUST0360 "/>
    <x v="3"/>
    <s v="Anita"/>
    <x v="0"/>
    <s v=" Cash"/>
    <n v="10"/>
    <s v="10"/>
    <n v="2637"/>
    <s v="2637"/>
    <n v="26370"/>
    <x v="0"/>
    <x v="0"/>
    <x v="1"/>
    <s v="Medium"/>
    <s v="Offline"/>
    <n v="26370"/>
  </r>
  <r>
    <n v="329"/>
    <d v="2024-01-14T16:00:00"/>
    <s v="2024-01-14 16:00:00"/>
    <s v=" west"/>
    <x v="1"/>
    <s v="Clothing"/>
    <x v="0"/>
    <s v="Laptop"/>
    <s v="Laptop"/>
    <s v="CUST0110"/>
    <s v=" CUST0110 "/>
    <x v="4"/>
    <s v="Karthik"/>
    <x v="4"/>
    <s v="Credit Card"/>
    <n v="11"/>
    <s v="11"/>
    <n v="644"/>
    <s v="644"/>
    <n v="7084"/>
    <x v="0"/>
    <x v="0"/>
    <x v="1"/>
    <s v="Low"/>
    <s v="Online"/>
    <n v="7084"/>
  </r>
  <r>
    <n v="330"/>
    <d v="2024-01-14T17:00:00"/>
    <s v="2024-01-14 17:00:00"/>
    <s v=" west"/>
    <x v="1"/>
    <s v="Electronics"/>
    <x v="2"/>
    <s v="Laptop"/>
    <s v="Laptop"/>
    <s v="CUST0192"/>
    <s v=" CUST0192 "/>
    <x v="2"/>
    <s v="Suresh"/>
    <x v="2"/>
    <s v="UPI"/>
    <n v="7"/>
    <s v="7"/>
    <n v="2864"/>
    <s v="2864"/>
    <n v="20048"/>
    <x v="0"/>
    <x v="0"/>
    <x v="1"/>
    <s v="Medium"/>
    <s v="Online"/>
    <n v="20048"/>
  </r>
  <r>
    <n v="331"/>
    <d v="2024-01-14T18:00:00"/>
    <s v="2024-01-14 18:00:00"/>
    <s v=" North "/>
    <x v="2"/>
    <s v=" Home Appliances "/>
    <x v="1"/>
    <s v="Washing Machine"/>
    <s v="Washing Machine"/>
    <s v="CUST0093"/>
    <s v=" CUST0093 "/>
    <x v="4"/>
    <s v="Karthik"/>
    <x v="3"/>
    <s v=" Net Banking "/>
    <n v="13"/>
    <s v="13"/>
    <n v="3865"/>
    <s v="3865"/>
    <n v="50245"/>
    <x v="0"/>
    <x v="0"/>
    <x v="1"/>
    <s v="High"/>
    <s v="Online"/>
    <n v="50245"/>
  </r>
  <r>
    <n v="332"/>
    <d v="2024-01-14T19:00:00"/>
    <s v="2024-01-14 19:00:00"/>
    <s v=" North "/>
    <x v="2"/>
    <s v="Electronics"/>
    <x v="2"/>
    <s v="Washing Machine"/>
    <s v="Washing Machine"/>
    <s v="CUST0568"/>
    <s v=" CUST0568 "/>
    <x v="3"/>
    <s v="Anita"/>
    <x v="0"/>
    <s v=" Cash"/>
    <n v="1"/>
    <s v="1"/>
    <n v="758"/>
    <s v="758"/>
    <n v="758"/>
    <x v="0"/>
    <x v="0"/>
    <x v="1"/>
    <s v="Low"/>
    <s v="Offline"/>
    <n v="758"/>
  </r>
  <r>
    <n v="333"/>
    <d v="2024-01-14T20:00:00"/>
    <s v="2024-01-14 20:00:00"/>
    <s v=" west"/>
    <x v="1"/>
    <s v="Electronics"/>
    <x v="2"/>
    <s v="Mixer Grinder"/>
    <s v="Mixer Grinder"/>
    <s v="CUST0060"/>
    <s v=" CUST0060 "/>
    <x v="4"/>
    <s v="Karthik"/>
    <x v="2"/>
    <s v="UPI"/>
    <n v="9"/>
    <s v="9"/>
    <n v="2927"/>
    <s v="2927"/>
    <n v="26343"/>
    <x v="0"/>
    <x v="0"/>
    <x v="1"/>
    <s v="Medium"/>
    <s v="Online"/>
    <n v="26343"/>
  </r>
  <r>
    <n v="334"/>
    <d v="2024-01-14T21:00:00"/>
    <s v="2024-01-14 21:00:00"/>
    <s v="EAST"/>
    <x v="0"/>
    <s v="Grocery"/>
    <x v="3"/>
    <s v="Rice 5Kg"/>
    <s v="Rice 5kg"/>
    <s v="CUST0650"/>
    <s v=" CUST0650 "/>
    <x v="3"/>
    <s v="Anita"/>
    <x v="3"/>
    <s v=" Net Banking "/>
    <n v="9"/>
    <s v="9"/>
    <n v="2158"/>
    <s v="2158"/>
    <n v="19422"/>
    <x v="0"/>
    <x v="0"/>
    <x v="1"/>
    <s v="Low"/>
    <s v="Online"/>
    <n v="19422"/>
  </r>
  <r>
    <n v="335"/>
    <d v="2024-01-14T22:00:00"/>
    <s v="2024-01-14 22:00:00"/>
    <s v="south"/>
    <x v="3"/>
    <s v="Grocery"/>
    <x v="3"/>
    <s v="Laptop"/>
    <s v="Laptop"/>
    <s v="CUST0039"/>
    <s v=" CUST0039 "/>
    <x v="3"/>
    <s v="Anita"/>
    <x v="1"/>
    <s v="Debit card "/>
    <n v="5"/>
    <s v="5"/>
    <n v="3427"/>
    <s v="3427"/>
    <n v="17135"/>
    <x v="0"/>
    <x v="0"/>
    <x v="1"/>
    <s v="Low"/>
    <s v="Online"/>
    <n v="17135"/>
  </r>
  <r>
    <n v="336"/>
    <d v="2024-01-14T23:00:00"/>
    <s v="2024-01-14 23:00:00"/>
    <s v=" west"/>
    <x v="1"/>
    <s v=" Home Appliances "/>
    <x v="1"/>
    <s v="Rice 5Kg"/>
    <s v="Rice 5kg"/>
    <s v="CUST0540"/>
    <s v=" CUST0540 "/>
    <x v="4"/>
    <s v="Karthik"/>
    <x v="1"/>
    <s v="Debit card "/>
    <n v="9"/>
    <s v="9"/>
    <n v="830"/>
    <s v="830"/>
    <n v="7470"/>
    <x v="0"/>
    <x v="0"/>
    <x v="1"/>
    <s v="Low"/>
    <s v="Online"/>
    <n v="7470"/>
  </r>
  <r>
    <n v="337"/>
    <d v="2024-01-15T00:00:00"/>
    <s v="2024-01-15 00:00:00"/>
    <s v=" North "/>
    <x v="2"/>
    <s v="Clothing"/>
    <x v="0"/>
    <s v="Rice 5Kg"/>
    <s v="Rice 5kg"/>
    <s v="CUST0049"/>
    <s v=" CUST0049 "/>
    <x v="3"/>
    <s v="Anita"/>
    <x v="4"/>
    <s v="Credit Card"/>
    <n v="10"/>
    <s v="10"/>
    <n v="1932"/>
    <s v="1932"/>
    <n v="19320"/>
    <x v="0"/>
    <x v="0"/>
    <x v="2"/>
    <s v="Low"/>
    <s v="Online"/>
    <n v="19320"/>
  </r>
  <r>
    <n v="338"/>
    <d v="2024-01-15T01:00:00"/>
    <s v="2024-01-15 01:00:00"/>
    <s v="EAST"/>
    <x v="0"/>
    <s v="Electronics"/>
    <x v="2"/>
    <s v="Mixer Grinder"/>
    <s v="Mixer Grinder"/>
    <s v="CUST0420"/>
    <s v=" CUST0420 "/>
    <x v="0"/>
    <s v="Rahul"/>
    <x v="3"/>
    <s v=" Net Banking "/>
    <n v="13"/>
    <s v="13"/>
    <n v="508"/>
    <s v="508"/>
    <n v="6604"/>
    <x v="0"/>
    <x v="0"/>
    <x v="2"/>
    <s v="Low"/>
    <s v="Online"/>
    <n v="6604"/>
  </r>
  <r>
    <n v="339"/>
    <d v="2024-01-15T02:00:00"/>
    <s v="2024-01-15 02:00:00"/>
    <s v=" west"/>
    <x v="1"/>
    <s v=" Home Appliances "/>
    <x v="1"/>
    <s v="Rice 5Kg"/>
    <s v="Rice 5kg"/>
    <s v="CUST0637"/>
    <s v=" CUST0637 "/>
    <x v="3"/>
    <s v="Anita"/>
    <x v="1"/>
    <s v="Debit card "/>
    <n v="6"/>
    <s v="6"/>
    <n v="4279"/>
    <s v="4279"/>
    <n v="25674"/>
    <x v="0"/>
    <x v="0"/>
    <x v="2"/>
    <s v="Medium"/>
    <s v="Online"/>
    <n v="25674"/>
  </r>
  <r>
    <n v="340"/>
    <d v="2024-01-15T03:00:00"/>
    <s v="2024-01-15 03:00:00"/>
    <s v=" west"/>
    <x v="1"/>
    <s v="Grocery"/>
    <x v="3"/>
    <s v="Laptop"/>
    <s v="Laptop"/>
    <s v="CUST0013"/>
    <s v=" CUST0013 "/>
    <x v="1"/>
    <s v="Meena"/>
    <x v="1"/>
    <s v="Debit card "/>
    <n v="5"/>
    <s v="5"/>
    <n v="3347"/>
    <s v="3347"/>
    <n v="16735"/>
    <x v="0"/>
    <x v="0"/>
    <x v="2"/>
    <s v="Low"/>
    <s v="Online"/>
    <n v="16735"/>
  </r>
  <r>
    <n v="341"/>
    <d v="2024-01-15T04:00:00"/>
    <s v="2024-01-15 04:00:00"/>
    <s v="EAST"/>
    <x v="0"/>
    <s v="Electronics"/>
    <x v="2"/>
    <s v="Men T-Shirt"/>
    <s v="Men T-Shirt"/>
    <s v="CUST0036"/>
    <s v=" CUST0036 "/>
    <x v="3"/>
    <s v="Anita"/>
    <x v="4"/>
    <s v="Credit Card"/>
    <n v="13"/>
    <s v="13"/>
    <n v="4902"/>
    <s v="4902"/>
    <n v="63726"/>
    <x v="0"/>
    <x v="0"/>
    <x v="2"/>
    <s v="High"/>
    <s v="Online"/>
    <n v="63726"/>
  </r>
  <r>
    <n v="342"/>
    <d v="2024-01-15T05:00:00"/>
    <s v="2024-01-15 05:00:00"/>
    <s v=" west"/>
    <x v="1"/>
    <s v="Clothing"/>
    <x v="0"/>
    <s v="Washing Machine"/>
    <s v="Washing Machine"/>
    <s v="CUST0101"/>
    <s v=" CUST0101 "/>
    <x v="1"/>
    <s v="Meena"/>
    <x v="2"/>
    <s v="UPI"/>
    <n v="3"/>
    <s v="3"/>
    <n v="233"/>
    <s v="233"/>
    <n v="699"/>
    <x v="0"/>
    <x v="0"/>
    <x v="2"/>
    <s v="Low"/>
    <s v="Online"/>
    <n v="699"/>
  </r>
  <r>
    <n v="343"/>
    <d v="2024-01-15T06:00:00"/>
    <s v="2024-01-15 06:00:00"/>
    <s v="EAST"/>
    <x v="0"/>
    <s v="Grocery"/>
    <x v="3"/>
    <s v="Men T-Shirt"/>
    <s v="Men T-Shirt"/>
    <s v="CUST0794"/>
    <s v=" CUST0794 "/>
    <x v="3"/>
    <s v="Anita"/>
    <x v="1"/>
    <s v="Debit card "/>
    <n v="11"/>
    <s v="11"/>
    <n v="4983"/>
    <s v="4983"/>
    <n v="54813"/>
    <x v="0"/>
    <x v="0"/>
    <x v="2"/>
    <s v="High"/>
    <s v="Online"/>
    <n v="54813"/>
  </r>
  <r>
    <n v="344"/>
    <d v="2024-01-15T07:00:00"/>
    <s v="2024-01-15 07:00:00"/>
    <s v="south"/>
    <x v="3"/>
    <s v="Grocery"/>
    <x v="3"/>
    <s v="Rice 5Kg"/>
    <s v="Rice 5kg"/>
    <s v="CUST0086"/>
    <s v=" CUST0086 "/>
    <x v="3"/>
    <s v="Anita"/>
    <x v="0"/>
    <s v=" Cash"/>
    <n v="11"/>
    <s v="11"/>
    <n v="766"/>
    <s v="766"/>
    <n v="8426"/>
    <x v="0"/>
    <x v="0"/>
    <x v="2"/>
    <s v="Low"/>
    <s v="Offline"/>
    <n v="8426"/>
  </r>
  <r>
    <n v="345"/>
    <d v="2024-01-15T08:00:00"/>
    <s v="2024-01-15 08:00:00"/>
    <s v="EAST"/>
    <x v="0"/>
    <s v="Grocery"/>
    <x v="3"/>
    <s v="Men T-Shirt"/>
    <s v="Men T-Shirt"/>
    <s v="CUST0516"/>
    <s v=" CUST0516 "/>
    <x v="4"/>
    <s v="Karthik"/>
    <x v="0"/>
    <s v=" Cash"/>
    <n v="8"/>
    <s v="8"/>
    <n v="376"/>
    <s v="376"/>
    <n v="3008"/>
    <x v="0"/>
    <x v="0"/>
    <x v="2"/>
    <s v="Low"/>
    <s v="Offline"/>
    <n v="3008"/>
  </r>
  <r>
    <n v="346"/>
    <d v="2024-01-15T09:00:00"/>
    <s v="2024-01-15 09:00:00"/>
    <s v="EAST"/>
    <x v="0"/>
    <s v=" Home Appliances "/>
    <x v="1"/>
    <s v="Laptop"/>
    <s v="Laptop"/>
    <s v="CUST0223"/>
    <s v=" CUST0223 "/>
    <x v="0"/>
    <s v="Rahul"/>
    <x v="2"/>
    <s v="UPI"/>
    <n v="4"/>
    <s v="4"/>
    <n v="3407"/>
    <s v="3407"/>
    <n v="13628"/>
    <x v="0"/>
    <x v="0"/>
    <x v="2"/>
    <s v="Low"/>
    <s v="Online"/>
    <n v="13628"/>
  </r>
  <r>
    <n v="347"/>
    <d v="2024-01-15T10:00:00"/>
    <s v="2024-01-15 10:00:00"/>
    <s v="EAST"/>
    <x v="0"/>
    <s v="Clothing"/>
    <x v="0"/>
    <s v="Laptop"/>
    <s v="Laptop"/>
    <s v="CUST0338"/>
    <s v=" CUST0338 "/>
    <x v="0"/>
    <s v="Rahul"/>
    <x v="3"/>
    <s v=" Net Banking "/>
    <n v="10"/>
    <s v="10"/>
    <n v="981"/>
    <s v="981"/>
    <n v="9810"/>
    <x v="0"/>
    <x v="0"/>
    <x v="2"/>
    <s v="Low"/>
    <s v="Online"/>
    <n v="9810"/>
  </r>
  <r>
    <n v="348"/>
    <d v="2024-01-15T11:00:00"/>
    <s v="2024-01-15 11:00:00"/>
    <s v=" west"/>
    <x v="1"/>
    <s v="Electronics"/>
    <x v="2"/>
    <s v="Rice 5Kg"/>
    <s v="Rice 5kg"/>
    <s v="CUST0166"/>
    <s v=" CUST0166 "/>
    <x v="2"/>
    <s v="Suresh"/>
    <x v="4"/>
    <s v="Credit Card"/>
    <n v="13"/>
    <s v="13"/>
    <n v="2160"/>
    <s v="2160"/>
    <n v="28080"/>
    <x v="0"/>
    <x v="0"/>
    <x v="2"/>
    <s v="Medium"/>
    <s v="Online"/>
    <n v="28080"/>
  </r>
  <r>
    <n v="349"/>
    <d v="2024-01-15T12:00:00"/>
    <s v="2024-01-15 12:00:00"/>
    <s v=" west"/>
    <x v="1"/>
    <s v=" Home Appliances "/>
    <x v="1"/>
    <s v="Mixer Grinder"/>
    <s v="Mixer Grinder"/>
    <s v="CUST0383"/>
    <s v=" CUST0383 "/>
    <x v="4"/>
    <s v="Karthik"/>
    <x v="0"/>
    <s v=" Cash"/>
    <n v="13"/>
    <s v="13"/>
    <n v="2182"/>
    <s v="2182"/>
    <n v="28366"/>
    <x v="0"/>
    <x v="0"/>
    <x v="2"/>
    <s v="Medium"/>
    <s v="Offline"/>
    <n v="28366"/>
  </r>
  <r>
    <n v="350"/>
    <d v="2024-01-15T13:00:00"/>
    <s v="2024-01-15 13:00:00"/>
    <s v="EAST"/>
    <x v="0"/>
    <s v=" Home Appliances "/>
    <x v="1"/>
    <s v="Men T-Shirt"/>
    <s v="Men T-Shirt"/>
    <s v="CUST0376"/>
    <s v=" CUST0376 "/>
    <x v="4"/>
    <s v="Karthik"/>
    <x v="0"/>
    <s v=" Cash"/>
    <n v="3"/>
    <s v="3"/>
    <n v="1337"/>
    <s v="1337"/>
    <n v="4011"/>
    <x v="0"/>
    <x v="0"/>
    <x v="2"/>
    <s v="Low"/>
    <s v="Offline"/>
    <n v="4011"/>
  </r>
  <r>
    <n v="351"/>
    <d v="2024-01-15T14:00:00"/>
    <s v="2024-01-15 14:00:00"/>
    <s v=" west"/>
    <x v="1"/>
    <s v=" Home Appliances "/>
    <x v="1"/>
    <s v="Mixer Grinder"/>
    <s v="Mixer Grinder"/>
    <s v="CUST0471"/>
    <s v=" CUST0471 "/>
    <x v="0"/>
    <s v="Rahul"/>
    <x v="2"/>
    <s v="UPI"/>
    <n v="13"/>
    <s v="13"/>
    <n v="2552"/>
    <s v="2552"/>
    <n v="33176"/>
    <x v="0"/>
    <x v="0"/>
    <x v="2"/>
    <s v="Medium"/>
    <s v="Online"/>
    <n v="33176"/>
  </r>
  <r>
    <n v="352"/>
    <d v="2024-01-15T15:00:00"/>
    <s v="2024-01-15 15:00:00"/>
    <s v=" North "/>
    <x v="2"/>
    <s v="Grocery"/>
    <x v="3"/>
    <s v="Mixer Grinder"/>
    <s v="Mixer Grinder"/>
    <s v="CUST0790"/>
    <s v=" CUST0790 "/>
    <x v="4"/>
    <s v="Karthik"/>
    <x v="3"/>
    <s v=" Net Banking "/>
    <n v="6"/>
    <s v="6"/>
    <n v="258"/>
    <s v="258"/>
    <n v="1548"/>
    <x v="0"/>
    <x v="0"/>
    <x v="2"/>
    <s v="Low"/>
    <s v="Online"/>
    <n v="1548"/>
  </r>
  <r>
    <n v="353"/>
    <d v="2024-01-15T16:00:00"/>
    <s v="2024-01-15 16:00:00"/>
    <s v=" North "/>
    <x v="2"/>
    <s v="Clothing"/>
    <x v="0"/>
    <s v="Led Tv 42Inch"/>
    <s v="LED TV 42inch"/>
    <s v="CUST0642"/>
    <s v=" CUST0642 "/>
    <x v="0"/>
    <s v="Rahul"/>
    <x v="3"/>
    <s v=" Net Banking "/>
    <n v="8"/>
    <s v="8"/>
    <n v="2696"/>
    <s v="2696"/>
    <n v="21568"/>
    <x v="0"/>
    <x v="0"/>
    <x v="2"/>
    <s v="Medium"/>
    <s v="Online"/>
    <n v="21568"/>
  </r>
  <r>
    <n v="354"/>
    <d v="2024-01-15T17:00:00"/>
    <s v="2024-01-15 17:00:00"/>
    <s v=" west"/>
    <x v="1"/>
    <s v=" Home Appliances "/>
    <x v="1"/>
    <s v="Rice 5Kg"/>
    <s v="Rice 5kg"/>
    <s v="CUST0031"/>
    <s v=" CUST0031 "/>
    <x v="4"/>
    <s v="Karthik"/>
    <x v="2"/>
    <s v="UPI"/>
    <n v="13"/>
    <s v="13"/>
    <n v="3915"/>
    <s v="3915"/>
    <n v="50895"/>
    <x v="0"/>
    <x v="0"/>
    <x v="2"/>
    <s v="High"/>
    <s v="Online"/>
    <n v="50895"/>
  </r>
  <r>
    <n v="355"/>
    <d v="2024-01-15T18:00:00"/>
    <s v="2024-01-15 18:00:00"/>
    <s v=" west"/>
    <x v="1"/>
    <s v="Electronics"/>
    <x v="2"/>
    <s v="Washing Machine"/>
    <s v="Washing Machine"/>
    <s v="CUST0375"/>
    <s v=" CUST0375 "/>
    <x v="3"/>
    <s v="Anita"/>
    <x v="0"/>
    <s v=" Cash"/>
    <n v="9"/>
    <s v="9"/>
    <n v="4474"/>
    <s v="4474"/>
    <n v="40266"/>
    <x v="0"/>
    <x v="0"/>
    <x v="2"/>
    <s v="Medium"/>
    <s v="Offline"/>
    <n v="40266"/>
  </r>
  <r>
    <n v="356"/>
    <d v="2024-01-15T19:00:00"/>
    <s v="2024-01-15 19:00:00"/>
    <s v="EAST"/>
    <x v="0"/>
    <s v="Clothing"/>
    <x v="0"/>
    <s v="Laptop"/>
    <s v="Laptop"/>
    <s v="CUST0011"/>
    <s v=" CUST0011 "/>
    <x v="0"/>
    <s v="Rahul"/>
    <x v="4"/>
    <s v="Credit Card"/>
    <n v="14"/>
    <s v="14"/>
    <n v="2626"/>
    <s v="2626"/>
    <n v="36764"/>
    <x v="0"/>
    <x v="0"/>
    <x v="2"/>
    <s v="Medium"/>
    <s v="Online"/>
    <n v="36764"/>
  </r>
  <r>
    <n v="357"/>
    <d v="2024-01-15T20:00:00"/>
    <s v="2024-01-15 20:00:00"/>
    <s v="south"/>
    <x v="3"/>
    <s v="Electronics"/>
    <x v="2"/>
    <s v="Laptop"/>
    <s v="Laptop"/>
    <s v="CUST0302"/>
    <s v=" CUST0302 "/>
    <x v="0"/>
    <s v="Rahul"/>
    <x v="0"/>
    <s v=" Cash"/>
    <n v="6"/>
    <s v="6"/>
    <n v="210"/>
    <s v="210"/>
    <n v="1260"/>
    <x v="0"/>
    <x v="0"/>
    <x v="2"/>
    <s v="Low"/>
    <s v="Offline"/>
    <n v="1260"/>
  </r>
  <r>
    <n v="358"/>
    <d v="2024-01-15T21:00:00"/>
    <s v="2024-01-15 21:00:00"/>
    <s v=" west"/>
    <x v="1"/>
    <s v="Clothing"/>
    <x v="0"/>
    <s v="Rice 5Kg"/>
    <s v="Rice 5kg"/>
    <s v="CUST0096"/>
    <s v=" CUST0096 "/>
    <x v="1"/>
    <s v="Meena"/>
    <x v="3"/>
    <s v=" Net Banking "/>
    <n v="5"/>
    <s v="5"/>
    <n v="641"/>
    <s v="641"/>
    <n v="3205"/>
    <x v="0"/>
    <x v="0"/>
    <x v="2"/>
    <s v="Low"/>
    <s v="Online"/>
    <n v="3205"/>
  </r>
  <r>
    <n v="359"/>
    <d v="2024-01-15T22:00:00"/>
    <s v="2024-01-15 22:00:00"/>
    <s v=" North "/>
    <x v="2"/>
    <s v="Electronics"/>
    <x v="2"/>
    <s v="Washing Machine"/>
    <s v="Washing Machine"/>
    <s v="CUST0190"/>
    <s v=" CUST0190 "/>
    <x v="4"/>
    <s v="Karthik"/>
    <x v="0"/>
    <s v=" Cash"/>
    <n v="12"/>
    <s v="12"/>
    <n v="1238"/>
    <s v="1238"/>
    <n v="14856"/>
    <x v="0"/>
    <x v="0"/>
    <x v="2"/>
    <s v="Low"/>
    <s v="Offline"/>
    <n v="14856"/>
  </r>
  <r>
    <n v="360"/>
    <d v="2024-01-15T23:00:00"/>
    <s v="2024-01-15 23:00:00"/>
    <s v="EAST"/>
    <x v="0"/>
    <s v="Grocery"/>
    <x v="3"/>
    <s v="Laptop"/>
    <s v="Laptop"/>
    <s v="CUST0453"/>
    <s v=" CUST0453 "/>
    <x v="4"/>
    <s v="Karthik"/>
    <x v="4"/>
    <s v="Credit Card"/>
    <n v="11"/>
    <s v="11"/>
    <n v="3383"/>
    <s v="3383"/>
    <n v="37213"/>
    <x v="0"/>
    <x v="0"/>
    <x v="2"/>
    <s v="Medium"/>
    <s v="Online"/>
    <n v="37213"/>
  </r>
  <r>
    <n v="361"/>
    <d v="2024-01-16T00:00:00"/>
    <s v="2024-01-16 00:00:00"/>
    <s v=" west"/>
    <x v="1"/>
    <s v=" Home Appliances "/>
    <x v="1"/>
    <s v="Rice 5Kg"/>
    <s v="Rice 5kg"/>
    <s v="CUST0192"/>
    <s v=" CUST0192 "/>
    <x v="0"/>
    <s v="Rahul"/>
    <x v="1"/>
    <s v="Debit card "/>
    <n v="2"/>
    <s v="2"/>
    <n v="3710"/>
    <s v="3710"/>
    <n v="7420"/>
    <x v="0"/>
    <x v="0"/>
    <x v="2"/>
    <s v="Low"/>
    <s v="Online"/>
    <n v="7420"/>
  </r>
  <r>
    <n v="362"/>
    <d v="2024-01-16T01:00:00"/>
    <s v="2024-01-16 01:00:00"/>
    <s v=" North "/>
    <x v="2"/>
    <s v="Electronics"/>
    <x v="2"/>
    <s v="Laptop"/>
    <s v="Laptop"/>
    <s v="CUST0486"/>
    <s v=" CUST0486 "/>
    <x v="3"/>
    <s v="Anita"/>
    <x v="0"/>
    <s v=" Cash"/>
    <n v="2"/>
    <s v="2"/>
    <n v="4555"/>
    <s v="4555"/>
    <n v="9110"/>
    <x v="0"/>
    <x v="0"/>
    <x v="2"/>
    <s v="Low"/>
    <s v="Offline"/>
    <n v="9110"/>
  </r>
  <r>
    <n v="363"/>
    <d v="2024-01-16T02:00:00"/>
    <s v="2024-01-16 02:00:00"/>
    <s v=" North "/>
    <x v="2"/>
    <s v="Clothing"/>
    <x v="0"/>
    <s v="Mixer Grinder"/>
    <s v="Mixer Grinder"/>
    <s v="CUST0266"/>
    <s v=" CUST0266 "/>
    <x v="3"/>
    <s v="Anita"/>
    <x v="2"/>
    <s v="UPI"/>
    <n v="9"/>
    <s v="9"/>
    <n v="3657"/>
    <s v="3657"/>
    <n v="32913"/>
    <x v="0"/>
    <x v="0"/>
    <x v="2"/>
    <s v="Medium"/>
    <s v="Online"/>
    <n v="32913"/>
  </r>
  <r>
    <n v="364"/>
    <d v="2024-01-16T03:00:00"/>
    <s v="2024-01-16 03:00:00"/>
    <s v="south"/>
    <x v="3"/>
    <s v=" Home Appliances "/>
    <x v="1"/>
    <s v="Men T-Shirt"/>
    <s v="Men T-Shirt"/>
    <s v="CUST0424"/>
    <s v=" CUST0424 "/>
    <x v="3"/>
    <s v="Anita"/>
    <x v="1"/>
    <s v="Debit card "/>
    <n v="2"/>
    <s v="2"/>
    <n v="2519"/>
    <s v="2519"/>
    <n v="5038"/>
    <x v="0"/>
    <x v="0"/>
    <x v="2"/>
    <s v="Low"/>
    <s v="Online"/>
    <n v="5038"/>
  </r>
  <r>
    <n v="365"/>
    <d v="2024-01-16T04:00:00"/>
    <s v="2024-01-16 04:00:00"/>
    <s v="EAST"/>
    <x v="0"/>
    <s v=" Home Appliances "/>
    <x v="1"/>
    <s v="Men T-Shirt"/>
    <s v="Men T-Shirt"/>
    <s v="CUST0128"/>
    <s v=" CUST0128 "/>
    <x v="4"/>
    <s v="Karthik"/>
    <x v="2"/>
    <s v="UPI"/>
    <n v="2"/>
    <s v="2"/>
    <n v="1856"/>
    <s v="1856"/>
    <n v="3712"/>
    <x v="0"/>
    <x v="0"/>
    <x v="2"/>
    <s v="Low"/>
    <s v="Online"/>
    <n v="3712"/>
  </r>
  <r>
    <n v="366"/>
    <d v="2024-01-16T05:00:00"/>
    <s v="2024-01-16 05:00:00"/>
    <s v="EAST"/>
    <x v="0"/>
    <s v="Clothing"/>
    <x v="0"/>
    <s v="Laptop"/>
    <s v="Laptop"/>
    <s v="CUST0238"/>
    <s v=" CUST0238 "/>
    <x v="1"/>
    <s v="Meena"/>
    <x v="2"/>
    <s v="UPI"/>
    <n v="3"/>
    <s v="3"/>
    <n v="3186"/>
    <s v="3186"/>
    <n v="9558"/>
    <x v="0"/>
    <x v="0"/>
    <x v="2"/>
    <s v="Low"/>
    <s v="Online"/>
    <n v="9558"/>
  </r>
  <r>
    <n v="367"/>
    <d v="2024-01-16T06:00:00"/>
    <s v="2024-01-16 06:00:00"/>
    <s v="south"/>
    <x v="3"/>
    <s v="Electronics"/>
    <x v="2"/>
    <s v="Led Tv 42Inch"/>
    <s v="LED TV 42inch"/>
    <s v="CUST0355"/>
    <s v=" CUST0355 "/>
    <x v="0"/>
    <s v="Rahul"/>
    <x v="2"/>
    <s v="UPI"/>
    <n v="3"/>
    <s v="3"/>
    <n v="2406"/>
    <s v="2406"/>
    <n v="7218"/>
    <x v="0"/>
    <x v="0"/>
    <x v="2"/>
    <s v="Low"/>
    <s v="Online"/>
    <n v="7218"/>
  </r>
  <r>
    <n v="368"/>
    <d v="2024-01-16T07:00:00"/>
    <s v="2024-01-16 07:00:00"/>
    <s v="south"/>
    <x v="3"/>
    <s v="Grocery"/>
    <x v="3"/>
    <s v="Washing Machine"/>
    <s v="Washing Machine"/>
    <s v="CUST0112"/>
    <s v=" CUST0112 "/>
    <x v="2"/>
    <s v="Suresh"/>
    <x v="0"/>
    <s v=" Cash"/>
    <n v="4"/>
    <s v="4"/>
    <n v="1075"/>
    <s v="1075"/>
    <n v="4300"/>
    <x v="0"/>
    <x v="0"/>
    <x v="2"/>
    <s v="Low"/>
    <s v="Offline"/>
    <n v="4300"/>
  </r>
  <r>
    <n v="369"/>
    <d v="2024-01-16T08:00:00"/>
    <s v="2024-01-16 08:00:00"/>
    <s v="EAST"/>
    <x v="0"/>
    <s v="Grocery"/>
    <x v="3"/>
    <s v="Washing Machine"/>
    <s v="Washing Machine"/>
    <s v="CUST0446"/>
    <s v=" CUST0446 "/>
    <x v="1"/>
    <s v="Meena"/>
    <x v="3"/>
    <s v=" Net Banking "/>
    <n v="7"/>
    <s v="7"/>
    <n v="822"/>
    <s v="822"/>
    <n v="5754"/>
    <x v="0"/>
    <x v="0"/>
    <x v="2"/>
    <s v="Low"/>
    <s v="Online"/>
    <n v="5754"/>
  </r>
  <r>
    <n v="370"/>
    <d v="2024-01-16T09:00:00"/>
    <s v="2024-01-16 09:00:00"/>
    <s v="EAST"/>
    <x v="0"/>
    <s v="Electronics"/>
    <x v="2"/>
    <s v="Washing Machine"/>
    <s v="Washing Machine"/>
    <s v="CUST0343"/>
    <s v=" CUST0343 "/>
    <x v="2"/>
    <s v="Suresh"/>
    <x v="1"/>
    <s v="Debit card "/>
    <n v="9"/>
    <s v="9"/>
    <n v="2670"/>
    <s v="2670"/>
    <n v="24030"/>
    <x v="0"/>
    <x v="0"/>
    <x v="2"/>
    <s v="Medium"/>
    <s v="Online"/>
    <n v="24030"/>
  </r>
  <r>
    <n v="371"/>
    <d v="2024-01-16T10:00:00"/>
    <s v="2024-01-16 10:00:00"/>
    <s v=" west"/>
    <x v="1"/>
    <s v=" Home Appliances "/>
    <x v="1"/>
    <s v="Mixer Grinder"/>
    <s v="Mixer Grinder"/>
    <s v="CUST0145"/>
    <s v=" CUST0145 "/>
    <x v="1"/>
    <s v="Meena"/>
    <x v="4"/>
    <s v="Credit Card"/>
    <n v="2"/>
    <s v="2"/>
    <n v="424"/>
    <s v="424"/>
    <n v="848"/>
    <x v="0"/>
    <x v="0"/>
    <x v="2"/>
    <s v="Low"/>
    <s v="Online"/>
    <n v="848"/>
  </r>
  <r>
    <n v="372"/>
    <d v="2024-01-16T11:00:00"/>
    <s v="2024-01-16 11:00:00"/>
    <s v=" west"/>
    <x v="1"/>
    <s v=" Home Appliances "/>
    <x v="1"/>
    <s v="Washing Machine"/>
    <s v="Washing Machine"/>
    <s v="CUST0065"/>
    <s v=" CUST0065 "/>
    <x v="3"/>
    <s v="Anita"/>
    <x v="3"/>
    <s v=" Net Banking "/>
    <n v="4"/>
    <s v="4"/>
    <n v="1629"/>
    <s v="1629"/>
    <n v="6516"/>
    <x v="0"/>
    <x v="0"/>
    <x v="2"/>
    <s v="Low"/>
    <s v="Online"/>
    <n v="6516"/>
  </r>
  <r>
    <n v="373"/>
    <d v="2024-01-16T12:00:00"/>
    <s v="2024-01-16 12:00:00"/>
    <s v="south"/>
    <x v="3"/>
    <s v=" Home Appliances "/>
    <x v="1"/>
    <s v="Men T-Shirt"/>
    <s v="Men T-Shirt"/>
    <s v="CUST0247"/>
    <s v=" CUST0247 "/>
    <x v="4"/>
    <s v="Karthik"/>
    <x v="0"/>
    <s v=" Cash"/>
    <n v="9"/>
    <s v="9"/>
    <n v="2045"/>
    <s v="2045"/>
    <n v="18405"/>
    <x v="0"/>
    <x v="0"/>
    <x v="2"/>
    <s v="Low"/>
    <s v="Offline"/>
    <n v="18405"/>
  </r>
  <r>
    <n v="374"/>
    <d v="2024-01-16T13:00:00"/>
    <s v="2024-01-16 13:00:00"/>
    <s v=" west"/>
    <x v="1"/>
    <s v=" Home Appliances "/>
    <x v="1"/>
    <s v="Mixer Grinder"/>
    <s v="Mixer Grinder"/>
    <s v="CUST0735"/>
    <s v=" CUST0735 "/>
    <x v="2"/>
    <s v="Suresh"/>
    <x v="2"/>
    <s v="UPI"/>
    <n v="14"/>
    <s v="14"/>
    <n v="4586"/>
    <s v="4586"/>
    <n v="64204"/>
    <x v="0"/>
    <x v="0"/>
    <x v="2"/>
    <s v="High"/>
    <s v="Online"/>
    <n v="64204"/>
  </r>
  <r>
    <n v="375"/>
    <d v="2024-01-16T14:00:00"/>
    <s v="2024-01-16 14:00:00"/>
    <s v=" North "/>
    <x v="2"/>
    <s v="Electronics"/>
    <x v="2"/>
    <s v="Rice 5Kg"/>
    <s v="Rice 5kg"/>
    <s v="CUST0490"/>
    <s v=" CUST0490 "/>
    <x v="1"/>
    <s v="Meena"/>
    <x v="4"/>
    <s v="Credit Card"/>
    <n v="2"/>
    <s v="2"/>
    <n v="2530"/>
    <s v="2530"/>
    <n v="5060"/>
    <x v="0"/>
    <x v="0"/>
    <x v="2"/>
    <s v="Low"/>
    <s v="Online"/>
    <n v="5060"/>
  </r>
  <r>
    <n v="376"/>
    <d v="2024-01-16T15:00:00"/>
    <s v="2024-01-16 15:00:00"/>
    <s v=" west"/>
    <x v="1"/>
    <s v=" Home Appliances "/>
    <x v="1"/>
    <s v="Washing Machine"/>
    <s v="Washing Machine"/>
    <s v="CUST0439"/>
    <s v=" CUST0439 "/>
    <x v="4"/>
    <s v="Karthik"/>
    <x v="1"/>
    <s v="Debit card "/>
    <n v="10"/>
    <s v="10"/>
    <n v="4211"/>
    <s v="4211"/>
    <n v="42110"/>
    <x v="0"/>
    <x v="0"/>
    <x v="2"/>
    <s v="Medium"/>
    <s v="Online"/>
    <n v="42110"/>
  </r>
  <r>
    <n v="377"/>
    <d v="2024-01-16T16:00:00"/>
    <s v="2024-01-16 16:00:00"/>
    <s v=" west"/>
    <x v="1"/>
    <s v="Clothing"/>
    <x v="0"/>
    <s v="Washing Machine"/>
    <s v="Washing Machine"/>
    <s v="CUST0106"/>
    <s v=" CUST0106 "/>
    <x v="2"/>
    <s v="Suresh"/>
    <x v="3"/>
    <s v=" Net Banking "/>
    <n v="11"/>
    <s v="11"/>
    <n v="3610"/>
    <s v="3610"/>
    <n v="39710"/>
    <x v="0"/>
    <x v="0"/>
    <x v="2"/>
    <s v="Medium"/>
    <s v="Online"/>
    <n v="39710"/>
  </r>
  <r>
    <n v="378"/>
    <d v="2024-01-16T17:00:00"/>
    <s v="2024-01-16 17:00:00"/>
    <s v=" North "/>
    <x v="2"/>
    <s v=" Home Appliances "/>
    <x v="1"/>
    <s v="Rice 5Kg"/>
    <s v="Rice 5kg"/>
    <s v="CUST0181"/>
    <s v=" CUST0181 "/>
    <x v="0"/>
    <s v="Rahul"/>
    <x v="3"/>
    <s v=" Net Banking "/>
    <n v="13"/>
    <s v="13"/>
    <n v="945"/>
    <s v="945"/>
    <n v="12285"/>
    <x v="0"/>
    <x v="0"/>
    <x v="2"/>
    <s v="Low"/>
    <s v="Online"/>
    <n v="12285"/>
  </r>
  <r>
    <n v="379"/>
    <d v="2024-01-16T18:00:00"/>
    <s v="2024-01-16 18:00:00"/>
    <s v="south"/>
    <x v="3"/>
    <s v="Grocery"/>
    <x v="3"/>
    <s v="Washing Machine"/>
    <s v="Washing Machine"/>
    <s v="CUST0184"/>
    <s v=" CUST0184 "/>
    <x v="1"/>
    <s v="Meena"/>
    <x v="4"/>
    <s v="Credit Card"/>
    <n v="1"/>
    <s v="1"/>
    <n v="667"/>
    <s v="667"/>
    <n v="667"/>
    <x v="0"/>
    <x v="0"/>
    <x v="2"/>
    <s v="Low"/>
    <s v="Online"/>
    <n v="667"/>
  </r>
  <r>
    <n v="380"/>
    <d v="2024-01-16T19:00:00"/>
    <s v="2024-01-16 19:00:00"/>
    <s v=" North "/>
    <x v="2"/>
    <s v=" Home Appliances "/>
    <x v="1"/>
    <s v="Rice 5Kg"/>
    <s v="Rice 5kg"/>
    <s v="CUST0226"/>
    <s v=" CUST0226 "/>
    <x v="0"/>
    <s v="Rahul"/>
    <x v="0"/>
    <s v=" Cash"/>
    <n v="10"/>
    <s v="10"/>
    <n v="3788"/>
    <s v="3788"/>
    <n v="37880"/>
    <x v="0"/>
    <x v="0"/>
    <x v="2"/>
    <s v="Medium"/>
    <s v="Offline"/>
    <n v="37880"/>
  </r>
  <r>
    <n v="381"/>
    <d v="2024-01-16T20:00:00"/>
    <s v="2024-01-16 20:00:00"/>
    <s v=" west"/>
    <x v="1"/>
    <s v="Electronics"/>
    <x v="2"/>
    <s v="Mixer Grinder"/>
    <s v="Mixer Grinder"/>
    <s v="CUST0777"/>
    <s v=" CUST0777 "/>
    <x v="3"/>
    <s v="Anita"/>
    <x v="1"/>
    <s v="Debit card "/>
    <n v="8"/>
    <s v="8"/>
    <n v="2279"/>
    <s v="2279"/>
    <n v="18232"/>
    <x v="0"/>
    <x v="0"/>
    <x v="2"/>
    <s v="Low"/>
    <s v="Online"/>
    <n v="18232"/>
  </r>
  <r>
    <n v="382"/>
    <d v="2024-01-16T21:00:00"/>
    <s v="2024-01-16 21:00:00"/>
    <s v="south"/>
    <x v="3"/>
    <s v="Grocery"/>
    <x v="3"/>
    <s v="Men T-Shirt"/>
    <s v="Men T-Shirt"/>
    <s v="CUST0790"/>
    <s v=" CUST0790 "/>
    <x v="0"/>
    <s v="Rahul"/>
    <x v="4"/>
    <s v="Credit Card"/>
    <n v="9"/>
    <s v="9"/>
    <n v="2119"/>
    <s v="2119"/>
    <n v="19071"/>
    <x v="0"/>
    <x v="0"/>
    <x v="2"/>
    <s v="Low"/>
    <s v="Online"/>
    <n v="19071"/>
  </r>
  <r>
    <n v="383"/>
    <d v="2024-01-16T22:00:00"/>
    <s v="2024-01-16 22:00:00"/>
    <s v=" west"/>
    <x v="1"/>
    <s v="Electronics"/>
    <x v="2"/>
    <s v="Rice 5Kg"/>
    <s v="Rice 5kg"/>
    <s v="CUST0089"/>
    <s v=" CUST0089 "/>
    <x v="0"/>
    <s v="Rahul"/>
    <x v="2"/>
    <s v="UPI"/>
    <n v="7"/>
    <s v="7"/>
    <n v="3419"/>
    <s v="3419"/>
    <n v="23933"/>
    <x v="0"/>
    <x v="0"/>
    <x v="2"/>
    <s v="Medium"/>
    <s v="Online"/>
    <n v="23933"/>
  </r>
  <r>
    <n v="384"/>
    <d v="2024-01-16T23:00:00"/>
    <s v="2024-01-16 23:00:00"/>
    <s v=" North "/>
    <x v="2"/>
    <s v="Electronics"/>
    <x v="2"/>
    <s v="Led Tv 42Inch"/>
    <s v="LED TV 42inch"/>
    <s v="CUST0688"/>
    <s v=" CUST0688 "/>
    <x v="1"/>
    <s v="Meena"/>
    <x v="1"/>
    <s v="Debit card "/>
    <n v="8"/>
    <s v="8"/>
    <n v="2420"/>
    <s v="2420"/>
    <n v="19360"/>
    <x v="0"/>
    <x v="0"/>
    <x v="2"/>
    <s v="Low"/>
    <s v="Online"/>
    <n v="19360"/>
  </r>
  <r>
    <n v="385"/>
    <d v="2024-01-17T00:00:00"/>
    <s v="2024-01-17 00:00:00"/>
    <s v=" North "/>
    <x v="2"/>
    <s v="Grocery"/>
    <x v="3"/>
    <s v="Rice 5Kg"/>
    <s v="Rice 5kg"/>
    <s v="CUST0530"/>
    <s v=" CUST0530 "/>
    <x v="3"/>
    <s v="Anita"/>
    <x v="3"/>
    <s v=" Net Banking "/>
    <n v="4"/>
    <s v="4"/>
    <n v="1746"/>
    <s v="1746"/>
    <n v="6984"/>
    <x v="0"/>
    <x v="0"/>
    <x v="2"/>
    <s v="Low"/>
    <s v="Online"/>
    <n v="6984"/>
  </r>
  <r>
    <n v="386"/>
    <d v="2024-01-17T01:00:00"/>
    <s v="2024-01-17 01:00:00"/>
    <s v=" west"/>
    <x v="1"/>
    <s v="Electronics"/>
    <x v="2"/>
    <s v="Washing Machine"/>
    <s v="Washing Machine"/>
    <s v="CUST0371"/>
    <s v=" CUST0371 "/>
    <x v="0"/>
    <s v="Rahul"/>
    <x v="4"/>
    <s v="Credit Card"/>
    <n v="4"/>
    <s v="4"/>
    <n v="4103"/>
    <s v="4103"/>
    <n v="16412"/>
    <x v="0"/>
    <x v="0"/>
    <x v="2"/>
    <s v="Low"/>
    <s v="Online"/>
    <n v="16412"/>
  </r>
  <r>
    <n v="387"/>
    <d v="2024-01-17T02:00:00"/>
    <s v="2024-01-17 02:00:00"/>
    <s v="EAST"/>
    <x v="0"/>
    <s v="Electronics"/>
    <x v="2"/>
    <s v="Mixer Grinder"/>
    <s v="Mixer Grinder"/>
    <s v="CUST0399"/>
    <s v=" CUST0399 "/>
    <x v="4"/>
    <s v="Karthik"/>
    <x v="3"/>
    <s v=" Net Banking "/>
    <n v="13"/>
    <s v="13"/>
    <n v="4009"/>
    <s v="4009"/>
    <n v="52117"/>
    <x v="0"/>
    <x v="0"/>
    <x v="2"/>
    <s v="High"/>
    <s v="Online"/>
    <n v="52117"/>
  </r>
  <r>
    <n v="388"/>
    <d v="2024-01-17T03:00:00"/>
    <s v="2024-01-17 03:00:00"/>
    <s v="EAST"/>
    <x v="0"/>
    <s v=" Home Appliances "/>
    <x v="1"/>
    <s v="Laptop"/>
    <s v="Laptop"/>
    <s v="CUST0106"/>
    <s v=" CUST0106 "/>
    <x v="2"/>
    <s v="Suresh"/>
    <x v="3"/>
    <s v=" Net Banking "/>
    <n v="2"/>
    <s v="2"/>
    <n v="3520"/>
    <s v="3520"/>
    <n v="7040"/>
    <x v="0"/>
    <x v="0"/>
    <x v="2"/>
    <s v="Low"/>
    <s v="Online"/>
    <n v="7040"/>
  </r>
  <r>
    <n v="389"/>
    <d v="2024-01-17T04:00:00"/>
    <s v="2024-01-17 04:00:00"/>
    <s v=" North "/>
    <x v="2"/>
    <s v="Clothing"/>
    <x v="0"/>
    <s v="Mixer Grinder"/>
    <s v="Mixer Grinder"/>
    <s v="CUST0271"/>
    <s v=" CUST0271 "/>
    <x v="0"/>
    <s v="Rahul"/>
    <x v="3"/>
    <s v=" Net Banking "/>
    <n v="8"/>
    <s v="8"/>
    <n v="2631"/>
    <s v="2631"/>
    <n v="21048"/>
    <x v="0"/>
    <x v="0"/>
    <x v="2"/>
    <s v="Medium"/>
    <s v="Online"/>
    <n v="21048"/>
  </r>
  <r>
    <n v="390"/>
    <d v="2024-01-17T05:00:00"/>
    <s v="2024-01-17 05:00:00"/>
    <s v=" North "/>
    <x v="2"/>
    <s v="Electronics"/>
    <x v="2"/>
    <s v="Laptop"/>
    <s v="Laptop"/>
    <s v="CUST0503"/>
    <s v=" CUST0503 "/>
    <x v="3"/>
    <s v="Anita"/>
    <x v="0"/>
    <s v=" Cash"/>
    <n v="11"/>
    <s v="11"/>
    <n v="456"/>
    <s v="456"/>
    <n v="5016"/>
    <x v="0"/>
    <x v="0"/>
    <x v="2"/>
    <s v="Low"/>
    <s v="Offline"/>
    <n v="5016"/>
  </r>
  <r>
    <n v="391"/>
    <d v="2024-01-17T06:00:00"/>
    <s v="2024-01-17 06:00:00"/>
    <s v="EAST"/>
    <x v="0"/>
    <s v="Electronics"/>
    <x v="2"/>
    <s v="Rice 5Kg"/>
    <s v="Rice 5kg"/>
    <s v="CUST0679"/>
    <s v=" CUST0679 "/>
    <x v="0"/>
    <s v="Rahul"/>
    <x v="3"/>
    <s v=" Net Banking "/>
    <n v="2"/>
    <s v="2"/>
    <n v="3181"/>
    <s v="3181"/>
    <n v="6362"/>
    <x v="0"/>
    <x v="0"/>
    <x v="2"/>
    <s v="Low"/>
    <s v="Online"/>
    <n v="6362"/>
  </r>
  <r>
    <n v="392"/>
    <d v="2024-01-17T07:00:00"/>
    <s v="2024-01-17 07:00:00"/>
    <s v="EAST"/>
    <x v="0"/>
    <s v="Electronics"/>
    <x v="2"/>
    <s v="Men T-Shirt"/>
    <s v="Men T-Shirt"/>
    <s v="CUST0525"/>
    <s v=" CUST0525 "/>
    <x v="2"/>
    <s v="Suresh"/>
    <x v="2"/>
    <s v="UPI"/>
    <n v="9"/>
    <s v="9"/>
    <n v="2380"/>
    <s v="2380"/>
    <n v="21420"/>
    <x v="0"/>
    <x v="0"/>
    <x v="2"/>
    <s v="Medium"/>
    <s v="Online"/>
    <n v="21420"/>
  </r>
  <r>
    <n v="393"/>
    <d v="2024-01-17T08:00:00"/>
    <s v="2024-01-17 08:00:00"/>
    <s v=" west"/>
    <x v="1"/>
    <s v=" Home Appliances "/>
    <x v="1"/>
    <s v="Led Tv 42Inch"/>
    <s v="LED TV 42inch"/>
    <s v="CUST0032"/>
    <s v=" CUST0032 "/>
    <x v="3"/>
    <s v="Anita"/>
    <x v="2"/>
    <s v="UPI"/>
    <n v="14"/>
    <s v="14"/>
    <n v="4231"/>
    <s v="4231"/>
    <n v="59234"/>
    <x v="0"/>
    <x v="0"/>
    <x v="2"/>
    <s v="High"/>
    <s v="Online"/>
    <n v="59234"/>
  </r>
  <r>
    <n v="394"/>
    <d v="2024-01-17T09:00:00"/>
    <s v="2024-01-17 09:00:00"/>
    <s v=" west"/>
    <x v="1"/>
    <s v="Clothing"/>
    <x v="0"/>
    <s v="Mixer Grinder"/>
    <s v="Mixer Grinder"/>
    <s v="CUST0393"/>
    <s v=" CUST0393 "/>
    <x v="1"/>
    <s v="Meena"/>
    <x v="1"/>
    <s v="Debit card "/>
    <n v="4"/>
    <s v="4"/>
    <n v="2560"/>
    <s v="2560"/>
    <n v="10240"/>
    <x v="0"/>
    <x v="0"/>
    <x v="2"/>
    <s v="Low"/>
    <s v="Online"/>
    <n v="10240"/>
  </r>
  <r>
    <n v="395"/>
    <d v="2024-01-17T10:00:00"/>
    <s v="2024-01-17 10:00:00"/>
    <s v="EAST"/>
    <x v="0"/>
    <s v="Grocery"/>
    <x v="3"/>
    <s v="Washing Machine"/>
    <s v="Washing Machine"/>
    <s v="CUST0040"/>
    <s v=" CUST0040 "/>
    <x v="3"/>
    <s v="Anita"/>
    <x v="3"/>
    <s v=" Net Banking "/>
    <n v="1"/>
    <s v="1"/>
    <n v="2887"/>
    <s v="2887"/>
    <n v="2887"/>
    <x v="0"/>
    <x v="0"/>
    <x v="2"/>
    <s v="Low"/>
    <s v="Online"/>
    <n v="2887"/>
  </r>
  <r>
    <n v="396"/>
    <d v="2024-01-17T11:00:00"/>
    <s v="2024-01-17 11:00:00"/>
    <s v=" west"/>
    <x v="1"/>
    <s v=" Home Appliances "/>
    <x v="1"/>
    <s v="Laptop"/>
    <s v="Laptop"/>
    <s v="CUST0660"/>
    <s v=" CUST0660 "/>
    <x v="1"/>
    <s v="Meena"/>
    <x v="3"/>
    <s v=" Net Banking "/>
    <n v="13"/>
    <s v="13"/>
    <n v="4309"/>
    <s v="4309"/>
    <n v="56017"/>
    <x v="0"/>
    <x v="0"/>
    <x v="2"/>
    <s v="High"/>
    <s v="Online"/>
    <n v="56017"/>
  </r>
  <r>
    <n v="397"/>
    <d v="2024-01-17T12:00:00"/>
    <s v="2024-01-17 12:00:00"/>
    <s v=" west"/>
    <x v="1"/>
    <s v=" Home Appliances "/>
    <x v="1"/>
    <s v="Washing Machine"/>
    <s v="Washing Machine"/>
    <s v="CUST0218"/>
    <s v=" CUST0218 "/>
    <x v="3"/>
    <s v="Anita"/>
    <x v="4"/>
    <s v="Credit Card"/>
    <n v="4"/>
    <s v="4"/>
    <n v="1297"/>
    <s v="1297"/>
    <n v="5188"/>
    <x v="0"/>
    <x v="0"/>
    <x v="2"/>
    <s v="Low"/>
    <s v="Online"/>
    <n v="5188"/>
  </r>
  <r>
    <n v="398"/>
    <d v="2024-01-17T13:00:00"/>
    <s v="2024-01-17 13:00:00"/>
    <s v="south"/>
    <x v="3"/>
    <s v="Clothing"/>
    <x v="0"/>
    <s v="Men T-Shirt"/>
    <s v="Men T-Shirt"/>
    <s v="CUST0731"/>
    <s v=" CUST0731 "/>
    <x v="2"/>
    <s v="Suresh"/>
    <x v="0"/>
    <s v=" Cash"/>
    <n v="3"/>
    <s v="3"/>
    <n v="1378"/>
    <s v="1378"/>
    <n v="4134"/>
    <x v="0"/>
    <x v="0"/>
    <x v="2"/>
    <s v="Low"/>
    <s v="Offline"/>
    <n v="4134"/>
  </r>
  <r>
    <n v="399"/>
    <d v="2024-01-17T14:00:00"/>
    <s v="2024-01-17 14:00:00"/>
    <s v=" west"/>
    <x v="1"/>
    <s v="Clothing"/>
    <x v="0"/>
    <s v="Laptop"/>
    <s v="Laptop"/>
    <s v="CUST0082"/>
    <s v=" CUST0082 "/>
    <x v="2"/>
    <s v="Suresh"/>
    <x v="1"/>
    <s v="Debit card "/>
    <n v="12"/>
    <s v="12"/>
    <n v="565"/>
    <s v="565"/>
    <n v="6780"/>
    <x v="0"/>
    <x v="0"/>
    <x v="2"/>
    <s v="Low"/>
    <s v="Online"/>
    <n v="6780"/>
  </r>
  <r>
    <n v="400"/>
    <d v="2024-01-17T15:00:00"/>
    <s v="2024-01-17 15:00:00"/>
    <s v=" North "/>
    <x v="2"/>
    <s v=" Home Appliances "/>
    <x v="1"/>
    <s v="Mixer Grinder"/>
    <s v="Mixer Grinder"/>
    <s v="CUST0720"/>
    <s v=" CUST0720 "/>
    <x v="3"/>
    <s v="Anita"/>
    <x v="3"/>
    <s v=" Net Banking "/>
    <n v="6"/>
    <s v="6"/>
    <n v="4100"/>
    <s v="4100"/>
    <n v="24600"/>
    <x v="0"/>
    <x v="0"/>
    <x v="2"/>
    <s v="Medium"/>
    <s v="Online"/>
    <n v="24600"/>
  </r>
  <r>
    <n v="401"/>
    <d v="2024-01-17T16:00:00"/>
    <s v="2024-01-17 16:00:00"/>
    <s v=" west"/>
    <x v="1"/>
    <s v="Grocery"/>
    <x v="3"/>
    <s v="Rice 5Kg"/>
    <s v="Rice 5kg"/>
    <s v="CUST0201"/>
    <s v=" CUST0201 "/>
    <x v="0"/>
    <s v="Rahul"/>
    <x v="4"/>
    <s v="Credit Card"/>
    <n v="7"/>
    <s v="7"/>
    <n v="3448"/>
    <s v="3448"/>
    <n v="24136"/>
    <x v="0"/>
    <x v="0"/>
    <x v="2"/>
    <s v="Medium"/>
    <s v="Online"/>
    <n v="24136"/>
  </r>
  <r>
    <n v="402"/>
    <d v="2024-01-17T17:00:00"/>
    <s v="2024-01-17 17:00:00"/>
    <s v=" west"/>
    <x v="1"/>
    <s v=" Home Appliances "/>
    <x v="1"/>
    <s v="Washing Machine"/>
    <s v="Washing Machine"/>
    <s v="CUST0447"/>
    <s v=" CUST0447 "/>
    <x v="2"/>
    <s v="Suresh"/>
    <x v="0"/>
    <s v=" Cash"/>
    <n v="8"/>
    <s v="8"/>
    <n v="1587"/>
    <s v="1587"/>
    <n v="12696"/>
    <x v="0"/>
    <x v="0"/>
    <x v="2"/>
    <s v="Low"/>
    <s v="Offline"/>
    <n v="12696"/>
  </r>
  <r>
    <n v="403"/>
    <d v="2024-01-17T18:00:00"/>
    <s v="2024-01-17 18:00:00"/>
    <s v="EAST"/>
    <x v="0"/>
    <s v="Clothing"/>
    <x v="0"/>
    <s v="Men T-Shirt"/>
    <s v="Men T-Shirt"/>
    <s v="CUST0428"/>
    <s v=" CUST0428 "/>
    <x v="1"/>
    <s v="Meena"/>
    <x v="1"/>
    <s v="Debit card "/>
    <n v="2"/>
    <s v="2"/>
    <n v="4697"/>
    <s v="4697"/>
    <n v="9394"/>
    <x v="0"/>
    <x v="0"/>
    <x v="2"/>
    <s v="Low"/>
    <s v="Online"/>
    <n v="9394"/>
  </r>
  <r>
    <n v="404"/>
    <d v="2024-01-17T19:00:00"/>
    <s v="2024-01-17 19:00:00"/>
    <s v=" North "/>
    <x v="2"/>
    <s v="Grocery"/>
    <x v="3"/>
    <s v="Mixer Grinder"/>
    <s v="Mixer Grinder"/>
    <s v="CUST0038"/>
    <s v=" CUST0038 "/>
    <x v="1"/>
    <s v="Meena"/>
    <x v="1"/>
    <s v="Debit card "/>
    <n v="6"/>
    <s v="6"/>
    <n v="4636"/>
    <s v="4636"/>
    <n v="27816"/>
    <x v="0"/>
    <x v="0"/>
    <x v="2"/>
    <s v="Medium"/>
    <s v="Online"/>
    <n v="27816"/>
  </r>
  <r>
    <n v="405"/>
    <d v="2024-01-17T20:00:00"/>
    <s v="2024-01-17 20:00:00"/>
    <s v=" west"/>
    <x v="1"/>
    <s v="Clothing"/>
    <x v="0"/>
    <s v="Mixer Grinder"/>
    <s v="Mixer Grinder"/>
    <s v="CUST0211"/>
    <s v=" CUST0211 "/>
    <x v="4"/>
    <s v="Karthik"/>
    <x v="3"/>
    <s v=" Net Banking "/>
    <n v="6"/>
    <s v="6"/>
    <n v="425"/>
    <s v="425"/>
    <n v="2550"/>
    <x v="0"/>
    <x v="0"/>
    <x v="2"/>
    <s v="Low"/>
    <s v="Online"/>
    <n v="2550"/>
  </r>
  <r>
    <n v="406"/>
    <d v="2024-01-17T21:00:00"/>
    <s v="2024-01-17 21:00:00"/>
    <s v=" west"/>
    <x v="1"/>
    <s v="Grocery"/>
    <x v="3"/>
    <s v="Mixer Grinder"/>
    <s v="Mixer Grinder"/>
    <s v="CUST0444"/>
    <s v=" CUST0444 "/>
    <x v="1"/>
    <s v="Meena"/>
    <x v="1"/>
    <s v="Debit card "/>
    <n v="10"/>
    <s v="10"/>
    <n v="1865"/>
    <s v="1865"/>
    <n v="18650"/>
    <x v="0"/>
    <x v="0"/>
    <x v="2"/>
    <s v="Low"/>
    <s v="Online"/>
    <n v="18650"/>
  </r>
  <r>
    <n v="407"/>
    <d v="2024-01-17T22:00:00"/>
    <s v="2024-01-17 22:00:00"/>
    <s v="south"/>
    <x v="3"/>
    <s v="Electronics"/>
    <x v="2"/>
    <s v="Mixer Grinder"/>
    <s v="Mixer Grinder"/>
    <s v="CUST0327"/>
    <s v=" CUST0327 "/>
    <x v="4"/>
    <s v="Karthik"/>
    <x v="4"/>
    <s v="Credit Card"/>
    <n v="12"/>
    <s v="12"/>
    <n v="4262"/>
    <s v="4262"/>
    <n v="51144"/>
    <x v="0"/>
    <x v="0"/>
    <x v="2"/>
    <s v="High"/>
    <s v="Online"/>
    <n v="51144"/>
  </r>
  <r>
    <n v="408"/>
    <d v="2024-01-17T23:00:00"/>
    <s v="2024-01-17 23:00:00"/>
    <s v=" west"/>
    <x v="1"/>
    <s v="Clothing"/>
    <x v="0"/>
    <s v="Laptop"/>
    <s v="Laptop"/>
    <s v="CUST0761"/>
    <s v=" CUST0761 "/>
    <x v="3"/>
    <s v="Anita"/>
    <x v="1"/>
    <s v="Debit card "/>
    <n v="5"/>
    <s v="5"/>
    <n v="403"/>
    <s v="403"/>
    <n v="2015"/>
    <x v="0"/>
    <x v="0"/>
    <x v="2"/>
    <s v="Low"/>
    <s v="Online"/>
    <n v="2015"/>
  </r>
  <r>
    <n v="409"/>
    <d v="2024-01-18T00:00:00"/>
    <s v="2024-01-18 00:00:00"/>
    <s v=" west"/>
    <x v="1"/>
    <s v="Clothing"/>
    <x v="0"/>
    <s v="Mixer Grinder"/>
    <s v="Mixer Grinder"/>
    <s v="CUST0227"/>
    <s v=" CUST0227 "/>
    <x v="3"/>
    <s v="Anita"/>
    <x v="2"/>
    <s v="UPI"/>
    <n v="10"/>
    <s v="10"/>
    <n v="4679"/>
    <s v="4679"/>
    <n v="46790"/>
    <x v="0"/>
    <x v="0"/>
    <x v="2"/>
    <s v="Medium"/>
    <s v="Online"/>
    <n v="46790"/>
  </r>
  <r>
    <n v="410"/>
    <d v="2024-01-18T01:00:00"/>
    <s v="2024-01-18 01:00:00"/>
    <s v="south"/>
    <x v="3"/>
    <s v=" Home Appliances "/>
    <x v="1"/>
    <s v="Washing Machine"/>
    <s v="Washing Machine"/>
    <s v="CUST0048"/>
    <s v=" CUST0048 "/>
    <x v="3"/>
    <s v="Anita"/>
    <x v="4"/>
    <s v="Credit Card"/>
    <n v="10"/>
    <s v="10"/>
    <n v="1540"/>
    <s v="1540"/>
    <n v="15400"/>
    <x v="0"/>
    <x v="0"/>
    <x v="2"/>
    <s v="Low"/>
    <s v="Online"/>
    <n v="15400"/>
  </r>
  <r>
    <n v="411"/>
    <d v="2024-01-18T02:00:00"/>
    <s v="2024-01-18 02:00:00"/>
    <s v="EAST"/>
    <x v="0"/>
    <s v="Clothing"/>
    <x v="0"/>
    <s v="Men T-Shirt"/>
    <s v="Men T-Shirt"/>
    <s v="CUST0018"/>
    <s v=" CUST0018 "/>
    <x v="0"/>
    <s v="Rahul"/>
    <x v="0"/>
    <s v=" Cash"/>
    <n v="7"/>
    <s v="7"/>
    <n v="248"/>
    <s v="248"/>
    <n v="1736"/>
    <x v="0"/>
    <x v="0"/>
    <x v="2"/>
    <s v="Low"/>
    <s v="Offline"/>
    <n v="1736"/>
  </r>
  <r>
    <n v="412"/>
    <d v="2024-01-18T03:00:00"/>
    <s v="2024-01-18 03:00:00"/>
    <s v=" west"/>
    <x v="1"/>
    <s v="Clothing"/>
    <x v="0"/>
    <s v="Laptop"/>
    <s v="Laptop"/>
    <s v="CUST0439"/>
    <s v=" CUST0439 "/>
    <x v="0"/>
    <s v="Rahul"/>
    <x v="0"/>
    <s v=" Cash"/>
    <n v="3"/>
    <s v="3"/>
    <n v="3134"/>
    <s v="3134"/>
    <n v="9402"/>
    <x v="0"/>
    <x v="0"/>
    <x v="2"/>
    <s v="Low"/>
    <s v="Offline"/>
    <n v="9402"/>
  </r>
  <r>
    <n v="413"/>
    <d v="2024-01-18T04:00:00"/>
    <s v="2024-01-18 04:00:00"/>
    <s v="south"/>
    <x v="3"/>
    <s v="Electronics"/>
    <x v="2"/>
    <s v="Mixer Grinder"/>
    <s v="Mixer Grinder"/>
    <s v="CUST0708"/>
    <s v=" CUST0708 "/>
    <x v="4"/>
    <s v="Karthik"/>
    <x v="3"/>
    <s v=" Net Banking "/>
    <n v="4"/>
    <s v="4"/>
    <n v="2731"/>
    <s v="2731"/>
    <n v="10924"/>
    <x v="0"/>
    <x v="0"/>
    <x v="2"/>
    <s v="Low"/>
    <s v="Online"/>
    <n v="10924"/>
  </r>
  <r>
    <n v="414"/>
    <d v="2024-01-18T05:00:00"/>
    <s v="2024-01-18 05:00:00"/>
    <s v=" North "/>
    <x v="2"/>
    <s v="Clothing"/>
    <x v="0"/>
    <s v="Led Tv 42Inch"/>
    <s v="LED TV 42inch"/>
    <s v="CUST0187"/>
    <s v=" CUST0187 "/>
    <x v="1"/>
    <s v="Meena"/>
    <x v="3"/>
    <s v=" Net Banking "/>
    <n v="10"/>
    <s v="10"/>
    <n v="195"/>
    <s v="195"/>
    <n v="1950"/>
    <x v="0"/>
    <x v="0"/>
    <x v="2"/>
    <s v="Low"/>
    <s v="Online"/>
    <n v="1950"/>
  </r>
  <r>
    <n v="415"/>
    <d v="2024-01-18T06:00:00"/>
    <s v="2024-01-18 06:00:00"/>
    <s v="EAST"/>
    <x v="0"/>
    <s v="Electronics"/>
    <x v="2"/>
    <s v="Led Tv 42Inch"/>
    <s v="LED TV 42inch"/>
    <s v="CUST0345"/>
    <s v=" CUST0345 "/>
    <x v="1"/>
    <s v="Meena"/>
    <x v="2"/>
    <s v="UPI"/>
    <n v="13"/>
    <s v="13"/>
    <n v="3555"/>
    <s v="3555"/>
    <n v="46215"/>
    <x v="0"/>
    <x v="0"/>
    <x v="2"/>
    <s v="Medium"/>
    <s v="Online"/>
    <n v="46215"/>
  </r>
  <r>
    <n v="416"/>
    <d v="2024-01-18T07:00:00"/>
    <s v="2024-01-18 07:00:00"/>
    <s v=" North "/>
    <x v="2"/>
    <s v="Electronics"/>
    <x v="2"/>
    <s v="Men T-Shirt"/>
    <s v="Men T-Shirt"/>
    <s v="CUST0224"/>
    <s v=" CUST0224 "/>
    <x v="3"/>
    <s v="Anita"/>
    <x v="0"/>
    <s v=" Cash"/>
    <n v="9"/>
    <s v="9"/>
    <n v="4477"/>
    <s v="4477"/>
    <n v="40293"/>
    <x v="0"/>
    <x v="0"/>
    <x v="2"/>
    <s v="Medium"/>
    <s v="Offline"/>
    <n v="40293"/>
  </r>
  <r>
    <n v="417"/>
    <d v="2024-01-18T08:00:00"/>
    <s v="2024-01-18 08:00:00"/>
    <s v=" North "/>
    <x v="2"/>
    <s v="Electronics"/>
    <x v="2"/>
    <s v="Rice 5Kg"/>
    <s v="Rice 5kg"/>
    <s v="CUST0488"/>
    <s v=" CUST0488 "/>
    <x v="2"/>
    <s v="Suresh"/>
    <x v="0"/>
    <s v=" Cash"/>
    <n v="4"/>
    <s v="4"/>
    <n v="2469"/>
    <s v="2469"/>
    <n v="9876"/>
    <x v="0"/>
    <x v="0"/>
    <x v="2"/>
    <s v="Low"/>
    <s v="Offline"/>
    <n v="9876"/>
  </r>
  <r>
    <n v="418"/>
    <d v="2024-01-18T09:00:00"/>
    <s v="2024-01-18 09:00:00"/>
    <s v="south"/>
    <x v="3"/>
    <s v="Electronics"/>
    <x v="2"/>
    <s v="Rice 5Kg"/>
    <s v="Rice 5kg"/>
    <s v="CUST0229"/>
    <s v=" CUST0229 "/>
    <x v="0"/>
    <s v="Rahul"/>
    <x v="0"/>
    <s v=" Cash"/>
    <n v="3"/>
    <s v="3"/>
    <n v="3567"/>
    <s v="3567"/>
    <n v="10701"/>
    <x v="0"/>
    <x v="0"/>
    <x v="2"/>
    <s v="Low"/>
    <s v="Offline"/>
    <n v="10701"/>
  </r>
  <r>
    <n v="419"/>
    <d v="2024-01-18T10:00:00"/>
    <s v="2024-01-18 10:00:00"/>
    <s v=" west"/>
    <x v="1"/>
    <s v="Grocery"/>
    <x v="3"/>
    <s v="Laptop"/>
    <s v="Laptop"/>
    <s v="CUST0390"/>
    <s v=" CUST0390 "/>
    <x v="0"/>
    <s v="Rahul"/>
    <x v="0"/>
    <s v=" Cash"/>
    <n v="14"/>
    <s v="14"/>
    <n v="628"/>
    <s v="628"/>
    <n v="8792"/>
    <x v="0"/>
    <x v="0"/>
    <x v="2"/>
    <s v="Low"/>
    <s v="Offline"/>
    <n v="8792"/>
  </r>
  <r>
    <n v="420"/>
    <d v="2024-01-18T11:00:00"/>
    <s v="2024-01-18 11:00:00"/>
    <s v="south"/>
    <x v="3"/>
    <s v=" Home Appliances "/>
    <x v="1"/>
    <s v="Laptop"/>
    <s v="Laptop"/>
    <s v="CUST0589"/>
    <s v=" CUST0589 "/>
    <x v="3"/>
    <s v="Anita"/>
    <x v="1"/>
    <s v="Debit card "/>
    <n v="2"/>
    <s v="2"/>
    <n v="2410"/>
    <s v="2410"/>
    <n v="4820"/>
    <x v="0"/>
    <x v="0"/>
    <x v="2"/>
    <s v="Low"/>
    <s v="Online"/>
    <n v="4820"/>
  </r>
  <r>
    <n v="421"/>
    <d v="2024-01-18T12:00:00"/>
    <s v="2024-01-18 12:00:00"/>
    <s v="south"/>
    <x v="3"/>
    <s v="Grocery"/>
    <x v="3"/>
    <s v="Laptop"/>
    <s v="Laptop"/>
    <s v="CUST0188"/>
    <s v=" CUST0188 "/>
    <x v="0"/>
    <s v="Rahul"/>
    <x v="4"/>
    <s v="Credit Card"/>
    <n v="5"/>
    <s v="5"/>
    <n v="4775"/>
    <s v="4775"/>
    <n v="23875"/>
    <x v="0"/>
    <x v="0"/>
    <x v="2"/>
    <s v="Medium"/>
    <s v="Online"/>
    <n v="23875"/>
  </r>
  <r>
    <n v="422"/>
    <d v="2024-01-18T13:00:00"/>
    <s v="2024-01-18 13:00:00"/>
    <s v="south"/>
    <x v="3"/>
    <s v="Clothing"/>
    <x v="0"/>
    <s v="Rice 5Kg"/>
    <s v="Rice 5kg"/>
    <s v="CUST0270"/>
    <s v=" CUST0270 "/>
    <x v="3"/>
    <s v="Anita"/>
    <x v="4"/>
    <s v="Credit Card"/>
    <n v="4"/>
    <s v="4"/>
    <n v="1763"/>
    <s v="1763"/>
    <n v="7052"/>
    <x v="0"/>
    <x v="0"/>
    <x v="2"/>
    <s v="Low"/>
    <s v="Online"/>
    <n v="7052"/>
  </r>
  <r>
    <n v="423"/>
    <d v="2024-01-18T14:00:00"/>
    <s v="2024-01-18 14:00:00"/>
    <s v="south"/>
    <x v="3"/>
    <s v="Grocery"/>
    <x v="3"/>
    <s v="Led Tv 42Inch"/>
    <s v="LED TV 42inch"/>
    <s v="CUST0607"/>
    <s v=" CUST0607 "/>
    <x v="4"/>
    <s v="Karthik"/>
    <x v="2"/>
    <s v="UPI"/>
    <n v="13"/>
    <s v="13"/>
    <n v="3464"/>
    <s v="3464"/>
    <n v="45032"/>
    <x v="0"/>
    <x v="0"/>
    <x v="2"/>
    <s v="Medium"/>
    <s v="Online"/>
    <n v="45032"/>
  </r>
  <r>
    <n v="424"/>
    <d v="2024-01-18T15:00:00"/>
    <s v="2024-01-18 15:00:00"/>
    <s v="EAST"/>
    <x v="0"/>
    <s v="Grocery"/>
    <x v="3"/>
    <s v="Rice 5Kg"/>
    <s v="Rice 5kg"/>
    <s v="CUST0310"/>
    <s v=" CUST0310 "/>
    <x v="1"/>
    <s v="Meena"/>
    <x v="1"/>
    <s v="Debit card "/>
    <n v="13"/>
    <s v="13"/>
    <n v="2441"/>
    <s v="2441"/>
    <n v="31733"/>
    <x v="0"/>
    <x v="0"/>
    <x v="2"/>
    <s v="Medium"/>
    <s v="Online"/>
    <n v="31733"/>
  </r>
  <r>
    <n v="425"/>
    <d v="2024-01-18T16:00:00"/>
    <s v="2024-01-18 16:00:00"/>
    <s v=" west"/>
    <x v="1"/>
    <s v="Clothing"/>
    <x v="0"/>
    <s v="Washing Machine"/>
    <s v="Washing Machine"/>
    <s v="CUST0132"/>
    <s v=" CUST0132 "/>
    <x v="2"/>
    <s v="Suresh"/>
    <x v="0"/>
    <s v=" Cash"/>
    <n v="8"/>
    <s v="8"/>
    <n v="792"/>
    <s v="792"/>
    <n v="6336"/>
    <x v="0"/>
    <x v="0"/>
    <x v="2"/>
    <s v="Low"/>
    <s v="Offline"/>
    <n v="6336"/>
  </r>
  <r>
    <n v="426"/>
    <d v="2024-01-18T17:00:00"/>
    <s v="2024-01-18 17:00:00"/>
    <s v=" North "/>
    <x v="2"/>
    <s v="Clothing"/>
    <x v="0"/>
    <s v="Mixer Grinder"/>
    <s v="Mixer Grinder"/>
    <s v="CUST0551"/>
    <s v=" CUST0551 "/>
    <x v="1"/>
    <s v="Meena"/>
    <x v="0"/>
    <s v=" Cash"/>
    <n v="7"/>
    <s v="7"/>
    <n v="4430"/>
    <s v="4430"/>
    <n v="31010"/>
    <x v="0"/>
    <x v="0"/>
    <x v="2"/>
    <s v="Medium"/>
    <s v="Offline"/>
    <n v="31010"/>
  </r>
  <r>
    <n v="427"/>
    <d v="2024-01-18T18:00:00"/>
    <s v="2024-01-18 18:00:00"/>
    <s v=" North "/>
    <x v="2"/>
    <s v="Clothing"/>
    <x v="0"/>
    <s v="Laptop"/>
    <s v="Laptop"/>
    <s v="CUST0072"/>
    <s v=" CUST0072 "/>
    <x v="1"/>
    <s v="Meena"/>
    <x v="3"/>
    <s v=" Net Banking "/>
    <n v="6"/>
    <s v="6"/>
    <n v="1051"/>
    <s v="1051"/>
    <n v="6306"/>
    <x v="0"/>
    <x v="0"/>
    <x v="2"/>
    <s v="Low"/>
    <s v="Online"/>
    <n v="6306"/>
  </r>
  <r>
    <n v="428"/>
    <d v="2024-01-18T19:00:00"/>
    <s v="2024-01-18 19:00:00"/>
    <s v=" west"/>
    <x v="1"/>
    <s v="Grocery"/>
    <x v="3"/>
    <s v="Led Tv 42Inch"/>
    <s v="LED TV 42inch"/>
    <s v="CUST0793"/>
    <s v=" CUST0793 "/>
    <x v="4"/>
    <s v="Karthik"/>
    <x v="3"/>
    <s v=" Net Banking "/>
    <n v="11"/>
    <s v="11"/>
    <n v="1460"/>
    <s v="1460"/>
    <n v="16060"/>
    <x v="0"/>
    <x v="0"/>
    <x v="2"/>
    <s v="Low"/>
    <s v="Online"/>
    <n v="16060"/>
  </r>
  <r>
    <n v="429"/>
    <d v="2024-01-18T20:00:00"/>
    <s v="2024-01-18 20:00:00"/>
    <s v=" North "/>
    <x v="2"/>
    <s v="Grocery"/>
    <x v="3"/>
    <s v="Men T-Shirt"/>
    <s v="Men T-Shirt"/>
    <s v="CUST0672"/>
    <s v=" CUST0672 "/>
    <x v="0"/>
    <s v="Rahul"/>
    <x v="2"/>
    <s v="UPI"/>
    <n v="12"/>
    <s v="12"/>
    <n v="638"/>
    <s v="638"/>
    <n v="7656"/>
    <x v="0"/>
    <x v="0"/>
    <x v="2"/>
    <s v="Low"/>
    <s v="Online"/>
    <n v="7656"/>
  </r>
  <r>
    <n v="430"/>
    <d v="2024-01-18T21:00:00"/>
    <s v="2024-01-18 21:00:00"/>
    <s v=" west"/>
    <x v="1"/>
    <s v="Clothing"/>
    <x v="0"/>
    <s v="Men T-Shirt"/>
    <s v="Men T-Shirt"/>
    <s v="CUST0187"/>
    <s v=" CUST0187 "/>
    <x v="2"/>
    <s v="Suresh"/>
    <x v="0"/>
    <s v=" Cash"/>
    <n v="2"/>
    <s v="2"/>
    <n v="919"/>
    <s v="919"/>
    <n v="1838"/>
    <x v="0"/>
    <x v="0"/>
    <x v="2"/>
    <s v="Low"/>
    <s v="Offline"/>
    <n v="1838"/>
  </r>
  <r>
    <n v="431"/>
    <d v="2024-01-18T22:00:00"/>
    <s v="2024-01-18 22:00:00"/>
    <s v=" North "/>
    <x v="2"/>
    <s v=" Home Appliances "/>
    <x v="1"/>
    <s v="Mixer Grinder"/>
    <s v="Mixer Grinder"/>
    <s v="CUST0486"/>
    <s v=" CUST0486 "/>
    <x v="0"/>
    <s v="Rahul"/>
    <x v="2"/>
    <s v="UPI"/>
    <n v="3"/>
    <s v="3"/>
    <n v="3262"/>
    <s v="3262"/>
    <n v="9786"/>
    <x v="0"/>
    <x v="0"/>
    <x v="2"/>
    <s v="Low"/>
    <s v="Online"/>
    <n v="9786"/>
  </r>
  <r>
    <n v="432"/>
    <d v="2024-01-18T23:00:00"/>
    <s v="2024-01-18 23:00:00"/>
    <s v="south"/>
    <x v="3"/>
    <s v=" Home Appliances "/>
    <x v="1"/>
    <s v="Led Tv 42Inch"/>
    <s v="LED TV 42inch"/>
    <s v="CUST0191"/>
    <s v=" CUST0191 "/>
    <x v="1"/>
    <s v="Meena"/>
    <x v="1"/>
    <s v="Debit card "/>
    <n v="10"/>
    <s v="10"/>
    <n v="4025"/>
    <s v="4025"/>
    <n v="40250"/>
    <x v="0"/>
    <x v="0"/>
    <x v="2"/>
    <s v="Medium"/>
    <s v="Online"/>
    <n v="40250"/>
  </r>
  <r>
    <n v="433"/>
    <d v="2024-01-19T00:00:00"/>
    <s v="2024-01-19 00:00:00"/>
    <s v=" North "/>
    <x v="2"/>
    <s v="Electronics"/>
    <x v="2"/>
    <s v="Rice 5Kg"/>
    <s v="Rice 5kg"/>
    <s v="CUST0422"/>
    <s v=" CUST0422 "/>
    <x v="3"/>
    <s v="Anita"/>
    <x v="4"/>
    <s v="Credit Card"/>
    <n v="9"/>
    <s v="9"/>
    <n v="371"/>
    <s v="371"/>
    <n v="3339"/>
    <x v="0"/>
    <x v="0"/>
    <x v="2"/>
    <s v="Low"/>
    <s v="Online"/>
    <n v="3339"/>
  </r>
  <r>
    <n v="434"/>
    <d v="2024-01-19T01:00:00"/>
    <s v="2024-01-19 01:00:00"/>
    <s v=" west"/>
    <x v="1"/>
    <s v="Clothing"/>
    <x v="0"/>
    <s v="Rice 5Kg"/>
    <s v="Rice 5kg"/>
    <s v="CUST0120"/>
    <s v=" CUST0120 "/>
    <x v="1"/>
    <s v="Meena"/>
    <x v="0"/>
    <s v=" Cash"/>
    <n v="13"/>
    <s v="13"/>
    <n v="1128"/>
    <s v="1128"/>
    <n v="14664"/>
    <x v="0"/>
    <x v="0"/>
    <x v="2"/>
    <s v="Low"/>
    <s v="Offline"/>
    <n v="14664"/>
  </r>
  <r>
    <n v="435"/>
    <d v="2024-01-19T02:00:00"/>
    <s v="2024-01-19 02:00:00"/>
    <s v=" west"/>
    <x v="1"/>
    <s v="Electronics"/>
    <x v="2"/>
    <s v="Washing Machine"/>
    <s v="Washing Machine"/>
    <s v="CUST0220"/>
    <s v=" CUST0220 "/>
    <x v="0"/>
    <s v="Rahul"/>
    <x v="1"/>
    <s v="Debit card "/>
    <n v="9"/>
    <s v="9"/>
    <n v="3765"/>
    <s v="3765"/>
    <n v="33885"/>
    <x v="0"/>
    <x v="0"/>
    <x v="2"/>
    <s v="Medium"/>
    <s v="Online"/>
    <n v="33885"/>
  </r>
  <r>
    <n v="436"/>
    <d v="2024-01-19T03:00:00"/>
    <s v="2024-01-19 03:00:00"/>
    <s v=" west"/>
    <x v="1"/>
    <s v=" Home Appliances "/>
    <x v="1"/>
    <s v="Washing Machine"/>
    <s v="Washing Machine"/>
    <s v="CUST0053"/>
    <s v=" CUST0053 "/>
    <x v="1"/>
    <s v="Meena"/>
    <x v="0"/>
    <s v=" Cash"/>
    <n v="5"/>
    <s v="5"/>
    <n v="1342"/>
    <s v="1342"/>
    <n v="6710"/>
    <x v="0"/>
    <x v="0"/>
    <x v="2"/>
    <s v="Low"/>
    <s v="Offline"/>
    <n v="6710"/>
  </r>
  <r>
    <n v="437"/>
    <d v="2024-01-19T04:00:00"/>
    <s v="2024-01-19 04:00:00"/>
    <s v=" west"/>
    <x v="1"/>
    <s v="Electronics"/>
    <x v="2"/>
    <s v="Rice 5Kg"/>
    <s v="Rice 5kg"/>
    <s v="CUST0734"/>
    <s v=" CUST0734 "/>
    <x v="3"/>
    <s v="Anita"/>
    <x v="3"/>
    <s v=" Net Banking "/>
    <n v="14"/>
    <s v="14"/>
    <n v="1241"/>
    <s v="1241"/>
    <n v="17374"/>
    <x v="0"/>
    <x v="0"/>
    <x v="2"/>
    <s v="Low"/>
    <s v="Online"/>
    <n v="17374"/>
  </r>
  <r>
    <n v="438"/>
    <d v="2024-01-19T05:00:00"/>
    <s v="2024-01-19 05:00:00"/>
    <s v=" west"/>
    <x v="1"/>
    <s v="Clothing"/>
    <x v="0"/>
    <s v="Men T-Shirt"/>
    <s v="Men T-Shirt"/>
    <s v="CUST0451"/>
    <s v=" CUST0451 "/>
    <x v="4"/>
    <s v="Karthik"/>
    <x v="2"/>
    <s v="UPI"/>
    <n v="3"/>
    <s v="3"/>
    <n v="692"/>
    <s v="692"/>
    <n v="2076"/>
    <x v="0"/>
    <x v="0"/>
    <x v="2"/>
    <s v="Low"/>
    <s v="Online"/>
    <n v="2076"/>
  </r>
  <r>
    <n v="439"/>
    <d v="2024-01-19T06:00:00"/>
    <s v="2024-01-19 06:00:00"/>
    <s v="EAST"/>
    <x v="0"/>
    <s v="Clothing"/>
    <x v="0"/>
    <s v="Laptop"/>
    <s v="Laptop"/>
    <s v="CUST0412"/>
    <s v=" CUST0412 "/>
    <x v="0"/>
    <s v="Rahul"/>
    <x v="3"/>
    <s v=" Net Banking "/>
    <n v="2"/>
    <s v="2"/>
    <n v="1705"/>
    <s v="1705"/>
    <n v="3410"/>
    <x v="0"/>
    <x v="0"/>
    <x v="2"/>
    <s v="Low"/>
    <s v="Online"/>
    <n v="3410"/>
  </r>
  <r>
    <n v="440"/>
    <d v="2024-01-19T07:00:00"/>
    <s v="2024-01-19 07:00:00"/>
    <s v="EAST"/>
    <x v="0"/>
    <s v="Clothing"/>
    <x v="0"/>
    <s v="Men T-Shirt"/>
    <s v="Men T-Shirt"/>
    <s v="CUST0643"/>
    <s v=" CUST0643 "/>
    <x v="1"/>
    <s v="Meena"/>
    <x v="4"/>
    <s v="Credit Card"/>
    <n v="8"/>
    <s v="8"/>
    <n v="4310"/>
    <s v="4310"/>
    <n v="34480"/>
    <x v="0"/>
    <x v="0"/>
    <x v="2"/>
    <s v="Medium"/>
    <s v="Online"/>
    <n v="34480"/>
  </r>
  <r>
    <n v="441"/>
    <d v="2024-01-19T08:00:00"/>
    <s v="2024-01-19 08:00:00"/>
    <s v=" North "/>
    <x v="2"/>
    <s v="Grocery"/>
    <x v="3"/>
    <s v="Washing Machine"/>
    <s v="Washing Machine"/>
    <s v="CUST0237"/>
    <s v=" CUST0237 "/>
    <x v="0"/>
    <s v="Rahul"/>
    <x v="3"/>
    <s v=" Net Banking "/>
    <n v="6"/>
    <s v="6"/>
    <n v="3477"/>
    <s v="3477"/>
    <n v="20862"/>
    <x v="0"/>
    <x v="0"/>
    <x v="2"/>
    <s v="Medium"/>
    <s v="Online"/>
    <n v="20862"/>
  </r>
  <r>
    <n v="442"/>
    <d v="2024-01-19T09:00:00"/>
    <s v="2024-01-19 09:00:00"/>
    <s v=" west"/>
    <x v="1"/>
    <s v="Electronics"/>
    <x v="2"/>
    <s v="Mixer Grinder"/>
    <s v="Mixer Grinder"/>
    <s v="CUST0758"/>
    <s v=" CUST0758 "/>
    <x v="4"/>
    <s v="Karthik"/>
    <x v="0"/>
    <s v=" Cash"/>
    <n v="10"/>
    <s v="10"/>
    <n v="4171"/>
    <s v="4171"/>
    <n v="41710"/>
    <x v="0"/>
    <x v="0"/>
    <x v="2"/>
    <s v="Medium"/>
    <s v="Offline"/>
    <n v="41710"/>
  </r>
  <r>
    <n v="443"/>
    <d v="2024-01-19T10:00:00"/>
    <s v="2024-01-19 10:00:00"/>
    <s v=" North "/>
    <x v="2"/>
    <s v=" Home Appliances "/>
    <x v="1"/>
    <s v="Rice 5Kg"/>
    <s v="Rice 5kg"/>
    <s v="CUST0738"/>
    <s v=" CUST0738 "/>
    <x v="1"/>
    <s v="Meena"/>
    <x v="3"/>
    <s v=" Net Banking "/>
    <n v="11"/>
    <s v="11"/>
    <n v="4402"/>
    <s v="4402"/>
    <n v="48422"/>
    <x v="0"/>
    <x v="0"/>
    <x v="2"/>
    <s v="Medium"/>
    <s v="Online"/>
    <n v="48422"/>
  </r>
  <r>
    <n v="444"/>
    <d v="2024-01-19T11:00:00"/>
    <s v="2024-01-19 11:00:00"/>
    <s v=" west"/>
    <x v="1"/>
    <s v=" Home Appliances "/>
    <x v="1"/>
    <s v="Washing Machine"/>
    <s v="Washing Machine"/>
    <s v="CUST0720"/>
    <s v=" CUST0720 "/>
    <x v="1"/>
    <s v="Meena"/>
    <x v="0"/>
    <s v=" Cash"/>
    <n v="12"/>
    <s v="12"/>
    <n v="3794"/>
    <s v="3794"/>
    <n v="45528"/>
    <x v="0"/>
    <x v="0"/>
    <x v="2"/>
    <s v="Medium"/>
    <s v="Offline"/>
    <n v="45528"/>
  </r>
  <r>
    <n v="445"/>
    <d v="2024-01-19T12:00:00"/>
    <s v="2024-01-19 12:00:00"/>
    <s v=" west"/>
    <x v="1"/>
    <s v=" Home Appliances "/>
    <x v="1"/>
    <s v="Washing Machine"/>
    <s v="Washing Machine"/>
    <s v="CUST0406"/>
    <s v=" CUST0406 "/>
    <x v="0"/>
    <s v="Rahul"/>
    <x v="4"/>
    <s v="Credit Card"/>
    <n v="7"/>
    <s v="7"/>
    <n v="2450"/>
    <s v="2450"/>
    <n v="17150"/>
    <x v="0"/>
    <x v="0"/>
    <x v="2"/>
    <s v="Low"/>
    <s v="Online"/>
    <n v="17150"/>
  </r>
  <r>
    <n v="446"/>
    <d v="2024-01-19T13:00:00"/>
    <s v="2024-01-19 13:00:00"/>
    <s v="EAST"/>
    <x v="0"/>
    <s v="Grocery"/>
    <x v="3"/>
    <s v="Laptop"/>
    <s v="Laptop"/>
    <s v="CUST0608"/>
    <s v=" CUST0608 "/>
    <x v="0"/>
    <s v="Rahul"/>
    <x v="3"/>
    <s v=" Net Banking "/>
    <n v="1"/>
    <s v="1"/>
    <n v="4307"/>
    <s v="4307"/>
    <n v="4307"/>
    <x v="0"/>
    <x v="0"/>
    <x v="2"/>
    <s v="Low"/>
    <s v="Online"/>
    <n v="4307"/>
  </r>
  <r>
    <n v="447"/>
    <d v="2024-01-19T14:00:00"/>
    <s v="2024-01-19 14:00:00"/>
    <s v="EAST"/>
    <x v="0"/>
    <s v="Grocery"/>
    <x v="3"/>
    <s v="Rice 5Kg"/>
    <s v="Rice 5kg"/>
    <s v="CUST0422"/>
    <s v=" CUST0422 "/>
    <x v="3"/>
    <s v="Anita"/>
    <x v="2"/>
    <s v="UPI"/>
    <n v="1"/>
    <s v="1"/>
    <n v="1540"/>
    <s v="1540"/>
    <n v="1540"/>
    <x v="0"/>
    <x v="0"/>
    <x v="2"/>
    <s v="Low"/>
    <s v="Online"/>
    <n v="1540"/>
  </r>
  <r>
    <n v="448"/>
    <d v="2024-01-19T15:00:00"/>
    <s v="2024-01-19 15:00:00"/>
    <s v="south"/>
    <x v="3"/>
    <s v="Clothing"/>
    <x v="0"/>
    <s v="Laptop"/>
    <s v="Laptop"/>
    <s v="CUST0712"/>
    <s v=" CUST0712 "/>
    <x v="4"/>
    <s v="Karthik"/>
    <x v="2"/>
    <s v="UPI"/>
    <n v="10"/>
    <s v="10"/>
    <n v="3726"/>
    <s v="3726"/>
    <n v="37260"/>
    <x v="0"/>
    <x v="0"/>
    <x v="2"/>
    <s v="Medium"/>
    <s v="Online"/>
    <n v="37260"/>
  </r>
  <r>
    <n v="449"/>
    <d v="2024-01-19T16:00:00"/>
    <s v="2024-01-19 16:00:00"/>
    <s v="EAST"/>
    <x v="0"/>
    <s v=" Home Appliances "/>
    <x v="1"/>
    <s v="Rice 5Kg"/>
    <s v="Rice 5kg"/>
    <s v="CUST0247"/>
    <s v=" CUST0247 "/>
    <x v="3"/>
    <s v="Anita"/>
    <x v="2"/>
    <s v="UPI"/>
    <n v="2"/>
    <s v="2"/>
    <n v="1982"/>
    <s v="1982"/>
    <n v="3964"/>
    <x v="0"/>
    <x v="0"/>
    <x v="2"/>
    <s v="Low"/>
    <s v="Online"/>
    <n v="3964"/>
  </r>
  <r>
    <n v="450"/>
    <d v="2024-01-19T17:00:00"/>
    <s v="2024-01-19 17:00:00"/>
    <s v="south"/>
    <x v="3"/>
    <s v="Grocery"/>
    <x v="3"/>
    <s v="Laptop"/>
    <s v="Laptop"/>
    <s v="CUST0072"/>
    <s v=" CUST0072 "/>
    <x v="1"/>
    <s v="Meena"/>
    <x v="3"/>
    <s v=" Net Banking "/>
    <n v="10"/>
    <s v="10"/>
    <n v="3811"/>
    <s v="3811"/>
    <n v="38110"/>
    <x v="0"/>
    <x v="0"/>
    <x v="2"/>
    <s v="Medium"/>
    <s v="Online"/>
    <n v="38110"/>
  </r>
  <r>
    <n v="451"/>
    <d v="2024-01-19T18:00:00"/>
    <s v="2024-01-19 18:00:00"/>
    <s v="south"/>
    <x v="3"/>
    <s v="Clothing"/>
    <x v="0"/>
    <s v="Men T-Shirt"/>
    <s v="Men T-Shirt"/>
    <s v="CUST0185"/>
    <s v=" CUST0185 "/>
    <x v="0"/>
    <s v="Rahul"/>
    <x v="3"/>
    <s v=" Net Banking "/>
    <n v="3"/>
    <s v="3"/>
    <n v="284"/>
    <s v="284"/>
    <n v="852"/>
    <x v="0"/>
    <x v="0"/>
    <x v="2"/>
    <s v="Low"/>
    <s v="Online"/>
    <n v="852"/>
  </r>
  <r>
    <n v="452"/>
    <d v="2024-01-19T19:00:00"/>
    <s v="2024-01-19 19:00:00"/>
    <s v="south"/>
    <x v="3"/>
    <s v=" Home Appliances "/>
    <x v="1"/>
    <s v="Mixer Grinder"/>
    <s v="Mixer Grinder"/>
    <s v="CUST0006"/>
    <s v=" CUST0006 "/>
    <x v="1"/>
    <s v="Meena"/>
    <x v="3"/>
    <s v=" Net Banking "/>
    <n v="12"/>
    <s v="12"/>
    <n v="320"/>
    <s v="320"/>
    <n v="3840"/>
    <x v="0"/>
    <x v="0"/>
    <x v="2"/>
    <s v="Low"/>
    <s v="Online"/>
    <n v="3840"/>
  </r>
  <r>
    <n v="453"/>
    <d v="2024-01-19T20:00:00"/>
    <s v="2024-01-19 20:00:00"/>
    <s v="south"/>
    <x v="3"/>
    <s v="Electronics"/>
    <x v="2"/>
    <s v="Mixer Grinder"/>
    <s v="Mixer Grinder"/>
    <s v="CUST0206"/>
    <s v=" CUST0206 "/>
    <x v="1"/>
    <s v="Meena"/>
    <x v="0"/>
    <s v=" Cash"/>
    <n v="1"/>
    <s v="1"/>
    <n v="3288"/>
    <s v="3288"/>
    <n v="3288"/>
    <x v="0"/>
    <x v="0"/>
    <x v="2"/>
    <s v="Low"/>
    <s v="Offline"/>
    <n v="3288"/>
  </r>
  <r>
    <n v="454"/>
    <d v="2024-01-19T21:00:00"/>
    <s v="2024-01-19 21:00:00"/>
    <s v="south"/>
    <x v="3"/>
    <s v="Clothing"/>
    <x v="0"/>
    <s v="Rice 5Kg"/>
    <s v="Rice 5kg"/>
    <s v="CUST0544"/>
    <s v=" CUST0544 "/>
    <x v="2"/>
    <s v="Suresh"/>
    <x v="4"/>
    <s v="Credit Card"/>
    <n v="14"/>
    <s v="14"/>
    <n v="1193"/>
    <s v="1193"/>
    <n v="16702"/>
    <x v="0"/>
    <x v="0"/>
    <x v="2"/>
    <s v="Low"/>
    <s v="Online"/>
    <n v="16702"/>
  </r>
  <r>
    <n v="455"/>
    <d v="2024-01-19T22:00:00"/>
    <s v="2024-01-19 22:00:00"/>
    <s v=" North "/>
    <x v="2"/>
    <s v="Grocery"/>
    <x v="3"/>
    <s v="Led Tv 42Inch"/>
    <s v="LED TV 42inch"/>
    <s v="CUST0611"/>
    <s v=" CUST0611 "/>
    <x v="2"/>
    <s v="Suresh"/>
    <x v="2"/>
    <s v="UPI"/>
    <n v="5"/>
    <s v="5"/>
    <n v="3045"/>
    <s v="3045"/>
    <n v="15225"/>
    <x v="0"/>
    <x v="0"/>
    <x v="2"/>
    <s v="Low"/>
    <s v="Online"/>
    <n v="15225"/>
  </r>
  <r>
    <n v="456"/>
    <d v="2024-01-19T23:00:00"/>
    <s v="2024-01-19 23:00:00"/>
    <s v="EAST"/>
    <x v="0"/>
    <s v="Grocery"/>
    <x v="3"/>
    <s v="Washing Machine"/>
    <s v="Washing Machine"/>
    <s v="CUST0387"/>
    <s v=" CUST0387 "/>
    <x v="1"/>
    <s v="Meena"/>
    <x v="0"/>
    <s v=" Cash"/>
    <n v="3"/>
    <s v="3"/>
    <n v="2574"/>
    <s v="2574"/>
    <n v="7722"/>
    <x v="0"/>
    <x v="0"/>
    <x v="2"/>
    <s v="Low"/>
    <s v="Offline"/>
    <n v="7722"/>
  </r>
  <r>
    <n v="457"/>
    <d v="2024-01-20T00:00:00"/>
    <s v="2024-01-20 00:00:00"/>
    <s v="south"/>
    <x v="3"/>
    <s v="Clothing"/>
    <x v="0"/>
    <s v="Washing Machine"/>
    <s v="Washing Machine"/>
    <s v="CUST0768"/>
    <s v=" CUST0768 "/>
    <x v="0"/>
    <s v="Rahul"/>
    <x v="2"/>
    <s v="UPI"/>
    <n v="1"/>
    <s v="1"/>
    <n v="2715"/>
    <s v="2715"/>
    <n v="2715"/>
    <x v="0"/>
    <x v="0"/>
    <x v="2"/>
    <s v="Low"/>
    <s v="Online"/>
    <n v="2715"/>
  </r>
  <r>
    <n v="458"/>
    <d v="2024-01-20T01:00:00"/>
    <s v="2024-01-20 01:00:00"/>
    <s v=" west"/>
    <x v="1"/>
    <s v="Clothing"/>
    <x v="0"/>
    <s v="Rice 5Kg"/>
    <s v="Rice 5kg"/>
    <s v="CUST0699"/>
    <s v=" CUST0699 "/>
    <x v="1"/>
    <s v="Meena"/>
    <x v="0"/>
    <s v=" Cash"/>
    <n v="8"/>
    <s v="8"/>
    <n v="2112"/>
    <s v="2112"/>
    <n v="16896"/>
    <x v="0"/>
    <x v="0"/>
    <x v="2"/>
    <s v="Low"/>
    <s v="Offline"/>
    <n v="16896"/>
  </r>
  <r>
    <n v="459"/>
    <d v="2024-01-20T02:00:00"/>
    <s v="2024-01-20 02:00:00"/>
    <s v="EAST"/>
    <x v="0"/>
    <s v="Grocery"/>
    <x v="3"/>
    <s v="Laptop"/>
    <s v="Laptop"/>
    <s v="CUST0076"/>
    <s v=" CUST0076 "/>
    <x v="2"/>
    <s v="Suresh"/>
    <x v="3"/>
    <s v=" Net Banking "/>
    <n v="12"/>
    <s v="12"/>
    <n v="2590"/>
    <s v="2590"/>
    <n v="31080"/>
    <x v="0"/>
    <x v="0"/>
    <x v="2"/>
    <s v="Medium"/>
    <s v="Online"/>
    <n v="31080"/>
  </r>
  <r>
    <n v="460"/>
    <d v="2024-01-20T03:00:00"/>
    <s v="2024-01-20 03:00:00"/>
    <s v="EAST"/>
    <x v="0"/>
    <s v="Electronics"/>
    <x v="2"/>
    <s v="Led Tv 42Inch"/>
    <s v="LED TV 42inch"/>
    <s v="CUST0177"/>
    <s v=" CUST0177 "/>
    <x v="0"/>
    <s v="Rahul"/>
    <x v="2"/>
    <s v="UPI"/>
    <n v="11"/>
    <s v="11"/>
    <n v="700"/>
    <s v="700"/>
    <n v="7700"/>
    <x v="0"/>
    <x v="0"/>
    <x v="2"/>
    <s v="Low"/>
    <s v="Online"/>
    <n v="7700"/>
  </r>
  <r>
    <n v="461"/>
    <d v="2024-01-20T04:00:00"/>
    <s v="2024-01-20 04:00:00"/>
    <s v="south"/>
    <x v="3"/>
    <s v=" Home Appliances "/>
    <x v="1"/>
    <s v="Men T-Shirt"/>
    <s v="Men T-Shirt"/>
    <s v="CUST0799"/>
    <s v=" CUST0799 "/>
    <x v="1"/>
    <s v="Meena"/>
    <x v="3"/>
    <s v=" Net Banking "/>
    <n v="6"/>
    <s v="6"/>
    <n v="1260"/>
    <s v="1260"/>
    <n v="7560"/>
    <x v="0"/>
    <x v="0"/>
    <x v="2"/>
    <s v="Low"/>
    <s v="Online"/>
    <n v="7560"/>
  </r>
  <r>
    <n v="462"/>
    <d v="2024-01-20T05:00:00"/>
    <s v="2024-01-20 05:00:00"/>
    <s v=" North "/>
    <x v="2"/>
    <s v="Electronics"/>
    <x v="2"/>
    <s v="Laptop"/>
    <s v="Laptop"/>
    <s v="CUST0349"/>
    <s v=" CUST0349 "/>
    <x v="4"/>
    <s v="Karthik"/>
    <x v="2"/>
    <s v="UPI"/>
    <n v="9"/>
    <s v="9"/>
    <n v="4699"/>
    <s v="4699"/>
    <n v="42291"/>
    <x v="0"/>
    <x v="0"/>
    <x v="2"/>
    <s v="Medium"/>
    <s v="Online"/>
    <n v="42291"/>
  </r>
  <r>
    <n v="463"/>
    <d v="2024-01-20T06:00:00"/>
    <s v="2024-01-20 06:00:00"/>
    <s v="south"/>
    <x v="3"/>
    <s v="Clothing"/>
    <x v="0"/>
    <s v="Laptop"/>
    <s v="Laptop"/>
    <s v="CUST0255"/>
    <s v=" CUST0255 "/>
    <x v="4"/>
    <s v="Karthik"/>
    <x v="1"/>
    <s v="Debit card "/>
    <n v="3"/>
    <s v="3"/>
    <n v="4413"/>
    <s v="4413"/>
    <n v="13239"/>
    <x v="0"/>
    <x v="0"/>
    <x v="2"/>
    <s v="Low"/>
    <s v="Online"/>
    <n v="13239"/>
  </r>
  <r>
    <n v="464"/>
    <d v="2024-01-20T07:00:00"/>
    <s v="2024-01-20 07:00:00"/>
    <s v=" North "/>
    <x v="2"/>
    <s v="Electronics"/>
    <x v="2"/>
    <s v="Rice 5Kg"/>
    <s v="Rice 5kg"/>
    <s v="CUST0702"/>
    <s v=" CUST0702 "/>
    <x v="1"/>
    <s v="Meena"/>
    <x v="0"/>
    <s v=" Cash"/>
    <n v="9"/>
    <s v="9"/>
    <n v="2835"/>
    <s v="2835"/>
    <n v="25515"/>
    <x v="0"/>
    <x v="0"/>
    <x v="2"/>
    <s v="Medium"/>
    <s v="Offline"/>
    <n v="25515"/>
  </r>
  <r>
    <n v="465"/>
    <d v="2024-01-20T08:00:00"/>
    <s v="2024-01-20 08:00:00"/>
    <s v=" west"/>
    <x v="1"/>
    <s v="Grocery"/>
    <x v="3"/>
    <s v="Rice 5Kg"/>
    <s v="Rice 5kg"/>
    <s v="CUST0308"/>
    <s v=" CUST0308 "/>
    <x v="0"/>
    <s v="Rahul"/>
    <x v="1"/>
    <s v="Debit card "/>
    <n v="9"/>
    <s v="9"/>
    <n v="2318"/>
    <s v="2318"/>
    <n v="20862"/>
    <x v="0"/>
    <x v="0"/>
    <x v="2"/>
    <s v="Medium"/>
    <s v="Online"/>
    <n v="20862"/>
  </r>
  <r>
    <n v="466"/>
    <d v="2024-01-20T09:00:00"/>
    <s v="2024-01-20 09:00:00"/>
    <s v="EAST"/>
    <x v="0"/>
    <s v="Clothing"/>
    <x v="0"/>
    <s v="Washing Machine"/>
    <s v="Washing Machine"/>
    <s v="CUST0345"/>
    <s v=" CUST0345 "/>
    <x v="1"/>
    <s v="Meena"/>
    <x v="0"/>
    <s v=" Cash"/>
    <n v="12"/>
    <s v="12"/>
    <n v="4807"/>
    <s v="4807"/>
    <n v="57684"/>
    <x v="0"/>
    <x v="0"/>
    <x v="2"/>
    <s v="High"/>
    <s v="Offline"/>
    <n v="57684"/>
  </r>
  <r>
    <n v="467"/>
    <d v="2024-01-20T10:00:00"/>
    <s v="2024-01-20 10:00:00"/>
    <s v=" west"/>
    <x v="1"/>
    <s v=" Home Appliances "/>
    <x v="1"/>
    <s v="Rice 5Kg"/>
    <s v="Rice 5kg"/>
    <s v="CUST0127"/>
    <s v=" CUST0127 "/>
    <x v="1"/>
    <s v="Meena"/>
    <x v="4"/>
    <s v="Credit Card"/>
    <n v="13"/>
    <s v="13"/>
    <n v="1252"/>
    <s v="1252"/>
    <n v="16276"/>
    <x v="0"/>
    <x v="0"/>
    <x v="2"/>
    <s v="Low"/>
    <s v="Online"/>
    <n v="16276"/>
  </r>
  <r>
    <n v="468"/>
    <d v="2024-01-20T11:00:00"/>
    <s v="2024-01-20 11:00:00"/>
    <s v=" North "/>
    <x v="2"/>
    <s v="Grocery"/>
    <x v="3"/>
    <s v="Rice 5Kg"/>
    <s v="Rice 5kg"/>
    <s v="CUST0287"/>
    <s v=" CUST0287 "/>
    <x v="2"/>
    <s v="Suresh"/>
    <x v="2"/>
    <s v="UPI"/>
    <n v="12"/>
    <s v="12"/>
    <n v="156"/>
    <s v="156"/>
    <n v="1872"/>
    <x v="0"/>
    <x v="0"/>
    <x v="2"/>
    <s v="Low"/>
    <s v="Online"/>
    <n v="1872"/>
  </r>
  <r>
    <n v="469"/>
    <d v="2024-01-20T12:00:00"/>
    <s v="2024-01-20 12:00:00"/>
    <s v=" North "/>
    <x v="2"/>
    <s v="Grocery"/>
    <x v="3"/>
    <s v="Rice 5Kg"/>
    <s v="Rice 5kg"/>
    <s v="CUST0766"/>
    <s v=" CUST0766 "/>
    <x v="4"/>
    <s v="Karthik"/>
    <x v="4"/>
    <s v="Credit Card"/>
    <n v="1"/>
    <s v="1"/>
    <n v="1304"/>
    <s v="1304"/>
    <n v="1304"/>
    <x v="0"/>
    <x v="0"/>
    <x v="2"/>
    <s v="Low"/>
    <s v="Online"/>
    <n v="1304"/>
  </r>
  <r>
    <n v="470"/>
    <d v="2024-01-20T13:00:00"/>
    <s v="2024-01-20 13:00:00"/>
    <s v=" west"/>
    <x v="1"/>
    <s v=" Home Appliances "/>
    <x v="1"/>
    <s v="Washing Machine"/>
    <s v="Washing Machine"/>
    <s v="CUST0725"/>
    <s v=" CUST0725 "/>
    <x v="2"/>
    <s v="Suresh"/>
    <x v="4"/>
    <s v="Credit Card"/>
    <n v="3"/>
    <s v="3"/>
    <n v="4441"/>
    <s v="4441"/>
    <n v="13323"/>
    <x v="0"/>
    <x v="0"/>
    <x v="2"/>
    <s v="Low"/>
    <s v="Online"/>
    <n v="13323"/>
  </r>
  <r>
    <n v="471"/>
    <d v="2024-01-20T14:00:00"/>
    <s v="2024-01-20 14:00:00"/>
    <s v=" North "/>
    <x v="2"/>
    <s v=" Home Appliances "/>
    <x v="1"/>
    <s v="Men T-Shirt"/>
    <s v="Men T-Shirt"/>
    <s v="CUST0762"/>
    <s v=" CUST0762 "/>
    <x v="2"/>
    <s v="Suresh"/>
    <x v="0"/>
    <s v=" Cash"/>
    <n v="6"/>
    <s v="6"/>
    <n v="243"/>
    <s v="243"/>
    <n v="1458"/>
    <x v="0"/>
    <x v="0"/>
    <x v="2"/>
    <s v="Low"/>
    <s v="Offline"/>
    <n v="1458"/>
  </r>
  <r>
    <n v="472"/>
    <d v="2024-01-20T15:00:00"/>
    <s v="2024-01-20 15:00:00"/>
    <s v=" west"/>
    <x v="1"/>
    <s v="Electronics"/>
    <x v="2"/>
    <s v="Men T-Shirt"/>
    <s v="Men T-Shirt"/>
    <s v="CUST0596"/>
    <s v=" CUST0596 "/>
    <x v="1"/>
    <s v="Meena"/>
    <x v="1"/>
    <s v="Debit card "/>
    <n v="8"/>
    <s v="8"/>
    <n v="467"/>
    <s v="467"/>
    <n v="3736"/>
    <x v="0"/>
    <x v="0"/>
    <x v="2"/>
    <s v="Low"/>
    <s v="Online"/>
    <n v="3736"/>
  </r>
  <r>
    <n v="473"/>
    <d v="2024-01-20T16:00:00"/>
    <s v="2024-01-20 16:00:00"/>
    <s v="EAST"/>
    <x v="0"/>
    <s v="Clothing"/>
    <x v="0"/>
    <s v="Rice 5Kg"/>
    <s v="Rice 5kg"/>
    <s v="CUST0487"/>
    <s v=" CUST0487 "/>
    <x v="2"/>
    <s v="Suresh"/>
    <x v="3"/>
    <s v=" Net Banking "/>
    <n v="4"/>
    <s v="4"/>
    <n v="1582"/>
    <s v="1582"/>
    <n v="6328"/>
    <x v="0"/>
    <x v="0"/>
    <x v="2"/>
    <s v="Low"/>
    <s v="Online"/>
    <n v="6328"/>
  </r>
  <r>
    <n v="474"/>
    <d v="2024-01-20T17:00:00"/>
    <s v="2024-01-20 17:00:00"/>
    <s v=" west"/>
    <x v="1"/>
    <s v=" Home Appliances "/>
    <x v="1"/>
    <s v="Washing Machine"/>
    <s v="Washing Machine"/>
    <s v="CUST0383"/>
    <s v=" CUST0383 "/>
    <x v="4"/>
    <s v="Karthik"/>
    <x v="0"/>
    <s v=" Cash"/>
    <n v="5"/>
    <s v="5"/>
    <n v="715"/>
    <s v="715"/>
    <n v="3575"/>
    <x v="0"/>
    <x v="0"/>
    <x v="2"/>
    <s v="Low"/>
    <s v="Offline"/>
    <n v="3575"/>
  </r>
  <r>
    <n v="475"/>
    <d v="2024-01-20T18:00:00"/>
    <s v="2024-01-20 18:00:00"/>
    <s v="EAST"/>
    <x v="0"/>
    <s v=" Home Appliances "/>
    <x v="1"/>
    <s v="Men T-Shirt"/>
    <s v="Men T-Shirt"/>
    <s v="CUST0406"/>
    <s v=" CUST0406 "/>
    <x v="2"/>
    <s v="Suresh"/>
    <x v="3"/>
    <s v=" Net Banking "/>
    <n v="9"/>
    <s v="9"/>
    <n v="3738"/>
    <s v="3738"/>
    <n v="33642"/>
    <x v="0"/>
    <x v="0"/>
    <x v="2"/>
    <s v="Medium"/>
    <s v="Online"/>
    <n v="33642"/>
  </r>
  <r>
    <n v="476"/>
    <d v="2024-01-20T19:00:00"/>
    <s v="2024-01-20 19:00:00"/>
    <s v=" west"/>
    <x v="1"/>
    <s v="Clothing"/>
    <x v="0"/>
    <s v="Laptop"/>
    <s v="Laptop"/>
    <s v="CUST0388"/>
    <s v=" CUST0388 "/>
    <x v="4"/>
    <s v="Karthik"/>
    <x v="4"/>
    <s v="Credit Card"/>
    <n v="6"/>
    <s v="6"/>
    <n v="3428"/>
    <s v="3428"/>
    <n v="20568"/>
    <x v="0"/>
    <x v="0"/>
    <x v="2"/>
    <s v="Medium"/>
    <s v="Online"/>
    <n v="20568"/>
  </r>
  <r>
    <n v="477"/>
    <d v="2024-01-20T20:00:00"/>
    <s v="2024-01-20 20:00:00"/>
    <s v=" North "/>
    <x v="2"/>
    <s v=" Home Appliances "/>
    <x v="1"/>
    <s v="Men T-Shirt"/>
    <s v="Men T-Shirt"/>
    <s v="CUST0525"/>
    <s v=" CUST0525 "/>
    <x v="2"/>
    <s v="Suresh"/>
    <x v="3"/>
    <s v=" Net Banking "/>
    <n v="12"/>
    <s v="12"/>
    <n v="3327"/>
    <s v="3327"/>
    <n v="39924"/>
    <x v="0"/>
    <x v="0"/>
    <x v="2"/>
    <s v="Medium"/>
    <s v="Online"/>
    <n v="39924"/>
  </r>
  <r>
    <n v="478"/>
    <d v="2024-01-20T21:00:00"/>
    <s v="2024-01-20 21:00:00"/>
    <s v=" west"/>
    <x v="1"/>
    <s v=" Home Appliances "/>
    <x v="1"/>
    <s v="Men T-Shirt"/>
    <s v="Men T-Shirt"/>
    <s v="CUST0557"/>
    <s v=" CUST0557 "/>
    <x v="4"/>
    <s v="Karthik"/>
    <x v="1"/>
    <s v="Debit card "/>
    <n v="7"/>
    <s v="7"/>
    <n v="1688"/>
    <s v="1688"/>
    <n v="11816"/>
    <x v="0"/>
    <x v="0"/>
    <x v="2"/>
    <s v="Low"/>
    <s v="Online"/>
    <n v="11816"/>
  </r>
  <r>
    <n v="479"/>
    <d v="2024-01-20T22:00:00"/>
    <s v="2024-01-20 22:00:00"/>
    <s v=" North "/>
    <x v="2"/>
    <s v="Electronics"/>
    <x v="2"/>
    <s v="Washing Machine"/>
    <s v="Washing Machine"/>
    <s v="CUST0639"/>
    <s v=" CUST0639 "/>
    <x v="2"/>
    <s v="Suresh"/>
    <x v="0"/>
    <s v=" Cash"/>
    <n v="7"/>
    <s v="7"/>
    <n v="2589"/>
    <s v="2589"/>
    <n v="18123"/>
    <x v="0"/>
    <x v="0"/>
    <x v="2"/>
    <s v="Low"/>
    <s v="Offline"/>
    <n v="18123"/>
  </r>
  <r>
    <n v="480"/>
    <d v="2024-01-20T23:00:00"/>
    <s v="2024-01-20 23:00:00"/>
    <s v=" west"/>
    <x v="1"/>
    <s v="Grocery"/>
    <x v="3"/>
    <s v="Laptop"/>
    <s v="Laptop"/>
    <s v="CUST0626"/>
    <s v=" CUST0626 "/>
    <x v="2"/>
    <s v="Suresh"/>
    <x v="1"/>
    <s v="Debit card "/>
    <n v="4"/>
    <s v="4"/>
    <n v="3103"/>
    <s v="3103"/>
    <n v="12412"/>
    <x v="0"/>
    <x v="0"/>
    <x v="2"/>
    <s v="Low"/>
    <s v="Online"/>
    <n v="12412"/>
  </r>
  <r>
    <n v="481"/>
    <d v="2024-01-21T00:00:00"/>
    <s v="2024-01-21 00:00:00"/>
    <s v=" west"/>
    <x v="1"/>
    <s v="Grocery"/>
    <x v="3"/>
    <s v="Washing Machine"/>
    <s v="Washing Machine"/>
    <s v="CUST0276"/>
    <s v=" CUST0276 "/>
    <x v="0"/>
    <s v="Rahul"/>
    <x v="1"/>
    <s v="Debit card "/>
    <n v="4"/>
    <s v="4"/>
    <n v="798"/>
    <s v="798"/>
    <n v="3192"/>
    <x v="0"/>
    <x v="0"/>
    <x v="2"/>
    <s v="Low"/>
    <s v="Online"/>
    <n v="3192"/>
  </r>
  <r>
    <n v="482"/>
    <d v="2024-01-21T01:00:00"/>
    <s v="2024-01-21 01:00:00"/>
    <s v="south"/>
    <x v="3"/>
    <s v="Grocery"/>
    <x v="3"/>
    <s v="Rice 5Kg"/>
    <s v="Rice 5kg"/>
    <s v="CUST0500"/>
    <s v=" CUST0500 "/>
    <x v="4"/>
    <s v="Karthik"/>
    <x v="0"/>
    <s v=" Cash"/>
    <n v="4"/>
    <s v="4"/>
    <n v="2923"/>
    <s v="2923"/>
    <n v="11692"/>
    <x v="0"/>
    <x v="0"/>
    <x v="2"/>
    <s v="Low"/>
    <s v="Offline"/>
    <n v="11692"/>
  </r>
  <r>
    <n v="483"/>
    <d v="2024-01-21T02:00:00"/>
    <s v="2024-01-21 02:00:00"/>
    <s v=" North "/>
    <x v="2"/>
    <s v="Grocery"/>
    <x v="3"/>
    <s v="Mixer Grinder"/>
    <s v="Mixer Grinder"/>
    <s v="CUST0717"/>
    <s v=" CUST0717 "/>
    <x v="4"/>
    <s v="Karthik"/>
    <x v="1"/>
    <s v="Debit card "/>
    <n v="14"/>
    <s v="14"/>
    <n v="1044"/>
    <s v="1044"/>
    <n v="14616"/>
    <x v="0"/>
    <x v="0"/>
    <x v="2"/>
    <s v="Low"/>
    <s v="Online"/>
    <n v="14616"/>
  </r>
  <r>
    <n v="484"/>
    <d v="2024-01-21T03:00:00"/>
    <s v="2024-01-21 03:00:00"/>
    <s v="south"/>
    <x v="3"/>
    <s v=" Home Appliances "/>
    <x v="1"/>
    <s v="Men T-Shirt"/>
    <s v="Men T-Shirt"/>
    <s v="CUST0337"/>
    <s v=" CUST0337 "/>
    <x v="4"/>
    <s v="Karthik"/>
    <x v="2"/>
    <s v="UPI"/>
    <n v="11"/>
    <s v="11"/>
    <n v="3981"/>
    <s v="3981"/>
    <n v="43791"/>
    <x v="0"/>
    <x v="0"/>
    <x v="2"/>
    <s v="Medium"/>
    <s v="Online"/>
    <n v="43791"/>
  </r>
  <r>
    <n v="485"/>
    <d v="2024-01-21T04:00:00"/>
    <s v="2024-01-21 04:00:00"/>
    <s v=" North "/>
    <x v="2"/>
    <s v="Clothing"/>
    <x v="0"/>
    <s v="Mixer Grinder"/>
    <s v="Mixer Grinder"/>
    <s v="CUST0481"/>
    <s v=" CUST0481 "/>
    <x v="3"/>
    <s v="Anita"/>
    <x v="2"/>
    <s v="UPI"/>
    <n v="5"/>
    <s v="5"/>
    <n v="1022"/>
    <s v="1022"/>
    <n v="5110"/>
    <x v="0"/>
    <x v="0"/>
    <x v="2"/>
    <s v="Low"/>
    <s v="Online"/>
    <n v="5110"/>
  </r>
  <r>
    <n v="486"/>
    <d v="2024-01-21T05:00:00"/>
    <s v="2024-01-21 05:00:00"/>
    <s v="south"/>
    <x v="3"/>
    <s v="Clothing"/>
    <x v="0"/>
    <s v="Washing Machine"/>
    <s v="Washing Machine"/>
    <s v="CUST0273"/>
    <s v=" CUST0273 "/>
    <x v="2"/>
    <s v="Suresh"/>
    <x v="2"/>
    <s v="UPI"/>
    <n v="5"/>
    <s v="5"/>
    <n v="1846"/>
    <s v="1846"/>
    <n v="9230"/>
    <x v="0"/>
    <x v="0"/>
    <x v="2"/>
    <s v="Low"/>
    <s v="Online"/>
    <n v="9230"/>
  </r>
  <r>
    <n v="487"/>
    <d v="2024-01-21T06:00:00"/>
    <s v="2024-01-21 06:00:00"/>
    <s v="EAST"/>
    <x v="0"/>
    <s v="Electronics"/>
    <x v="2"/>
    <s v="Washing Machine"/>
    <s v="Washing Machine"/>
    <s v="CUST0058"/>
    <s v=" CUST0058 "/>
    <x v="4"/>
    <s v="Karthik"/>
    <x v="3"/>
    <s v=" Net Banking "/>
    <n v="8"/>
    <s v="8"/>
    <n v="4220"/>
    <s v="4220"/>
    <n v="33760"/>
    <x v="0"/>
    <x v="0"/>
    <x v="2"/>
    <s v="Medium"/>
    <s v="Online"/>
    <n v="33760"/>
  </r>
  <r>
    <n v="488"/>
    <d v="2024-01-21T07:00:00"/>
    <s v="2024-01-21 07:00:00"/>
    <s v=" west"/>
    <x v="1"/>
    <s v="Electronics"/>
    <x v="2"/>
    <s v="Washing Machine"/>
    <s v="Washing Machine"/>
    <s v="CUST0328"/>
    <s v=" CUST0328 "/>
    <x v="3"/>
    <s v="Anita"/>
    <x v="1"/>
    <s v="Debit card "/>
    <n v="9"/>
    <s v="9"/>
    <n v="2953"/>
    <s v="2953"/>
    <n v="26577"/>
    <x v="0"/>
    <x v="0"/>
    <x v="2"/>
    <s v="Medium"/>
    <s v="Online"/>
    <n v="26577"/>
  </r>
  <r>
    <n v="489"/>
    <d v="2024-01-21T08:00:00"/>
    <s v="2024-01-21 08:00:00"/>
    <s v=" North "/>
    <x v="2"/>
    <s v=" Home Appliances "/>
    <x v="1"/>
    <s v="Mixer Grinder"/>
    <s v="Mixer Grinder"/>
    <s v="CUST0731"/>
    <s v=" CUST0731 "/>
    <x v="0"/>
    <s v="Rahul"/>
    <x v="0"/>
    <s v=" Cash"/>
    <n v="2"/>
    <s v="2"/>
    <n v="1659"/>
    <s v="1659"/>
    <n v="3318"/>
    <x v="0"/>
    <x v="0"/>
    <x v="2"/>
    <s v="Low"/>
    <s v="Offline"/>
    <n v="3318"/>
  </r>
  <r>
    <n v="490"/>
    <d v="2024-01-21T09:00:00"/>
    <s v="2024-01-21 09:00:00"/>
    <s v=" North "/>
    <x v="2"/>
    <s v="Clothing"/>
    <x v="0"/>
    <s v="Washing Machine"/>
    <s v="Washing Machine"/>
    <s v="CUST0109"/>
    <s v=" CUST0109 "/>
    <x v="4"/>
    <s v="Karthik"/>
    <x v="0"/>
    <s v=" Cash"/>
    <n v="11"/>
    <s v="11"/>
    <n v="1183"/>
    <s v="1183"/>
    <n v="13013"/>
    <x v="0"/>
    <x v="0"/>
    <x v="2"/>
    <s v="Low"/>
    <s v="Offline"/>
    <n v="13013"/>
  </r>
  <r>
    <n v="491"/>
    <d v="2024-01-21T10:00:00"/>
    <s v="2024-01-21 10:00:00"/>
    <s v=" west"/>
    <x v="1"/>
    <s v="Clothing"/>
    <x v="0"/>
    <s v="Rice 5Kg"/>
    <s v="Rice 5kg"/>
    <s v="CUST0279"/>
    <s v=" CUST0279 "/>
    <x v="4"/>
    <s v="Karthik"/>
    <x v="3"/>
    <s v=" Net Banking "/>
    <n v="7"/>
    <s v="7"/>
    <n v="3638"/>
    <s v="3638"/>
    <n v="25466"/>
    <x v="0"/>
    <x v="0"/>
    <x v="2"/>
    <s v="Medium"/>
    <s v="Online"/>
    <n v="25466"/>
  </r>
  <r>
    <n v="492"/>
    <d v="2024-01-21T11:00:00"/>
    <s v="2024-01-21 11:00:00"/>
    <s v=" North "/>
    <x v="2"/>
    <s v="Grocery"/>
    <x v="3"/>
    <s v="Washing Machine"/>
    <s v="Washing Machine"/>
    <s v="CUST0686"/>
    <s v=" CUST0686 "/>
    <x v="3"/>
    <s v="Anita"/>
    <x v="0"/>
    <s v=" Cash"/>
    <n v="1"/>
    <s v="1"/>
    <n v="533"/>
    <s v="533"/>
    <n v="533"/>
    <x v="0"/>
    <x v="0"/>
    <x v="2"/>
    <s v="Low"/>
    <s v="Offline"/>
    <n v="533"/>
  </r>
  <r>
    <n v="493"/>
    <d v="2024-01-21T12:00:00"/>
    <s v="2024-01-21 12:00:00"/>
    <s v=" North "/>
    <x v="2"/>
    <s v=" Home Appliances "/>
    <x v="1"/>
    <s v="Led Tv 42Inch"/>
    <s v="LED TV 42inch"/>
    <s v="CUST0328"/>
    <s v=" CUST0328 "/>
    <x v="2"/>
    <s v="Suresh"/>
    <x v="2"/>
    <s v="UPI"/>
    <n v="1"/>
    <s v="1"/>
    <n v="3026"/>
    <s v="3026"/>
    <n v="3026"/>
    <x v="0"/>
    <x v="0"/>
    <x v="2"/>
    <s v="Low"/>
    <s v="Online"/>
    <n v="3026"/>
  </r>
  <r>
    <n v="494"/>
    <d v="2024-01-21T13:00:00"/>
    <s v="2024-01-21 13:00:00"/>
    <s v="south"/>
    <x v="3"/>
    <s v=" Home Appliances "/>
    <x v="1"/>
    <s v="Mixer Grinder"/>
    <s v="Mixer Grinder"/>
    <s v="CUST0776"/>
    <s v=" CUST0776 "/>
    <x v="0"/>
    <s v="Rahul"/>
    <x v="1"/>
    <s v="Debit card "/>
    <n v="4"/>
    <s v="4"/>
    <n v="1189"/>
    <s v="1189"/>
    <n v="4756"/>
    <x v="0"/>
    <x v="0"/>
    <x v="2"/>
    <s v="Low"/>
    <s v="Online"/>
    <n v="4756"/>
  </r>
  <r>
    <n v="495"/>
    <d v="2024-01-21T14:00:00"/>
    <s v="2024-01-21 14:00:00"/>
    <s v=" North "/>
    <x v="2"/>
    <s v="Grocery"/>
    <x v="3"/>
    <s v="Led Tv 42Inch"/>
    <s v="LED TV 42inch"/>
    <s v="CUST0315"/>
    <s v=" CUST0315 "/>
    <x v="4"/>
    <s v="Karthik"/>
    <x v="0"/>
    <s v=" Cash"/>
    <n v="10"/>
    <s v="10"/>
    <n v="3057"/>
    <s v="3057"/>
    <n v="30570"/>
    <x v="0"/>
    <x v="0"/>
    <x v="2"/>
    <s v="Medium"/>
    <s v="Offline"/>
    <n v="30570"/>
  </r>
  <r>
    <n v="496"/>
    <d v="2024-01-21T15:00:00"/>
    <s v="2024-01-21 15:00:00"/>
    <s v="EAST"/>
    <x v="0"/>
    <s v=" Home Appliances "/>
    <x v="1"/>
    <s v="Washing Machine"/>
    <s v="Washing Machine"/>
    <s v="CUST0474"/>
    <s v=" CUST0474 "/>
    <x v="2"/>
    <s v="Suresh"/>
    <x v="0"/>
    <s v=" Cash"/>
    <n v="7"/>
    <s v="7"/>
    <n v="2712"/>
    <s v="2712"/>
    <n v="18984"/>
    <x v="0"/>
    <x v="0"/>
    <x v="2"/>
    <s v="Low"/>
    <s v="Offline"/>
    <n v="18984"/>
  </r>
  <r>
    <n v="497"/>
    <d v="2024-01-21T16:00:00"/>
    <s v="2024-01-21 16:00:00"/>
    <s v="EAST"/>
    <x v="0"/>
    <s v=" Home Appliances "/>
    <x v="1"/>
    <s v="Rice 5Kg"/>
    <s v="Rice 5kg"/>
    <s v="CUST0111"/>
    <s v=" CUST0111 "/>
    <x v="0"/>
    <s v="Rahul"/>
    <x v="4"/>
    <s v="Credit Card"/>
    <n v="2"/>
    <s v="2"/>
    <n v="4291"/>
    <s v="4291"/>
    <n v="8582"/>
    <x v="0"/>
    <x v="0"/>
    <x v="2"/>
    <s v="Low"/>
    <s v="Online"/>
    <n v="8582"/>
  </r>
  <r>
    <n v="498"/>
    <d v="2024-01-21T17:00:00"/>
    <s v="2024-01-21 17:00:00"/>
    <s v=" west"/>
    <x v="1"/>
    <s v="Electronics"/>
    <x v="2"/>
    <s v="Men T-Shirt"/>
    <s v="Men T-Shirt"/>
    <s v="CUST0699"/>
    <s v=" CUST0699 "/>
    <x v="1"/>
    <s v="Meena"/>
    <x v="4"/>
    <s v="Credit Card"/>
    <n v="11"/>
    <s v="11"/>
    <n v="3859"/>
    <s v="3859"/>
    <n v="42449"/>
    <x v="0"/>
    <x v="0"/>
    <x v="2"/>
    <s v="Medium"/>
    <s v="Online"/>
    <n v="42449"/>
  </r>
  <r>
    <n v="499"/>
    <d v="2024-01-21T18:00:00"/>
    <s v="2024-01-21 18:00:00"/>
    <s v=" North "/>
    <x v="2"/>
    <s v="Clothing"/>
    <x v="0"/>
    <s v="Laptop"/>
    <s v="Laptop"/>
    <s v="CUST0781"/>
    <s v=" CUST0781 "/>
    <x v="1"/>
    <s v="Meena"/>
    <x v="4"/>
    <s v="Credit Card"/>
    <n v="2"/>
    <s v="2"/>
    <n v="4363"/>
    <s v="4363"/>
    <n v="8726"/>
    <x v="0"/>
    <x v="0"/>
    <x v="2"/>
    <s v="Low"/>
    <s v="Online"/>
    <n v="8726"/>
  </r>
  <r>
    <n v="500"/>
    <d v="2024-01-21T19:00:00"/>
    <s v="2024-01-21 19:00:00"/>
    <s v=" west"/>
    <x v="1"/>
    <s v=" Home Appliances "/>
    <x v="1"/>
    <s v="Laptop"/>
    <s v="Laptop"/>
    <s v="CUST0229"/>
    <s v=" CUST0229 "/>
    <x v="0"/>
    <s v="Rahul"/>
    <x v="1"/>
    <s v="Debit card "/>
    <n v="1"/>
    <s v="1"/>
    <n v="2189"/>
    <s v="2189"/>
    <n v="2189"/>
    <x v="0"/>
    <x v="0"/>
    <x v="2"/>
    <s v="Low"/>
    <s v="Online"/>
    <n v="2189"/>
  </r>
  <r>
    <n v="501"/>
    <d v="2024-01-21T20:00:00"/>
    <s v="2024-01-21 20:00:00"/>
    <s v="EAST"/>
    <x v="0"/>
    <s v="Electronics"/>
    <x v="2"/>
    <s v="Washing Machine"/>
    <s v="Washing Machine"/>
    <s v="CUST0497"/>
    <s v=" CUST0497 "/>
    <x v="3"/>
    <s v="Anita"/>
    <x v="2"/>
    <s v="UPI"/>
    <n v="10"/>
    <s v="10"/>
    <n v="2002"/>
    <s v="2002"/>
    <n v="20020"/>
    <x v="0"/>
    <x v="0"/>
    <x v="2"/>
    <s v="Medium"/>
    <s v="Online"/>
    <n v="20020"/>
  </r>
  <r>
    <n v="502"/>
    <d v="2024-01-21T21:00:00"/>
    <s v="2024-01-21 21:00:00"/>
    <s v=" North "/>
    <x v="2"/>
    <s v="Clothing"/>
    <x v="0"/>
    <s v="Rice 5Kg"/>
    <s v="Rice 5kg"/>
    <s v="CUST0156"/>
    <s v=" CUST0156 "/>
    <x v="0"/>
    <s v="Rahul"/>
    <x v="2"/>
    <s v="UPI"/>
    <n v="2"/>
    <s v="2"/>
    <n v="2667"/>
    <s v="2667"/>
    <n v="5334"/>
    <x v="0"/>
    <x v="0"/>
    <x v="2"/>
    <s v="Low"/>
    <s v="Online"/>
    <n v="5334"/>
  </r>
  <r>
    <n v="503"/>
    <d v="2024-01-21T22:00:00"/>
    <s v="2024-01-21 22:00:00"/>
    <s v=" North "/>
    <x v="2"/>
    <s v="Grocery"/>
    <x v="3"/>
    <s v="Mixer Grinder"/>
    <s v="Mixer Grinder"/>
    <s v="CUST0473"/>
    <s v=" CUST0473 "/>
    <x v="0"/>
    <s v="Rahul"/>
    <x v="2"/>
    <s v="UPI"/>
    <n v="13"/>
    <s v="13"/>
    <n v="2098"/>
    <s v="2098"/>
    <n v="27274"/>
    <x v="0"/>
    <x v="0"/>
    <x v="2"/>
    <s v="Medium"/>
    <s v="Online"/>
    <n v="27274"/>
  </r>
  <r>
    <n v="504"/>
    <d v="2024-01-21T23:00:00"/>
    <s v="2024-01-21 23:00:00"/>
    <s v=" west"/>
    <x v="1"/>
    <s v="Electronics"/>
    <x v="2"/>
    <s v="Led Tv 42Inch"/>
    <s v="LED TV 42inch"/>
    <s v="CUST0701"/>
    <s v=" CUST0701 "/>
    <x v="3"/>
    <s v="Anita"/>
    <x v="1"/>
    <s v="Debit card "/>
    <n v="7"/>
    <s v="7"/>
    <n v="3214"/>
    <s v="3214"/>
    <n v="22498"/>
    <x v="0"/>
    <x v="0"/>
    <x v="2"/>
    <s v="Medium"/>
    <s v="Online"/>
    <n v="22498"/>
  </r>
  <r>
    <n v="505"/>
    <d v="2024-01-22T00:00:00"/>
    <s v="2024-01-22 00:00:00"/>
    <s v="EAST"/>
    <x v="0"/>
    <s v="Electronics"/>
    <x v="2"/>
    <s v="Led Tv 42Inch"/>
    <s v="LED TV 42inch"/>
    <s v="CUST0272"/>
    <s v=" CUST0272 "/>
    <x v="3"/>
    <s v="Anita"/>
    <x v="1"/>
    <s v="Debit card "/>
    <n v="9"/>
    <s v="9"/>
    <n v="3094"/>
    <s v="3094"/>
    <n v="27846"/>
    <x v="0"/>
    <x v="0"/>
    <x v="3"/>
    <s v="Medium"/>
    <s v="Online"/>
    <n v="27846"/>
  </r>
  <r>
    <n v="506"/>
    <d v="2024-01-22T01:00:00"/>
    <s v="2024-01-22 01:00:00"/>
    <s v=" North "/>
    <x v="2"/>
    <s v="Clothing"/>
    <x v="0"/>
    <s v="Led Tv 42Inch"/>
    <s v="LED TV 42inch"/>
    <s v="CUST0002"/>
    <s v=" CUST0002 "/>
    <x v="2"/>
    <s v="Suresh"/>
    <x v="4"/>
    <s v="Credit Card"/>
    <n v="6"/>
    <s v="6"/>
    <n v="2110"/>
    <s v="2110"/>
    <n v="12660"/>
    <x v="0"/>
    <x v="0"/>
    <x v="3"/>
    <s v="Low"/>
    <s v="Online"/>
    <n v="12660"/>
  </r>
  <r>
    <n v="507"/>
    <d v="2024-01-22T02:00:00"/>
    <s v="2024-01-22 02:00:00"/>
    <s v=" west"/>
    <x v="1"/>
    <s v="Grocery"/>
    <x v="3"/>
    <s v="Mixer Grinder"/>
    <s v="Mixer Grinder"/>
    <s v="CUST0758"/>
    <s v=" CUST0758 "/>
    <x v="2"/>
    <s v="Suresh"/>
    <x v="0"/>
    <s v=" Cash"/>
    <n v="10"/>
    <s v="10"/>
    <n v="4944"/>
    <s v="4944"/>
    <n v="49440"/>
    <x v="0"/>
    <x v="0"/>
    <x v="3"/>
    <s v="Medium"/>
    <s v="Offline"/>
    <n v="49440"/>
  </r>
  <r>
    <n v="508"/>
    <d v="2024-01-22T03:00:00"/>
    <s v="2024-01-22 03:00:00"/>
    <s v="EAST"/>
    <x v="0"/>
    <s v="Electronics"/>
    <x v="2"/>
    <s v="Laptop"/>
    <s v="Laptop"/>
    <s v="CUST0722"/>
    <s v=" CUST0722 "/>
    <x v="3"/>
    <s v="Anita"/>
    <x v="3"/>
    <s v=" Net Banking "/>
    <n v="2"/>
    <s v="2"/>
    <n v="1991"/>
    <s v="1991"/>
    <n v="3982"/>
    <x v="0"/>
    <x v="0"/>
    <x v="3"/>
    <s v="Low"/>
    <s v="Online"/>
    <n v="3982"/>
  </r>
  <r>
    <n v="509"/>
    <d v="2024-01-22T04:00:00"/>
    <s v="2024-01-22 04:00:00"/>
    <s v=" west"/>
    <x v="1"/>
    <s v=" Home Appliances "/>
    <x v="1"/>
    <s v="Rice 5Kg"/>
    <s v="Rice 5kg"/>
    <s v="CUST0511"/>
    <s v=" CUST0511 "/>
    <x v="1"/>
    <s v="Meena"/>
    <x v="3"/>
    <s v=" Net Banking "/>
    <n v="12"/>
    <s v="12"/>
    <n v="930"/>
    <s v="930"/>
    <n v="11160"/>
    <x v="0"/>
    <x v="0"/>
    <x v="3"/>
    <s v="Low"/>
    <s v="Online"/>
    <n v="11160"/>
  </r>
  <r>
    <n v="510"/>
    <d v="2024-01-22T05:00:00"/>
    <s v="2024-01-22 05:00:00"/>
    <s v="south"/>
    <x v="3"/>
    <s v=" Home Appliances "/>
    <x v="1"/>
    <s v="Mixer Grinder"/>
    <s v="Mixer Grinder"/>
    <s v="CUST0286"/>
    <s v=" CUST0286 "/>
    <x v="1"/>
    <s v="Meena"/>
    <x v="0"/>
    <s v=" Cash"/>
    <n v="10"/>
    <s v="10"/>
    <n v="148"/>
    <s v="148"/>
    <n v="1480"/>
    <x v="0"/>
    <x v="0"/>
    <x v="3"/>
    <s v="Low"/>
    <s v="Offline"/>
    <n v="1480"/>
  </r>
  <r>
    <n v="511"/>
    <d v="2024-01-22T06:00:00"/>
    <s v="2024-01-22 06:00:00"/>
    <s v=" North "/>
    <x v="2"/>
    <s v=" Home Appliances "/>
    <x v="1"/>
    <s v="Led Tv 42Inch"/>
    <s v="LED TV 42inch"/>
    <s v="CUST0013"/>
    <s v=" CUST0013 "/>
    <x v="0"/>
    <s v="Rahul"/>
    <x v="4"/>
    <s v="Credit Card"/>
    <n v="10"/>
    <s v="10"/>
    <n v="4310"/>
    <s v="4310"/>
    <n v="43100"/>
    <x v="0"/>
    <x v="0"/>
    <x v="3"/>
    <s v="Medium"/>
    <s v="Online"/>
    <n v="43100"/>
  </r>
  <r>
    <n v="512"/>
    <d v="2024-01-22T07:00:00"/>
    <s v="2024-01-22 07:00:00"/>
    <s v="south"/>
    <x v="3"/>
    <s v="Grocery"/>
    <x v="3"/>
    <s v="Washing Machine"/>
    <s v="Washing Machine"/>
    <s v="CUST0608"/>
    <s v=" CUST0608 "/>
    <x v="4"/>
    <s v="Karthik"/>
    <x v="0"/>
    <s v=" Cash"/>
    <n v="13"/>
    <s v="13"/>
    <n v="1278"/>
    <s v="1278"/>
    <n v="16614"/>
    <x v="0"/>
    <x v="0"/>
    <x v="3"/>
    <s v="Low"/>
    <s v="Offline"/>
    <n v="16614"/>
  </r>
  <r>
    <n v="513"/>
    <d v="2024-01-22T08:00:00"/>
    <s v="2024-01-22 08:00:00"/>
    <s v="EAST"/>
    <x v="0"/>
    <s v="Electronics"/>
    <x v="2"/>
    <s v="Men T-Shirt"/>
    <s v="Men T-Shirt"/>
    <s v="CUST0498"/>
    <s v=" CUST0498 "/>
    <x v="0"/>
    <s v="Rahul"/>
    <x v="0"/>
    <s v=" Cash"/>
    <n v="9"/>
    <s v="9"/>
    <n v="3133"/>
    <s v="3133"/>
    <n v="28197"/>
    <x v="0"/>
    <x v="0"/>
    <x v="3"/>
    <s v="Medium"/>
    <s v="Offline"/>
    <n v="28197"/>
  </r>
  <r>
    <n v="514"/>
    <d v="2024-01-22T09:00:00"/>
    <s v="2024-01-22 09:00:00"/>
    <s v="south"/>
    <x v="3"/>
    <s v=" Home Appliances "/>
    <x v="1"/>
    <s v="Mixer Grinder"/>
    <s v="Mixer Grinder"/>
    <s v="CUST0733"/>
    <s v=" CUST0733 "/>
    <x v="0"/>
    <s v="Rahul"/>
    <x v="3"/>
    <s v=" Net Banking "/>
    <n v="7"/>
    <s v="7"/>
    <n v="170"/>
    <s v="170"/>
    <n v="1190"/>
    <x v="0"/>
    <x v="0"/>
    <x v="3"/>
    <s v="Low"/>
    <s v="Online"/>
    <n v="1190"/>
  </r>
  <r>
    <n v="515"/>
    <d v="2024-01-22T10:00:00"/>
    <s v="2024-01-22 10:00:00"/>
    <s v="south"/>
    <x v="3"/>
    <s v="Grocery"/>
    <x v="3"/>
    <s v="Mixer Grinder"/>
    <s v="Mixer Grinder"/>
    <s v="CUST0238"/>
    <s v=" CUST0238 "/>
    <x v="4"/>
    <s v="Karthik"/>
    <x v="4"/>
    <s v="Credit Card"/>
    <n v="11"/>
    <s v="11"/>
    <n v="166"/>
    <s v="166"/>
    <n v="1826"/>
    <x v="0"/>
    <x v="0"/>
    <x v="3"/>
    <s v="Low"/>
    <s v="Online"/>
    <n v="1826"/>
  </r>
  <r>
    <n v="516"/>
    <d v="2024-01-22T11:00:00"/>
    <s v="2024-01-22 11:00:00"/>
    <s v="EAST"/>
    <x v="0"/>
    <s v=" Home Appliances "/>
    <x v="1"/>
    <s v="Rice 5Kg"/>
    <s v="Rice 5kg"/>
    <s v="CUST0094"/>
    <s v=" CUST0094 "/>
    <x v="3"/>
    <s v="Anita"/>
    <x v="1"/>
    <s v="Debit card "/>
    <n v="1"/>
    <s v="1"/>
    <n v="1877"/>
    <s v="1877"/>
    <n v="1877"/>
    <x v="0"/>
    <x v="0"/>
    <x v="3"/>
    <s v="Low"/>
    <s v="Online"/>
    <n v="1877"/>
  </r>
  <r>
    <n v="517"/>
    <d v="2024-01-22T12:00:00"/>
    <s v="2024-01-22 12:00:00"/>
    <s v=" west"/>
    <x v="1"/>
    <s v="Clothing"/>
    <x v="0"/>
    <s v="Rice 5Kg"/>
    <s v="Rice 5kg"/>
    <s v="CUST0338"/>
    <s v=" CUST0338 "/>
    <x v="1"/>
    <s v="Meena"/>
    <x v="3"/>
    <s v=" Net Banking "/>
    <n v="12"/>
    <s v="12"/>
    <n v="2328"/>
    <s v="2328"/>
    <n v="27936"/>
    <x v="0"/>
    <x v="0"/>
    <x v="3"/>
    <s v="Medium"/>
    <s v="Online"/>
    <n v="27936"/>
  </r>
  <r>
    <n v="518"/>
    <d v="2024-01-22T13:00:00"/>
    <s v="2024-01-22 13:00:00"/>
    <s v="south"/>
    <x v="3"/>
    <s v="Electronics"/>
    <x v="2"/>
    <s v="Mixer Grinder"/>
    <s v="Mixer Grinder"/>
    <s v="CUST0781"/>
    <s v=" CUST0781 "/>
    <x v="0"/>
    <s v="Rahul"/>
    <x v="1"/>
    <s v="Debit card "/>
    <n v="9"/>
    <s v="9"/>
    <n v="1889"/>
    <s v="1889"/>
    <n v="17001"/>
    <x v="0"/>
    <x v="0"/>
    <x v="3"/>
    <s v="Low"/>
    <s v="Online"/>
    <n v="17001"/>
  </r>
  <r>
    <n v="519"/>
    <d v="2024-01-22T14:00:00"/>
    <s v="2024-01-22 14:00:00"/>
    <s v=" west"/>
    <x v="1"/>
    <s v="Electronics"/>
    <x v="2"/>
    <s v="Led Tv 42Inch"/>
    <s v="LED TV 42inch"/>
    <s v="CUST0171"/>
    <s v=" CUST0171 "/>
    <x v="4"/>
    <s v="Karthik"/>
    <x v="4"/>
    <s v="Credit Card"/>
    <n v="2"/>
    <s v="2"/>
    <n v="712"/>
    <s v="712"/>
    <n v="1424"/>
    <x v="0"/>
    <x v="0"/>
    <x v="3"/>
    <s v="Low"/>
    <s v="Online"/>
    <n v="1424"/>
  </r>
  <r>
    <n v="520"/>
    <d v="2024-01-22T15:00:00"/>
    <s v="2024-01-22 15:00:00"/>
    <s v="south"/>
    <x v="3"/>
    <s v="Grocery"/>
    <x v="3"/>
    <s v="Men T-Shirt"/>
    <s v="Men T-Shirt"/>
    <s v="CUST0606"/>
    <s v=" CUST0606 "/>
    <x v="2"/>
    <s v="Suresh"/>
    <x v="0"/>
    <s v=" Cash"/>
    <n v="4"/>
    <s v="4"/>
    <n v="1986"/>
    <s v="1986"/>
    <n v="7944"/>
    <x v="0"/>
    <x v="0"/>
    <x v="3"/>
    <s v="Low"/>
    <s v="Offline"/>
    <n v="7944"/>
  </r>
  <r>
    <n v="521"/>
    <d v="2024-01-22T16:00:00"/>
    <s v="2024-01-22 16:00:00"/>
    <s v=" west"/>
    <x v="1"/>
    <s v="Grocery"/>
    <x v="3"/>
    <s v="Rice 5Kg"/>
    <s v="Rice 5kg"/>
    <s v="CUST0661"/>
    <s v=" CUST0661 "/>
    <x v="0"/>
    <s v="Rahul"/>
    <x v="2"/>
    <s v="UPI"/>
    <n v="9"/>
    <s v="9"/>
    <n v="1722"/>
    <s v="1722"/>
    <n v="15498"/>
    <x v="0"/>
    <x v="0"/>
    <x v="3"/>
    <s v="Low"/>
    <s v="Online"/>
    <n v="15498"/>
  </r>
  <r>
    <n v="522"/>
    <d v="2024-01-22T17:00:00"/>
    <s v="2024-01-22 17:00:00"/>
    <s v="EAST"/>
    <x v="0"/>
    <s v="Electronics"/>
    <x v="2"/>
    <s v="Led Tv 42Inch"/>
    <s v="LED TV 42inch"/>
    <s v="CUST0624"/>
    <s v=" CUST0624 "/>
    <x v="1"/>
    <s v="Meena"/>
    <x v="2"/>
    <s v="UPI"/>
    <n v="4"/>
    <s v="4"/>
    <n v="796"/>
    <s v="796"/>
    <n v="3184"/>
    <x v="0"/>
    <x v="0"/>
    <x v="3"/>
    <s v="Low"/>
    <s v="Online"/>
    <n v="3184"/>
  </r>
  <r>
    <n v="523"/>
    <d v="2024-01-22T18:00:00"/>
    <s v="2024-01-22 18:00:00"/>
    <s v="south"/>
    <x v="3"/>
    <s v=" Home Appliances "/>
    <x v="1"/>
    <s v="Washing Machine"/>
    <s v="Washing Machine"/>
    <s v="CUST0567"/>
    <s v=" CUST0567 "/>
    <x v="3"/>
    <s v="Anita"/>
    <x v="4"/>
    <s v="Credit Card"/>
    <n v="3"/>
    <s v="3"/>
    <n v="1337"/>
    <s v="1337"/>
    <n v="4011"/>
    <x v="0"/>
    <x v="0"/>
    <x v="3"/>
    <s v="Low"/>
    <s v="Online"/>
    <n v="4011"/>
  </r>
  <r>
    <n v="524"/>
    <d v="2024-01-22T19:00:00"/>
    <s v="2024-01-22 19:00:00"/>
    <s v="EAST"/>
    <x v="0"/>
    <s v=" Home Appliances "/>
    <x v="1"/>
    <s v="Rice 5Kg"/>
    <s v="Rice 5kg"/>
    <s v="CUST0467"/>
    <s v=" CUST0467 "/>
    <x v="0"/>
    <s v="Rahul"/>
    <x v="2"/>
    <s v="UPI"/>
    <n v="1"/>
    <s v="1"/>
    <n v="2506"/>
    <s v="2506"/>
    <n v="2506"/>
    <x v="0"/>
    <x v="0"/>
    <x v="3"/>
    <s v="Low"/>
    <s v="Online"/>
    <n v="2506"/>
  </r>
  <r>
    <n v="525"/>
    <d v="2024-01-22T20:00:00"/>
    <s v="2024-01-22 20:00:00"/>
    <s v="south"/>
    <x v="3"/>
    <s v="Clothing"/>
    <x v="0"/>
    <s v="Led Tv 42Inch"/>
    <s v="LED TV 42inch"/>
    <s v="CUST0628"/>
    <s v=" CUST0628 "/>
    <x v="0"/>
    <s v="Rahul"/>
    <x v="1"/>
    <s v="Debit card "/>
    <n v="7"/>
    <s v="7"/>
    <n v="348"/>
    <s v="348"/>
    <n v="2436"/>
    <x v="0"/>
    <x v="0"/>
    <x v="3"/>
    <s v="Low"/>
    <s v="Online"/>
    <n v="2436"/>
  </r>
  <r>
    <n v="526"/>
    <d v="2024-01-22T21:00:00"/>
    <s v="2024-01-22 21:00:00"/>
    <s v="EAST"/>
    <x v="0"/>
    <s v=" Home Appliances "/>
    <x v="1"/>
    <s v="Led Tv 42Inch"/>
    <s v="LED TV 42inch"/>
    <s v="CUST0143"/>
    <s v=" CUST0143 "/>
    <x v="4"/>
    <s v="Karthik"/>
    <x v="2"/>
    <s v="UPI"/>
    <n v="6"/>
    <s v="6"/>
    <n v="737"/>
    <s v="737"/>
    <n v="4422"/>
    <x v="0"/>
    <x v="0"/>
    <x v="3"/>
    <s v="Low"/>
    <s v="Online"/>
    <n v="4422"/>
  </r>
  <r>
    <n v="527"/>
    <d v="2024-01-22T22:00:00"/>
    <s v="2024-01-22 22:00:00"/>
    <s v="EAST"/>
    <x v="0"/>
    <s v="Grocery"/>
    <x v="3"/>
    <s v="Men T-Shirt"/>
    <s v="Men T-Shirt"/>
    <s v="CUST0201"/>
    <s v=" CUST0201 "/>
    <x v="2"/>
    <s v="Suresh"/>
    <x v="4"/>
    <s v="Credit Card"/>
    <n v="10"/>
    <s v="10"/>
    <n v="1049"/>
    <s v="1049"/>
    <n v="10490"/>
    <x v="0"/>
    <x v="0"/>
    <x v="3"/>
    <s v="Low"/>
    <s v="Online"/>
    <n v="10490"/>
  </r>
  <r>
    <n v="528"/>
    <d v="2024-01-22T23:00:00"/>
    <s v="2024-01-22 23:00:00"/>
    <s v="south"/>
    <x v="3"/>
    <s v="Grocery"/>
    <x v="3"/>
    <s v="Men T-Shirt"/>
    <s v="Men T-Shirt"/>
    <s v="CUST0180"/>
    <s v=" CUST0180 "/>
    <x v="2"/>
    <s v="Suresh"/>
    <x v="4"/>
    <s v="Credit Card"/>
    <n v="4"/>
    <s v="4"/>
    <n v="2004"/>
    <s v="2004"/>
    <n v="8016"/>
    <x v="0"/>
    <x v="0"/>
    <x v="3"/>
    <s v="Low"/>
    <s v="Online"/>
    <n v="8016"/>
  </r>
  <r>
    <n v="529"/>
    <d v="2024-01-23T00:00:00"/>
    <s v="2024-01-23 00:00:00"/>
    <s v="south"/>
    <x v="3"/>
    <s v=" Home Appliances "/>
    <x v="1"/>
    <s v="Washing Machine"/>
    <s v="Washing Machine"/>
    <s v="CUST0714"/>
    <s v=" CUST0714 "/>
    <x v="3"/>
    <s v="Anita"/>
    <x v="1"/>
    <s v="Debit card "/>
    <n v="6"/>
    <s v="6"/>
    <n v="3687"/>
    <s v="3687"/>
    <n v="22122"/>
    <x v="0"/>
    <x v="0"/>
    <x v="3"/>
    <s v="Medium"/>
    <s v="Online"/>
    <n v="22122"/>
  </r>
  <r>
    <n v="530"/>
    <d v="2024-01-23T01:00:00"/>
    <s v="2024-01-23 01:00:00"/>
    <s v="south"/>
    <x v="3"/>
    <s v="Grocery"/>
    <x v="3"/>
    <s v="Led Tv 42Inch"/>
    <s v="LED TV 42inch"/>
    <s v="CUST0364"/>
    <s v=" CUST0364 "/>
    <x v="1"/>
    <s v="Meena"/>
    <x v="2"/>
    <s v="UPI"/>
    <n v="6"/>
    <s v="6"/>
    <n v="1211"/>
    <s v="1211"/>
    <n v="7266"/>
    <x v="0"/>
    <x v="0"/>
    <x v="3"/>
    <s v="Low"/>
    <s v="Online"/>
    <n v="7266"/>
  </r>
  <r>
    <n v="531"/>
    <d v="2024-01-23T02:00:00"/>
    <s v="2024-01-23 02:00:00"/>
    <s v=" North "/>
    <x v="2"/>
    <s v="Electronics"/>
    <x v="2"/>
    <s v="Laptop"/>
    <s v="Laptop"/>
    <s v="CUST0479"/>
    <s v=" CUST0479 "/>
    <x v="3"/>
    <s v="Anita"/>
    <x v="2"/>
    <s v="UPI"/>
    <n v="13"/>
    <s v="13"/>
    <n v="275"/>
    <s v="275"/>
    <n v="3575"/>
    <x v="0"/>
    <x v="0"/>
    <x v="3"/>
    <s v="Low"/>
    <s v="Online"/>
    <n v="3575"/>
  </r>
  <r>
    <n v="532"/>
    <d v="2024-01-23T03:00:00"/>
    <s v="2024-01-23 03:00:00"/>
    <s v=" west"/>
    <x v="1"/>
    <s v="Electronics"/>
    <x v="2"/>
    <s v="Led Tv 42Inch"/>
    <s v="LED TV 42inch"/>
    <s v="CUST0565"/>
    <s v=" CUST0565 "/>
    <x v="0"/>
    <s v="Rahul"/>
    <x v="0"/>
    <s v=" Cash"/>
    <n v="4"/>
    <s v="4"/>
    <n v="822"/>
    <s v="822"/>
    <n v="3288"/>
    <x v="0"/>
    <x v="0"/>
    <x v="3"/>
    <s v="Low"/>
    <s v="Offline"/>
    <n v="3288"/>
  </r>
  <r>
    <n v="533"/>
    <d v="2024-01-23T04:00:00"/>
    <s v="2024-01-23 04:00:00"/>
    <s v=" North "/>
    <x v="2"/>
    <s v=" Home Appliances "/>
    <x v="1"/>
    <s v="Men T-Shirt"/>
    <s v="Men T-Shirt"/>
    <s v="CUST0471"/>
    <s v=" CUST0471 "/>
    <x v="0"/>
    <s v="Rahul"/>
    <x v="3"/>
    <s v=" Net Banking "/>
    <n v="14"/>
    <s v="14"/>
    <n v="3942"/>
    <s v="3942"/>
    <n v="55188"/>
    <x v="0"/>
    <x v="0"/>
    <x v="3"/>
    <s v="High"/>
    <s v="Online"/>
    <n v="55188"/>
  </r>
  <r>
    <n v="534"/>
    <d v="2024-01-23T05:00:00"/>
    <s v="2024-01-23 05:00:00"/>
    <s v=" North "/>
    <x v="2"/>
    <s v="Electronics"/>
    <x v="2"/>
    <s v="Laptop"/>
    <s v="Laptop"/>
    <s v="CUST0384"/>
    <s v=" CUST0384 "/>
    <x v="2"/>
    <s v="Suresh"/>
    <x v="4"/>
    <s v="Credit Card"/>
    <n v="13"/>
    <s v="13"/>
    <n v="3774"/>
    <s v="3774"/>
    <n v="49062"/>
    <x v="0"/>
    <x v="0"/>
    <x v="3"/>
    <s v="Medium"/>
    <s v="Online"/>
    <n v="49062"/>
  </r>
  <r>
    <n v="535"/>
    <d v="2024-01-23T06:00:00"/>
    <s v="2024-01-23 06:00:00"/>
    <s v="EAST"/>
    <x v="0"/>
    <s v="Electronics"/>
    <x v="2"/>
    <s v="Rice 5Kg"/>
    <s v="Rice 5kg"/>
    <s v="CUST0692"/>
    <s v=" CUST0692 "/>
    <x v="1"/>
    <s v="Meena"/>
    <x v="0"/>
    <s v=" Cash"/>
    <n v="6"/>
    <s v="6"/>
    <n v="4966"/>
    <s v="4966"/>
    <n v="29796"/>
    <x v="0"/>
    <x v="0"/>
    <x v="3"/>
    <s v="Medium"/>
    <s v="Offline"/>
    <n v="29796"/>
  </r>
  <r>
    <n v="536"/>
    <d v="2024-01-23T07:00:00"/>
    <s v="2024-01-23 07:00:00"/>
    <s v="south"/>
    <x v="3"/>
    <s v="Clothing"/>
    <x v="0"/>
    <s v="Rice 5Kg"/>
    <s v="Rice 5kg"/>
    <s v="CUST0417"/>
    <s v=" CUST0417 "/>
    <x v="4"/>
    <s v="Karthik"/>
    <x v="4"/>
    <s v="Credit Card"/>
    <n v="10"/>
    <s v="10"/>
    <n v="2047"/>
    <s v="2047"/>
    <n v="20470"/>
    <x v="0"/>
    <x v="0"/>
    <x v="3"/>
    <s v="Medium"/>
    <s v="Online"/>
    <n v="20470"/>
  </r>
  <r>
    <n v="537"/>
    <d v="2024-01-23T08:00:00"/>
    <s v="2024-01-23 08:00:00"/>
    <s v=" west"/>
    <x v="1"/>
    <s v="Clothing"/>
    <x v="0"/>
    <s v="Mixer Grinder"/>
    <s v="Mixer Grinder"/>
    <s v="CUST0308"/>
    <s v=" CUST0308 "/>
    <x v="1"/>
    <s v="Meena"/>
    <x v="0"/>
    <s v=" Cash"/>
    <n v="11"/>
    <s v="11"/>
    <n v="802"/>
    <s v="802"/>
    <n v="8822"/>
    <x v="0"/>
    <x v="0"/>
    <x v="3"/>
    <s v="Low"/>
    <s v="Offline"/>
    <n v="8822"/>
  </r>
  <r>
    <n v="538"/>
    <d v="2024-01-23T09:00:00"/>
    <s v="2024-01-23 09:00:00"/>
    <s v="EAST"/>
    <x v="0"/>
    <s v="Electronics"/>
    <x v="2"/>
    <s v="Men T-Shirt"/>
    <s v="Men T-Shirt"/>
    <s v="CUST0649"/>
    <s v=" CUST0649 "/>
    <x v="0"/>
    <s v="Rahul"/>
    <x v="3"/>
    <s v=" Net Banking "/>
    <n v="8"/>
    <s v="8"/>
    <n v="2228"/>
    <s v="2228"/>
    <n v="17824"/>
    <x v="0"/>
    <x v="0"/>
    <x v="3"/>
    <s v="Low"/>
    <s v="Online"/>
    <n v="17824"/>
  </r>
  <r>
    <n v="539"/>
    <d v="2024-01-23T10:00:00"/>
    <s v="2024-01-23 10:00:00"/>
    <s v=" North "/>
    <x v="2"/>
    <s v=" Home Appliances "/>
    <x v="1"/>
    <s v="Mixer Grinder"/>
    <s v="Mixer Grinder"/>
    <s v="CUST0694"/>
    <s v=" CUST0694 "/>
    <x v="4"/>
    <s v="Karthik"/>
    <x v="0"/>
    <s v=" Cash"/>
    <n v="13"/>
    <s v="13"/>
    <n v="1026"/>
    <s v="1026"/>
    <n v="13338"/>
    <x v="0"/>
    <x v="0"/>
    <x v="3"/>
    <s v="Low"/>
    <s v="Offline"/>
    <n v="13338"/>
  </r>
  <r>
    <n v="540"/>
    <d v="2024-01-23T11:00:00"/>
    <s v="2024-01-23 11:00:00"/>
    <s v="south"/>
    <x v="3"/>
    <s v="Clothing"/>
    <x v="0"/>
    <s v="Laptop"/>
    <s v="Laptop"/>
    <s v="CUST0367"/>
    <s v=" CUST0367 "/>
    <x v="1"/>
    <s v="Meena"/>
    <x v="4"/>
    <s v="Credit Card"/>
    <n v="3"/>
    <s v="3"/>
    <n v="4333"/>
    <s v="4333"/>
    <n v="12999"/>
    <x v="0"/>
    <x v="0"/>
    <x v="3"/>
    <s v="Low"/>
    <s v="Online"/>
    <n v="12999"/>
  </r>
  <r>
    <n v="541"/>
    <d v="2024-01-23T12:00:00"/>
    <s v="2024-01-23 12:00:00"/>
    <s v="EAST"/>
    <x v="0"/>
    <s v="Grocery"/>
    <x v="3"/>
    <s v="Men T-Shirt"/>
    <s v="Men T-Shirt"/>
    <s v="CUST0001"/>
    <s v=" CUST0001 "/>
    <x v="1"/>
    <s v="Meena"/>
    <x v="2"/>
    <s v="UPI"/>
    <n v="4"/>
    <s v="4"/>
    <n v="3604"/>
    <s v="3604"/>
    <n v="14416"/>
    <x v="0"/>
    <x v="0"/>
    <x v="3"/>
    <s v="Low"/>
    <s v="Online"/>
    <n v="14416"/>
  </r>
  <r>
    <n v="542"/>
    <d v="2024-01-23T13:00:00"/>
    <s v="2024-01-23 13:00:00"/>
    <s v="south"/>
    <x v="3"/>
    <s v="Grocery"/>
    <x v="3"/>
    <s v="Washing Machine"/>
    <s v="Washing Machine"/>
    <s v="CUST0044"/>
    <s v=" CUST0044 "/>
    <x v="4"/>
    <s v="Karthik"/>
    <x v="4"/>
    <s v="Credit Card"/>
    <n v="10"/>
    <s v="10"/>
    <n v="2617"/>
    <s v="2617"/>
    <n v="26170"/>
    <x v="0"/>
    <x v="0"/>
    <x v="3"/>
    <s v="Medium"/>
    <s v="Online"/>
    <n v="26170"/>
  </r>
  <r>
    <n v="543"/>
    <d v="2024-01-23T14:00:00"/>
    <s v="2024-01-23 14:00:00"/>
    <s v="EAST"/>
    <x v="0"/>
    <s v="Grocery"/>
    <x v="3"/>
    <s v="Led Tv 42Inch"/>
    <s v="LED TV 42inch"/>
    <s v="CUST0739"/>
    <s v=" CUST0739 "/>
    <x v="0"/>
    <s v="Rahul"/>
    <x v="1"/>
    <s v="Debit card "/>
    <n v="13"/>
    <s v="13"/>
    <n v="2497"/>
    <s v="2497"/>
    <n v="32461"/>
    <x v="0"/>
    <x v="0"/>
    <x v="3"/>
    <s v="Medium"/>
    <s v="Online"/>
    <n v="32461"/>
  </r>
  <r>
    <n v="544"/>
    <d v="2024-01-23T15:00:00"/>
    <s v="2024-01-23 15:00:00"/>
    <s v="south"/>
    <x v="3"/>
    <s v=" Home Appliances "/>
    <x v="1"/>
    <s v="Washing Machine"/>
    <s v="Washing Machine"/>
    <s v="CUST0098"/>
    <s v=" CUST0098 "/>
    <x v="1"/>
    <s v="Meena"/>
    <x v="1"/>
    <s v="Debit card "/>
    <n v="12"/>
    <s v="12"/>
    <n v="1249"/>
    <s v="1249"/>
    <n v="14988"/>
    <x v="0"/>
    <x v="0"/>
    <x v="3"/>
    <s v="Low"/>
    <s v="Online"/>
    <n v="14988"/>
  </r>
  <r>
    <n v="545"/>
    <d v="2024-01-23T16:00:00"/>
    <s v="2024-01-23 16:00:00"/>
    <s v=" North "/>
    <x v="2"/>
    <s v="Electronics"/>
    <x v="2"/>
    <s v="Laptop"/>
    <s v="Laptop"/>
    <s v="CUST0720"/>
    <s v=" CUST0720 "/>
    <x v="4"/>
    <s v="Karthik"/>
    <x v="1"/>
    <s v="Debit card "/>
    <n v="14"/>
    <s v="14"/>
    <n v="3480"/>
    <s v="3480"/>
    <n v="48720"/>
    <x v="0"/>
    <x v="0"/>
    <x v="3"/>
    <s v="Medium"/>
    <s v="Online"/>
    <n v="48720"/>
  </r>
  <r>
    <n v="546"/>
    <d v="2024-01-23T17:00:00"/>
    <s v="2024-01-23 17:00:00"/>
    <s v=" west"/>
    <x v="1"/>
    <s v="Grocery"/>
    <x v="3"/>
    <s v="Men T-Shirt"/>
    <s v="Men T-Shirt"/>
    <s v="CUST0265"/>
    <s v=" CUST0265 "/>
    <x v="0"/>
    <s v="Rahul"/>
    <x v="1"/>
    <s v="Debit card "/>
    <n v="1"/>
    <s v="1"/>
    <n v="1978"/>
    <s v="1978"/>
    <n v="1978"/>
    <x v="0"/>
    <x v="0"/>
    <x v="3"/>
    <s v="Low"/>
    <s v="Online"/>
    <n v="1978"/>
  </r>
  <r>
    <n v="547"/>
    <d v="2024-01-23T18:00:00"/>
    <s v="2024-01-23 18:00:00"/>
    <s v=" North "/>
    <x v="2"/>
    <s v=" Home Appliances "/>
    <x v="1"/>
    <s v="Laptop"/>
    <s v="Laptop"/>
    <s v="CUST0800"/>
    <s v=" CUST0800 "/>
    <x v="4"/>
    <s v="Karthik"/>
    <x v="3"/>
    <s v=" Net Banking "/>
    <n v="4"/>
    <s v="4"/>
    <n v="1353"/>
    <s v="1353"/>
    <n v="5412"/>
    <x v="0"/>
    <x v="0"/>
    <x v="3"/>
    <s v="Low"/>
    <s v="Online"/>
    <n v="5412"/>
  </r>
  <r>
    <n v="548"/>
    <d v="2024-01-23T19:00:00"/>
    <s v="2024-01-23 19:00:00"/>
    <s v=" west"/>
    <x v="1"/>
    <s v="Clothing"/>
    <x v="0"/>
    <s v="Led Tv 42Inch"/>
    <s v="LED TV 42inch"/>
    <s v="CUST0783"/>
    <s v=" CUST0783 "/>
    <x v="4"/>
    <s v="Karthik"/>
    <x v="2"/>
    <s v="UPI"/>
    <n v="11"/>
    <s v="11"/>
    <n v="1583"/>
    <s v="1583"/>
    <n v="17413"/>
    <x v="0"/>
    <x v="0"/>
    <x v="3"/>
    <s v="Low"/>
    <s v="Online"/>
    <n v="17413"/>
  </r>
  <r>
    <n v="549"/>
    <d v="2024-01-23T20:00:00"/>
    <s v="2024-01-23 20:00:00"/>
    <s v="south"/>
    <x v="3"/>
    <s v="Electronics"/>
    <x v="2"/>
    <s v="Rice 5Kg"/>
    <s v="Rice 5kg"/>
    <s v="CUST0140"/>
    <s v=" CUST0140 "/>
    <x v="1"/>
    <s v="Meena"/>
    <x v="2"/>
    <s v="UPI"/>
    <n v="10"/>
    <s v="10"/>
    <n v="409"/>
    <s v="409"/>
    <n v="4090"/>
    <x v="0"/>
    <x v="0"/>
    <x v="3"/>
    <s v="Low"/>
    <s v="Online"/>
    <n v="4090"/>
  </r>
  <r>
    <n v="550"/>
    <d v="2024-01-23T21:00:00"/>
    <s v="2024-01-23 21:00:00"/>
    <s v="EAST"/>
    <x v="0"/>
    <s v="Clothing"/>
    <x v="0"/>
    <s v="Rice 5Kg"/>
    <s v="Rice 5kg"/>
    <s v="CUST0481"/>
    <s v=" CUST0481 "/>
    <x v="0"/>
    <s v="Rahul"/>
    <x v="4"/>
    <s v="Credit Card"/>
    <n v="10"/>
    <s v="10"/>
    <n v="4052"/>
    <s v="4052"/>
    <n v="40520"/>
    <x v="0"/>
    <x v="0"/>
    <x v="3"/>
    <s v="Medium"/>
    <s v="Online"/>
    <n v="40520"/>
  </r>
  <r>
    <n v="551"/>
    <d v="2024-01-23T22:00:00"/>
    <s v="2024-01-23 22:00:00"/>
    <s v=" North "/>
    <x v="2"/>
    <s v=" Home Appliances "/>
    <x v="1"/>
    <s v="Laptop"/>
    <s v="Laptop"/>
    <s v="CUST0237"/>
    <s v=" CUST0237 "/>
    <x v="1"/>
    <s v="Meena"/>
    <x v="0"/>
    <s v=" Cash"/>
    <n v="12"/>
    <s v="12"/>
    <n v="3149"/>
    <s v="3149"/>
    <n v="37788"/>
    <x v="0"/>
    <x v="0"/>
    <x v="3"/>
    <s v="Medium"/>
    <s v="Offline"/>
    <n v="37788"/>
  </r>
  <r>
    <n v="552"/>
    <d v="2024-01-23T23:00:00"/>
    <s v="2024-01-23 23:00:00"/>
    <s v=" west"/>
    <x v="1"/>
    <s v="Grocery"/>
    <x v="3"/>
    <s v="Mixer Grinder"/>
    <s v="Mixer Grinder"/>
    <s v="CUST0072"/>
    <s v=" CUST0072 "/>
    <x v="3"/>
    <s v="Anita"/>
    <x v="4"/>
    <s v="Credit Card"/>
    <n v="14"/>
    <s v="14"/>
    <n v="1664"/>
    <s v="1664"/>
    <n v="23296"/>
    <x v="0"/>
    <x v="0"/>
    <x v="3"/>
    <s v="Medium"/>
    <s v="Online"/>
    <n v="23296"/>
  </r>
  <r>
    <n v="553"/>
    <d v="2024-01-24T00:00:00"/>
    <s v="2024-01-24 00:00:00"/>
    <s v=" North "/>
    <x v="2"/>
    <s v="Grocery"/>
    <x v="3"/>
    <s v="Men T-Shirt"/>
    <s v="Men T-Shirt"/>
    <s v="CUST0667"/>
    <s v=" CUST0667 "/>
    <x v="3"/>
    <s v="Anita"/>
    <x v="4"/>
    <s v="Credit Card"/>
    <n v="9"/>
    <s v="9"/>
    <n v="1600"/>
    <s v="1600"/>
    <n v="14400"/>
    <x v="0"/>
    <x v="0"/>
    <x v="3"/>
    <s v="Low"/>
    <s v="Online"/>
    <n v="14400"/>
  </r>
  <r>
    <n v="554"/>
    <d v="2024-01-24T01:00:00"/>
    <s v="2024-01-24 01:00:00"/>
    <s v=" west"/>
    <x v="1"/>
    <s v=" Home Appliances "/>
    <x v="1"/>
    <s v="Men T-Shirt"/>
    <s v="Men T-Shirt"/>
    <s v="CUST0190"/>
    <s v=" CUST0190 "/>
    <x v="0"/>
    <s v="Rahul"/>
    <x v="4"/>
    <s v="Credit Card"/>
    <n v="8"/>
    <s v="8"/>
    <n v="4965"/>
    <s v="4965"/>
    <n v="39720"/>
    <x v="0"/>
    <x v="0"/>
    <x v="3"/>
    <s v="Medium"/>
    <s v="Online"/>
    <n v="39720"/>
  </r>
  <r>
    <n v="555"/>
    <d v="2024-01-24T02:00:00"/>
    <s v="2024-01-24 02:00:00"/>
    <s v=" North "/>
    <x v="2"/>
    <s v="Grocery"/>
    <x v="3"/>
    <s v="Rice 5Kg"/>
    <s v="Rice 5kg"/>
    <s v="CUST0268"/>
    <s v=" CUST0268 "/>
    <x v="4"/>
    <s v="Karthik"/>
    <x v="4"/>
    <s v="Credit Card"/>
    <n v="11"/>
    <s v="11"/>
    <n v="115"/>
    <s v="115"/>
    <n v="1265"/>
    <x v="0"/>
    <x v="0"/>
    <x v="3"/>
    <s v="Low"/>
    <s v="Online"/>
    <n v="1265"/>
  </r>
  <r>
    <n v="556"/>
    <d v="2024-01-24T03:00:00"/>
    <s v="2024-01-24 03:00:00"/>
    <s v=" west"/>
    <x v="1"/>
    <s v="Electronics"/>
    <x v="2"/>
    <s v="Washing Machine"/>
    <s v="Washing Machine"/>
    <s v="CUST0321"/>
    <s v=" CUST0321 "/>
    <x v="1"/>
    <s v="Meena"/>
    <x v="2"/>
    <s v="UPI"/>
    <n v="4"/>
    <s v="4"/>
    <n v="705"/>
    <s v="705"/>
    <n v="2820"/>
    <x v="0"/>
    <x v="0"/>
    <x v="3"/>
    <s v="Low"/>
    <s v="Online"/>
    <n v="2820"/>
  </r>
  <r>
    <n v="557"/>
    <d v="2024-01-24T04:00:00"/>
    <s v="2024-01-24 04:00:00"/>
    <s v=" west"/>
    <x v="1"/>
    <s v=" Home Appliances "/>
    <x v="1"/>
    <s v="Led Tv 42Inch"/>
    <s v="LED TV 42inch"/>
    <s v="CUST0107"/>
    <s v=" CUST0107 "/>
    <x v="1"/>
    <s v="Meena"/>
    <x v="0"/>
    <s v=" Cash"/>
    <n v="12"/>
    <s v="12"/>
    <n v="1481"/>
    <s v="1481"/>
    <n v="17772"/>
    <x v="0"/>
    <x v="0"/>
    <x v="3"/>
    <s v="Low"/>
    <s v="Offline"/>
    <n v="17772"/>
  </r>
  <r>
    <n v="558"/>
    <d v="2024-01-24T05:00:00"/>
    <s v="2024-01-24 05:00:00"/>
    <s v="south"/>
    <x v="3"/>
    <s v="Clothing"/>
    <x v="0"/>
    <s v="Washing Machine"/>
    <s v="Washing Machine"/>
    <s v="CUST0232"/>
    <s v=" CUST0232 "/>
    <x v="0"/>
    <s v="Rahul"/>
    <x v="4"/>
    <s v="Credit Card"/>
    <n v="7"/>
    <s v="7"/>
    <n v="3483"/>
    <s v="3483"/>
    <n v="24381"/>
    <x v="0"/>
    <x v="0"/>
    <x v="3"/>
    <s v="Medium"/>
    <s v="Online"/>
    <n v="24381"/>
  </r>
  <r>
    <n v="559"/>
    <d v="2024-01-24T06:00:00"/>
    <s v="2024-01-24 06:00:00"/>
    <s v=" west"/>
    <x v="1"/>
    <s v=" Home Appliances "/>
    <x v="1"/>
    <s v="Washing Machine"/>
    <s v="Washing Machine"/>
    <s v="CUST0042"/>
    <s v=" CUST0042 "/>
    <x v="0"/>
    <s v="Rahul"/>
    <x v="2"/>
    <s v="UPI"/>
    <n v="10"/>
    <s v="10"/>
    <n v="994"/>
    <s v="994"/>
    <n v="9940"/>
    <x v="0"/>
    <x v="0"/>
    <x v="3"/>
    <s v="Low"/>
    <s v="Online"/>
    <n v="9940"/>
  </r>
  <r>
    <n v="560"/>
    <d v="2024-01-24T07:00:00"/>
    <s v="2024-01-24 07:00:00"/>
    <s v="south"/>
    <x v="3"/>
    <s v="Electronics"/>
    <x v="2"/>
    <s v="Laptop"/>
    <s v="Laptop"/>
    <s v="CUST0702"/>
    <s v=" CUST0702 "/>
    <x v="3"/>
    <s v="Anita"/>
    <x v="4"/>
    <s v="Credit Card"/>
    <n v="3"/>
    <s v="3"/>
    <n v="1667"/>
    <s v="1667"/>
    <n v="5001"/>
    <x v="0"/>
    <x v="0"/>
    <x v="3"/>
    <s v="Low"/>
    <s v="Online"/>
    <n v="5001"/>
  </r>
  <r>
    <n v="561"/>
    <d v="2024-01-24T08:00:00"/>
    <s v="2024-01-24 08:00:00"/>
    <s v=" west"/>
    <x v="1"/>
    <s v="Electronics"/>
    <x v="2"/>
    <s v="Rice 5Kg"/>
    <s v="Rice 5kg"/>
    <s v="CUST0139"/>
    <s v=" CUST0139 "/>
    <x v="2"/>
    <s v="Suresh"/>
    <x v="1"/>
    <s v="Debit card "/>
    <n v="9"/>
    <s v="9"/>
    <n v="513"/>
    <s v="513"/>
    <n v="4617"/>
    <x v="0"/>
    <x v="0"/>
    <x v="3"/>
    <s v="Low"/>
    <s v="Online"/>
    <n v="4617"/>
  </r>
  <r>
    <n v="562"/>
    <d v="2024-01-24T09:00:00"/>
    <s v="2024-01-24 09:00:00"/>
    <s v="EAST"/>
    <x v="0"/>
    <s v=" Home Appliances "/>
    <x v="1"/>
    <s v="Rice 5Kg"/>
    <s v="Rice 5kg"/>
    <s v="CUST0615"/>
    <s v=" CUST0615 "/>
    <x v="0"/>
    <s v="Rahul"/>
    <x v="4"/>
    <s v="Credit Card"/>
    <n v="10"/>
    <s v="10"/>
    <n v="4220"/>
    <s v="4220"/>
    <n v="42200"/>
    <x v="0"/>
    <x v="0"/>
    <x v="3"/>
    <s v="Medium"/>
    <s v="Online"/>
    <n v="42200"/>
  </r>
  <r>
    <n v="563"/>
    <d v="2024-01-24T10:00:00"/>
    <s v="2024-01-24 10:00:00"/>
    <s v="EAST"/>
    <x v="0"/>
    <s v=" Home Appliances "/>
    <x v="1"/>
    <s v="Rice 5Kg"/>
    <s v="Rice 5kg"/>
    <s v="CUST0683"/>
    <s v=" CUST0683 "/>
    <x v="2"/>
    <s v="Suresh"/>
    <x v="4"/>
    <s v="Credit Card"/>
    <n v="4"/>
    <s v="4"/>
    <n v="2104"/>
    <s v="2104"/>
    <n v="8416"/>
    <x v="0"/>
    <x v="0"/>
    <x v="3"/>
    <s v="Low"/>
    <s v="Online"/>
    <n v="8416"/>
  </r>
  <r>
    <n v="564"/>
    <d v="2024-01-24T11:00:00"/>
    <s v="2024-01-24 11:00:00"/>
    <s v="EAST"/>
    <x v="0"/>
    <s v="Grocery"/>
    <x v="3"/>
    <s v="Laptop"/>
    <s v="Laptop"/>
    <s v="CUST0273"/>
    <s v=" CUST0273 "/>
    <x v="0"/>
    <s v="Rahul"/>
    <x v="3"/>
    <s v=" Net Banking "/>
    <n v="2"/>
    <s v="2"/>
    <n v="415"/>
    <s v="415"/>
    <n v="830"/>
    <x v="0"/>
    <x v="0"/>
    <x v="3"/>
    <s v="Low"/>
    <s v="Online"/>
    <n v="830"/>
  </r>
  <r>
    <n v="565"/>
    <d v="2024-01-24T12:00:00"/>
    <s v="2024-01-24 12:00:00"/>
    <s v=" west"/>
    <x v="1"/>
    <s v="Electronics"/>
    <x v="2"/>
    <s v="Mixer Grinder"/>
    <s v="Mixer Grinder"/>
    <s v="CUST0481"/>
    <s v=" CUST0481 "/>
    <x v="4"/>
    <s v="Karthik"/>
    <x v="1"/>
    <s v="Debit card "/>
    <n v="10"/>
    <s v="10"/>
    <n v="4766"/>
    <s v="4766"/>
    <n v="47660"/>
    <x v="0"/>
    <x v="0"/>
    <x v="3"/>
    <s v="Medium"/>
    <s v="Online"/>
    <n v="47660"/>
  </r>
  <r>
    <n v="566"/>
    <d v="2024-01-24T13:00:00"/>
    <s v="2024-01-24 13:00:00"/>
    <s v="south"/>
    <x v="3"/>
    <s v=" Home Appliances "/>
    <x v="1"/>
    <s v="Washing Machine"/>
    <s v="Washing Machine"/>
    <s v="CUST0416"/>
    <s v=" CUST0416 "/>
    <x v="4"/>
    <s v="Karthik"/>
    <x v="0"/>
    <s v=" Cash"/>
    <n v="5"/>
    <s v="5"/>
    <n v="4920"/>
    <s v="4920"/>
    <n v="24600"/>
    <x v="0"/>
    <x v="0"/>
    <x v="3"/>
    <s v="Medium"/>
    <s v="Offline"/>
    <n v="24600"/>
  </r>
  <r>
    <n v="567"/>
    <d v="2024-01-24T14:00:00"/>
    <s v="2024-01-24 14:00:00"/>
    <s v="south"/>
    <x v="3"/>
    <s v=" Home Appliances "/>
    <x v="1"/>
    <s v="Laptop"/>
    <s v="Laptop"/>
    <s v="CUST0506"/>
    <s v=" CUST0506 "/>
    <x v="3"/>
    <s v="Anita"/>
    <x v="4"/>
    <s v="Credit Card"/>
    <n v="2"/>
    <s v="2"/>
    <n v="3155"/>
    <s v="3155"/>
    <n v="6310"/>
    <x v="0"/>
    <x v="0"/>
    <x v="3"/>
    <s v="Low"/>
    <s v="Online"/>
    <n v="6310"/>
  </r>
  <r>
    <n v="568"/>
    <d v="2024-01-24T15:00:00"/>
    <s v="2024-01-24 15:00:00"/>
    <s v=" west"/>
    <x v="1"/>
    <s v="Electronics"/>
    <x v="2"/>
    <s v="Men T-Shirt"/>
    <s v="Men T-Shirt"/>
    <s v="CUST0733"/>
    <s v=" CUST0733 "/>
    <x v="3"/>
    <s v="Anita"/>
    <x v="0"/>
    <s v=" Cash"/>
    <n v="14"/>
    <s v="14"/>
    <n v="1949"/>
    <s v="1949"/>
    <n v="27286"/>
    <x v="0"/>
    <x v="0"/>
    <x v="3"/>
    <s v="Medium"/>
    <s v="Offline"/>
    <n v="27286"/>
  </r>
  <r>
    <n v="569"/>
    <d v="2024-01-24T16:00:00"/>
    <s v="2024-01-24 16:00:00"/>
    <s v="EAST"/>
    <x v="0"/>
    <s v=" Home Appliances "/>
    <x v="1"/>
    <s v="Led Tv 42Inch"/>
    <s v="LED TV 42inch"/>
    <s v="CUST0725"/>
    <s v=" CUST0725 "/>
    <x v="2"/>
    <s v="Suresh"/>
    <x v="1"/>
    <s v="Debit card "/>
    <n v="10"/>
    <s v="10"/>
    <n v="2053"/>
    <s v="2053"/>
    <n v="20530"/>
    <x v="0"/>
    <x v="0"/>
    <x v="3"/>
    <s v="Medium"/>
    <s v="Online"/>
    <n v="20530"/>
  </r>
  <r>
    <n v="570"/>
    <d v="2024-01-24T17:00:00"/>
    <s v="2024-01-24 17:00:00"/>
    <s v="EAST"/>
    <x v="0"/>
    <s v="Grocery"/>
    <x v="3"/>
    <s v="Mixer Grinder"/>
    <s v="Mixer Grinder"/>
    <s v="CUST0424"/>
    <s v=" CUST0424 "/>
    <x v="0"/>
    <s v="Rahul"/>
    <x v="4"/>
    <s v="Credit Card"/>
    <n v="6"/>
    <s v="6"/>
    <n v="488"/>
    <s v="488"/>
    <n v="2928"/>
    <x v="0"/>
    <x v="0"/>
    <x v="3"/>
    <s v="Low"/>
    <s v="Online"/>
    <n v="2928"/>
  </r>
  <r>
    <n v="571"/>
    <d v="2024-01-24T18:00:00"/>
    <s v="2024-01-24 18:00:00"/>
    <s v="south"/>
    <x v="3"/>
    <s v="Electronics"/>
    <x v="2"/>
    <s v="Men T-Shirt"/>
    <s v="Men T-Shirt"/>
    <s v="CUST0407"/>
    <s v=" CUST0407 "/>
    <x v="1"/>
    <s v="Meena"/>
    <x v="3"/>
    <s v=" Net Banking "/>
    <n v="11"/>
    <s v="11"/>
    <n v="2869"/>
    <s v="2869"/>
    <n v="31559"/>
    <x v="0"/>
    <x v="0"/>
    <x v="3"/>
    <s v="Medium"/>
    <s v="Online"/>
    <n v="31559"/>
  </r>
  <r>
    <n v="572"/>
    <d v="2024-01-24T19:00:00"/>
    <s v="2024-01-24 19:00:00"/>
    <s v="EAST"/>
    <x v="0"/>
    <s v="Grocery"/>
    <x v="3"/>
    <s v="Washing Machine"/>
    <s v="Washing Machine"/>
    <s v="CUST0568"/>
    <s v=" CUST0568 "/>
    <x v="3"/>
    <s v="Anita"/>
    <x v="2"/>
    <s v="UPI"/>
    <n v="10"/>
    <s v="10"/>
    <n v="4639"/>
    <s v="4639"/>
    <n v="46390"/>
    <x v="0"/>
    <x v="0"/>
    <x v="3"/>
    <s v="Medium"/>
    <s v="Online"/>
    <n v="46390"/>
  </r>
  <r>
    <n v="573"/>
    <d v="2024-01-24T20:00:00"/>
    <s v="2024-01-24 20:00:00"/>
    <s v=" North "/>
    <x v="2"/>
    <s v="Grocery"/>
    <x v="3"/>
    <s v="Rice 5Kg"/>
    <s v="Rice 5kg"/>
    <s v="CUST0390"/>
    <s v=" CUST0390 "/>
    <x v="1"/>
    <s v="Meena"/>
    <x v="3"/>
    <s v=" Net Banking "/>
    <n v="1"/>
    <s v="1"/>
    <n v="3146"/>
    <s v="3146"/>
    <n v="3146"/>
    <x v="0"/>
    <x v="0"/>
    <x v="3"/>
    <s v="Low"/>
    <s v="Online"/>
    <n v="3146"/>
  </r>
  <r>
    <n v="574"/>
    <d v="2024-01-24T21:00:00"/>
    <s v="2024-01-24 21:00:00"/>
    <s v="south"/>
    <x v="3"/>
    <s v="Grocery"/>
    <x v="3"/>
    <s v="Washing Machine"/>
    <s v="Washing Machine"/>
    <s v="CUST0342"/>
    <s v=" CUST0342 "/>
    <x v="1"/>
    <s v="Meena"/>
    <x v="3"/>
    <s v=" Net Banking "/>
    <n v="14"/>
    <s v="14"/>
    <n v="2515"/>
    <s v="2515"/>
    <n v="35210"/>
    <x v="0"/>
    <x v="0"/>
    <x v="3"/>
    <s v="Medium"/>
    <s v="Online"/>
    <n v="35210"/>
  </r>
  <r>
    <n v="575"/>
    <d v="2024-01-24T22:00:00"/>
    <s v="2024-01-24 22:00:00"/>
    <s v="EAST"/>
    <x v="0"/>
    <s v="Grocery"/>
    <x v="3"/>
    <s v="Laptop"/>
    <s v="Laptop"/>
    <s v="CUST0614"/>
    <s v=" CUST0614 "/>
    <x v="0"/>
    <s v="Rahul"/>
    <x v="2"/>
    <s v="UPI"/>
    <n v="6"/>
    <s v="6"/>
    <n v="2489"/>
    <s v="2489"/>
    <n v="14934"/>
    <x v="0"/>
    <x v="0"/>
    <x v="3"/>
    <s v="Low"/>
    <s v="Online"/>
    <n v="14934"/>
  </r>
  <r>
    <n v="576"/>
    <d v="2024-01-24T23:00:00"/>
    <s v="2024-01-24 23:00:00"/>
    <s v="south"/>
    <x v="3"/>
    <s v="Electronics"/>
    <x v="2"/>
    <s v="Led Tv 42Inch"/>
    <s v="LED TV 42inch"/>
    <s v="CUST0493"/>
    <s v=" CUST0493 "/>
    <x v="2"/>
    <s v="Suresh"/>
    <x v="2"/>
    <s v="UPI"/>
    <n v="4"/>
    <s v="4"/>
    <n v="403"/>
    <s v="403"/>
    <n v="1612"/>
    <x v="0"/>
    <x v="0"/>
    <x v="3"/>
    <s v="Low"/>
    <s v="Online"/>
    <n v="1612"/>
  </r>
  <r>
    <n v="577"/>
    <d v="2024-01-25T00:00:00"/>
    <s v="2024-01-25 00:00:00"/>
    <s v=" North "/>
    <x v="2"/>
    <s v="Grocery"/>
    <x v="3"/>
    <s v="Laptop"/>
    <s v="Laptop"/>
    <s v="CUST0192"/>
    <s v=" CUST0192 "/>
    <x v="0"/>
    <s v="Rahul"/>
    <x v="2"/>
    <s v="UPI"/>
    <n v="3"/>
    <s v="3"/>
    <n v="863"/>
    <s v="863"/>
    <n v="2589"/>
    <x v="0"/>
    <x v="0"/>
    <x v="3"/>
    <s v="Low"/>
    <s v="Online"/>
    <n v="2589"/>
  </r>
  <r>
    <n v="578"/>
    <d v="2024-01-25T01:00:00"/>
    <s v="2024-01-25 01:00:00"/>
    <s v="south"/>
    <x v="3"/>
    <s v="Grocery"/>
    <x v="3"/>
    <s v="Mixer Grinder"/>
    <s v="Mixer Grinder"/>
    <s v="CUST0499"/>
    <s v=" CUST0499 "/>
    <x v="3"/>
    <s v="Anita"/>
    <x v="4"/>
    <s v="Credit Card"/>
    <n v="2"/>
    <s v="2"/>
    <n v="2073"/>
    <s v="2073"/>
    <n v="4146"/>
    <x v="0"/>
    <x v="0"/>
    <x v="3"/>
    <s v="Low"/>
    <s v="Online"/>
    <n v="4146"/>
  </r>
  <r>
    <n v="579"/>
    <d v="2024-01-25T02:00:00"/>
    <s v="2024-01-25 02:00:00"/>
    <s v="south"/>
    <x v="3"/>
    <s v=" Home Appliances "/>
    <x v="1"/>
    <s v="Mixer Grinder"/>
    <s v="Mixer Grinder"/>
    <s v="CUST0712"/>
    <s v=" CUST0712 "/>
    <x v="1"/>
    <s v="Meena"/>
    <x v="0"/>
    <s v=" Cash"/>
    <n v="7"/>
    <s v="7"/>
    <n v="915"/>
    <s v="915"/>
    <n v="6405"/>
    <x v="0"/>
    <x v="0"/>
    <x v="3"/>
    <s v="Low"/>
    <s v="Offline"/>
    <n v="6405"/>
  </r>
  <r>
    <n v="580"/>
    <d v="2024-01-25T03:00:00"/>
    <s v="2024-01-25 03:00:00"/>
    <s v="south"/>
    <x v="3"/>
    <s v="Electronics"/>
    <x v="2"/>
    <s v="Led Tv 42Inch"/>
    <s v="LED TV 42inch"/>
    <s v="CUST0233"/>
    <s v=" CUST0233 "/>
    <x v="0"/>
    <s v="Rahul"/>
    <x v="0"/>
    <s v=" Cash"/>
    <n v="9"/>
    <s v="9"/>
    <n v="977"/>
    <s v="977"/>
    <n v="8793"/>
    <x v="0"/>
    <x v="0"/>
    <x v="3"/>
    <s v="Low"/>
    <s v="Offline"/>
    <n v="8793"/>
  </r>
  <r>
    <n v="581"/>
    <d v="2024-01-25T04:00:00"/>
    <s v="2024-01-25 04:00:00"/>
    <s v="south"/>
    <x v="3"/>
    <s v="Electronics"/>
    <x v="2"/>
    <s v="Men T-Shirt"/>
    <s v="Men T-Shirt"/>
    <s v="CUST0227"/>
    <s v=" CUST0227 "/>
    <x v="0"/>
    <s v="Rahul"/>
    <x v="2"/>
    <s v="UPI"/>
    <n v="12"/>
    <s v="12"/>
    <n v="4898"/>
    <s v="4898"/>
    <n v="58776"/>
    <x v="0"/>
    <x v="0"/>
    <x v="3"/>
    <s v="High"/>
    <s v="Online"/>
    <n v="58776"/>
  </r>
  <r>
    <n v="582"/>
    <d v="2024-01-25T05:00:00"/>
    <s v="2024-01-25 05:00:00"/>
    <s v=" North "/>
    <x v="2"/>
    <s v="Clothing"/>
    <x v="0"/>
    <s v="Men T-Shirt"/>
    <s v="Men T-Shirt"/>
    <s v="CUST0371"/>
    <s v=" CUST0371 "/>
    <x v="0"/>
    <s v="Rahul"/>
    <x v="3"/>
    <s v=" Net Banking "/>
    <n v="3"/>
    <s v="3"/>
    <n v="2426"/>
    <s v="2426"/>
    <n v="7278"/>
    <x v="0"/>
    <x v="0"/>
    <x v="3"/>
    <s v="Low"/>
    <s v="Online"/>
    <n v="7278"/>
  </r>
  <r>
    <n v="583"/>
    <d v="2024-01-25T06:00:00"/>
    <s v="2024-01-25 06:00:00"/>
    <s v=" west"/>
    <x v="1"/>
    <s v="Electronics"/>
    <x v="2"/>
    <s v="Mixer Grinder"/>
    <s v="Mixer Grinder"/>
    <s v="CUST0139"/>
    <s v=" CUST0139 "/>
    <x v="3"/>
    <s v="Anita"/>
    <x v="1"/>
    <s v="Debit card "/>
    <n v="6"/>
    <s v="6"/>
    <n v="2529"/>
    <s v="2529"/>
    <n v="15174"/>
    <x v="0"/>
    <x v="0"/>
    <x v="3"/>
    <s v="Low"/>
    <s v="Online"/>
    <n v="15174"/>
  </r>
  <r>
    <n v="584"/>
    <d v="2024-01-25T07:00:00"/>
    <s v="2024-01-25 07:00:00"/>
    <s v="south"/>
    <x v="3"/>
    <s v="Electronics"/>
    <x v="2"/>
    <s v="Mixer Grinder"/>
    <s v="Mixer Grinder"/>
    <s v="CUST0149"/>
    <s v=" CUST0149 "/>
    <x v="2"/>
    <s v="Suresh"/>
    <x v="2"/>
    <s v="UPI"/>
    <n v="9"/>
    <s v="9"/>
    <n v="2160"/>
    <s v="2160"/>
    <n v="19440"/>
    <x v="0"/>
    <x v="0"/>
    <x v="3"/>
    <s v="Low"/>
    <s v="Online"/>
    <n v="19440"/>
  </r>
  <r>
    <n v="585"/>
    <d v="2024-01-25T08:00:00"/>
    <s v="2024-01-25 08:00:00"/>
    <s v="south"/>
    <x v="3"/>
    <s v="Clothing"/>
    <x v="0"/>
    <s v="Rice 5Kg"/>
    <s v="Rice 5kg"/>
    <s v="CUST0115"/>
    <s v=" CUST0115 "/>
    <x v="0"/>
    <s v="Rahul"/>
    <x v="3"/>
    <s v=" Net Banking "/>
    <n v="2"/>
    <s v="2"/>
    <n v="4498"/>
    <s v="4498"/>
    <n v="8996"/>
    <x v="0"/>
    <x v="0"/>
    <x v="3"/>
    <s v="Low"/>
    <s v="Online"/>
    <n v="8996"/>
  </r>
  <r>
    <n v="586"/>
    <d v="2024-01-25T09:00:00"/>
    <s v="2024-01-25 09:00:00"/>
    <s v="EAST"/>
    <x v="0"/>
    <s v="Electronics"/>
    <x v="2"/>
    <s v="Men T-Shirt"/>
    <s v="Men T-Shirt"/>
    <s v="CUST0450"/>
    <s v=" CUST0450 "/>
    <x v="3"/>
    <s v="Anita"/>
    <x v="3"/>
    <s v=" Net Banking "/>
    <n v="7"/>
    <s v="7"/>
    <n v="1679"/>
    <s v="1679"/>
    <n v="11753"/>
    <x v="0"/>
    <x v="0"/>
    <x v="3"/>
    <s v="Low"/>
    <s v="Online"/>
    <n v="11753"/>
  </r>
  <r>
    <n v="587"/>
    <d v="2024-01-25T10:00:00"/>
    <s v="2024-01-25 10:00:00"/>
    <s v="south"/>
    <x v="3"/>
    <s v="Electronics"/>
    <x v="2"/>
    <s v="Led Tv 42Inch"/>
    <s v="LED TV 42inch"/>
    <s v="CUST0063"/>
    <s v=" CUST0063 "/>
    <x v="1"/>
    <s v="Meena"/>
    <x v="4"/>
    <s v="Credit Card"/>
    <n v="5"/>
    <s v="5"/>
    <n v="4355"/>
    <s v="4355"/>
    <n v="21775"/>
    <x v="0"/>
    <x v="0"/>
    <x v="3"/>
    <s v="Medium"/>
    <s v="Online"/>
    <n v="21775"/>
  </r>
  <r>
    <n v="588"/>
    <d v="2024-01-25T11:00:00"/>
    <s v="2024-01-25 11:00:00"/>
    <s v="EAST"/>
    <x v="0"/>
    <s v="Electronics"/>
    <x v="2"/>
    <s v="Men T-Shirt"/>
    <s v="Men T-Shirt"/>
    <s v="CUST0104"/>
    <s v=" CUST0104 "/>
    <x v="4"/>
    <s v="Karthik"/>
    <x v="4"/>
    <s v="Credit Card"/>
    <n v="5"/>
    <s v="5"/>
    <n v="2301"/>
    <s v="2301"/>
    <n v="11505"/>
    <x v="0"/>
    <x v="0"/>
    <x v="3"/>
    <s v="Low"/>
    <s v="Online"/>
    <n v="11505"/>
  </r>
  <r>
    <n v="589"/>
    <d v="2024-01-25T12:00:00"/>
    <s v="2024-01-25 12:00:00"/>
    <s v=" west"/>
    <x v="1"/>
    <s v="Electronics"/>
    <x v="2"/>
    <s v="Rice 5Kg"/>
    <s v="Rice 5kg"/>
    <s v="CUST0668"/>
    <s v=" CUST0668 "/>
    <x v="3"/>
    <s v="Anita"/>
    <x v="0"/>
    <s v=" Cash"/>
    <n v="11"/>
    <s v="11"/>
    <n v="3697"/>
    <s v="3697"/>
    <n v="40667"/>
    <x v="0"/>
    <x v="0"/>
    <x v="3"/>
    <s v="Medium"/>
    <s v="Offline"/>
    <n v="40667"/>
  </r>
  <r>
    <n v="590"/>
    <d v="2024-01-25T13:00:00"/>
    <s v="2024-01-25 13:00:00"/>
    <s v=" North "/>
    <x v="2"/>
    <s v="Clothing"/>
    <x v="0"/>
    <s v="Laptop"/>
    <s v="Laptop"/>
    <s v="CUST0273"/>
    <s v=" CUST0273 "/>
    <x v="4"/>
    <s v="Karthik"/>
    <x v="0"/>
    <s v=" Cash"/>
    <n v="7"/>
    <s v="7"/>
    <n v="1303"/>
    <s v="1303"/>
    <n v="9121"/>
    <x v="0"/>
    <x v="0"/>
    <x v="3"/>
    <s v="Low"/>
    <s v="Offline"/>
    <n v="9121"/>
  </r>
  <r>
    <n v="591"/>
    <d v="2024-01-25T14:00:00"/>
    <s v="2024-01-25 14:00:00"/>
    <s v=" North "/>
    <x v="2"/>
    <s v="Electronics"/>
    <x v="2"/>
    <s v="Mixer Grinder"/>
    <s v="Mixer Grinder"/>
    <s v="CUST0006"/>
    <s v=" CUST0006 "/>
    <x v="0"/>
    <s v="Rahul"/>
    <x v="1"/>
    <s v="Debit card "/>
    <n v="9"/>
    <s v="9"/>
    <n v="2524"/>
    <s v="2524"/>
    <n v="22716"/>
    <x v="0"/>
    <x v="0"/>
    <x v="3"/>
    <s v="Medium"/>
    <s v="Online"/>
    <n v="22716"/>
  </r>
  <r>
    <n v="592"/>
    <d v="2024-01-25T15:00:00"/>
    <s v="2024-01-25 15:00:00"/>
    <s v=" west"/>
    <x v="1"/>
    <s v="Electronics"/>
    <x v="2"/>
    <s v="Mixer Grinder"/>
    <s v="Mixer Grinder"/>
    <s v="CUST0147"/>
    <s v=" CUST0147 "/>
    <x v="0"/>
    <s v="Rahul"/>
    <x v="1"/>
    <s v="Debit card "/>
    <n v="4"/>
    <s v="4"/>
    <n v="3975"/>
    <s v="3975"/>
    <n v="15900"/>
    <x v="0"/>
    <x v="0"/>
    <x v="3"/>
    <s v="Low"/>
    <s v="Online"/>
    <n v="15900"/>
  </r>
  <r>
    <n v="593"/>
    <d v="2024-01-25T16:00:00"/>
    <s v="2024-01-25 16:00:00"/>
    <s v=" North "/>
    <x v="2"/>
    <s v="Clothing"/>
    <x v="0"/>
    <s v="Rice 5Kg"/>
    <s v="Rice 5kg"/>
    <s v="CUST0184"/>
    <s v=" CUST0184 "/>
    <x v="3"/>
    <s v="Anita"/>
    <x v="1"/>
    <s v="Debit card "/>
    <n v="9"/>
    <s v="9"/>
    <n v="2923"/>
    <s v="2923"/>
    <n v="26307"/>
    <x v="0"/>
    <x v="0"/>
    <x v="3"/>
    <s v="Medium"/>
    <s v="Online"/>
    <n v="26307"/>
  </r>
  <r>
    <n v="594"/>
    <d v="2024-01-25T17:00:00"/>
    <s v="2024-01-25 17:00:00"/>
    <s v=" west"/>
    <x v="1"/>
    <s v=" Home Appliances "/>
    <x v="1"/>
    <s v="Led Tv 42Inch"/>
    <s v="LED TV 42inch"/>
    <s v="CUST0028"/>
    <s v=" CUST0028 "/>
    <x v="4"/>
    <s v="Karthik"/>
    <x v="1"/>
    <s v="Debit card "/>
    <n v="14"/>
    <s v="14"/>
    <n v="3385"/>
    <s v="3385"/>
    <n v="47390"/>
    <x v="0"/>
    <x v="0"/>
    <x v="3"/>
    <s v="Medium"/>
    <s v="Online"/>
    <n v="47390"/>
  </r>
  <r>
    <n v="595"/>
    <d v="2024-01-25T18:00:00"/>
    <s v="2024-01-25 18:00:00"/>
    <s v=" west"/>
    <x v="1"/>
    <s v="Grocery"/>
    <x v="3"/>
    <s v="Mixer Grinder"/>
    <s v="Mixer Grinder"/>
    <s v="CUST0550"/>
    <s v=" CUST0550 "/>
    <x v="0"/>
    <s v="Rahul"/>
    <x v="3"/>
    <s v=" Net Banking "/>
    <n v="13"/>
    <s v="13"/>
    <n v="2163"/>
    <s v="2163"/>
    <n v="28119"/>
    <x v="0"/>
    <x v="0"/>
    <x v="3"/>
    <s v="Medium"/>
    <s v="Online"/>
    <n v="28119"/>
  </r>
  <r>
    <n v="596"/>
    <d v="2024-01-25T19:00:00"/>
    <s v="2024-01-25 19:00:00"/>
    <s v=" west"/>
    <x v="1"/>
    <s v=" Home Appliances "/>
    <x v="1"/>
    <s v="Washing Machine"/>
    <s v="Washing Machine"/>
    <s v="CUST0119"/>
    <s v=" CUST0119 "/>
    <x v="1"/>
    <s v="Meena"/>
    <x v="3"/>
    <s v=" Net Banking "/>
    <n v="11"/>
    <s v="11"/>
    <n v="2079"/>
    <s v="2079"/>
    <n v="22869"/>
    <x v="0"/>
    <x v="0"/>
    <x v="3"/>
    <s v="Medium"/>
    <s v="Online"/>
    <n v="22869"/>
  </r>
  <r>
    <n v="597"/>
    <d v="2024-01-25T20:00:00"/>
    <s v="2024-01-25 20:00:00"/>
    <s v=" North "/>
    <x v="2"/>
    <s v="Clothing"/>
    <x v="0"/>
    <s v="Mixer Grinder"/>
    <s v="Mixer Grinder"/>
    <s v="CUST0293"/>
    <s v=" CUST0293 "/>
    <x v="2"/>
    <s v="Suresh"/>
    <x v="0"/>
    <s v=" Cash"/>
    <n v="10"/>
    <s v="10"/>
    <n v="4448"/>
    <s v="4448"/>
    <n v="44480"/>
    <x v="0"/>
    <x v="0"/>
    <x v="3"/>
    <s v="Medium"/>
    <s v="Offline"/>
    <n v="44480"/>
  </r>
  <r>
    <n v="598"/>
    <d v="2024-01-25T21:00:00"/>
    <s v="2024-01-25 21:00:00"/>
    <s v="EAST"/>
    <x v="0"/>
    <s v="Grocery"/>
    <x v="3"/>
    <s v="Washing Machine"/>
    <s v="Washing Machine"/>
    <s v="CUST0371"/>
    <s v=" CUST0371 "/>
    <x v="2"/>
    <s v="Suresh"/>
    <x v="4"/>
    <s v="Credit Card"/>
    <n v="9"/>
    <s v="9"/>
    <n v="3231"/>
    <s v="3231"/>
    <n v="29079"/>
    <x v="0"/>
    <x v="0"/>
    <x v="3"/>
    <s v="Medium"/>
    <s v="Online"/>
    <n v="29079"/>
  </r>
  <r>
    <n v="599"/>
    <d v="2024-01-25T22:00:00"/>
    <s v="2024-01-25 22:00:00"/>
    <s v=" west"/>
    <x v="1"/>
    <s v="Clothing"/>
    <x v="0"/>
    <s v="Rice 5Kg"/>
    <s v="Rice 5kg"/>
    <s v="CUST0244"/>
    <s v=" CUST0244 "/>
    <x v="0"/>
    <s v="Rahul"/>
    <x v="4"/>
    <s v="Credit Card"/>
    <n v="13"/>
    <s v="13"/>
    <n v="3192"/>
    <s v="3192"/>
    <n v="41496"/>
    <x v="0"/>
    <x v="0"/>
    <x v="3"/>
    <s v="Medium"/>
    <s v="Online"/>
    <n v="41496"/>
  </r>
  <r>
    <n v="600"/>
    <d v="2024-01-25T23:00:00"/>
    <s v="2024-01-25 23:00:00"/>
    <s v="south"/>
    <x v="3"/>
    <s v="Clothing"/>
    <x v="0"/>
    <s v="Rice 5Kg"/>
    <s v="Rice 5kg"/>
    <s v="CUST0580"/>
    <s v=" CUST0580 "/>
    <x v="4"/>
    <s v="Karthik"/>
    <x v="2"/>
    <s v="UPI"/>
    <n v="4"/>
    <s v="4"/>
    <n v="4926"/>
    <s v="4926"/>
    <n v="19704"/>
    <x v="0"/>
    <x v="0"/>
    <x v="3"/>
    <s v="Low"/>
    <s v="Online"/>
    <n v="19704"/>
  </r>
  <r>
    <n v="601"/>
    <d v="2024-01-26T00:00:00"/>
    <s v="2024-01-26 00:00:00"/>
    <s v=" North "/>
    <x v="2"/>
    <s v="Electronics"/>
    <x v="2"/>
    <s v="Mixer Grinder"/>
    <s v="Mixer Grinder"/>
    <s v="CUST0726"/>
    <s v=" CUST0726 "/>
    <x v="0"/>
    <s v="Rahul"/>
    <x v="3"/>
    <s v=" Net Banking "/>
    <n v="3"/>
    <s v="3"/>
    <n v="3764"/>
    <s v="3764"/>
    <n v="11292"/>
    <x v="0"/>
    <x v="0"/>
    <x v="3"/>
    <s v="Low"/>
    <s v="Online"/>
    <n v="11292"/>
  </r>
  <r>
    <n v="602"/>
    <d v="2024-01-26T01:00:00"/>
    <s v="2024-01-26 01:00:00"/>
    <s v=" west"/>
    <x v="1"/>
    <s v="Grocery"/>
    <x v="3"/>
    <s v="Men T-Shirt"/>
    <s v="Men T-Shirt"/>
    <s v="CUST0218"/>
    <s v=" CUST0218 "/>
    <x v="4"/>
    <s v="Karthik"/>
    <x v="1"/>
    <s v="Debit card "/>
    <n v="2"/>
    <s v="2"/>
    <n v="2436"/>
    <s v="2436"/>
    <n v="4872"/>
    <x v="0"/>
    <x v="0"/>
    <x v="3"/>
    <s v="Low"/>
    <s v="Online"/>
    <n v="4872"/>
  </r>
  <r>
    <n v="603"/>
    <d v="2024-01-26T02:00:00"/>
    <s v="2024-01-26 02:00:00"/>
    <s v=" west"/>
    <x v="1"/>
    <s v="Electronics"/>
    <x v="2"/>
    <s v="Washing Machine"/>
    <s v="Washing Machine"/>
    <s v="CUST0177"/>
    <s v=" CUST0177 "/>
    <x v="1"/>
    <s v="Meena"/>
    <x v="1"/>
    <s v="Debit card "/>
    <n v="9"/>
    <s v="9"/>
    <n v="3714"/>
    <s v="3714"/>
    <n v="33426"/>
    <x v="0"/>
    <x v="0"/>
    <x v="3"/>
    <s v="Medium"/>
    <s v="Online"/>
    <n v="33426"/>
  </r>
  <r>
    <n v="604"/>
    <d v="2024-01-26T03:00:00"/>
    <s v="2024-01-26 03:00:00"/>
    <s v="south"/>
    <x v="3"/>
    <s v="Grocery"/>
    <x v="3"/>
    <s v="Led Tv 42Inch"/>
    <s v="LED TV 42inch"/>
    <s v="CUST0299"/>
    <s v=" CUST0299 "/>
    <x v="4"/>
    <s v="Karthik"/>
    <x v="2"/>
    <s v="UPI"/>
    <n v="12"/>
    <s v="12"/>
    <n v="597"/>
    <s v="597"/>
    <n v="7164"/>
    <x v="0"/>
    <x v="0"/>
    <x v="3"/>
    <s v="Low"/>
    <s v="Online"/>
    <n v="7164"/>
  </r>
  <r>
    <n v="605"/>
    <d v="2024-01-26T04:00:00"/>
    <s v="2024-01-26 04:00:00"/>
    <s v="EAST"/>
    <x v="0"/>
    <s v="Clothing"/>
    <x v="0"/>
    <s v="Mixer Grinder"/>
    <s v="Mixer Grinder"/>
    <s v="CUST0676"/>
    <s v=" CUST0676 "/>
    <x v="0"/>
    <s v="Rahul"/>
    <x v="4"/>
    <s v="Credit Card"/>
    <n v="2"/>
    <s v="2"/>
    <n v="3917"/>
    <s v="3917"/>
    <n v="7834"/>
    <x v="0"/>
    <x v="0"/>
    <x v="3"/>
    <s v="Low"/>
    <s v="Online"/>
    <n v="7834"/>
  </r>
  <r>
    <n v="606"/>
    <d v="2024-01-26T05:00:00"/>
    <s v="2024-01-26 05:00:00"/>
    <s v="EAST"/>
    <x v="0"/>
    <s v="Clothing"/>
    <x v="0"/>
    <s v="Led Tv 42Inch"/>
    <s v="LED TV 42inch"/>
    <s v="CUST0058"/>
    <s v=" CUST0058 "/>
    <x v="1"/>
    <s v="Meena"/>
    <x v="1"/>
    <s v="Debit card "/>
    <n v="6"/>
    <s v="6"/>
    <n v="4743"/>
    <s v="4743"/>
    <n v="28458"/>
    <x v="0"/>
    <x v="0"/>
    <x v="3"/>
    <s v="Medium"/>
    <s v="Online"/>
    <n v="28458"/>
  </r>
  <r>
    <n v="607"/>
    <d v="2024-01-26T06:00:00"/>
    <s v="2024-01-26 06:00:00"/>
    <s v="EAST"/>
    <x v="0"/>
    <s v=" Home Appliances "/>
    <x v="1"/>
    <s v="Mixer Grinder"/>
    <s v="Mixer Grinder"/>
    <s v="CUST0269"/>
    <s v=" CUST0269 "/>
    <x v="3"/>
    <s v="Anita"/>
    <x v="4"/>
    <s v="Credit Card"/>
    <n v="5"/>
    <s v="5"/>
    <n v="231"/>
    <s v="231"/>
    <n v="1155"/>
    <x v="0"/>
    <x v="0"/>
    <x v="3"/>
    <s v="Low"/>
    <s v="Online"/>
    <n v="1155"/>
  </r>
  <r>
    <n v="608"/>
    <d v="2024-01-26T07:00:00"/>
    <s v="2024-01-26 07:00:00"/>
    <s v=" west"/>
    <x v="1"/>
    <s v="Grocery"/>
    <x v="3"/>
    <s v="Men T-Shirt"/>
    <s v="Men T-Shirt"/>
    <s v="CUST0308"/>
    <s v=" CUST0308 "/>
    <x v="2"/>
    <s v="Suresh"/>
    <x v="2"/>
    <s v="UPI"/>
    <n v="14"/>
    <s v="14"/>
    <n v="957"/>
    <s v="957"/>
    <n v="13398"/>
    <x v="0"/>
    <x v="0"/>
    <x v="3"/>
    <s v="Low"/>
    <s v="Online"/>
    <n v="13398"/>
  </r>
  <r>
    <n v="609"/>
    <d v="2024-01-26T08:00:00"/>
    <s v="2024-01-26 08:00:00"/>
    <s v=" west"/>
    <x v="1"/>
    <s v="Electronics"/>
    <x v="2"/>
    <s v="Men T-Shirt"/>
    <s v="Men T-Shirt"/>
    <s v="CUST0570"/>
    <s v=" CUST0570 "/>
    <x v="0"/>
    <s v="Rahul"/>
    <x v="4"/>
    <s v="Credit Card"/>
    <n v="5"/>
    <s v="5"/>
    <n v="620"/>
    <s v="620"/>
    <n v="3100"/>
    <x v="0"/>
    <x v="0"/>
    <x v="3"/>
    <s v="Low"/>
    <s v="Online"/>
    <n v="3100"/>
  </r>
  <r>
    <n v="610"/>
    <d v="2024-01-26T09:00:00"/>
    <s v="2024-01-26 09:00:00"/>
    <s v=" west"/>
    <x v="1"/>
    <s v=" Home Appliances "/>
    <x v="1"/>
    <s v="Men T-Shirt"/>
    <s v="Men T-Shirt"/>
    <s v="CUST0288"/>
    <s v=" CUST0288 "/>
    <x v="0"/>
    <s v="Rahul"/>
    <x v="4"/>
    <s v="Credit Card"/>
    <n v="4"/>
    <s v="4"/>
    <n v="129"/>
    <s v="129"/>
    <n v="516"/>
    <x v="0"/>
    <x v="0"/>
    <x v="3"/>
    <s v="Low"/>
    <s v="Online"/>
    <n v="516"/>
  </r>
  <r>
    <n v="611"/>
    <d v="2024-01-26T10:00:00"/>
    <s v="2024-01-26 10:00:00"/>
    <s v=" North "/>
    <x v="2"/>
    <s v=" Home Appliances "/>
    <x v="1"/>
    <s v="Laptop"/>
    <s v="Laptop"/>
    <s v="CUST0105"/>
    <s v=" CUST0105 "/>
    <x v="0"/>
    <s v="Rahul"/>
    <x v="4"/>
    <s v="Credit Card"/>
    <n v="6"/>
    <s v="6"/>
    <n v="3496"/>
    <s v="3496"/>
    <n v="20976"/>
    <x v="0"/>
    <x v="0"/>
    <x v="3"/>
    <s v="Medium"/>
    <s v="Online"/>
    <n v="20976"/>
  </r>
  <r>
    <n v="612"/>
    <d v="2024-01-26T11:00:00"/>
    <s v="2024-01-26 11:00:00"/>
    <s v="south"/>
    <x v="3"/>
    <s v=" Home Appliances "/>
    <x v="1"/>
    <s v="Men T-Shirt"/>
    <s v="Men T-Shirt"/>
    <s v="CUST0228"/>
    <s v=" CUST0228 "/>
    <x v="1"/>
    <s v="Meena"/>
    <x v="1"/>
    <s v="Debit card "/>
    <n v="5"/>
    <s v="5"/>
    <n v="4704"/>
    <s v="4704"/>
    <n v="23520"/>
    <x v="0"/>
    <x v="0"/>
    <x v="3"/>
    <s v="Medium"/>
    <s v="Online"/>
    <n v="23520"/>
  </r>
  <r>
    <n v="613"/>
    <d v="2024-01-26T12:00:00"/>
    <s v="2024-01-26 12:00:00"/>
    <s v=" west"/>
    <x v="1"/>
    <s v="Electronics"/>
    <x v="2"/>
    <s v="Rice 5Kg"/>
    <s v="Rice 5kg"/>
    <s v="CUST0247"/>
    <s v=" CUST0247 "/>
    <x v="3"/>
    <s v="Anita"/>
    <x v="0"/>
    <s v=" Cash"/>
    <n v="11"/>
    <s v="11"/>
    <n v="1360"/>
    <s v="1360"/>
    <n v="14960"/>
    <x v="0"/>
    <x v="0"/>
    <x v="3"/>
    <s v="Low"/>
    <s v="Offline"/>
    <n v="14960"/>
  </r>
  <r>
    <n v="614"/>
    <d v="2024-01-26T13:00:00"/>
    <s v="2024-01-26 13:00:00"/>
    <s v="south"/>
    <x v="3"/>
    <s v=" Home Appliances "/>
    <x v="1"/>
    <s v="Rice 5Kg"/>
    <s v="Rice 5kg"/>
    <s v="CUST0700"/>
    <s v=" CUST0700 "/>
    <x v="4"/>
    <s v="Karthik"/>
    <x v="3"/>
    <s v=" Net Banking "/>
    <n v="4"/>
    <s v="4"/>
    <n v="1658"/>
    <s v="1658"/>
    <n v="6632"/>
    <x v="0"/>
    <x v="0"/>
    <x v="3"/>
    <s v="Low"/>
    <s v="Online"/>
    <n v="6632"/>
  </r>
  <r>
    <n v="615"/>
    <d v="2024-01-26T14:00:00"/>
    <s v="2024-01-26 14:00:00"/>
    <s v="south"/>
    <x v="3"/>
    <s v="Electronics"/>
    <x v="2"/>
    <s v="Laptop"/>
    <s v="Laptop"/>
    <s v="CUST0494"/>
    <s v=" CUST0494 "/>
    <x v="3"/>
    <s v="Anita"/>
    <x v="4"/>
    <s v="Credit Card"/>
    <n v="13"/>
    <s v="13"/>
    <n v="115"/>
    <s v="115"/>
    <n v="1495"/>
    <x v="0"/>
    <x v="0"/>
    <x v="3"/>
    <s v="Low"/>
    <s v="Online"/>
    <n v="1495"/>
  </r>
  <r>
    <n v="616"/>
    <d v="2024-01-26T15:00:00"/>
    <s v="2024-01-26 15:00:00"/>
    <s v="EAST"/>
    <x v="0"/>
    <s v=" Home Appliances "/>
    <x v="1"/>
    <s v="Washing Machine"/>
    <s v="Washing Machine"/>
    <s v="CUST0083"/>
    <s v=" CUST0083 "/>
    <x v="1"/>
    <s v="Meena"/>
    <x v="4"/>
    <s v="Credit Card"/>
    <n v="9"/>
    <s v="9"/>
    <n v="3705"/>
    <s v="3705"/>
    <n v="33345"/>
    <x v="0"/>
    <x v="0"/>
    <x v="3"/>
    <s v="Medium"/>
    <s v="Online"/>
    <n v="33345"/>
  </r>
  <r>
    <n v="617"/>
    <d v="2024-01-26T16:00:00"/>
    <s v="2024-01-26 16:00:00"/>
    <s v=" North "/>
    <x v="2"/>
    <s v="Electronics"/>
    <x v="2"/>
    <s v="Led Tv 42Inch"/>
    <s v="LED TV 42inch"/>
    <s v="CUST0186"/>
    <s v=" CUST0186 "/>
    <x v="0"/>
    <s v="Rahul"/>
    <x v="4"/>
    <s v="Credit Card"/>
    <n v="13"/>
    <s v="13"/>
    <n v="1707"/>
    <s v="1707"/>
    <n v="22191"/>
    <x v="0"/>
    <x v="0"/>
    <x v="3"/>
    <s v="Medium"/>
    <s v="Online"/>
    <n v="22191"/>
  </r>
  <r>
    <n v="618"/>
    <d v="2024-01-26T17:00:00"/>
    <s v="2024-01-26 17:00:00"/>
    <s v=" west"/>
    <x v="1"/>
    <s v="Clothing"/>
    <x v="0"/>
    <s v="Mixer Grinder"/>
    <s v="Mixer Grinder"/>
    <s v="CUST0252"/>
    <s v=" CUST0252 "/>
    <x v="2"/>
    <s v="Suresh"/>
    <x v="0"/>
    <s v=" Cash"/>
    <n v="6"/>
    <s v="6"/>
    <n v="3617"/>
    <s v="3617"/>
    <n v="21702"/>
    <x v="0"/>
    <x v="0"/>
    <x v="3"/>
    <s v="Medium"/>
    <s v="Offline"/>
    <n v="21702"/>
  </r>
  <r>
    <n v="619"/>
    <d v="2024-01-26T18:00:00"/>
    <s v="2024-01-26 18:00:00"/>
    <s v="EAST"/>
    <x v="0"/>
    <s v="Clothing"/>
    <x v="0"/>
    <s v="Mixer Grinder"/>
    <s v="Mixer Grinder"/>
    <s v="CUST0355"/>
    <s v=" CUST0355 "/>
    <x v="0"/>
    <s v="Rahul"/>
    <x v="2"/>
    <s v="UPI"/>
    <n v="11"/>
    <s v="11"/>
    <n v="2116"/>
    <s v="2116"/>
    <n v="23276"/>
    <x v="0"/>
    <x v="0"/>
    <x v="3"/>
    <s v="Medium"/>
    <s v="Online"/>
    <n v="23276"/>
  </r>
  <r>
    <n v="620"/>
    <d v="2024-01-26T19:00:00"/>
    <s v="2024-01-26 19:00:00"/>
    <s v="EAST"/>
    <x v="0"/>
    <s v="Clothing"/>
    <x v="0"/>
    <s v="Laptop"/>
    <s v="Laptop"/>
    <s v="CUST0750"/>
    <s v=" CUST0750 "/>
    <x v="4"/>
    <s v="Karthik"/>
    <x v="1"/>
    <s v="Debit card "/>
    <n v="10"/>
    <s v="10"/>
    <n v="3674"/>
    <s v="3674"/>
    <n v="36740"/>
    <x v="0"/>
    <x v="0"/>
    <x v="3"/>
    <s v="Medium"/>
    <s v="Online"/>
    <n v="36740"/>
  </r>
  <r>
    <n v="621"/>
    <d v="2024-01-26T20:00:00"/>
    <s v="2024-01-26 20:00:00"/>
    <s v=" west"/>
    <x v="1"/>
    <s v="Clothing"/>
    <x v="0"/>
    <s v="Rice 5Kg"/>
    <s v="Rice 5kg"/>
    <s v="CUST0696"/>
    <s v=" CUST0696 "/>
    <x v="2"/>
    <s v="Suresh"/>
    <x v="0"/>
    <s v=" Cash"/>
    <n v="10"/>
    <s v="10"/>
    <n v="1843"/>
    <s v="1843"/>
    <n v="18430"/>
    <x v="0"/>
    <x v="0"/>
    <x v="3"/>
    <s v="Low"/>
    <s v="Offline"/>
    <n v="18430"/>
  </r>
  <r>
    <n v="622"/>
    <d v="2024-01-26T21:00:00"/>
    <s v="2024-01-26 21:00:00"/>
    <s v="south"/>
    <x v="3"/>
    <s v="Clothing"/>
    <x v="0"/>
    <s v="Mixer Grinder"/>
    <s v="Mixer Grinder"/>
    <s v="CUST0796"/>
    <s v=" CUST0796 "/>
    <x v="0"/>
    <s v="Rahul"/>
    <x v="4"/>
    <s v="Credit Card"/>
    <n v="13"/>
    <s v="13"/>
    <n v="3891"/>
    <s v="3891"/>
    <n v="50583"/>
    <x v="0"/>
    <x v="0"/>
    <x v="3"/>
    <s v="High"/>
    <s v="Online"/>
    <n v="50583"/>
  </r>
  <r>
    <n v="623"/>
    <d v="2024-01-26T22:00:00"/>
    <s v="2024-01-26 22:00:00"/>
    <s v="EAST"/>
    <x v="0"/>
    <s v=" Home Appliances "/>
    <x v="1"/>
    <s v="Rice 5Kg"/>
    <s v="Rice 5kg"/>
    <s v="CUST0210"/>
    <s v=" CUST0210 "/>
    <x v="2"/>
    <s v="Suresh"/>
    <x v="0"/>
    <s v=" Cash"/>
    <n v="10"/>
    <s v="10"/>
    <n v="3734"/>
    <s v="3734"/>
    <n v="37340"/>
    <x v="0"/>
    <x v="0"/>
    <x v="3"/>
    <s v="Medium"/>
    <s v="Offline"/>
    <n v="37340"/>
  </r>
  <r>
    <n v="624"/>
    <d v="2024-01-26T23:00:00"/>
    <s v="2024-01-26 23:00:00"/>
    <s v="south"/>
    <x v="3"/>
    <s v=" Home Appliances "/>
    <x v="1"/>
    <s v="Washing Machine"/>
    <s v="Washing Machine"/>
    <s v="CUST0609"/>
    <s v=" CUST0609 "/>
    <x v="3"/>
    <s v="Anita"/>
    <x v="0"/>
    <s v=" Cash"/>
    <n v="13"/>
    <s v="13"/>
    <n v="1188"/>
    <s v="1188"/>
    <n v="15444"/>
    <x v="0"/>
    <x v="0"/>
    <x v="3"/>
    <s v="Low"/>
    <s v="Offline"/>
    <n v="15444"/>
  </r>
  <r>
    <n v="625"/>
    <d v="2024-01-27T00:00:00"/>
    <s v="2024-01-27 00:00:00"/>
    <s v=" North "/>
    <x v="2"/>
    <s v=" Home Appliances "/>
    <x v="1"/>
    <s v="Led Tv 42Inch"/>
    <s v="LED TV 42inch"/>
    <s v="CUST0447"/>
    <s v=" CUST0447 "/>
    <x v="1"/>
    <s v="Meena"/>
    <x v="0"/>
    <s v=" Cash"/>
    <n v="3"/>
    <s v="3"/>
    <n v="1461"/>
    <s v="1461"/>
    <n v="4383"/>
    <x v="0"/>
    <x v="0"/>
    <x v="3"/>
    <s v="Low"/>
    <s v="Offline"/>
    <n v="4383"/>
  </r>
  <r>
    <n v="626"/>
    <d v="2024-01-27T01:00:00"/>
    <s v="2024-01-27 01:00:00"/>
    <s v="south"/>
    <x v="3"/>
    <s v="Electronics"/>
    <x v="2"/>
    <s v="Washing Machine"/>
    <s v="Washing Machine"/>
    <s v="CUST0460"/>
    <s v=" CUST0460 "/>
    <x v="0"/>
    <s v="Rahul"/>
    <x v="2"/>
    <s v="UPI"/>
    <n v="10"/>
    <s v="10"/>
    <n v="3472"/>
    <s v="3472"/>
    <n v="34720"/>
    <x v="0"/>
    <x v="0"/>
    <x v="3"/>
    <s v="Medium"/>
    <s v="Online"/>
    <n v="34720"/>
  </r>
  <r>
    <n v="627"/>
    <d v="2024-01-27T02:00:00"/>
    <s v="2024-01-27 02:00:00"/>
    <s v=" North "/>
    <x v="2"/>
    <s v="Electronics"/>
    <x v="2"/>
    <s v="Laptop"/>
    <s v="Laptop"/>
    <s v="CUST0472"/>
    <s v=" CUST0472 "/>
    <x v="4"/>
    <s v="Karthik"/>
    <x v="3"/>
    <s v=" Net Banking "/>
    <n v="6"/>
    <s v="6"/>
    <n v="4573"/>
    <s v="4573"/>
    <n v="27438"/>
    <x v="0"/>
    <x v="0"/>
    <x v="3"/>
    <s v="Medium"/>
    <s v="Online"/>
    <n v="27438"/>
  </r>
  <r>
    <n v="628"/>
    <d v="2024-01-27T03:00:00"/>
    <s v="2024-01-27 03:00:00"/>
    <s v="south"/>
    <x v="3"/>
    <s v="Electronics"/>
    <x v="2"/>
    <s v="Men T-Shirt"/>
    <s v="Men T-Shirt"/>
    <s v="CUST0720"/>
    <s v=" CUST0720 "/>
    <x v="3"/>
    <s v="Anita"/>
    <x v="1"/>
    <s v="Debit card "/>
    <n v="14"/>
    <s v="14"/>
    <n v="575"/>
    <s v="575"/>
    <n v="8050"/>
    <x v="0"/>
    <x v="0"/>
    <x v="3"/>
    <s v="Low"/>
    <s v="Online"/>
    <n v="8050"/>
  </r>
  <r>
    <n v="629"/>
    <d v="2024-01-27T04:00:00"/>
    <s v="2024-01-27 04:00:00"/>
    <s v="EAST"/>
    <x v="0"/>
    <s v="Electronics"/>
    <x v="2"/>
    <s v="Men T-Shirt"/>
    <s v="Men T-Shirt"/>
    <s v="CUST0370"/>
    <s v=" CUST0370 "/>
    <x v="0"/>
    <s v="Rahul"/>
    <x v="2"/>
    <s v="UPI"/>
    <n v="1"/>
    <s v="1"/>
    <n v="1389"/>
    <s v="1389"/>
    <n v="1389"/>
    <x v="0"/>
    <x v="0"/>
    <x v="3"/>
    <s v="Low"/>
    <s v="Online"/>
    <n v="1389"/>
  </r>
  <r>
    <n v="630"/>
    <d v="2024-01-27T05:00:00"/>
    <s v="2024-01-27 05:00:00"/>
    <s v="EAST"/>
    <x v="0"/>
    <s v="Clothing"/>
    <x v="0"/>
    <s v="Men T-Shirt"/>
    <s v="Men T-Shirt"/>
    <s v="CUST0492"/>
    <s v=" CUST0492 "/>
    <x v="3"/>
    <s v="Anita"/>
    <x v="2"/>
    <s v="UPI"/>
    <n v="5"/>
    <s v="5"/>
    <n v="428"/>
    <s v="428"/>
    <n v="2140"/>
    <x v="0"/>
    <x v="0"/>
    <x v="3"/>
    <s v="Low"/>
    <s v="Online"/>
    <n v="2140"/>
  </r>
  <r>
    <n v="631"/>
    <d v="2024-01-27T06:00:00"/>
    <s v="2024-01-27 06:00:00"/>
    <s v=" North "/>
    <x v="2"/>
    <s v="Clothing"/>
    <x v="0"/>
    <s v="Washing Machine"/>
    <s v="Washing Machine"/>
    <s v="CUST0137"/>
    <s v=" CUST0137 "/>
    <x v="4"/>
    <s v="Karthik"/>
    <x v="3"/>
    <s v=" Net Banking "/>
    <n v="10"/>
    <s v="10"/>
    <n v="4144"/>
    <s v="4144"/>
    <n v="41440"/>
    <x v="0"/>
    <x v="0"/>
    <x v="3"/>
    <s v="Medium"/>
    <s v="Online"/>
    <n v="41440"/>
  </r>
  <r>
    <n v="632"/>
    <d v="2024-01-27T07:00:00"/>
    <s v="2024-01-27 07:00:00"/>
    <s v=" west"/>
    <x v="1"/>
    <s v="Clothing"/>
    <x v="0"/>
    <s v="Mixer Grinder"/>
    <s v="Mixer Grinder"/>
    <s v="CUST0367"/>
    <s v=" CUST0367 "/>
    <x v="0"/>
    <s v="Rahul"/>
    <x v="2"/>
    <s v="UPI"/>
    <n v="6"/>
    <s v="6"/>
    <n v="1939"/>
    <s v="1939"/>
    <n v="11634"/>
    <x v="0"/>
    <x v="0"/>
    <x v="3"/>
    <s v="Low"/>
    <s v="Online"/>
    <n v="11634"/>
  </r>
  <r>
    <n v="633"/>
    <d v="2024-01-27T08:00:00"/>
    <s v="2024-01-27 08:00:00"/>
    <s v=" North "/>
    <x v="2"/>
    <s v="Grocery"/>
    <x v="3"/>
    <s v="Led Tv 42Inch"/>
    <s v="LED TV 42inch"/>
    <s v="CUST0184"/>
    <s v=" CUST0184 "/>
    <x v="4"/>
    <s v="Karthik"/>
    <x v="0"/>
    <s v=" Cash"/>
    <n v="11"/>
    <s v="11"/>
    <n v="1286"/>
    <s v="1286"/>
    <n v="14146"/>
    <x v="0"/>
    <x v="0"/>
    <x v="3"/>
    <s v="Low"/>
    <s v="Offline"/>
    <n v="14146"/>
  </r>
  <r>
    <n v="634"/>
    <d v="2024-01-27T09:00:00"/>
    <s v="2024-01-27 09:00:00"/>
    <s v=" North "/>
    <x v="2"/>
    <s v=" Home Appliances "/>
    <x v="1"/>
    <s v="Men T-Shirt"/>
    <s v="Men T-Shirt"/>
    <s v="CUST0588"/>
    <s v=" CUST0588 "/>
    <x v="2"/>
    <s v="Suresh"/>
    <x v="0"/>
    <s v=" Cash"/>
    <n v="8"/>
    <s v="8"/>
    <n v="4633"/>
    <s v="4633"/>
    <n v="37064"/>
    <x v="0"/>
    <x v="0"/>
    <x v="3"/>
    <s v="Medium"/>
    <s v="Offline"/>
    <n v="37064"/>
  </r>
  <r>
    <n v="635"/>
    <d v="2024-01-27T10:00:00"/>
    <s v="2024-01-27 10:00:00"/>
    <s v="south"/>
    <x v="3"/>
    <s v="Electronics"/>
    <x v="2"/>
    <s v="Laptop"/>
    <s v="Laptop"/>
    <s v="CUST0287"/>
    <s v=" CUST0287 "/>
    <x v="4"/>
    <s v="Karthik"/>
    <x v="4"/>
    <s v="Credit Card"/>
    <n v="11"/>
    <s v="11"/>
    <n v="3514"/>
    <s v="3514"/>
    <n v="38654"/>
    <x v="0"/>
    <x v="0"/>
    <x v="3"/>
    <s v="Medium"/>
    <s v="Online"/>
    <n v="38654"/>
  </r>
  <r>
    <n v="636"/>
    <d v="2024-01-27T11:00:00"/>
    <s v="2024-01-27 11:00:00"/>
    <s v="south"/>
    <x v="3"/>
    <s v="Electronics"/>
    <x v="2"/>
    <s v="Laptop"/>
    <s v="Laptop"/>
    <s v="CUST0472"/>
    <s v=" CUST0472 "/>
    <x v="2"/>
    <s v="Suresh"/>
    <x v="2"/>
    <s v="UPI"/>
    <n v="9"/>
    <s v="9"/>
    <n v="3636"/>
    <s v="3636"/>
    <n v="32724"/>
    <x v="0"/>
    <x v="0"/>
    <x v="3"/>
    <s v="Medium"/>
    <s v="Online"/>
    <n v="32724"/>
  </r>
  <r>
    <n v="637"/>
    <d v="2024-01-27T12:00:00"/>
    <s v="2024-01-27 12:00:00"/>
    <s v=" North "/>
    <x v="2"/>
    <s v="Clothing"/>
    <x v="0"/>
    <s v="Men T-Shirt"/>
    <s v="Men T-Shirt"/>
    <s v="CUST0375"/>
    <s v=" CUST0375 "/>
    <x v="0"/>
    <s v="Rahul"/>
    <x v="4"/>
    <s v="Credit Card"/>
    <n v="11"/>
    <s v="11"/>
    <n v="1873"/>
    <s v="1873"/>
    <n v="20603"/>
    <x v="0"/>
    <x v="0"/>
    <x v="3"/>
    <s v="Medium"/>
    <s v="Online"/>
    <n v="20603"/>
  </r>
  <r>
    <n v="638"/>
    <d v="2024-01-27T13:00:00"/>
    <s v="2024-01-27 13:00:00"/>
    <s v="EAST"/>
    <x v="0"/>
    <s v="Electronics"/>
    <x v="2"/>
    <s v="Men T-Shirt"/>
    <s v="Men T-Shirt"/>
    <s v="CUST0654"/>
    <s v=" CUST0654 "/>
    <x v="2"/>
    <s v="Suresh"/>
    <x v="1"/>
    <s v="Debit card "/>
    <n v="3"/>
    <s v="3"/>
    <n v="2163"/>
    <s v="2163"/>
    <n v="6489"/>
    <x v="0"/>
    <x v="0"/>
    <x v="3"/>
    <s v="Low"/>
    <s v="Online"/>
    <n v="6489"/>
  </r>
  <r>
    <n v="639"/>
    <d v="2024-01-27T14:00:00"/>
    <s v="2024-01-27 14:00:00"/>
    <s v="south"/>
    <x v="3"/>
    <s v="Electronics"/>
    <x v="2"/>
    <s v="Led Tv 42Inch"/>
    <s v="LED TV 42inch"/>
    <s v="CUST0749"/>
    <s v=" CUST0749 "/>
    <x v="0"/>
    <s v="Rahul"/>
    <x v="0"/>
    <s v=" Cash"/>
    <n v="2"/>
    <s v="2"/>
    <n v="1944"/>
    <s v="1944"/>
    <n v="3888"/>
    <x v="0"/>
    <x v="0"/>
    <x v="3"/>
    <s v="Low"/>
    <s v="Offline"/>
    <n v="3888"/>
  </r>
  <r>
    <n v="640"/>
    <d v="2024-01-27T15:00:00"/>
    <s v="2024-01-27 15:00:00"/>
    <s v=" west"/>
    <x v="1"/>
    <s v=" Home Appliances "/>
    <x v="1"/>
    <s v="Men T-Shirt"/>
    <s v="Men T-Shirt"/>
    <s v="CUST0537"/>
    <s v=" CUST0537 "/>
    <x v="0"/>
    <s v="Rahul"/>
    <x v="1"/>
    <s v="Debit card "/>
    <n v="13"/>
    <s v="13"/>
    <n v="2658"/>
    <s v="2658"/>
    <n v="34554"/>
    <x v="0"/>
    <x v="0"/>
    <x v="3"/>
    <s v="Medium"/>
    <s v="Online"/>
    <n v="34554"/>
  </r>
  <r>
    <n v="641"/>
    <d v="2024-01-27T16:00:00"/>
    <s v="2024-01-27 16:00:00"/>
    <s v="south"/>
    <x v="3"/>
    <s v="Clothing"/>
    <x v="0"/>
    <s v="Led Tv 42Inch"/>
    <s v="LED TV 42inch"/>
    <s v="CUST0511"/>
    <s v=" CUST0511 "/>
    <x v="1"/>
    <s v="Meena"/>
    <x v="3"/>
    <s v=" Net Banking "/>
    <n v="4"/>
    <s v="4"/>
    <n v="1362"/>
    <s v="1362"/>
    <n v="5448"/>
    <x v="0"/>
    <x v="0"/>
    <x v="3"/>
    <s v="Low"/>
    <s v="Online"/>
    <n v="5448"/>
  </r>
  <r>
    <n v="642"/>
    <d v="2024-01-27T17:00:00"/>
    <s v="2024-01-27 17:00:00"/>
    <s v="south"/>
    <x v="3"/>
    <s v=" Home Appliances "/>
    <x v="1"/>
    <s v="Laptop"/>
    <s v="Laptop"/>
    <s v="CUST0579"/>
    <s v=" CUST0579 "/>
    <x v="0"/>
    <s v="Rahul"/>
    <x v="0"/>
    <s v=" Cash"/>
    <n v="8"/>
    <s v="8"/>
    <n v="3391"/>
    <s v="3391"/>
    <n v="27128"/>
    <x v="0"/>
    <x v="0"/>
    <x v="3"/>
    <s v="Medium"/>
    <s v="Offline"/>
    <n v="27128"/>
  </r>
  <r>
    <n v="643"/>
    <d v="2024-01-27T18:00:00"/>
    <s v="2024-01-27 18:00:00"/>
    <s v=" west"/>
    <x v="1"/>
    <s v="Grocery"/>
    <x v="3"/>
    <s v="Men T-Shirt"/>
    <s v="Men T-Shirt"/>
    <s v="CUST0250"/>
    <s v=" CUST0250 "/>
    <x v="2"/>
    <s v="Suresh"/>
    <x v="1"/>
    <s v="Debit card "/>
    <n v="11"/>
    <s v="11"/>
    <n v="1118"/>
    <s v="1118"/>
    <n v="12298"/>
    <x v="0"/>
    <x v="0"/>
    <x v="3"/>
    <s v="Low"/>
    <s v="Online"/>
    <n v="12298"/>
  </r>
  <r>
    <n v="644"/>
    <d v="2024-01-27T19:00:00"/>
    <s v="2024-01-27 19:00:00"/>
    <s v=" North "/>
    <x v="2"/>
    <s v="Grocery"/>
    <x v="3"/>
    <s v="Washing Machine"/>
    <s v="Washing Machine"/>
    <s v="CUST0510"/>
    <s v=" CUST0510 "/>
    <x v="1"/>
    <s v="Meena"/>
    <x v="3"/>
    <s v=" Net Banking "/>
    <n v="8"/>
    <s v="8"/>
    <n v="1889"/>
    <s v="1889"/>
    <n v="15112"/>
    <x v="0"/>
    <x v="0"/>
    <x v="3"/>
    <s v="Low"/>
    <s v="Online"/>
    <n v="15112"/>
  </r>
  <r>
    <n v="645"/>
    <d v="2024-01-27T20:00:00"/>
    <s v="2024-01-27 20:00:00"/>
    <s v=" west"/>
    <x v="1"/>
    <s v="Grocery"/>
    <x v="3"/>
    <s v="Washing Machine"/>
    <s v="Washing Machine"/>
    <s v="CUST0630"/>
    <s v=" CUST0630 "/>
    <x v="1"/>
    <s v="Meena"/>
    <x v="1"/>
    <s v="Debit card "/>
    <n v="3"/>
    <s v="3"/>
    <n v="3624"/>
    <s v="3624"/>
    <n v="10872"/>
    <x v="0"/>
    <x v="0"/>
    <x v="3"/>
    <s v="Low"/>
    <s v="Online"/>
    <n v="10872"/>
  </r>
  <r>
    <n v="646"/>
    <d v="2024-01-27T21:00:00"/>
    <s v="2024-01-27 21:00:00"/>
    <s v=" North "/>
    <x v="2"/>
    <s v="Clothing"/>
    <x v="0"/>
    <s v="Laptop"/>
    <s v="Laptop"/>
    <s v="CUST0073"/>
    <s v=" CUST0073 "/>
    <x v="0"/>
    <s v="Rahul"/>
    <x v="3"/>
    <s v=" Net Banking "/>
    <n v="4"/>
    <s v="4"/>
    <n v="3604"/>
    <s v="3604"/>
    <n v="14416"/>
    <x v="0"/>
    <x v="0"/>
    <x v="3"/>
    <s v="Low"/>
    <s v="Online"/>
    <n v="14416"/>
  </r>
  <r>
    <n v="647"/>
    <d v="2024-01-27T22:00:00"/>
    <s v="2024-01-27 22:00:00"/>
    <s v=" North "/>
    <x v="2"/>
    <s v="Electronics"/>
    <x v="2"/>
    <s v="Led Tv 42Inch"/>
    <s v="LED TV 42inch"/>
    <s v="CUST0282"/>
    <s v=" CUST0282 "/>
    <x v="4"/>
    <s v="Karthik"/>
    <x v="3"/>
    <s v=" Net Banking "/>
    <n v="3"/>
    <s v="3"/>
    <n v="906"/>
    <s v="906"/>
    <n v="2718"/>
    <x v="0"/>
    <x v="0"/>
    <x v="3"/>
    <s v="Low"/>
    <s v="Online"/>
    <n v="2718"/>
  </r>
  <r>
    <n v="648"/>
    <d v="2024-01-27T23:00:00"/>
    <s v="2024-01-27 23:00:00"/>
    <s v=" North "/>
    <x v="2"/>
    <s v="Clothing"/>
    <x v="0"/>
    <s v="Washing Machine"/>
    <s v="Washing Machine"/>
    <s v="CUST0360"/>
    <s v=" CUST0360 "/>
    <x v="4"/>
    <s v="Karthik"/>
    <x v="0"/>
    <s v=" Cash"/>
    <n v="10"/>
    <s v="10"/>
    <n v="2766"/>
    <s v="2766"/>
    <n v="27660"/>
    <x v="0"/>
    <x v="0"/>
    <x v="3"/>
    <s v="Medium"/>
    <s v="Offline"/>
    <n v="27660"/>
  </r>
  <r>
    <n v="649"/>
    <d v="2024-01-28T00:00:00"/>
    <s v="2024-01-28 00:00:00"/>
    <s v=" west"/>
    <x v="1"/>
    <s v="Clothing"/>
    <x v="0"/>
    <s v="Led Tv 42Inch"/>
    <s v="LED TV 42inch"/>
    <s v="CUST0010"/>
    <s v=" CUST0010 "/>
    <x v="1"/>
    <s v="Meena"/>
    <x v="4"/>
    <s v="Credit Card"/>
    <n v="2"/>
    <s v="2"/>
    <n v="504"/>
    <s v="504"/>
    <n v="1008"/>
    <x v="0"/>
    <x v="0"/>
    <x v="3"/>
    <s v="Low"/>
    <s v="Online"/>
    <n v="1008"/>
  </r>
  <r>
    <n v="650"/>
    <d v="2024-01-28T01:00:00"/>
    <s v="2024-01-28 01:00:00"/>
    <s v=" North "/>
    <x v="2"/>
    <s v="Electronics"/>
    <x v="2"/>
    <s v="Washing Machine"/>
    <s v="Washing Machine"/>
    <s v="CUST0211"/>
    <s v=" CUST0211 "/>
    <x v="0"/>
    <s v="Rahul"/>
    <x v="3"/>
    <s v=" Net Banking "/>
    <n v="4"/>
    <s v="4"/>
    <n v="693"/>
    <s v="693"/>
    <n v="2772"/>
    <x v="0"/>
    <x v="0"/>
    <x v="3"/>
    <s v="Low"/>
    <s v="Online"/>
    <n v="2772"/>
  </r>
  <r>
    <n v="651"/>
    <d v="2024-01-28T02:00:00"/>
    <s v="2024-01-28 02:00:00"/>
    <s v="EAST"/>
    <x v="0"/>
    <s v=" Home Appliances "/>
    <x v="1"/>
    <s v="Washing Machine"/>
    <s v="Washing Machine"/>
    <s v="CUST0152"/>
    <s v=" CUST0152 "/>
    <x v="4"/>
    <s v="Karthik"/>
    <x v="3"/>
    <s v=" Net Banking "/>
    <n v="6"/>
    <s v="6"/>
    <n v="4049"/>
    <s v="4049"/>
    <n v="24294"/>
    <x v="0"/>
    <x v="0"/>
    <x v="3"/>
    <s v="Medium"/>
    <s v="Online"/>
    <n v="24294"/>
  </r>
  <r>
    <n v="652"/>
    <d v="2024-01-28T03:00:00"/>
    <s v="2024-01-28 03:00:00"/>
    <s v=" west"/>
    <x v="1"/>
    <s v="Grocery"/>
    <x v="3"/>
    <s v="Led Tv 42Inch"/>
    <s v="LED TV 42inch"/>
    <s v="CUST0005"/>
    <s v=" CUST0005 "/>
    <x v="0"/>
    <s v="Rahul"/>
    <x v="0"/>
    <s v=" Cash"/>
    <n v="11"/>
    <s v="11"/>
    <n v="4207"/>
    <s v="4207"/>
    <n v="46277"/>
    <x v="0"/>
    <x v="0"/>
    <x v="3"/>
    <s v="Medium"/>
    <s v="Offline"/>
    <n v="46277"/>
  </r>
  <r>
    <n v="653"/>
    <d v="2024-01-28T04:00:00"/>
    <s v="2024-01-28 04:00:00"/>
    <s v="EAST"/>
    <x v="0"/>
    <s v=" Home Appliances "/>
    <x v="1"/>
    <s v="Mixer Grinder"/>
    <s v="Mixer Grinder"/>
    <s v="CUST0195"/>
    <s v=" CUST0195 "/>
    <x v="0"/>
    <s v="Rahul"/>
    <x v="4"/>
    <s v="Credit Card"/>
    <n v="14"/>
    <s v="14"/>
    <n v="3380"/>
    <s v="3380"/>
    <n v="47320"/>
    <x v="0"/>
    <x v="0"/>
    <x v="3"/>
    <s v="Medium"/>
    <s v="Online"/>
    <n v="47320"/>
  </r>
  <r>
    <n v="654"/>
    <d v="2024-01-28T05:00:00"/>
    <s v="2024-01-28 05:00:00"/>
    <s v=" North "/>
    <x v="2"/>
    <s v="Grocery"/>
    <x v="3"/>
    <s v="Washing Machine"/>
    <s v="Washing Machine"/>
    <s v="CUST0283"/>
    <s v=" CUST0283 "/>
    <x v="1"/>
    <s v="Meena"/>
    <x v="2"/>
    <s v="UPI"/>
    <n v="11"/>
    <s v="11"/>
    <n v="2312"/>
    <s v="2312"/>
    <n v="25432"/>
    <x v="0"/>
    <x v="0"/>
    <x v="3"/>
    <s v="Medium"/>
    <s v="Online"/>
    <n v="25432"/>
  </r>
  <r>
    <n v="655"/>
    <d v="2024-01-28T06:00:00"/>
    <s v="2024-01-28 06:00:00"/>
    <s v="south"/>
    <x v="3"/>
    <s v="Clothing"/>
    <x v="0"/>
    <s v="Men T-Shirt"/>
    <s v="Men T-Shirt"/>
    <s v="CUST0464"/>
    <s v=" CUST0464 "/>
    <x v="1"/>
    <s v="Meena"/>
    <x v="2"/>
    <s v="UPI"/>
    <n v="5"/>
    <s v="5"/>
    <n v="1642"/>
    <s v="1642"/>
    <n v="8210"/>
    <x v="0"/>
    <x v="0"/>
    <x v="3"/>
    <s v="Low"/>
    <s v="Online"/>
    <n v="8210"/>
  </r>
  <r>
    <n v="656"/>
    <d v="2024-01-28T07:00:00"/>
    <s v="2024-01-28 07:00:00"/>
    <s v=" North "/>
    <x v="2"/>
    <s v="Grocery"/>
    <x v="3"/>
    <s v="Laptop"/>
    <s v="Laptop"/>
    <s v="CUST0113"/>
    <s v=" CUST0113 "/>
    <x v="3"/>
    <s v="Anita"/>
    <x v="4"/>
    <s v="Credit Card"/>
    <n v="3"/>
    <s v="3"/>
    <n v="713"/>
    <s v="713"/>
    <n v="2139"/>
    <x v="0"/>
    <x v="0"/>
    <x v="3"/>
    <s v="Low"/>
    <s v="Online"/>
    <n v="2139"/>
  </r>
  <r>
    <n v="657"/>
    <d v="2024-01-28T08:00:00"/>
    <s v="2024-01-28 08:00:00"/>
    <s v="EAST"/>
    <x v="0"/>
    <s v="Clothing"/>
    <x v="0"/>
    <s v="Mixer Grinder"/>
    <s v="Mixer Grinder"/>
    <s v="CUST0271"/>
    <s v=" CUST0271 "/>
    <x v="4"/>
    <s v="Karthik"/>
    <x v="1"/>
    <s v="Debit card "/>
    <n v="2"/>
    <s v="2"/>
    <n v="968"/>
    <s v="968"/>
    <n v="1936"/>
    <x v="0"/>
    <x v="0"/>
    <x v="3"/>
    <s v="Low"/>
    <s v="Online"/>
    <n v="1936"/>
  </r>
  <r>
    <n v="658"/>
    <d v="2024-01-28T09:00:00"/>
    <s v="2024-01-28 09:00:00"/>
    <s v="EAST"/>
    <x v="0"/>
    <s v=" Home Appliances "/>
    <x v="1"/>
    <s v="Led Tv 42Inch"/>
    <s v="LED TV 42inch"/>
    <s v="CUST0163"/>
    <s v=" CUST0163 "/>
    <x v="4"/>
    <s v="Karthik"/>
    <x v="0"/>
    <s v=" Cash"/>
    <n v="9"/>
    <s v="9"/>
    <n v="911"/>
    <s v="911"/>
    <n v="8199"/>
    <x v="0"/>
    <x v="0"/>
    <x v="3"/>
    <s v="Low"/>
    <s v="Offline"/>
    <n v="8199"/>
  </r>
  <r>
    <n v="659"/>
    <d v="2024-01-28T10:00:00"/>
    <s v="2024-01-28 10:00:00"/>
    <s v=" west"/>
    <x v="1"/>
    <s v="Clothing"/>
    <x v="0"/>
    <s v="Mixer Grinder"/>
    <s v="Mixer Grinder"/>
    <s v="CUST0460"/>
    <s v=" CUST0460 "/>
    <x v="4"/>
    <s v="Karthik"/>
    <x v="4"/>
    <s v="Credit Card"/>
    <n v="1"/>
    <s v="1"/>
    <n v="1922"/>
    <s v="1922"/>
    <n v="1922"/>
    <x v="0"/>
    <x v="0"/>
    <x v="3"/>
    <s v="Low"/>
    <s v="Online"/>
    <n v="1922"/>
  </r>
  <r>
    <n v="660"/>
    <d v="2024-01-28T11:00:00"/>
    <s v="2024-01-28 11:00:00"/>
    <s v="south"/>
    <x v="3"/>
    <s v=" Home Appliances "/>
    <x v="1"/>
    <s v="Rice 5Kg"/>
    <s v="Rice 5kg"/>
    <s v="CUST0105"/>
    <s v=" CUST0105 "/>
    <x v="2"/>
    <s v="Suresh"/>
    <x v="2"/>
    <s v="UPI"/>
    <n v="9"/>
    <s v="9"/>
    <n v="4962"/>
    <s v="4962"/>
    <n v="44658"/>
    <x v="0"/>
    <x v="0"/>
    <x v="3"/>
    <s v="Medium"/>
    <s v="Online"/>
    <n v="44658"/>
  </r>
  <r>
    <n v="661"/>
    <d v="2024-01-28T12:00:00"/>
    <s v="2024-01-28 12:00:00"/>
    <s v=" west"/>
    <x v="1"/>
    <s v="Electronics"/>
    <x v="2"/>
    <s v="Rice 5Kg"/>
    <s v="Rice 5kg"/>
    <s v="CUST0693"/>
    <s v=" CUST0693 "/>
    <x v="0"/>
    <s v="Rahul"/>
    <x v="3"/>
    <s v=" Net Banking "/>
    <n v="1"/>
    <s v="1"/>
    <n v="4277"/>
    <s v="4277"/>
    <n v="4277"/>
    <x v="0"/>
    <x v="0"/>
    <x v="3"/>
    <s v="Low"/>
    <s v="Online"/>
    <n v="4277"/>
  </r>
  <r>
    <n v="662"/>
    <d v="2024-01-28T13:00:00"/>
    <s v="2024-01-28 13:00:00"/>
    <s v="EAST"/>
    <x v="0"/>
    <s v="Electronics"/>
    <x v="2"/>
    <s v="Washing Machine"/>
    <s v="Washing Machine"/>
    <s v="CUST0556"/>
    <s v=" CUST0556 "/>
    <x v="1"/>
    <s v="Meena"/>
    <x v="2"/>
    <s v="UPI"/>
    <n v="14"/>
    <s v="14"/>
    <n v="1844"/>
    <s v="1844"/>
    <n v="25816"/>
    <x v="0"/>
    <x v="0"/>
    <x v="3"/>
    <s v="Medium"/>
    <s v="Online"/>
    <n v="25816"/>
  </r>
  <r>
    <n v="663"/>
    <d v="2024-01-28T14:00:00"/>
    <s v="2024-01-28 14:00:00"/>
    <s v=" North "/>
    <x v="2"/>
    <s v="Electronics"/>
    <x v="2"/>
    <s v="Washing Machine"/>
    <s v="Washing Machine"/>
    <s v="CUST0282"/>
    <s v=" CUST0282 "/>
    <x v="4"/>
    <s v="Karthik"/>
    <x v="3"/>
    <s v=" Net Banking "/>
    <n v="7"/>
    <s v="7"/>
    <n v="2356"/>
    <s v="2356"/>
    <n v="16492"/>
    <x v="0"/>
    <x v="0"/>
    <x v="3"/>
    <s v="Low"/>
    <s v="Online"/>
    <n v="16492"/>
  </r>
  <r>
    <n v="664"/>
    <d v="2024-01-28T15:00:00"/>
    <s v="2024-01-28 15:00:00"/>
    <s v="south"/>
    <x v="3"/>
    <s v="Clothing"/>
    <x v="0"/>
    <s v="Men T-Shirt"/>
    <s v="Men T-Shirt"/>
    <s v="CUST0687"/>
    <s v=" CUST0687 "/>
    <x v="3"/>
    <s v="Anita"/>
    <x v="0"/>
    <s v=" Cash"/>
    <n v="6"/>
    <s v="6"/>
    <n v="4142"/>
    <s v="4142"/>
    <n v="24852"/>
    <x v="0"/>
    <x v="0"/>
    <x v="3"/>
    <s v="Medium"/>
    <s v="Offline"/>
    <n v="24852"/>
  </r>
  <r>
    <n v="665"/>
    <d v="2024-01-28T16:00:00"/>
    <s v="2024-01-28 16:00:00"/>
    <s v=" North "/>
    <x v="2"/>
    <s v="Electronics"/>
    <x v="2"/>
    <s v="Laptop"/>
    <s v="Laptop"/>
    <s v="CUST0162"/>
    <s v=" CUST0162 "/>
    <x v="4"/>
    <s v="Karthik"/>
    <x v="3"/>
    <s v=" Net Banking "/>
    <n v="7"/>
    <s v="7"/>
    <n v="3767"/>
    <s v="3767"/>
    <n v="26369"/>
    <x v="0"/>
    <x v="0"/>
    <x v="3"/>
    <s v="Medium"/>
    <s v="Online"/>
    <n v="26369"/>
  </r>
  <r>
    <n v="666"/>
    <d v="2024-01-28T17:00:00"/>
    <s v="2024-01-28 17:00:00"/>
    <s v=" North "/>
    <x v="2"/>
    <s v="Grocery"/>
    <x v="3"/>
    <s v="Mixer Grinder"/>
    <s v="Mixer Grinder"/>
    <s v="CUST0351"/>
    <s v=" CUST0351 "/>
    <x v="0"/>
    <s v="Rahul"/>
    <x v="4"/>
    <s v="Credit Card"/>
    <n v="3"/>
    <s v="3"/>
    <n v="621"/>
    <s v="621"/>
    <n v="1863"/>
    <x v="0"/>
    <x v="0"/>
    <x v="3"/>
    <s v="Low"/>
    <s v="Online"/>
    <n v="1863"/>
  </r>
  <r>
    <n v="667"/>
    <d v="2024-01-28T18:00:00"/>
    <s v="2024-01-28 18:00:00"/>
    <s v="south"/>
    <x v="3"/>
    <s v=" Home Appliances "/>
    <x v="1"/>
    <s v="Rice 5Kg"/>
    <s v="Rice 5kg"/>
    <s v="CUST0434"/>
    <s v=" CUST0434 "/>
    <x v="0"/>
    <s v="Rahul"/>
    <x v="3"/>
    <s v=" Net Banking "/>
    <n v="14"/>
    <s v="14"/>
    <n v="1625"/>
    <s v="1625"/>
    <n v="22750"/>
    <x v="0"/>
    <x v="0"/>
    <x v="3"/>
    <s v="Medium"/>
    <s v="Online"/>
    <n v="22750"/>
  </r>
  <r>
    <n v="668"/>
    <d v="2024-01-28T19:00:00"/>
    <s v="2024-01-28 19:00:00"/>
    <s v=" west"/>
    <x v="1"/>
    <s v=" Home Appliances "/>
    <x v="1"/>
    <s v="Washing Machine"/>
    <s v="Washing Machine"/>
    <s v="CUST0140"/>
    <s v=" CUST0140 "/>
    <x v="1"/>
    <s v="Meena"/>
    <x v="1"/>
    <s v="Debit card "/>
    <n v="3"/>
    <s v="3"/>
    <n v="1569"/>
    <s v="1569"/>
    <n v="4707"/>
    <x v="0"/>
    <x v="0"/>
    <x v="3"/>
    <s v="Low"/>
    <s v="Online"/>
    <n v="4707"/>
  </r>
  <r>
    <n v="669"/>
    <d v="2024-01-28T20:00:00"/>
    <s v="2024-01-28 20:00:00"/>
    <s v=" North "/>
    <x v="2"/>
    <s v="Grocery"/>
    <x v="3"/>
    <s v="Laptop"/>
    <s v="Laptop"/>
    <s v="CUST0471"/>
    <s v=" CUST0471 "/>
    <x v="2"/>
    <s v="Suresh"/>
    <x v="4"/>
    <s v="Credit Card"/>
    <n v="13"/>
    <s v="13"/>
    <n v="2775"/>
    <s v="2775"/>
    <n v="36075"/>
    <x v="0"/>
    <x v="0"/>
    <x v="3"/>
    <s v="Medium"/>
    <s v="Online"/>
    <n v="36075"/>
  </r>
  <r>
    <n v="670"/>
    <d v="2024-01-28T21:00:00"/>
    <s v="2024-01-28 21:00:00"/>
    <s v="EAST"/>
    <x v="0"/>
    <s v="Clothing"/>
    <x v="0"/>
    <s v="Mixer Grinder"/>
    <s v="Mixer Grinder"/>
    <s v="CUST0132"/>
    <s v=" CUST0132 "/>
    <x v="1"/>
    <s v="Meena"/>
    <x v="0"/>
    <s v=" Cash"/>
    <n v="11"/>
    <s v="11"/>
    <n v="1613"/>
    <s v="1613"/>
    <n v="17743"/>
    <x v="0"/>
    <x v="0"/>
    <x v="3"/>
    <s v="Low"/>
    <s v="Offline"/>
    <n v="17743"/>
  </r>
  <r>
    <n v="671"/>
    <d v="2024-01-28T22:00:00"/>
    <s v="2024-01-28 22:00:00"/>
    <s v=" North "/>
    <x v="2"/>
    <s v="Clothing"/>
    <x v="0"/>
    <s v="Washing Machine"/>
    <s v="Washing Machine"/>
    <s v="CUST0087"/>
    <s v=" CUST0087 "/>
    <x v="4"/>
    <s v="Karthik"/>
    <x v="4"/>
    <s v="Credit Card"/>
    <n v="1"/>
    <s v="1"/>
    <n v="4976"/>
    <s v="4976"/>
    <n v="4976"/>
    <x v="0"/>
    <x v="0"/>
    <x v="3"/>
    <s v="Low"/>
    <s v="Online"/>
    <n v="4976"/>
  </r>
  <r>
    <n v="672"/>
    <d v="2024-01-28T23:00:00"/>
    <s v="2024-01-28 23:00:00"/>
    <s v="south"/>
    <x v="3"/>
    <s v=" Home Appliances "/>
    <x v="1"/>
    <s v="Washing Machine"/>
    <s v="Washing Machine"/>
    <s v="CUST0688"/>
    <s v=" CUST0688 "/>
    <x v="3"/>
    <s v="Anita"/>
    <x v="1"/>
    <s v="Debit card "/>
    <n v="4"/>
    <s v="4"/>
    <n v="1551"/>
    <s v="1551"/>
    <n v="6204"/>
    <x v="0"/>
    <x v="0"/>
    <x v="3"/>
    <s v="Low"/>
    <s v="Online"/>
    <n v="6204"/>
  </r>
  <r>
    <n v="673"/>
    <d v="2024-01-29T00:00:00"/>
    <s v="2024-01-29 00:00:00"/>
    <s v="south"/>
    <x v="3"/>
    <s v="Electronics"/>
    <x v="2"/>
    <s v="Rice 5Kg"/>
    <s v="Rice 5kg"/>
    <s v="CUST0183"/>
    <s v=" CUST0183 "/>
    <x v="1"/>
    <s v="Meena"/>
    <x v="0"/>
    <s v=" Cash"/>
    <n v="12"/>
    <s v="12"/>
    <n v="4754"/>
    <s v="4754"/>
    <n v="57048"/>
    <x v="0"/>
    <x v="0"/>
    <x v="4"/>
    <s v="High"/>
    <s v="Offline"/>
    <n v="57048"/>
  </r>
  <r>
    <n v="674"/>
    <d v="2024-01-29T01:00:00"/>
    <s v="2024-01-29 01:00:00"/>
    <s v="south"/>
    <x v="3"/>
    <s v="Clothing"/>
    <x v="0"/>
    <s v="Rice 5Kg"/>
    <s v="Rice 5kg"/>
    <s v="CUST0368"/>
    <s v=" CUST0368 "/>
    <x v="2"/>
    <s v="Suresh"/>
    <x v="2"/>
    <s v="UPI"/>
    <n v="2"/>
    <s v="2"/>
    <n v="3530"/>
    <s v="3530"/>
    <n v="7060"/>
    <x v="0"/>
    <x v="0"/>
    <x v="4"/>
    <s v="Low"/>
    <s v="Online"/>
    <n v="7060"/>
  </r>
  <r>
    <n v="675"/>
    <d v="2024-01-29T02:00:00"/>
    <s v="2024-01-29 02:00:00"/>
    <s v=" west"/>
    <x v="1"/>
    <s v="Clothing"/>
    <x v="0"/>
    <s v="Washing Machine"/>
    <s v="Washing Machine"/>
    <s v="CUST0129"/>
    <s v=" CUST0129 "/>
    <x v="1"/>
    <s v="Meena"/>
    <x v="1"/>
    <s v="Debit card "/>
    <n v="10"/>
    <s v="10"/>
    <n v="3107"/>
    <s v="3107"/>
    <n v="31070"/>
    <x v="0"/>
    <x v="0"/>
    <x v="4"/>
    <s v="Medium"/>
    <s v="Online"/>
    <n v="31070"/>
  </r>
  <r>
    <n v="676"/>
    <d v="2024-01-29T03:00:00"/>
    <s v="2024-01-29 03:00:00"/>
    <s v=" North "/>
    <x v="2"/>
    <s v="Grocery"/>
    <x v="3"/>
    <s v="Led Tv 42Inch"/>
    <s v="LED TV 42inch"/>
    <s v="CUST0246"/>
    <s v=" CUST0246 "/>
    <x v="0"/>
    <s v="Rahul"/>
    <x v="0"/>
    <s v=" Cash"/>
    <n v="8"/>
    <s v="8"/>
    <n v="3224"/>
    <s v="3224"/>
    <n v="25792"/>
    <x v="0"/>
    <x v="0"/>
    <x v="4"/>
    <s v="Medium"/>
    <s v="Offline"/>
    <n v="25792"/>
  </r>
  <r>
    <n v="677"/>
    <d v="2024-01-29T04:00:00"/>
    <s v="2024-01-29 04:00:00"/>
    <s v=" west"/>
    <x v="1"/>
    <s v="Grocery"/>
    <x v="3"/>
    <s v="Washing Machine"/>
    <s v="Washing Machine"/>
    <s v="CUST0601"/>
    <s v=" CUST0601 "/>
    <x v="4"/>
    <s v="Karthik"/>
    <x v="3"/>
    <s v=" Net Banking "/>
    <n v="3"/>
    <s v="3"/>
    <n v="1853"/>
    <s v="1853"/>
    <n v="5559"/>
    <x v="0"/>
    <x v="0"/>
    <x v="4"/>
    <s v="Low"/>
    <s v="Online"/>
    <n v="5559"/>
  </r>
  <r>
    <n v="678"/>
    <d v="2024-01-29T05:00:00"/>
    <s v="2024-01-29 05:00:00"/>
    <s v=" west"/>
    <x v="1"/>
    <s v="Electronics"/>
    <x v="2"/>
    <s v="Laptop"/>
    <s v="Laptop"/>
    <s v="CUST0578"/>
    <s v=" CUST0578 "/>
    <x v="4"/>
    <s v="Karthik"/>
    <x v="4"/>
    <s v="Credit Card"/>
    <n v="7"/>
    <s v="7"/>
    <n v="1712"/>
    <s v="1712"/>
    <n v="11984"/>
    <x v="0"/>
    <x v="0"/>
    <x v="4"/>
    <s v="Low"/>
    <s v="Online"/>
    <n v="11984"/>
  </r>
  <r>
    <n v="679"/>
    <d v="2024-01-29T06:00:00"/>
    <s v="2024-01-29 06:00:00"/>
    <s v="south"/>
    <x v="3"/>
    <s v="Clothing"/>
    <x v="0"/>
    <s v="Washing Machine"/>
    <s v="Washing Machine"/>
    <s v="CUST0670"/>
    <s v=" CUST0670 "/>
    <x v="4"/>
    <s v="Karthik"/>
    <x v="0"/>
    <s v=" Cash"/>
    <n v="7"/>
    <s v="7"/>
    <n v="3375"/>
    <s v="3375"/>
    <n v="23625"/>
    <x v="0"/>
    <x v="0"/>
    <x v="4"/>
    <s v="Medium"/>
    <s v="Offline"/>
    <n v="23625"/>
  </r>
  <r>
    <n v="680"/>
    <d v="2024-01-29T07:00:00"/>
    <s v="2024-01-29 07:00:00"/>
    <s v="south"/>
    <x v="3"/>
    <s v="Clothing"/>
    <x v="0"/>
    <s v="Men T-Shirt"/>
    <s v="Men T-Shirt"/>
    <s v="CUST0378"/>
    <s v=" CUST0378 "/>
    <x v="4"/>
    <s v="Karthik"/>
    <x v="4"/>
    <s v="Credit Card"/>
    <n v="12"/>
    <s v="12"/>
    <n v="655"/>
    <s v="655"/>
    <n v="7860"/>
    <x v="0"/>
    <x v="0"/>
    <x v="4"/>
    <s v="Low"/>
    <s v="Online"/>
    <n v="7860"/>
  </r>
  <r>
    <n v="681"/>
    <d v="2024-01-29T08:00:00"/>
    <s v="2024-01-29 08:00:00"/>
    <s v=" west"/>
    <x v="1"/>
    <s v="Grocery"/>
    <x v="3"/>
    <s v="Men T-Shirt"/>
    <s v="Men T-Shirt"/>
    <s v="CUST0149"/>
    <s v=" CUST0149 "/>
    <x v="4"/>
    <s v="Karthik"/>
    <x v="3"/>
    <s v=" Net Banking "/>
    <n v="9"/>
    <s v="9"/>
    <n v="4351"/>
    <s v="4351"/>
    <n v="39159"/>
    <x v="0"/>
    <x v="0"/>
    <x v="4"/>
    <s v="Medium"/>
    <s v="Online"/>
    <n v="39159"/>
  </r>
  <r>
    <n v="682"/>
    <d v="2024-01-29T09:00:00"/>
    <s v="2024-01-29 09:00:00"/>
    <s v=" North "/>
    <x v="2"/>
    <s v="Clothing"/>
    <x v="0"/>
    <s v="Men T-Shirt"/>
    <s v="Men T-Shirt"/>
    <s v="CUST0433"/>
    <s v=" CUST0433 "/>
    <x v="4"/>
    <s v="Karthik"/>
    <x v="0"/>
    <s v=" Cash"/>
    <n v="6"/>
    <s v="6"/>
    <n v="2149"/>
    <s v="2149"/>
    <n v="12894"/>
    <x v="0"/>
    <x v="0"/>
    <x v="4"/>
    <s v="Low"/>
    <s v="Offline"/>
    <n v="12894"/>
  </r>
  <r>
    <n v="683"/>
    <d v="2024-01-29T10:00:00"/>
    <s v="2024-01-29 10:00:00"/>
    <s v="EAST"/>
    <x v="0"/>
    <s v=" Home Appliances "/>
    <x v="1"/>
    <s v="Led Tv 42Inch"/>
    <s v="LED TV 42inch"/>
    <s v="CUST0628"/>
    <s v=" CUST0628 "/>
    <x v="3"/>
    <s v="Anita"/>
    <x v="2"/>
    <s v="UPI"/>
    <n v="1"/>
    <s v="1"/>
    <n v="924"/>
    <s v="924"/>
    <n v="924"/>
    <x v="0"/>
    <x v="0"/>
    <x v="4"/>
    <s v="Low"/>
    <s v="Online"/>
    <n v="924"/>
  </r>
  <r>
    <n v="684"/>
    <d v="2024-01-29T11:00:00"/>
    <s v="2024-01-29 11:00:00"/>
    <s v=" west"/>
    <x v="1"/>
    <s v="Grocery"/>
    <x v="3"/>
    <s v="Led Tv 42Inch"/>
    <s v="LED TV 42inch"/>
    <s v="CUST0726"/>
    <s v=" CUST0726 "/>
    <x v="2"/>
    <s v="Suresh"/>
    <x v="1"/>
    <s v="Debit card "/>
    <n v="8"/>
    <s v="8"/>
    <n v="2949"/>
    <s v="2949"/>
    <n v="23592"/>
    <x v="0"/>
    <x v="0"/>
    <x v="4"/>
    <s v="Medium"/>
    <s v="Online"/>
    <n v="23592"/>
  </r>
  <r>
    <n v="685"/>
    <d v="2024-01-29T12:00:00"/>
    <s v="2024-01-29 12:00:00"/>
    <s v=" North "/>
    <x v="2"/>
    <s v="Electronics"/>
    <x v="2"/>
    <s v="Washing Machine"/>
    <s v="Washing Machine"/>
    <s v="CUST0469"/>
    <s v=" CUST0469 "/>
    <x v="4"/>
    <s v="Karthik"/>
    <x v="0"/>
    <s v=" Cash"/>
    <n v="1"/>
    <s v="1"/>
    <n v="3130"/>
    <s v="3130"/>
    <n v="3130"/>
    <x v="0"/>
    <x v="0"/>
    <x v="4"/>
    <s v="Low"/>
    <s v="Offline"/>
    <n v="3130"/>
  </r>
  <r>
    <n v="686"/>
    <d v="2024-01-29T13:00:00"/>
    <s v="2024-01-29 13:00:00"/>
    <s v="south"/>
    <x v="3"/>
    <s v="Grocery"/>
    <x v="3"/>
    <s v="Men T-Shirt"/>
    <s v="Men T-Shirt"/>
    <s v="CUST0446"/>
    <s v=" CUST0446 "/>
    <x v="2"/>
    <s v="Suresh"/>
    <x v="3"/>
    <s v=" Net Banking "/>
    <n v="3"/>
    <s v="3"/>
    <n v="1181"/>
    <s v="1181"/>
    <n v="3543"/>
    <x v="0"/>
    <x v="0"/>
    <x v="4"/>
    <s v="Low"/>
    <s v="Online"/>
    <n v="3543"/>
  </r>
  <r>
    <n v="687"/>
    <d v="2024-01-29T14:00:00"/>
    <s v="2024-01-29 14:00:00"/>
    <s v="south"/>
    <x v="3"/>
    <s v="Clothing"/>
    <x v="0"/>
    <s v="Led Tv 42Inch"/>
    <s v="LED TV 42inch"/>
    <s v="CUST0481"/>
    <s v=" CUST0481 "/>
    <x v="4"/>
    <s v="Karthik"/>
    <x v="0"/>
    <s v=" Cash"/>
    <n v="11"/>
    <s v="11"/>
    <n v="3425"/>
    <s v="3425"/>
    <n v="37675"/>
    <x v="0"/>
    <x v="0"/>
    <x v="4"/>
    <s v="Medium"/>
    <s v="Offline"/>
    <n v="37675"/>
  </r>
  <r>
    <n v="688"/>
    <d v="2024-01-29T15:00:00"/>
    <s v="2024-01-29 15:00:00"/>
    <s v=" North "/>
    <x v="2"/>
    <s v="Electronics"/>
    <x v="2"/>
    <s v="Rice 5Kg"/>
    <s v="Rice 5kg"/>
    <s v="CUST0294"/>
    <s v=" CUST0294 "/>
    <x v="1"/>
    <s v="Meena"/>
    <x v="4"/>
    <s v="Credit Card"/>
    <n v="5"/>
    <s v="5"/>
    <n v="592"/>
    <s v="592"/>
    <n v="2960"/>
    <x v="0"/>
    <x v="0"/>
    <x v="4"/>
    <s v="Low"/>
    <s v="Online"/>
    <n v="2960"/>
  </r>
  <r>
    <n v="689"/>
    <d v="2024-01-29T16:00:00"/>
    <s v="2024-01-29 16:00:00"/>
    <s v="EAST"/>
    <x v="0"/>
    <s v="Grocery"/>
    <x v="3"/>
    <s v="Washing Machine"/>
    <s v="Washing Machine"/>
    <s v="CUST0765"/>
    <s v=" CUST0765 "/>
    <x v="4"/>
    <s v="Karthik"/>
    <x v="0"/>
    <s v=" Cash"/>
    <n v="8"/>
    <s v="8"/>
    <n v="4864"/>
    <s v="4864"/>
    <n v="38912"/>
    <x v="0"/>
    <x v="0"/>
    <x v="4"/>
    <s v="Medium"/>
    <s v="Offline"/>
    <n v="38912"/>
  </r>
  <r>
    <n v="690"/>
    <d v="2024-01-29T17:00:00"/>
    <s v="2024-01-29 17:00:00"/>
    <s v="south"/>
    <x v="3"/>
    <s v=" Home Appliances "/>
    <x v="1"/>
    <s v="Laptop"/>
    <s v="Laptop"/>
    <s v="CUST0143"/>
    <s v=" CUST0143 "/>
    <x v="0"/>
    <s v="Rahul"/>
    <x v="2"/>
    <s v="UPI"/>
    <n v="9"/>
    <s v="9"/>
    <n v="174"/>
    <s v="174"/>
    <n v="1566"/>
    <x v="0"/>
    <x v="0"/>
    <x v="4"/>
    <s v="Low"/>
    <s v="Online"/>
    <n v="1566"/>
  </r>
  <r>
    <n v="691"/>
    <d v="2024-01-29T18:00:00"/>
    <s v="2024-01-29 18:00:00"/>
    <s v="south"/>
    <x v="3"/>
    <s v=" Home Appliances "/>
    <x v="1"/>
    <s v="Mixer Grinder"/>
    <s v="Mixer Grinder"/>
    <s v="CUST0250"/>
    <s v=" CUST0250 "/>
    <x v="3"/>
    <s v="Anita"/>
    <x v="0"/>
    <s v=" Cash"/>
    <n v="7"/>
    <s v="7"/>
    <n v="3091"/>
    <s v="3091"/>
    <n v="21637"/>
    <x v="0"/>
    <x v="0"/>
    <x v="4"/>
    <s v="Medium"/>
    <s v="Offline"/>
    <n v="21637"/>
  </r>
  <r>
    <n v="692"/>
    <d v="2024-01-29T19:00:00"/>
    <s v="2024-01-29 19:00:00"/>
    <s v="south"/>
    <x v="3"/>
    <s v="Grocery"/>
    <x v="3"/>
    <s v="Washing Machine"/>
    <s v="Washing Machine"/>
    <s v="CUST0302"/>
    <s v=" CUST0302 "/>
    <x v="1"/>
    <s v="Meena"/>
    <x v="1"/>
    <s v="Debit card "/>
    <n v="9"/>
    <s v="9"/>
    <n v="3460"/>
    <s v="3460"/>
    <n v="31140"/>
    <x v="0"/>
    <x v="0"/>
    <x v="4"/>
    <s v="Medium"/>
    <s v="Online"/>
    <n v="31140"/>
  </r>
  <r>
    <n v="693"/>
    <d v="2024-01-29T20:00:00"/>
    <s v="2024-01-29 20:00:00"/>
    <s v=" North "/>
    <x v="2"/>
    <s v=" Home Appliances "/>
    <x v="1"/>
    <s v="Mixer Grinder"/>
    <s v="Mixer Grinder"/>
    <s v="CUST0025"/>
    <s v=" CUST0025 "/>
    <x v="1"/>
    <s v="Meena"/>
    <x v="0"/>
    <s v=" Cash"/>
    <n v="11"/>
    <s v="11"/>
    <n v="470"/>
    <s v="470"/>
    <n v="5170"/>
    <x v="0"/>
    <x v="0"/>
    <x v="4"/>
    <s v="Low"/>
    <s v="Offline"/>
    <n v="5170"/>
  </r>
  <r>
    <n v="694"/>
    <d v="2024-01-29T21:00:00"/>
    <s v="2024-01-29 21:00:00"/>
    <s v=" west"/>
    <x v="1"/>
    <s v=" Home Appliances "/>
    <x v="1"/>
    <s v="Men T-Shirt"/>
    <s v="Men T-Shirt"/>
    <s v="CUST0789"/>
    <s v=" CUST0789 "/>
    <x v="0"/>
    <s v="Rahul"/>
    <x v="4"/>
    <s v="Credit Card"/>
    <n v="3"/>
    <s v="3"/>
    <n v="4782"/>
    <s v="4782"/>
    <n v="14346"/>
    <x v="0"/>
    <x v="0"/>
    <x v="4"/>
    <s v="Low"/>
    <s v="Online"/>
    <n v="14346"/>
  </r>
  <r>
    <n v="695"/>
    <d v="2024-01-29T22:00:00"/>
    <s v="2024-01-29 22:00:00"/>
    <s v="south"/>
    <x v="3"/>
    <s v=" Home Appliances "/>
    <x v="1"/>
    <s v="Mixer Grinder"/>
    <s v="Mixer Grinder"/>
    <s v="CUST0070"/>
    <s v=" CUST0070 "/>
    <x v="4"/>
    <s v="Karthik"/>
    <x v="0"/>
    <s v=" Cash"/>
    <n v="13"/>
    <s v="13"/>
    <n v="428"/>
    <s v="428"/>
    <n v="5564"/>
    <x v="0"/>
    <x v="0"/>
    <x v="4"/>
    <s v="Low"/>
    <s v="Offline"/>
    <n v="5564"/>
  </r>
  <r>
    <n v="696"/>
    <d v="2024-01-29T23:00:00"/>
    <s v="2024-01-29 23:00:00"/>
    <s v=" west"/>
    <x v="1"/>
    <s v="Electronics"/>
    <x v="2"/>
    <s v="Men T-Shirt"/>
    <s v="Men T-Shirt"/>
    <s v="CUST0625"/>
    <s v=" CUST0625 "/>
    <x v="3"/>
    <s v="Anita"/>
    <x v="2"/>
    <s v="UPI"/>
    <n v="5"/>
    <s v="5"/>
    <n v="4785"/>
    <s v="4785"/>
    <n v="23925"/>
    <x v="0"/>
    <x v="0"/>
    <x v="4"/>
    <s v="Medium"/>
    <s v="Online"/>
    <n v="23925"/>
  </r>
  <r>
    <n v="697"/>
    <d v="2024-01-30T00:00:00"/>
    <s v="2024-01-30 00:00:00"/>
    <s v="EAST"/>
    <x v="0"/>
    <s v=" Home Appliances "/>
    <x v="1"/>
    <s v="Rice 5Kg"/>
    <s v="Rice 5kg"/>
    <s v="CUST0112"/>
    <s v=" CUST0112 "/>
    <x v="1"/>
    <s v="Meena"/>
    <x v="3"/>
    <s v=" Net Banking "/>
    <n v="10"/>
    <s v="10"/>
    <n v="1890"/>
    <s v="1890"/>
    <n v="18900"/>
    <x v="0"/>
    <x v="0"/>
    <x v="4"/>
    <s v="Low"/>
    <s v="Online"/>
    <n v="18900"/>
  </r>
  <r>
    <n v="698"/>
    <d v="2024-01-30T01:00:00"/>
    <s v="2024-01-30 01:00:00"/>
    <s v="south"/>
    <x v="3"/>
    <s v=" Home Appliances "/>
    <x v="1"/>
    <s v="Mixer Grinder"/>
    <s v="Mixer Grinder"/>
    <s v="CUST0364"/>
    <s v=" CUST0364 "/>
    <x v="3"/>
    <s v="Anita"/>
    <x v="0"/>
    <s v=" Cash"/>
    <n v="8"/>
    <s v="8"/>
    <n v="876"/>
    <s v="876"/>
    <n v="7008"/>
    <x v="0"/>
    <x v="0"/>
    <x v="4"/>
    <s v="Low"/>
    <s v="Offline"/>
    <n v="7008"/>
  </r>
  <r>
    <n v="699"/>
    <d v="2024-01-30T02:00:00"/>
    <s v="2024-01-30 02:00:00"/>
    <s v="south"/>
    <x v="3"/>
    <s v=" Home Appliances "/>
    <x v="1"/>
    <s v="Washing Machine"/>
    <s v="Washing Machine"/>
    <s v="CUST0303"/>
    <s v=" CUST0303 "/>
    <x v="1"/>
    <s v="Meena"/>
    <x v="0"/>
    <s v=" Cash"/>
    <n v="12"/>
    <s v="12"/>
    <n v="2122"/>
    <s v="2122"/>
    <n v="25464"/>
    <x v="0"/>
    <x v="0"/>
    <x v="4"/>
    <s v="Medium"/>
    <s v="Offline"/>
    <n v="25464"/>
  </r>
  <r>
    <n v="700"/>
    <d v="2024-01-30T03:00:00"/>
    <s v="2024-01-30 03:00:00"/>
    <s v="EAST"/>
    <x v="0"/>
    <s v="Electronics"/>
    <x v="2"/>
    <s v="Men T-Shirt"/>
    <s v="Men T-Shirt"/>
    <s v="CUST0471"/>
    <s v=" CUST0471 "/>
    <x v="4"/>
    <s v="Karthik"/>
    <x v="1"/>
    <s v="Debit card "/>
    <n v="1"/>
    <s v="1"/>
    <n v="4774"/>
    <s v="4774"/>
    <n v="4774"/>
    <x v="0"/>
    <x v="0"/>
    <x v="4"/>
    <s v="Low"/>
    <s v="Online"/>
    <n v="4774"/>
  </r>
  <r>
    <n v="701"/>
    <d v="2024-01-30T04:00:00"/>
    <s v="2024-01-30 04:00:00"/>
    <s v="south"/>
    <x v="3"/>
    <s v="Grocery"/>
    <x v="3"/>
    <s v="Washing Machine"/>
    <s v="Washing Machine"/>
    <s v="CUST0091"/>
    <s v=" CUST0091 "/>
    <x v="1"/>
    <s v="Meena"/>
    <x v="2"/>
    <s v="UPI"/>
    <n v="8"/>
    <s v="8"/>
    <n v="4416"/>
    <s v="4416"/>
    <n v="35328"/>
    <x v="0"/>
    <x v="0"/>
    <x v="4"/>
    <s v="Medium"/>
    <s v="Online"/>
    <n v="35328"/>
  </r>
  <r>
    <n v="702"/>
    <d v="2024-01-30T05:00:00"/>
    <s v="2024-01-30 05:00:00"/>
    <s v=" west"/>
    <x v="1"/>
    <s v="Clothing"/>
    <x v="0"/>
    <s v="Led Tv 42Inch"/>
    <s v="LED TV 42inch"/>
    <s v="CUST0530"/>
    <s v=" CUST0530 "/>
    <x v="1"/>
    <s v="Meena"/>
    <x v="3"/>
    <s v=" Net Banking "/>
    <n v="7"/>
    <s v="7"/>
    <n v="1287"/>
    <s v="1287"/>
    <n v="9009"/>
    <x v="0"/>
    <x v="0"/>
    <x v="4"/>
    <s v="Low"/>
    <s v="Online"/>
    <n v="9009"/>
  </r>
  <r>
    <n v="703"/>
    <d v="2024-01-30T06:00:00"/>
    <s v="2024-01-30 06:00:00"/>
    <s v=" North "/>
    <x v="2"/>
    <s v=" Home Appliances "/>
    <x v="1"/>
    <s v="Men T-Shirt"/>
    <s v="Men T-Shirt"/>
    <s v="CUST0661"/>
    <s v=" CUST0661 "/>
    <x v="2"/>
    <s v="Suresh"/>
    <x v="4"/>
    <s v="Credit Card"/>
    <n v="1"/>
    <s v="1"/>
    <n v="1603"/>
    <s v="1603"/>
    <n v="1603"/>
    <x v="0"/>
    <x v="0"/>
    <x v="4"/>
    <s v="Low"/>
    <s v="Online"/>
    <n v="1603"/>
  </r>
  <r>
    <n v="704"/>
    <d v="2024-01-30T07:00:00"/>
    <s v="2024-01-30 07:00:00"/>
    <s v=" west"/>
    <x v="1"/>
    <s v="Grocery"/>
    <x v="3"/>
    <s v="Mixer Grinder"/>
    <s v="Mixer Grinder"/>
    <s v="CUST0739"/>
    <s v=" CUST0739 "/>
    <x v="4"/>
    <s v="Karthik"/>
    <x v="0"/>
    <s v=" Cash"/>
    <n v="13"/>
    <s v="13"/>
    <n v="3391"/>
    <s v="3391"/>
    <n v="44083"/>
    <x v="0"/>
    <x v="0"/>
    <x v="4"/>
    <s v="Medium"/>
    <s v="Offline"/>
    <n v="44083"/>
  </r>
  <r>
    <n v="705"/>
    <d v="2024-01-30T08:00:00"/>
    <s v="2024-01-30 08:00:00"/>
    <s v=" North "/>
    <x v="2"/>
    <s v=" Home Appliances "/>
    <x v="1"/>
    <s v="Men T-Shirt"/>
    <s v="Men T-Shirt"/>
    <s v="CUST0726"/>
    <s v=" CUST0726 "/>
    <x v="0"/>
    <s v="Rahul"/>
    <x v="3"/>
    <s v=" Net Banking "/>
    <n v="13"/>
    <s v="13"/>
    <n v="3425"/>
    <s v="3425"/>
    <n v="44525"/>
    <x v="0"/>
    <x v="0"/>
    <x v="4"/>
    <s v="Medium"/>
    <s v="Online"/>
    <n v="44525"/>
  </r>
  <r>
    <n v="706"/>
    <d v="2024-01-30T09:00:00"/>
    <s v="2024-01-30 09:00:00"/>
    <s v=" North "/>
    <x v="2"/>
    <s v="Electronics"/>
    <x v="2"/>
    <s v="Washing Machine"/>
    <s v="Washing Machine"/>
    <s v="CUST0663"/>
    <s v=" CUST0663 "/>
    <x v="0"/>
    <s v="Rahul"/>
    <x v="4"/>
    <s v="Credit Card"/>
    <n v="10"/>
    <s v="10"/>
    <n v="287"/>
    <s v="287"/>
    <n v="2870"/>
    <x v="0"/>
    <x v="0"/>
    <x v="4"/>
    <s v="Low"/>
    <s v="Online"/>
    <n v="2870"/>
  </r>
  <r>
    <n v="707"/>
    <d v="2024-01-30T10:00:00"/>
    <s v="2024-01-30 10:00:00"/>
    <s v=" west"/>
    <x v="1"/>
    <s v="Grocery"/>
    <x v="3"/>
    <s v="Rice 5Kg"/>
    <s v="Rice 5kg"/>
    <s v="CUST0192"/>
    <s v=" CUST0192 "/>
    <x v="4"/>
    <s v="Karthik"/>
    <x v="2"/>
    <s v="UPI"/>
    <n v="12"/>
    <s v="12"/>
    <n v="1314"/>
    <s v="1314"/>
    <n v="15768"/>
    <x v="0"/>
    <x v="0"/>
    <x v="4"/>
    <s v="Low"/>
    <s v="Online"/>
    <n v="15768"/>
  </r>
  <r>
    <n v="708"/>
    <d v="2024-01-30T11:00:00"/>
    <s v="2024-01-30 11:00:00"/>
    <s v=" west"/>
    <x v="1"/>
    <s v="Electronics"/>
    <x v="2"/>
    <s v="Men T-Shirt"/>
    <s v="Men T-Shirt"/>
    <s v="CUST0552"/>
    <s v=" CUST0552 "/>
    <x v="0"/>
    <s v="Rahul"/>
    <x v="2"/>
    <s v="UPI"/>
    <n v="10"/>
    <s v="10"/>
    <n v="3386"/>
    <s v="3386"/>
    <n v="33860"/>
    <x v="0"/>
    <x v="0"/>
    <x v="4"/>
    <s v="Medium"/>
    <s v="Online"/>
    <n v="33860"/>
  </r>
  <r>
    <n v="709"/>
    <d v="2024-01-30T12:00:00"/>
    <s v="2024-01-30 12:00:00"/>
    <s v=" west"/>
    <x v="1"/>
    <s v=" Home Appliances "/>
    <x v="1"/>
    <s v="Mixer Grinder"/>
    <s v="Mixer Grinder"/>
    <s v="CUST0242"/>
    <s v=" CUST0242 "/>
    <x v="4"/>
    <s v="Karthik"/>
    <x v="3"/>
    <s v=" Net Banking "/>
    <n v="12"/>
    <s v="12"/>
    <n v="3546"/>
    <s v="3546"/>
    <n v="42552"/>
    <x v="0"/>
    <x v="0"/>
    <x v="4"/>
    <s v="Medium"/>
    <s v="Online"/>
    <n v="42552"/>
  </r>
  <r>
    <n v="710"/>
    <d v="2024-01-30T13:00:00"/>
    <s v="2024-01-30 13:00:00"/>
    <s v=" west"/>
    <x v="1"/>
    <s v=" Home Appliances "/>
    <x v="1"/>
    <s v="Led Tv 42Inch"/>
    <s v="LED TV 42inch"/>
    <s v="CUST0138"/>
    <s v=" CUST0138 "/>
    <x v="0"/>
    <s v="Rahul"/>
    <x v="4"/>
    <s v="Credit Card"/>
    <n v="6"/>
    <s v="6"/>
    <n v="1209"/>
    <s v="1209"/>
    <n v="7254"/>
    <x v="0"/>
    <x v="0"/>
    <x v="4"/>
    <s v="Low"/>
    <s v="Online"/>
    <n v="7254"/>
  </r>
  <r>
    <n v="711"/>
    <d v="2024-01-30T14:00:00"/>
    <s v="2024-01-30 14:00:00"/>
    <s v="EAST"/>
    <x v="0"/>
    <s v="Electronics"/>
    <x v="2"/>
    <s v="Laptop"/>
    <s v="Laptop"/>
    <s v="CUST0345"/>
    <s v=" CUST0345 "/>
    <x v="2"/>
    <s v="Suresh"/>
    <x v="2"/>
    <s v="UPI"/>
    <n v="1"/>
    <s v="1"/>
    <n v="2621"/>
    <s v="2621"/>
    <n v="2621"/>
    <x v="0"/>
    <x v="0"/>
    <x v="4"/>
    <s v="Low"/>
    <s v="Online"/>
    <n v="2621"/>
  </r>
  <r>
    <n v="712"/>
    <d v="2024-01-30T15:00:00"/>
    <s v="2024-01-30 15:00:00"/>
    <s v="south"/>
    <x v="3"/>
    <s v="Clothing"/>
    <x v="0"/>
    <s v="Rice 5Kg"/>
    <s v="Rice 5kg"/>
    <s v="CUST0180"/>
    <s v=" CUST0180 "/>
    <x v="0"/>
    <s v="Rahul"/>
    <x v="3"/>
    <s v=" Net Banking "/>
    <n v="2"/>
    <s v="2"/>
    <n v="3979"/>
    <s v="3979"/>
    <n v="7958"/>
    <x v="0"/>
    <x v="0"/>
    <x v="4"/>
    <s v="Low"/>
    <s v="Online"/>
    <n v="7958"/>
  </r>
  <r>
    <n v="713"/>
    <d v="2024-01-30T16:00:00"/>
    <s v="2024-01-30 16:00:00"/>
    <s v=" North "/>
    <x v="2"/>
    <s v="Electronics"/>
    <x v="2"/>
    <s v="Led Tv 42Inch"/>
    <s v="LED TV 42inch"/>
    <s v="CUST0712"/>
    <s v=" CUST0712 "/>
    <x v="1"/>
    <s v="Meena"/>
    <x v="2"/>
    <s v="UPI"/>
    <n v="5"/>
    <s v="5"/>
    <n v="630"/>
    <s v="630"/>
    <n v="3150"/>
    <x v="0"/>
    <x v="0"/>
    <x v="4"/>
    <s v="Low"/>
    <s v="Online"/>
    <n v="3150"/>
  </r>
  <r>
    <n v="714"/>
    <d v="2024-01-30T17:00:00"/>
    <s v="2024-01-30 17:00:00"/>
    <s v=" west"/>
    <x v="1"/>
    <s v=" Home Appliances "/>
    <x v="1"/>
    <s v="Men T-Shirt"/>
    <s v="Men T-Shirt"/>
    <s v="CUST0503"/>
    <s v=" CUST0503 "/>
    <x v="4"/>
    <s v="Karthik"/>
    <x v="2"/>
    <s v="UPI"/>
    <n v="2"/>
    <s v="2"/>
    <n v="1170"/>
    <s v="1170"/>
    <n v="2340"/>
    <x v="0"/>
    <x v="0"/>
    <x v="4"/>
    <s v="Low"/>
    <s v="Online"/>
    <n v="2340"/>
  </r>
  <r>
    <n v="715"/>
    <d v="2024-01-30T18:00:00"/>
    <s v="2024-01-30 18:00:00"/>
    <s v=" west"/>
    <x v="1"/>
    <s v="Electronics"/>
    <x v="2"/>
    <s v="Washing Machine"/>
    <s v="Washing Machine"/>
    <s v="CUST0203"/>
    <s v=" CUST0203 "/>
    <x v="3"/>
    <s v="Anita"/>
    <x v="2"/>
    <s v="UPI"/>
    <n v="14"/>
    <s v="14"/>
    <n v="3236"/>
    <s v="3236"/>
    <n v="45304"/>
    <x v="0"/>
    <x v="0"/>
    <x v="4"/>
    <s v="Medium"/>
    <s v="Online"/>
    <n v="45304"/>
  </r>
  <r>
    <n v="716"/>
    <d v="2024-01-30T19:00:00"/>
    <s v="2024-01-30 19:00:00"/>
    <s v=" west"/>
    <x v="1"/>
    <s v="Clothing"/>
    <x v="0"/>
    <s v="Washing Machine"/>
    <s v="Washing Machine"/>
    <s v="CUST0573"/>
    <s v=" CUST0573 "/>
    <x v="3"/>
    <s v="Anita"/>
    <x v="1"/>
    <s v="Debit card "/>
    <n v="10"/>
    <s v="10"/>
    <n v="1062"/>
    <s v="1062"/>
    <n v="10620"/>
    <x v="0"/>
    <x v="0"/>
    <x v="4"/>
    <s v="Low"/>
    <s v="Online"/>
    <n v="10620"/>
  </r>
  <r>
    <n v="717"/>
    <d v="2024-01-30T20:00:00"/>
    <s v="2024-01-30 20:00:00"/>
    <s v="EAST"/>
    <x v="0"/>
    <s v="Electronics"/>
    <x v="2"/>
    <s v="Mixer Grinder"/>
    <s v="Mixer Grinder"/>
    <s v="CUST0192"/>
    <s v=" CUST0192 "/>
    <x v="4"/>
    <s v="Karthik"/>
    <x v="4"/>
    <s v="Credit Card"/>
    <n v="1"/>
    <s v="1"/>
    <n v="1505"/>
    <s v="1505"/>
    <n v="1505"/>
    <x v="0"/>
    <x v="0"/>
    <x v="4"/>
    <s v="Low"/>
    <s v="Online"/>
    <n v="1505"/>
  </r>
  <r>
    <n v="718"/>
    <d v="2024-01-30T21:00:00"/>
    <s v="2024-01-30 21:00:00"/>
    <s v=" west"/>
    <x v="1"/>
    <s v="Clothing"/>
    <x v="0"/>
    <s v="Washing Machine"/>
    <s v="Washing Machine"/>
    <s v="CUST0005"/>
    <s v=" CUST0005 "/>
    <x v="2"/>
    <s v="Suresh"/>
    <x v="3"/>
    <s v=" Net Banking "/>
    <n v="6"/>
    <s v="6"/>
    <n v="3237"/>
    <s v="3237"/>
    <n v="19422"/>
    <x v="0"/>
    <x v="0"/>
    <x v="4"/>
    <s v="Low"/>
    <s v="Online"/>
    <n v="19422"/>
  </r>
  <r>
    <n v="719"/>
    <d v="2024-01-30T22:00:00"/>
    <s v="2024-01-30 22:00:00"/>
    <s v=" west"/>
    <x v="1"/>
    <s v="Clothing"/>
    <x v="0"/>
    <s v="Rice 5Kg"/>
    <s v="Rice 5kg"/>
    <s v="CUST0237"/>
    <s v=" CUST0237 "/>
    <x v="0"/>
    <s v="Rahul"/>
    <x v="3"/>
    <s v=" Net Banking "/>
    <n v="8"/>
    <s v="8"/>
    <n v="616"/>
    <s v="616"/>
    <n v="4928"/>
    <x v="0"/>
    <x v="0"/>
    <x v="4"/>
    <s v="Low"/>
    <s v="Online"/>
    <n v="4928"/>
  </r>
  <r>
    <n v="720"/>
    <d v="2024-01-30T23:00:00"/>
    <s v="2024-01-30 23:00:00"/>
    <s v=" west"/>
    <x v="1"/>
    <s v="Electronics"/>
    <x v="2"/>
    <s v="Washing Machine"/>
    <s v="Washing Machine"/>
    <s v="CUST0693"/>
    <s v=" CUST0693 "/>
    <x v="2"/>
    <s v="Suresh"/>
    <x v="4"/>
    <s v="Credit Card"/>
    <n v="8"/>
    <s v="8"/>
    <n v="3264"/>
    <s v="3264"/>
    <n v="26112"/>
    <x v="0"/>
    <x v="0"/>
    <x v="4"/>
    <s v="Medium"/>
    <s v="Online"/>
    <n v="26112"/>
  </r>
  <r>
    <n v="721"/>
    <d v="2024-01-31T00:00:00"/>
    <s v="2024-01-31 00:00:00"/>
    <s v="south"/>
    <x v="3"/>
    <s v="Electronics"/>
    <x v="2"/>
    <s v="Mixer Grinder"/>
    <s v="Mixer Grinder"/>
    <s v="CUST0311"/>
    <s v=" CUST0311 "/>
    <x v="3"/>
    <s v="Anita"/>
    <x v="4"/>
    <s v="Credit Card"/>
    <n v="13"/>
    <s v="13"/>
    <n v="1591"/>
    <s v="1591"/>
    <n v="20683"/>
    <x v="0"/>
    <x v="0"/>
    <x v="4"/>
    <s v="Medium"/>
    <s v="Online"/>
    <n v="20683"/>
  </r>
  <r>
    <n v="722"/>
    <d v="2024-01-31T01:00:00"/>
    <s v="2024-01-31 01:00:00"/>
    <s v="EAST"/>
    <x v="0"/>
    <s v="Grocery"/>
    <x v="3"/>
    <s v="Laptop"/>
    <s v="Laptop"/>
    <s v="CUST0549"/>
    <s v=" CUST0549 "/>
    <x v="4"/>
    <s v="Karthik"/>
    <x v="4"/>
    <s v="Credit Card"/>
    <n v="13"/>
    <s v="13"/>
    <n v="3789"/>
    <s v="3789"/>
    <n v="49257"/>
    <x v="0"/>
    <x v="0"/>
    <x v="4"/>
    <s v="Medium"/>
    <s v="Online"/>
    <n v="49257"/>
  </r>
  <r>
    <n v="723"/>
    <d v="2024-01-31T02:00:00"/>
    <s v="2024-01-31 02:00:00"/>
    <s v=" west"/>
    <x v="1"/>
    <s v=" Home Appliances "/>
    <x v="1"/>
    <s v="Men T-Shirt"/>
    <s v="Men T-Shirt"/>
    <s v="CUST0056"/>
    <s v=" CUST0056 "/>
    <x v="4"/>
    <s v="Karthik"/>
    <x v="4"/>
    <s v="Credit Card"/>
    <n v="8"/>
    <s v="8"/>
    <n v="4328"/>
    <s v="4328"/>
    <n v="34624"/>
    <x v="0"/>
    <x v="0"/>
    <x v="4"/>
    <s v="Medium"/>
    <s v="Online"/>
    <n v="34624"/>
  </r>
  <r>
    <n v="724"/>
    <d v="2024-01-31T03:00:00"/>
    <s v="2024-01-31 03:00:00"/>
    <s v=" North "/>
    <x v="2"/>
    <s v="Clothing"/>
    <x v="0"/>
    <s v="Men T-Shirt"/>
    <s v="Men T-Shirt"/>
    <s v="CUST0443"/>
    <s v=" CUST0443 "/>
    <x v="2"/>
    <s v="Suresh"/>
    <x v="0"/>
    <s v=" Cash"/>
    <n v="11"/>
    <s v="11"/>
    <n v="4509"/>
    <s v="4509"/>
    <n v="49599"/>
    <x v="0"/>
    <x v="0"/>
    <x v="4"/>
    <s v="Medium"/>
    <s v="Offline"/>
    <n v="49599"/>
  </r>
  <r>
    <n v="725"/>
    <d v="2024-01-31T04:00:00"/>
    <s v="2024-01-31 04:00:00"/>
    <s v=" North "/>
    <x v="2"/>
    <s v="Grocery"/>
    <x v="3"/>
    <s v="Washing Machine"/>
    <s v="Washing Machine"/>
    <s v="CUST0237"/>
    <s v=" CUST0237 "/>
    <x v="2"/>
    <s v="Suresh"/>
    <x v="3"/>
    <s v=" Net Banking "/>
    <n v="6"/>
    <s v="6"/>
    <n v="690"/>
    <s v="690"/>
    <n v="4140"/>
    <x v="0"/>
    <x v="0"/>
    <x v="4"/>
    <s v="Low"/>
    <s v="Online"/>
    <n v="4140"/>
  </r>
  <r>
    <n v="726"/>
    <d v="2024-01-31T05:00:00"/>
    <s v="2024-01-31 05:00:00"/>
    <s v=" North "/>
    <x v="2"/>
    <s v="Electronics"/>
    <x v="2"/>
    <s v="Led Tv 42Inch"/>
    <s v="LED TV 42inch"/>
    <s v="CUST0197"/>
    <s v=" CUST0197 "/>
    <x v="0"/>
    <s v="Rahul"/>
    <x v="0"/>
    <s v=" Cash"/>
    <n v="11"/>
    <s v="11"/>
    <n v="1643"/>
    <s v="1643"/>
    <n v="18073"/>
    <x v="0"/>
    <x v="0"/>
    <x v="4"/>
    <s v="Low"/>
    <s v="Offline"/>
    <n v="18073"/>
  </r>
  <r>
    <n v="727"/>
    <d v="2024-01-31T06:00:00"/>
    <s v="2024-01-31 06:00:00"/>
    <s v="EAST"/>
    <x v="0"/>
    <s v=" Home Appliances "/>
    <x v="1"/>
    <s v="Men T-Shirt"/>
    <s v="Men T-Shirt"/>
    <s v="CUST0585"/>
    <s v=" CUST0585 "/>
    <x v="1"/>
    <s v="Meena"/>
    <x v="2"/>
    <s v="UPI"/>
    <n v="3"/>
    <s v="3"/>
    <n v="3156"/>
    <s v="3156"/>
    <n v="9468"/>
    <x v="0"/>
    <x v="0"/>
    <x v="4"/>
    <s v="Low"/>
    <s v="Online"/>
    <n v="9468"/>
  </r>
  <r>
    <n v="728"/>
    <d v="2024-01-31T07:00:00"/>
    <s v="2024-01-31 07:00:00"/>
    <s v="EAST"/>
    <x v="0"/>
    <s v="Grocery"/>
    <x v="3"/>
    <s v="Laptop"/>
    <s v="Laptop"/>
    <s v="CUST0571"/>
    <s v=" CUST0571 "/>
    <x v="1"/>
    <s v="Meena"/>
    <x v="2"/>
    <s v="UPI"/>
    <n v="1"/>
    <s v="1"/>
    <n v="2306"/>
    <s v="2306"/>
    <n v="2306"/>
    <x v="0"/>
    <x v="0"/>
    <x v="4"/>
    <s v="Low"/>
    <s v="Online"/>
    <n v="2306"/>
  </r>
  <r>
    <n v="729"/>
    <d v="2024-01-31T08:00:00"/>
    <s v="2024-01-31 08:00:00"/>
    <s v=" North "/>
    <x v="2"/>
    <s v="Clothing"/>
    <x v="0"/>
    <s v="Washing Machine"/>
    <s v="Washing Machine"/>
    <s v="CUST0752"/>
    <s v=" CUST0752 "/>
    <x v="0"/>
    <s v="Rahul"/>
    <x v="3"/>
    <s v=" Net Banking "/>
    <n v="2"/>
    <s v="2"/>
    <n v="3439"/>
    <s v="3439"/>
    <n v="6878"/>
    <x v="0"/>
    <x v="0"/>
    <x v="4"/>
    <s v="Low"/>
    <s v="Online"/>
    <n v="6878"/>
  </r>
  <r>
    <n v="730"/>
    <d v="2024-01-31T09:00:00"/>
    <s v="2024-01-31 09:00:00"/>
    <s v=" west"/>
    <x v="1"/>
    <s v="Grocery"/>
    <x v="3"/>
    <s v="Mixer Grinder"/>
    <s v="Mixer Grinder"/>
    <s v="CUST0514"/>
    <s v=" CUST0514 "/>
    <x v="1"/>
    <s v="Meena"/>
    <x v="2"/>
    <s v="UPI"/>
    <n v="5"/>
    <s v="5"/>
    <n v="2808"/>
    <s v="2808"/>
    <n v="14040"/>
    <x v="0"/>
    <x v="0"/>
    <x v="4"/>
    <s v="Low"/>
    <s v="Online"/>
    <n v="14040"/>
  </r>
  <r>
    <n v="731"/>
    <d v="2024-01-31T10:00:00"/>
    <s v="2024-01-31 10:00:00"/>
    <s v="EAST"/>
    <x v="0"/>
    <s v="Clothing"/>
    <x v="0"/>
    <s v="Laptop"/>
    <s v="Laptop"/>
    <s v="CUST0449"/>
    <s v=" CUST0449 "/>
    <x v="3"/>
    <s v="Anita"/>
    <x v="4"/>
    <s v="Credit Card"/>
    <n v="13"/>
    <s v="13"/>
    <n v="4129"/>
    <s v="4129"/>
    <n v="53677"/>
    <x v="0"/>
    <x v="0"/>
    <x v="4"/>
    <s v="High"/>
    <s v="Online"/>
    <n v="53677"/>
  </r>
  <r>
    <n v="732"/>
    <d v="2024-01-31T11:00:00"/>
    <s v="2024-01-31 11:00:00"/>
    <s v=" North "/>
    <x v="2"/>
    <s v="Electronics"/>
    <x v="2"/>
    <s v="Washing Machine"/>
    <s v="Washing Machine"/>
    <s v="CUST0360"/>
    <s v=" CUST0360 "/>
    <x v="1"/>
    <s v="Meena"/>
    <x v="0"/>
    <s v=" Cash"/>
    <n v="10"/>
    <s v="10"/>
    <n v="847"/>
    <s v="847"/>
    <n v="8470"/>
    <x v="0"/>
    <x v="0"/>
    <x v="4"/>
    <s v="Low"/>
    <s v="Offline"/>
    <n v="8470"/>
  </r>
  <r>
    <n v="733"/>
    <d v="2024-01-31T12:00:00"/>
    <s v="2024-01-31 12:00:00"/>
    <s v=" North "/>
    <x v="2"/>
    <s v=" Home Appliances "/>
    <x v="1"/>
    <s v="Laptop"/>
    <s v="Laptop"/>
    <s v="CUST0700"/>
    <s v=" CUST0700 "/>
    <x v="0"/>
    <s v="Rahul"/>
    <x v="4"/>
    <s v="Credit Card"/>
    <n v="5"/>
    <s v="5"/>
    <n v="900"/>
    <s v="900"/>
    <n v="4500"/>
    <x v="0"/>
    <x v="0"/>
    <x v="4"/>
    <s v="Low"/>
    <s v="Online"/>
    <n v="4500"/>
  </r>
  <r>
    <n v="734"/>
    <d v="2024-01-31T13:00:00"/>
    <s v="2024-01-31 13:00:00"/>
    <s v=" west"/>
    <x v="1"/>
    <s v=" Home Appliances "/>
    <x v="1"/>
    <s v="Men T-Shirt"/>
    <s v="Men T-Shirt"/>
    <s v="CUST0030"/>
    <s v=" CUST0030 "/>
    <x v="1"/>
    <s v="Meena"/>
    <x v="2"/>
    <s v="UPI"/>
    <n v="10"/>
    <s v="10"/>
    <n v="1597"/>
    <s v="1597"/>
    <n v="15970"/>
    <x v="0"/>
    <x v="0"/>
    <x v="4"/>
    <s v="Low"/>
    <s v="Online"/>
    <n v="15970"/>
  </r>
  <r>
    <n v="735"/>
    <d v="2024-01-31T14:00:00"/>
    <s v="2024-01-31 14:00:00"/>
    <s v="south"/>
    <x v="3"/>
    <s v=" Home Appliances "/>
    <x v="1"/>
    <s v="Mixer Grinder"/>
    <s v="Mixer Grinder"/>
    <s v="CUST0779"/>
    <s v=" CUST0779 "/>
    <x v="4"/>
    <s v="Karthik"/>
    <x v="0"/>
    <s v=" Cash"/>
    <n v="14"/>
    <s v="14"/>
    <n v="1479"/>
    <s v="1479"/>
    <n v="20706"/>
    <x v="0"/>
    <x v="0"/>
    <x v="4"/>
    <s v="Medium"/>
    <s v="Offline"/>
    <n v="20706"/>
  </r>
  <r>
    <n v="736"/>
    <d v="2024-01-31T15:00:00"/>
    <s v="2024-01-31 15:00:00"/>
    <s v="EAST"/>
    <x v="0"/>
    <s v="Electronics"/>
    <x v="2"/>
    <s v="Washing Machine"/>
    <s v="Washing Machine"/>
    <s v="CUST0108"/>
    <s v=" CUST0108 "/>
    <x v="2"/>
    <s v="Suresh"/>
    <x v="4"/>
    <s v="Credit Card"/>
    <n v="1"/>
    <s v="1"/>
    <n v="779"/>
    <s v="779"/>
    <n v="779"/>
    <x v="0"/>
    <x v="0"/>
    <x v="4"/>
    <s v="Low"/>
    <s v="Online"/>
    <n v="779"/>
  </r>
  <r>
    <n v="737"/>
    <d v="2024-01-31T16:00:00"/>
    <s v="2024-01-31 16:00:00"/>
    <s v=" west"/>
    <x v="1"/>
    <s v="Clothing"/>
    <x v="0"/>
    <s v="Rice 5Kg"/>
    <s v="Rice 5kg"/>
    <s v="CUST0602"/>
    <s v=" CUST0602 "/>
    <x v="3"/>
    <s v="Anita"/>
    <x v="3"/>
    <s v=" Net Banking "/>
    <n v="1"/>
    <s v="1"/>
    <n v="3870"/>
    <s v="3870"/>
    <n v="3870"/>
    <x v="0"/>
    <x v="0"/>
    <x v="4"/>
    <s v="Low"/>
    <s v="Online"/>
    <n v="3870"/>
  </r>
  <r>
    <n v="738"/>
    <d v="2024-01-31T17:00:00"/>
    <s v="2024-01-31 17:00:00"/>
    <s v=" North "/>
    <x v="2"/>
    <s v="Electronics"/>
    <x v="2"/>
    <s v="Mixer Grinder"/>
    <s v="Mixer Grinder"/>
    <s v="CUST0717"/>
    <s v=" CUST0717 "/>
    <x v="4"/>
    <s v="Karthik"/>
    <x v="4"/>
    <s v="Credit Card"/>
    <n v="9"/>
    <s v="9"/>
    <n v="3442"/>
    <s v="3442"/>
    <n v="30978"/>
    <x v="0"/>
    <x v="0"/>
    <x v="4"/>
    <s v="Medium"/>
    <s v="Online"/>
    <n v="30978"/>
  </r>
  <r>
    <n v="739"/>
    <d v="2024-01-31T18:00:00"/>
    <s v="2024-01-31 18:00:00"/>
    <s v=" North "/>
    <x v="2"/>
    <s v=" Home Appliances "/>
    <x v="1"/>
    <s v="Rice 5Kg"/>
    <s v="Rice 5kg"/>
    <s v="CUST0445"/>
    <s v=" CUST0445 "/>
    <x v="4"/>
    <s v="Karthik"/>
    <x v="2"/>
    <s v="UPI"/>
    <n v="2"/>
    <s v="2"/>
    <n v="996"/>
    <s v="996"/>
    <n v="1992"/>
    <x v="0"/>
    <x v="0"/>
    <x v="4"/>
    <s v="Low"/>
    <s v="Online"/>
    <n v="1992"/>
  </r>
  <r>
    <n v="740"/>
    <d v="2024-01-31T19:00:00"/>
    <s v="2024-01-31 19:00:00"/>
    <s v=" west"/>
    <x v="1"/>
    <s v="Electronics"/>
    <x v="2"/>
    <s v="Laptop"/>
    <s v="Laptop"/>
    <s v="CUST0438"/>
    <s v=" CUST0438 "/>
    <x v="0"/>
    <s v="Rahul"/>
    <x v="0"/>
    <s v=" Cash"/>
    <n v="7"/>
    <s v="7"/>
    <n v="1646"/>
    <s v="1646"/>
    <n v="11522"/>
    <x v="0"/>
    <x v="0"/>
    <x v="4"/>
    <s v="Low"/>
    <s v="Offline"/>
    <n v="11522"/>
  </r>
  <r>
    <n v="741"/>
    <d v="2024-01-31T20:00:00"/>
    <s v="2024-01-31 20:00:00"/>
    <s v="EAST"/>
    <x v="0"/>
    <s v="Electronics"/>
    <x v="2"/>
    <s v="Led Tv 42Inch"/>
    <s v="LED TV 42inch"/>
    <s v="CUST0732"/>
    <s v=" CUST0732 "/>
    <x v="2"/>
    <s v="Suresh"/>
    <x v="3"/>
    <s v=" Net Banking "/>
    <n v="10"/>
    <s v="10"/>
    <n v="3226"/>
    <s v="3226"/>
    <n v="32260"/>
    <x v="0"/>
    <x v="0"/>
    <x v="4"/>
    <s v="Medium"/>
    <s v="Online"/>
    <n v="32260"/>
  </r>
  <r>
    <n v="742"/>
    <d v="2024-01-31T21:00:00"/>
    <s v="2024-01-31 21:00:00"/>
    <s v="south"/>
    <x v="3"/>
    <s v="Electronics"/>
    <x v="2"/>
    <s v="Mixer Grinder"/>
    <s v="Mixer Grinder"/>
    <s v="CUST0606"/>
    <s v=" CUST0606 "/>
    <x v="2"/>
    <s v="Suresh"/>
    <x v="0"/>
    <s v=" Cash"/>
    <n v="4"/>
    <s v="4"/>
    <n v="783"/>
    <s v="783"/>
    <n v="3132"/>
    <x v="0"/>
    <x v="0"/>
    <x v="4"/>
    <s v="Low"/>
    <s v="Offline"/>
    <n v="3132"/>
  </r>
  <r>
    <n v="743"/>
    <d v="2024-01-31T22:00:00"/>
    <s v="2024-01-31 22:00:00"/>
    <s v="south"/>
    <x v="3"/>
    <s v="Clothing"/>
    <x v="0"/>
    <s v="Laptop"/>
    <s v="Laptop"/>
    <s v="CUST0457"/>
    <s v=" CUST0457 "/>
    <x v="3"/>
    <s v="Anita"/>
    <x v="3"/>
    <s v=" Net Banking "/>
    <n v="7"/>
    <s v="7"/>
    <n v="1395"/>
    <s v="1395"/>
    <n v="9765"/>
    <x v="0"/>
    <x v="0"/>
    <x v="4"/>
    <s v="Low"/>
    <s v="Online"/>
    <n v="9765"/>
  </r>
  <r>
    <n v="744"/>
    <d v="2024-01-31T23:00:00"/>
    <s v="2024-01-31 23:00:00"/>
    <s v=" North "/>
    <x v="2"/>
    <s v="Grocery"/>
    <x v="3"/>
    <s v="Rice 5Kg"/>
    <s v="Rice 5kg"/>
    <s v="CUST0615"/>
    <s v=" CUST0615 "/>
    <x v="0"/>
    <s v="Rahul"/>
    <x v="0"/>
    <s v=" Cash"/>
    <n v="8"/>
    <s v="8"/>
    <n v="1485"/>
    <s v="1485"/>
    <n v="11880"/>
    <x v="0"/>
    <x v="0"/>
    <x v="4"/>
    <s v="Low"/>
    <s v="Offline"/>
    <n v="11880"/>
  </r>
  <r>
    <n v="745"/>
    <d v="2024-02-01T00:00:00"/>
    <s v="2024-02-01 00:00:00"/>
    <s v="EAST"/>
    <x v="0"/>
    <s v="Grocery"/>
    <x v="3"/>
    <s v="Men T-Shirt"/>
    <s v="Men T-Shirt"/>
    <s v="CUST0735"/>
    <s v=" CUST0735 "/>
    <x v="3"/>
    <s v="Anita"/>
    <x v="2"/>
    <s v="UPI"/>
    <n v="5"/>
    <s v="5"/>
    <n v="1042"/>
    <s v="1042"/>
    <n v="5210"/>
    <x v="0"/>
    <x v="1"/>
    <x v="4"/>
    <s v="Low"/>
    <s v="Online"/>
    <n v="5210"/>
  </r>
  <r>
    <n v="746"/>
    <d v="2024-02-01T01:00:00"/>
    <s v="2024-02-01 01:00:00"/>
    <s v="south"/>
    <x v="3"/>
    <s v="Electronics"/>
    <x v="2"/>
    <s v="Men T-Shirt"/>
    <s v="Men T-Shirt"/>
    <s v="CUST0698"/>
    <s v=" CUST0698 "/>
    <x v="1"/>
    <s v="Meena"/>
    <x v="3"/>
    <s v=" Net Banking "/>
    <n v="13"/>
    <s v="13"/>
    <n v="3380"/>
    <s v="3380"/>
    <n v="43940"/>
    <x v="0"/>
    <x v="1"/>
    <x v="4"/>
    <s v="Medium"/>
    <s v="Online"/>
    <n v="43940"/>
  </r>
  <r>
    <n v="747"/>
    <d v="2024-02-01T02:00:00"/>
    <s v="2024-02-01 02:00:00"/>
    <s v="EAST"/>
    <x v="0"/>
    <s v="Grocery"/>
    <x v="3"/>
    <s v="Led Tv 42Inch"/>
    <s v="LED TV 42inch"/>
    <s v="CUST0696"/>
    <s v=" CUST0696 "/>
    <x v="4"/>
    <s v="Karthik"/>
    <x v="1"/>
    <s v="Debit card "/>
    <n v="12"/>
    <s v="12"/>
    <n v="1133"/>
    <s v="1133"/>
    <n v="13596"/>
    <x v="0"/>
    <x v="1"/>
    <x v="4"/>
    <s v="Low"/>
    <s v="Online"/>
    <n v="13596"/>
  </r>
  <r>
    <n v="748"/>
    <d v="2024-02-01T03:00:00"/>
    <s v="2024-02-01 03:00:00"/>
    <s v="EAST"/>
    <x v="0"/>
    <s v="Grocery"/>
    <x v="3"/>
    <s v="Mixer Grinder"/>
    <s v="Mixer Grinder"/>
    <s v="CUST0495"/>
    <s v=" CUST0495 "/>
    <x v="3"/>
    <s v="Anita"/>
    <x v="0"/>
    <s v=" Cash"/>
    <n v="12"/>
    <s v="12"/>
    <n v="2886"/>
    <s v="2886"/>
    <n v="34632"/>
    <x v="0"/>
    <x v="1"/>
    <x v="4"/>
    <s v="Medium"/>
    <s v="Offline"/>
    <n v="34632"/>
  </r>
  <r>
    <n v="749"/>
    <d v="2024-02-01T04:00:00"/>
    <s v="2024-02-01 04:00:00"/>
    <s v=" North "/>
    <x v="2"/>
    <s v="Electronics"/>
    <x v="2"/>
    <s v="Mixer Grinder"/>
    <s v="Mixer Grinder"/>
    <s v="CUST0674"/>
    <s v=" CUST0674 "/>
    <x v="4"/>
    <s v="Karthik"/>
    <x v="0"/>
    <s v=" Cash"/>
    <n v="1"/>
    <s v="1"/>
    <n v="2333"/>
    <s v="2333"/>
    <n v="2333"/>
    <x v="0"/>
    <x v="1"/>
    <x v="4"/>
    <s v="Low"/>
    <s v="Offline"/>
    <n v="2333"/>
  </r>
  <r>
    <n v="750"/>
    <d v="2024-02-01T05:00:00"/>
    <s v="2024-02-01 05:00:00"/>
    <s v="south"/>
    <x v="3"/>
    <s v="Electronics"/>
    <x v="2"/>
    <s v="Mixer Grinder"/>
    <s v="Mixer Grinder"/>
    <s v="CUST0247"/>
    <s v=" CUST0247 "/>
    <x v="0"/>
    <s v="Rahul"/>
    <x v="4"/>
    <s v="Credit Card"/>
    <n v="4"/>
    <s v="4"/>
    <n v="3745"/>
    <s v="3745"/>
    <n v="14980"/>
    <x v="0"/>
    <x v="1"/>
    <x v="4"/>
    <s v="Low"/>
    <s v="Online"/>
    <n v="14980"/>
  </r>
  <r>
    <n v="751"/>
    <d v="2024-02-01T06:00:00"/>
    <s v="2024-02-01 06:00:00"/>
    <s v=" west"/>
    <x v="1"/>
    <s v=" Home Appliances "/>
    <x v="1"/>
    <s v="Laptop"/>
    <s v="Laptop"/>
    <s v="CUST0543"/>
    <s v=" CUST0543 "/>
    <x v="1"/>
    <s v="Meena"/>
    <x v="3"/>
    <s v=" Net Banking "/>
    <n v="10"/>
    <s v="10"/>
    <n v="1720"/>
    <s v="1720"/>
    <n v="17200"/>
    <x v="0"/>
    <x v="1"/>
    <x v="4"/>
    <s v="Low"/>
    <s v="Online"/>
    <n v="17200"/>
  </r>
  <r>
    <n v="752"/>
    <d v="2024-02-01T07:00:00"/>
    <s v="2024-02-01 07:00:00"/>
    <s v=" North "/>
    <x v="2"/>
    <s v="Grocery"/>
    <x v="3"/>
    <s v="Led Tv 42Inch"/>
    <s v="LED TV 42inch"/>
    <s v="CUST0564"/>
    <s v=" CUST0564 "/>
    <x v="0"/>
    <s v="Rahul"/>
    <x v="1"/>
    <s v="Debit card "/>
    <n v="3"/>
    <s v="3"/>
    <n v="3635"/>
    <s v="3635"/>
    <n v="10905"/>
    <x v="0"/>
    <x v="1"/>
    <x v="4"/>
    <s v="Low"/>
    <s v="Online"/>
    <n v="10905"/>
  </r>
  <r>
    <n v="753"/>
    <d v="2024-02-01T08:00:00"/>
    <s v="2024-02-01 08:00:00"/>
    <s v="south"/>
    <x v="3"/>
    <s v="Clothing"/>
    <x v="0"/>
    <s v="Mixer Grinder"/>
    <s v="Mixer Grinder"/>
    <s v="CUST0588"/>
    <s v=" CUST0588 "/>
    <x v="1"/>
    <s v="Meena"/>
    <x v="2"/>
    <s v="UPI"/>
    <n v="10"/>
    <s v="10"/>
    <n v="3305"/>
    <s v="3305"/>
    <n v="33050"/>
    <x v="0"/>
    <x v="1"/>
    <x v="4"/>
    <s v="Medium"/>
    <s v="Online"/>
    <n v="33050"/>
  </r>
  <r>
    <n v="754"/>
    <d v="2024-02-01T09:00:00"/>
    <s v="2024-02-01 09:00:00"/>
    <s v="south"/>
    <x v="3"/>
    <s v="Electronics"/>
    <x v="2"/>
    <s v="Laptop"/>
    <s v="Laptop"/>
    <s v="CUST0439"/>
    <s v=" CUST0439 "/>
    <x v="1"/>
    <s v="Meena"/>
    <x v="4"/>
    <s v="Credit Card"/>
    <n v="12"/>
    <s v="12"/>
    <n v="2982"/>
    <s v="2982"/>
    <n v="35784"/>
    <x v="0"/>
    <x v="1"/>
    <x v="4"/>
    <s v="Medium"/>
    <s v="Online"/>
    <n v="35784"/>
  </r>
  <r>
    <n v="755"/>
    <d v="2024-02-01T10:00:00"/>
    <s v="2024-02-01 10:00:00"/>
    <s v="south"/>
    <x v="3"/>
    <s v=" Home Appliances "/>
    <x v="1"/>
    <s v="Men T-Shirt"/>
    <s v="Men T-Shirt"/>
    <s v="CUST0278"/>
    <s v=" CUST0278 "/>
    <x v="4"/>
    <s v="Karthik"/>
    <x v="1"/>
    <s v="Debit card "/>
    <n v="5"/>
    <s v="5"/>
    <n v="270"/>
    <s v="270"/>
    <n v="1350"/>
    <x v="0"/>
    <x v="1"/>
    <x v="4"/>
    <s v="Low"/>
    <s v="Online"/>
    <n v="1350"/>
  </r>
  <r>
    <n v="756"/>
    <d v="2024-02-01T11:00:00"/>
    <s v="2024-02-01 11:00:00"/>
    <s v="south"/>
    <x v="3"/>
    <s v="Clothing"/>
    <x v="0"/>
    <s v="Rice 5Kg"/>
    <s v="Rice 5kg"/>
    <s v="CUST0552"/>
    <s v=" CUST0552 "/>
    <x v="0"/>
    <s v="Rahul"/>
    <x v="3"/>
    <s v=" Net Banking "/>
    <n v="10"/>
    <s v="10"/>
    <n v="1653"/>
    <s v="1653"/>
    <n v="16530"/>
    <x v="0"/>
    <x v="1"/>
    <x v="4"/>
    <s v="Low"/>
    <s v="Online"/>
    <n v="16530"/>
  </r>
  <r>
    <n v="757"/>
    <d v="2024-02-01T12:00:00"/>
    <s v="2024-02-01 12:00:00"/>
    <s v="south"/>
    <x v="3"/>
    <s v="Grocery"/>
    <x v="3"/>
    <s v="Laptop"/>
    <s v="Laptop"/>
    <s v="CUST0613"/>
    <s v=" CUST0613 "/>
    <x v="0"/>
    <s v="Rahul"/>
    <x v="1"/>
    <s v="Debit card "/>
    <n v="13"/>
    <s v="13"/>
    <n v="3997"/>
    <s v="3997"/>
    <n v="51961"/>
    <x v="0"/>
    <x v="1"/>
    <x v="4"/>
    <s v="High"/>
    <s v="Online"/>
    <n v="51961"/>
  </r>
  <r>
    <n v="758"/>
    <d v="2024-02-01T13:00:00"/>
    <s v="2024-02-01 13:00:00"/>
    <s v="EAST"/>
    <x v="0"/>
    <s v=" Home Appliances "/>
    <x v="1"/>
    <s v="Men T-Shirt"/>
    <s v="Men T-Shirt"/>
    <s v="CUST0111"/>
    <s v=" CUST0111 "/>
    <x v="3"/>
    <s v="Anita"/>
    <x v="0"/>
    <s v=" Cash"/>
    <n v="10"/>
    <s v="10"/>
    <n v="1695"/>
    <s v="1695"/>
    <n v="16950"/>
    <x v="0"/>
    <x v="1"/>
    <x v="4"/>
    <s v="Low"/>
    <s v="Offline"/>
    <n v="16950"/>
  </r>
  <r>
    <n v="759"/>
    <d v="2024-02-01T14:00:00"/>
    <s v="2024-02-01 14:00:00"/>
    <s v=" North "/>
    <x v="2"/>
    <s v="Electronics"/>
    <x v="2"/>
    <s v="Men T-Shirt"/>
    <s v="Men T-Shirt"/>
    <s v="CUST0385"/>
    <s v=" CUST0385 "/>
    <x v="0"/>
    <s v="Rahul"/>
    <x v="0"/>
    <s v=" Cash"/>
    <n v="13"/>
    <s v="13"/>
    <n v="1723"/>
    <s v="1723"/>
    <n v="22399"/>
    <x v="0"/>
    <x v="1"/>
    <x v="4"/>
    <s v="Medium"/>
    <s v="Offline"/>
    <n v="22399"/>
  </r>
  <r>
    <n v="760"/>
    <d v="2024-02-01T15:00:00"/>
    <s v="2024-02-01 15:00:00"/>
    <s v="EAST"/>
    <x v="0"/>
    <s v="Clothing"/>
    <x v="0"/>
    <s v="Rice 5Kg"/>
    <s v="Rice 5kg"/>
    <s v="CUST0761"/>
    <s v=" CUST0761 "/>
    <x v="3"/>
    <s v="Anita"/>
    <x v="4"/>
    <s v="Credit Card"/>
    <n v="6"/>
    <s v="6"/>
    <n v="4222"/>
    <s v="4222"/>
    <n v="25332"/>
    <x v="0"/>
    <x v="1"/>
    <x v="4"/>
    <s v="Medium"/>
    <s v="Online"/>
    <n v="25332"/>
  </r>
  <r>
    <n v="761"/>
    <d v="2024-02-01T16:00:00"/>
    <s v="2024-02-01 16:00:00"/>
    <s v=" west"/>
    <x v="1"/>
    <s v="Electronics"/>
    <x v="2"/>
    <s v="Men T-Shirt"/>
    <s v="Men T-Shirt"/>
    <s v="CUST0191"/>
    <s v=" CUST0191 "/>
    <x v="2"/>
    <s v="Suresh"/>
    <x v="3"/>
    <s v=" Net Banking "/>
    <n v="2"/>
    <s v="2"/>
    <n v="1191"/>
    <s v="1191"/>
    <n v="2382"/>
    <x v="0"/>
    <x v="1"/>
    <x v="4"/>
    <s v="Low"/>
    <s v="Online"/>
    <n v="2382"/>
  </r>
  <r>
    <n v="762"/>
    <d v="2024-02-01T17:00:00"/>
    <s v="2024-02-01 17:00:00"/>
    <s v="south"/>
    <x v="3"/>
    <s v="Grocery"/>
    <x v="3"/>
    <s v="Led Tv 42Inch"/>
    <s v="LED TV 42inch"/>
    <s v="CUST0490"/>
    <s v=" CUST0490 "/>
    <x v="2"/>
    <s v="Suresh"/>
    <x v="3"/>
    <s v=" Net Banking "/>
    <n v="7"/>
    <s v="7"/>
    <n v="2937"/>
    <s v="2937"/>
    <n v="20559"/>
    <x v="0"/>
    <x v="1"/>
    <x v="4"/>
    <s v="Medium"/>
    <s v="Online"/>
    <n v="20559"/>
  </r>
  <r>
    <n v="763"/>
    <d v="2024-02-01T18:00:00"/>
    <s v="2024-02-01 18:00:00"/>
    <s v=" North "/>
    <x v="2"/>
    <s v="Clothing"/>
    <x v="0"/>
    <s v="Rice 5Kg"/>
    <s v="Rice 5kg"/>
    <s v="CUST0694"/>
    <s v=" CUST0694 "/>
    <x v="2"/>
    <s v="Suresh"/>
    <x v="1"/>
    <s v="Debit card "/>
    <n v="13"/>
    <s v="13"/>
    <n v="507"/>
    <s v="507"/>
    <n v="6591"/>
    <x v="0"/>
    <x v="1"/>
    <x v="4"/>
    <s v="Low"/>
    <s v="Online"/>
    <n v="6591"/>
  </r>
  <r>
    <n v="764"/>
    <d v="2024-02-01T19:00:00"/>
    <s v="2024-02-01 19:00:00"/>
    <s v="south"/>
    <x v="3"/>
    <s v="Grocery"/>
    <x v="3"/>
    <s v="Men T-Shirt"/>
    <s v="Men T-Shirt"/>
    <s v="CUST0426"/>
    <s v=" CUST0426 "/>
    <x v="0"/>
    <s v="Rahul"/>
    <x v="4"/>
    <s v="Credit Card"/>
    <n v="3"/>
    <s v="3"/>
    <n v="4269"/>
    <s v="4269"/>
    <n v="12807"/>
    <x v="0"/>
    <x v="1"/>
    <x v="4"/>
    <s v="Low"/>
    <s v="Online"/>
    <n v="12807"/>
  </r>
  <r>
    <n v="765"/>
    <d v="2024-02-01T20:00:00"/>
    <s v="2024-02-01 20:00:00"/>
    <s v=" North "/>
    <x v="2"/>
    <s v="Grocery"/>
    <x v="3"/>
    <s v="Washing Machine"/>
    <s v="Washing Machine"/>
    <s v="CUST0405"/>
    <s v=" CUST0405 "/>
    <x v="0"/>
    <s v="Rahul"/>
    <x v="3"/>
    <s v=" Net Banking "/>
    <n v="1"/>
    <s v="1"/>
    <n v="779"/>
    <s v="779"/>
    <n v="779"/>
    <x v="0"/>
    <x v="1"/>
    <x v="4"/>
    <s v="Low"/>
    <s v="Online"/>
    <n v="779"/>
  </r>
  <r>
    <n v="766"/>
    <d v="2024-02-01T21:00:00"/>
    <s v="2024-02-01 21:00:00"/>
    <s v="EAST"/>
    <x v="0"/>
    <s v=" Home Appliances "/>
    <x v="1"/>
    <s v="Laptop"/>
    <s v="Laptop"/>
    <s v="CUST0335"/>
    <s v=" CUST0335 "/>
    <x v="3"/>
    <s v="Anita"/>
    <x v="0"/>
    <s v=" Cash"/>
    <n v="10"/>
    <s v="10"/>
    <n v="336"/>
    <s v="336"/>
    <n v="3360"/>
    <x v="0"/>
    <x v="1"/>
    <x v="4"/>
    <s v="Low"/>
    <s v="Offline"/>
    <n v="3360"/>
  </r>
  <r>
    <n v="767"/>
    <d v="2024-02-01T22:00:00"/>
    <s v="2024-02-01 22:00:00"/>
    <s v=" North "/>
    <x v="2"/>
    <s v="Electronics"/>
    <x v="2"/>
    <s v="Men T-Shirt"/>
    <s v="Men T-Shirt"/>
    <s v="CUST0209"/>
    <s v=" CUST0209 "/>
    <x v="1"/>
    <s v="Meena"/>
    <x v="1"/>
    <s v="Debit card "/>
    <n v="3"/>
    <s v="3"/>
    <n v="2874"/>
    <s v="2874"/>
    <n v="8622"/>
    <x v="0"/>
    <x v="1"/>
    <x v="4"/>
    <s v="Low"/>
    <s v="Online"/>
    <n v="8622"/>
  </r>
  <r>
    <n v="768"/>
    <d v="2024-02-01T23:00:00"/>
    <s v="2024-02-01 23:00:00"/>
    <s v=" west"/>
    <x v="1"/>
    <s v="Clothing"/>
    <x v="0"/>
    <s v="Led Tv 42Inch"/>
    <s v="LED TV 42inch"/>
    <s v="CUST0022"/>
    <s v=" CUST0022 "/>
    <x v="3"/>
    <s v="Anita"/>
    <x v="2"/>
    <s v="UPI"/>
    <n v="9"/>
    <s v="9"/>
    <n v="3537"/>
    <s v="3537"/>
    <n v="31833"/>
    <x v="0"/>
    <x v="1"/>
    <x v="4"/>
    <s v="Medium"/>
    <s v="Online"/>
    <n v="31833"/>
  </r>
  <r>
    <n v="769"/>
    <d v="2024-02-02T00:00:00"/>
    <s v="2024-02-02 00:00:00"/>
    <s v=" west"/>
    <x v="1"/>
    <s v="Grocery"/>
    <x v="3"/>
    <s v="Mixer Grinder"/>
    <s v="Mixer Grinder"/>
    <s v="CUST0678"/>
    <s v=" CUST0678 "/>
    <x v="2"/>
    <s v="Suresh"/>
    <x v="0"/>
    <s v=" Cash"/>
    <n v="10"/>
    <s v="10"/>
    <n v="3457"/>
    <s v="3457"/>
    <n v="34570"/>
    <x v="0"/>
    <x v="1"/>
    <x v="4"/>
    <s v="Medium"/>
    <s v="Offline"/>
    <n v="34570"/>
  </r>
  <r>
    <n v="770"/>
    <d v="2024-02-02T01:00:00"/>
    <s v="2024-02-02 01:00:00"/>
    <s v=" North "/>
    <x v="2"/>
    <s v="Grocery"/>
    <x v="3"/>
    <s v="Men T-Shirt"/>
    <s v="Men T-Shirt"/>
    <s v="CUST0611"/>
    <s v=" CUST0611 "/>
    <x v="3"/>
    <s v="Anita"/>
    <x v="4"/>
    <s v="Credit Card"/>
    <n v="11"/>
    <s v="11"/>
    <n v="2977"/>
    <s v="2977"/>
    <n v="32747"/>
    <x v="0"/>
    <x v="1"/>
    <x v="4"/>
    <s v="Medium"/>
    <s v="Online"/>
    <n v="32747"/>
  </r>
  <r>
    <n v="771"/>
    <d v="2024-02-02T02:00:00"/>
    <s v="2024-02-02 02:00:00"/>
    <s v=" North "/>
    <x v="2"/>
    <s v="Clothing"/>
    <x v="0"/>
    <s v="Mixer Grinder"/>
    <s v="Mixer Grinder"/>
    <s v="CUST0208"/>
    <s v=" CUST0208 "/>
    <x v="1"/>
    <s v="Meena"/>
    <x v="3"/>
    <s v=" Net Banking "/>
    <n v="11"/>
    <s v="11"/>
    <n v="2523"/>
    <s v="2523"/>
    <n v="27753"/>
    <x v="0"/>
    <x v="1"/>
    <x v="4"/>
    <s v="Medium"/>
    <s v="Online"/>
    <n v="27753"/>
  </r>
  <r>
    <n v="772"/>
    <d v="2024-02-02T03:00:00"/>
    <s v="2024-02-02 03:00:00"/>
    <s v=" North "/>
    <x v="2"/>
    <s v="Grocery"/>
    <x v="3"/>
    <s v="Washing Machine"/>
    <s v="Washing Machine"/>
    <s v="CUST0008"/>
    <s v=" CUST0008 "/>
    <x v="0"/>
    <s v="Rahul"/>
    <x v="0"/>
    <s v=" Cash"/>
    <n v="6"/>
    <s v="6"/>
    <n v="4814"/>
    <s v="4814"/>
    <n v="28884"/>
    <x v="0"/>
    <x v="1"/>
    <x v="4"/>
    <s v="Medium"/>
    <s v="Offline"/>
    <n v="28884"/>
  </r>
  <r>
    <n v="773"/>
    <d v="2024-02-02T04:00:00"/>
    <s v="2024-02-02 04:00:00"/>
    <s v=" North "/>
    <x v="2"/>
    <s v=" Home Appliances "/>
    <x v="1"/>
    <s v="Men T-Shirt"/>
    <s v="Men T-Shirt"/>
    <s v="CUST0702"/>
    <s v=" CUST0702 "/>
    <x v="3"/>
    <s v="Anita"/>
    <x v="2"/>
    <s v="UPI"/>
    <n v="11"/>
    <s v="11"/>
    <n v="3247"/>
    <s v="3247"/>
    <n v="35717"/>
    <x v="0"/>
    <x v="1"/>
    <x v="4"/>
    <s v="Medium"/>
    <s v="Online"/>
    <n v="35717"/>
  </r>
  <r>
    <n v="774"/>
    <d v="2024-02-02T05:00:00"/>
    <s v="2024-02-02 05:00:00"/>
    <s v=" west"/>
    <x v="1"/>
    <s v=" Home Appliances "/>
    <x v="1"/>
    <s v="Rice 5Kg"/>
    <s v="Rice 5kg"/>
    <s v="CUST0687"/>
    <s v=" CUST0687 "/>
    <x v="2"/>
    <s v="Suresh"/>
    <x v="2"/>
    <s v="UPI"/>
    <n v="6"/>
    <s v="6"/>
    <n v="1132"/>
    <s v="1132"/>
    <n v="6792"/>
    <x v="0"/>
    <x v="1"/>
    <x v="4"/>
    <s v="Low"/>
    <s v="Online"/>
    <n v="6792"/>
  </r>
  <r>
    <n v="775"/>
    <d v="2024-02-02T06:00:00"/>
    <s v="2024-02-02 06:00:00"/>
    <s v="south"/>
    <x v="3"/>
    <s v=" Home Appliances "/>
    <x v="1"/>
    <s v="Mixer Grinder"/>
    <s v="Mixer Grinder"/>
    <s v="CUST0785"/>
    <s v=" CUST0785 "/>
    <x v="2"/>
    <s v="Suresh"/>
    <x v="4"/>
    <s v="Credit Card"/>
    <n v="4"/>
    <s v="4"/>
    <n v="2954"/>
    <s v="2954"/>
    <n v="11816"/>
    <x v="0"/>
    <x v="1"/>
    <x v="4"/>
    <s v="Low"/>
    <s v="Online"/>
    <n v="11816"/>
  </r>
  <r>
    <n v="776"/>
    <d v="2024-02-02T07:00:00"/>
    <s v="2024-02-02 07:00:00"/>
    <s v=" North "/>
    <x v="2"/>
    <s v=" Home Appliances "/>
    <x v="1"/>
    <s v="Washing Machine"/>
    <s v="Washing Machine"/>
    <s v="CUST0529"/>
    <s v=" CUST0529 "/>
    <x v="0"/>
    <s v="Rahul"/>
    <x v="0"/>
    <s v=" Cash"/>
    <n v="8"/>
    <s v="8"/>
    <n v="3040"/>
    <s v="3040"/>
    <n v="24320"/>
    <x v="0"/>
    <x v="1"/>
    <x v="4"/>
    <s v="Medium"/>
    <s v="Offline"/>
    <n v="24320"/>
  </r>
  <r>
    <n v="777"/>
    <d v="2024-02-02T08:00:00"/>
    <s v="2024-02-02 08:00:00"/>
    <s v=" North "/>
    <x v="2"/>
    <s v="Grocery"/>
    <x v="3"/>
    <s v="Rice 5Kg"/>
    <s v="Rice 5kg"/>
    <s v="CUST0602"/>
    <s v=" CUST0602 "/>
    <x v="3"/>
    <s v="Anita"/>
    <x v="1"/>
    <s v="Debit card "/>
    <n v="5"/>
    <s v="5"/>
    <n v="3801"/>
    <s v="3801"/>
    <n v="19005"/>
    <x v="0"/>
    <x v="1"/>
    <x v="4"/>
    <s v="Low"/>
    <s v="Online"/>
    <n v="19005"/>
  </r>
  <r>
    <n v="778"/>
    <d v="2024-02-02T09:00:00"/>
    <s v="2024-02-02 09:00:00"/>
    <s v=" west"/>
    <x v="1"/>
    <s v="Clothing"/>
    <x v="0"/>
    <s v="Rice 5Kg"/>
    <s v="Rice 5kg"/>
    <s v="CUST0653"/>
    <s v=" CUST0653 "/>
    <x v="1"/>
    <s v="Meena"/>
    <x v="0"/>
    <s v=" Cash"/>
    <n v="7"/>
    <s v="7"/>
    <n v="4170"/>
    <s v="4170"/>
    <n v="29190"/>
    <x v="0"/>
    <x v="1"/>
    <x v="4"/>
    <s v="Medium"/>
    <s v="Offline"/>
    <n v="29190"/>
  </r>
  <r>
    <n v="779"/>
    <d v="2024-02-02T10:00:00"/>
    <s v="2024-02-02 10:00:00"/>
    <s v=" west"/>
    <x v="1"/>
    <s v="Clothing"/>
    <x v="0"/>
    <s v="Rice 5Kg"/>
    <s v="Rice 5kg"/>
    <s v="CUST0657"/>
    <s v=" CUST0657 "/>
    <x v="0"/>
    <s v="Rahul"/>
    <x v="2"/>
    <s v="UPI"/>
    <n v="9"/>
    <s v="9"/>
    <n v="3232"/>
    <s v="3232"/>
    <n v="29088"/>
    <x v="0"/>
    <x v="1"/>
    <x v="4"/>
    <s v="Medium"/>
    <s v="Online"/>
    <n v="29088"/>
  </r>
  <r>
    <n v="780"/>
    <d v="2024-02-02T11:00:00"/>
    <s v="2024-02-02 11:00:00"/>
    <s v="EAST"/>
    <x v="0"/>
    <s v="Clothing"/>
    <x v="0"/>
    <s v="Rice 5Kg"/>
    <s v="Rice 5kg"/>
    <s v="CUST0166"/>
    <s v=" CUST0166 "/>
    <x v="3"/>
    <s v="Anita"/>
    <x v="4"/>
    <s v="Credit Card"/>
    <n v="13"/>
    <s v="13"/>
    <n v="3560"/>
    <s v="3560"/>
    <n v="46280"/>
    <x v="0"/>
    <x v="1"/>
    <x v="4"/>
    <s v="Medium"/>
    <s v="Online"/>
    <n v="46280"/>
  </r>
  <r>
    <n v="781"/>
    <d v="2024-02-02T12:00:00"/>
    <s v="2024-02-02 12:00:00"/>
    <s v=" North "/>
    <x v="2"/>
    <s v="Clothing"/>
    <x v="0"/>
    <s v="Men T-Shirt"/>
    <s v="Men T-Shirt"/>
    <s v="CUST0496"/>
    <s v=" CUST0496 "/>
    <x v="4"/>
    <s v="Karthik"/>
    <x v="4"/>
    <s v="Credit Card"/>
    <n v="13"/>
    <s v="13"/>
    <n v="2023"/>
    <s v="2023"/>
    <n v="26299"/>
    <x v="0"/>
    <x v="1"/>
    <x v="4"/>
    <s v="Medium"/>
    <s v="Online"/>
    <n v="26299"/>
  </r>
  <r>
    <n v="782"/>
    <d v="2024-02-02T13:00:00"/>
    <s v="2024-02-02 13:00:00"/>
    <s v="EAST"/>
    <x v="0"/>
    <s v="Electronics"/>
    <x v="2"/>
    <s v="Laptop"/>
    <s v="Laptop"/>
    <s v="CUST0590"/>
    <s v=" CUST0590 "/>
    <x v="2"/>
    <s v="Suresh"/>
    <x v="1"/>
    <s v="Debit card "/>
    <n v="14"/>
    <s v="14"/>
    <n v="733"/>
    <s v="733"/>
    <n v="10262"/>
    <x v="0"/>
    <x v="1"/>
    <x v="4"/>
    <s v="Low"/>
    <s v="Online"/>
    <n v="10262"/>
  </r>
  <r>
    <n v="783"/>
    <d v="2024-02-02T14:00:00"/>
    <s v="2024-02-02 14:00:00"/>
    <s v=" west"/>
    <x v="1"/>
    <s v="Clothing"/>
    <x v="0"/>
    <s v="Men T-Shirt"/>
    <s v="Men T-Shirt"/>
    <s v="CUST0429"/>
    <s v=" CUST0429 "/>
    <x v="1"/>
    <s v="Meena"/>
    <x v="4"/>
    <s v="Credit Card"/>
    <n v="5"/>
    <s v="5"/>
    <n v="4203"/>
    <s v="4203"/>
    <n v="21015"/>
    <x v="0"/>
    <x v="1"/>
    <x v="4"/>
    <s v="Medium"/>
    <s v="Online"/>
    <n v="21015"/>
  </r>
  <r>
    <n v="784"/>
    <d v="2024-02-02T15:00:00"/>
    <s v="2024-02-02 15:00:00"/>
    <s v=" west"/>
    <x v="1"/>
    <s v="Electronics"/>
    <x v="2"/>
    <s v="Men T-Shirt"/>
    <s v="Men T-Shirt"/>
    <s v="CUST0774"/>
    <s v=" CUST0774 "/>
    <x v="1"/>
    <s v="Meena"/>
    <x v="4"/>
    <s v="Credit Card"/>
    <n v="11"/>
    <s v="11"/>
    <n v="1492"/>
    <s v="1492"/>
    <n v="16412"/>
    <x v="0"/>
    <x v="1"/>
    <x v="4"/>
    <s v="Low"/>
    <s v="Online"/>
    <n v="16412"/>
  </r>
  <r>
    <n v="785"/>
    <d v="2024-02-02T16:00:00"/>
    <s v="2024-02-02 16:00:00"/>
    <s v="south"/>
    <x v="3"/>
    <s v="Electronics"/>
    <x v="2"/>
    <s v="Washing Machine"/>
    <s v="Washing Machine"/>
    <s v="CUST0163"/>
    <s v=" CUST0163 "/>
    <x v="1"/>
    <s v="Meena"/>
    <x v="4"/>
    <s v="Credit Card"/>
    <n v="14"/>
    <s v="14"/>
    <n v="3546"/>
    <s v="3546"/>
    <n v="49644"/>
    <x v="0"/>
    <x v="1"/>
    <x v="4"/>
    <s v="Medium"/>
    <s v="Online"/>
    <n v="49644"/>
  </r>
  <r>
    <n v="786"/>
    <d v="2024-02-02T17:00:00"/>
    <s v="2024-02-02 17:00:00"/>
    <s v=" North "/>
    <x v="2"/>
    <s v=" Home Appliances "/>
    <x v="1"/>
    <s v="Washing Machine"/>
    <s v="Washing Machine"/>
    <s v="CUST0366"/>
    <s v=" CUST0366 "/>
    <x v="2"/>
    <s v="Suresh"/>
    <x v="4"/>
    <s v="Credit Card"/>
    <n v="5"/>
    <s v="5"/>
    <n v="3198"/>
    <s v="3198"/>
    <n v="15990"/>
    <x v="0"/>
    <x v="1"/>
    <x v="4"/>
    <s v="Low"/>
    <s v="Online"/>
    <n v="15990"/>
  </r>
  <r>
    <n v="787"/>
    <d v="2024-02-02T18:00:00"/>
    <s v="2024-02-02 18:00:00"/>
    <s v="EAST"/>
    <x v="0"/>
    <s v="Electronics"/>
    <x v="2"/>
    <s v="Laptop"/>
    <s v="Laptop"/>
    <s v="CUST0526"/>
    <s v=" CUST0526 "/>
    <x v="3"/>
    <s v="Anita"/>
    <x v="4"/>
    <s v="Credit Card"/>
    <n v="14"/>
    <s v="14"/>
    <n v="161"/>
    <s v="161"/>
    <n v="2254"/>
    <x v="0"/>
    <x v="1"/>
    <x v="4"/>
    <s v="Low"/>
    <s v="Online"/>
    <n v="2254"/>
  </r>
  <r>
    <n v="788"/>
    <d v="2024-02-02T19:00:00"/>
    <s v="2024-02-02 19:00:00"/>
    <s v=" west"/>
    <x v="1"/>
    <s v="Grocery"/>
    <x v="3"/>
    <s v="Washing Machine"/>
    <s v="Washing Machine"/>
    <s v="CUST0239"/>
    <s v=" CUST0239 "/>
    <x v="0"/>
    <s v="Rahul"/>
    <x v="2"/>
    <s v="UPI"/>
    <n v="4"/>
    <s v="4"/>
    <n v="2569"/>
    <s v="2569"/>
    <n v="10276"/>
    <x v="0"/>
    <x v="1"/>
    <x v="4"/>
    <s v="Low"/>
    <s v="Online"/>
    <n v="10276"/>
  </r>
  <r>
    <n v="789"/>
    <d v="2024-02-02T20:00:00"/>
    <s v="2024-02-02 20:00:00"/>
    <s v=" west"/>
    <x v="1"/>
    <s v="Electronics"/>
    <x v="2"/>
    <s v="Led Tv 42Inch"/>
    <s v="LED TV 42inch"/>
    <s v="CUST0072"/>
    <s v=" CUST0072 "/>
    <x v="3"/>
    <s v="Anita"/>
    <x v="0"/>
    <s v=" Cash"/>
    <n v="6"/>
    <s v="6"/>
    <n v="1917"/>
    <s v="1917"/>
    <n v="11502"/>
    <x v="0"/>
    <x v="1"/>
    <x v="4"/>
    <s v="Low"/>
    <s v="Offline"/>
    <n v="11502"/>
  </r>
  <r>
    <n v="790"/>
    <d v="2024-02-02T21:00:00"/>
    <s v="2024-02-02 21:00:00"/>
    <s v="EAST"/>
    <x v="0"/>
    <s v=" Home Appliances "/>
    <x v="1"/>
    <s v="Laptop"/>
    <s v="Laptop"/>
    <s v="CUST0445"/>
    <s v=" CUST0445 "/>
    <x v="0"/>
    <s v="Rahul"/>
    <x v="3"/>
    <s v=" Net Banking "/>
    <n v="2"/>
    <s v="2"/>
    <n v="732"/>
    <s v="732"/>
    <n v="1464"/>
    <x v="0"/>
    <x v="1"/>
    <x v="4"/>
    <s v="Low"/>
    <s v="Online"/>
    <n v="1464"/>
  </r>
  <r>
    <n v="791"/>
    <d v="2024-02-02T22:00:00"/>
    <s v="2024-02-02 22:00:00"/>
    <s v="south"/>
    <x v="3"/>
    <s v="Electronics"/>
    <x v="2"/>
    <s v="Washing Machine"/>
    <s v="Washing Machine"/>
    <s v="CUST0655"/>
    <s v=" CUST0655 "/>
    <x v="1"/>
    <s v="Meena"/>
    <x v="4"/>
    <s v="Credit Card"/>
    <n v="3"/>
    <s v="3"/>
    <n v="4987"/>
    <s v="4987"/>
    <n v="14961"/>
    <x v="0"/>
    <x v="1"/>
    <x v="4"/>
    <s v="Low"/>
    <s v="Online"/>
    <n v="14961"/>
  </r>
  <r>
    <n v="792"/>
    <d v="2024-02-02T23:00:00"/>
    <s v="2024-02-02 23:00:00"/>
    <s v=" west"/>
    <x v="1"/>
    <s v="Grocery"/>
    <x v="3"/>
    <s v="Laptop"/>
    <s v="Laptop"/>
    <s v="CUST0509"/>
    <s v=" CUST0509 "/>
    <x v="3"/>
    <s v="Anita"/>
    <x v="3"/>
    <s v=" Net Banking "/>
    <n v="1"/>
    <s v="1"/>
    <n v="2698"/>
    <s v="2698"/>
    <n v="2698"/>
    <x v="0"/>
    <x v="1"/>
    <x v="4"/>
    <s v="Low"/>
    <s v="Online"/>
    <n v="2698"/>
  </r>
  <r>
    <n v="793"/>
    <d v="2024-02-03T00:00:00"/>
    <s v="2024-02-03 00:00:00"/>
    <s v=" North "/>
    <x v="2"/>
    <s v="Grocery"/>
    <x v="3"/>
    <s v="Men T-Shirt"/>
    <s v="Men T-Shirt"/>
    <s v="CUST0795"/>
    <s v=" CUST0795 "/>
    <x v="1"/>
    <s v="Meena"/>
    <x v="3"/>
    <s v=" Net Banking "/>
    <n v="2"/>
    <s v="2"/>
    <n v="3551"/>
    <s v="3551"/>
    <n v="7102"/>
    <x v="0"/>
    <x v="1"/>
    <x v="4"/>
    <s v="Low"/>
    <s v="Online"/>
    <n v="7102"/>
  </r>
  <r>
    <n v="794"/>
    <d v="2024-02-03T01:00:00"/>
    <s v="2024-02-03 01:00:00"/>
    <s v=" west"/>
    <x v="1"/>
    <s v="Grocery"/>
    <x v="3"/>
    <s v="Men T-Shirt"/>
    <s v="Men T-Shirt"/>
    <s v="CUST0269"/>
    <s v=" CUST0269 "/>
    <x v="4"/>
    <s v="Karthik"/>
    <x v="2"/>
    <s v="UPI"/>
    <n v="2"/>
    <s v="2"/>
    <n v="1400"/>
    <s v="1400"/>
    <n v="2800"/>
    <x v="0"/>
    <x v="1"/>
    <x v="4"/>
    <s v="Low"/>
    <s v="Online"/>
    <n v="2800"/>
  </r>
  <r>
    <n v="795"/>
    <d v="2024-02-03T02:00:00"/>
    <s v="2024-02-03 02:00:00"/>
    <s v=" North "/>
    <x v="2"/>
    <s v=" Home Appliances "/>
    <x v="1"/>
    <s v="Laptop"/>
    <s v="Laptop"/>
    <s v="CUST0753"/>
    <s v=" CUST0753 "/>
    <x v="1"/>
    <s v="Meena"/>
    <x v="4"/>
    <s v="Credit Card"/>
    <n v="8"/>
    <s v="8"/>
    <n v="2753"/>
    <s v="2753"/>
    <n v="22024"/>
    <x v="0"/>
    <x v="1"/>
    <x v="4"/>
    <s v="Medium"/>
    <s v="Online"/>
    <n v="22024"/>
  </r>
  <r>
    <n v="796"/>
    <d v="2024-02-03T03:00:00"/>
    <s v="2024-02-03 03:00:00"/>
    <s v="EAST"/>
    <x v="0"/>
    <s v=" Home Appliances "/>
    <x v="1"/>
    <s v="Led Tv 42Inch"/>
    <s v="LED TV 42inch"/>
    <s v="CUST0415"/>
    <s v=" CUST0415 "/>
    <x v="1"/>
    <s v="Meena"/>
    <x v="3"/>
    <s v=" Net Banking "/>
    <n v="8"/>
    <s v="8"/>
    <n v="1554"/>
    <s v="1554"/>
    <n v="12432"/>
    <x v="0"/>
    <x v="1"/>
    <x v="4"/>
    <s v="Low"/>
    <s v="Online"/>
    <n v="12432"/>
  </r>
  <r>
    <n v="797"/>
    <d v="2024-02-03T04:00:00"/>
    <s v="2024-02-03 04:00:00"/>
    <s v=" North "/>
    <x v="2"/>
    <s v="Clothing"/>
    <x v="0"/>
    <s v="Led Tv 42Inch"/>
    <s v="LED TV 42inch"/>
    <s v="CUST0245"/>
    <s v=" CUST0245 "/>
    <x v="0"/>
    <s v="Rahul"/>
    <x v="4"/>
    <s v="Credit Card"/>
    <n v="2"/>
    <s v="2"/>
    <n v="1238"/>
    <s v="1238"/>
    <n v="2476"/>
    <x v="0"/>
    <x v="1"/>
    <x v="4"/>
    <s v="Low"/>
    <s v="Online"/>
    <n v="2476"/>
  </r>
  <r>
    <n v="798"/>
    <d v="2024-02-03T05:00:00"/>
    <s v="2024-02-03 05:00:00"/>
    <s v="EAST"/>
    <x v="0"/>
    <s v=" Home Appliances "/>
    <x v="1"/>
    <s v="Laptop"/>
    <s v="Laptop"/>
    <s v="CUST0675"/>
    <s v=" CUST0675 "/>
    <x v="4"/>
    <s v="Karthik"/>
    <x v="1"/>
    <s v="Debit card "/>
    <n v="13"/>
    <s v="13"/>
    <n v="3292"/>
    <s v="3292"/>
    <n v="42796"/>
    <x v="0"/>
    <x v="1"/>
    <x v="4"/>
    <s v="Medium"/>
    <s v="Online"/>
    <n v="42796"/>
  </r>
  <r>
    <n v="799"/>
    <d v="2024-02-03T06:00:00"/>
    <s v="2024-02-03 06:00:00"/>
    <s v=" North "/>
    <x v="2"/>
    <s v="Grocery"/>
    <x v="3"/>
    <s v="Washing Machine"/>
    <s v="Washing Machine"/>
    <s v="CUST0060"/>
    <s v=" CUST0060 "/>
    <x v="1"/>
    <s v="Meena"/>
    <x v="1"/>
    <s v="Debit card "/>
    <n v="14"/>
    <s v="14"/>
    <n v="4720"/>
    <s v="4720"/>
    <n v="66080"/>
    <x v="0"/>
    <x v="1"/>
    <x v="4"/>
    <s v="High"/>
    <s v="Online"/>
    <n v="66080"/>
  </r>
  <r>
    <n v="800"/>
    <d v="2024-02-03T07:00:00"/>
    <s v="2024-02-03 07:00:00"/>
    <s v="EAST"/>
    <x v="0"/>
    <s v="Grocery"/>
    <x v="3"/>
    <s v="Mixer Grinder"/>
    <s v="Mixer Grinder"/>
    <s v="CUST0006"/>
    <s v=" CUST0006 "/>
    <x v="1"/>
    <s v="Meena"/>
    <x v="1"/>
    <s v="Debit card "/>
    <n v="6"/>
    <s v="6"/>
    <n v="2310"/>
    <s v="2310"/>
    <n v="13860"/>
    <x v="0"/>
    <x v="1"/>
    <x v="4"/>
    <s v="Low"/>
    <s v="Online"/>
    <n v="13860"/>
  </r>
  <r>
    <n v="801"/>
    <d v="2024-02-03T08:00:00"/>
    <s v="2024-02-03 08:00:00"/>
    <s v=" North "/>
    <x v="2"/>
    <s v=" Home Appliances "/>
    <x v="1"/>
    <s v="Led Tv 42Inch"/>
    <s v="LED TV 42inch"/>
    <s v="CUST0709"/>
    <s v=" CUST0709 "/>
    <x v="4"/>
    <s v="Karthik"/>
    <x v="3"/>
    <s v=" Net Banking "/>
    <n v="5"/>
    <s v="5"/>
    <n v="4982"/>
    <s v="4982"/>
    <n v="24910"/>
    <x v="0"/>
    <x v="1"/>
    <x v="4"/>
    <s v="Medium"/>
    <s v="Online"/>
    <n v="24910"/>
  </r>
  <r>
    <n v="802"/>
    <d v="2024-02-03T09:00:00"/>
    <s v="2024-02-03 09:00:00"/>
    <s v="south"/>
    <x v="3"/>
    <s v="Electronics"/>
    <x v="2"/>
    <s v="Rice 5Kg"/>
    <s v="Rice 5kg"/>
    <s v="CUST0570"/>
    <s v=" CUST0570 "/>
    <x v="4"/>
    <s v="Karthik"/>
    <x v="1"/>
    <s v="Debit card "/>
    <n v="3"/>
    <s v="3"/>
    <n v="3859"/>
    <s v="3859"/>
    <n v="11577"/>
    <x v="0"/>
    <x v="1"/>
    <x v="4"/>
    <s v="Low"/>
    <s v="Online"/>
    <n v="11577"/>
  </r>
  <r>
    <n v="803"/>
    <d v="2024-02-03T10:00:00"/>
    <s v="2024-02-03 10:00:00"/>
    <s v=" North "/>
    <x v="2"/>
    <s v=" Home Appliances "/>
    <x v="1"/>
    <s v="Men T-Shirt"/>
    <s v="Men T-Shirt"/>
    <s v="CUST0407"/>
    <s v=" CUST0407 "/>
    <x v="3"/>
    <s v="Anita"/>
    <x v="2"/>
    <s v="UPI"/>
    <n v="5"/>
    <s v="5"/>
    <n v="3129"/>
    <s v="3129"/>
    <n v="15645"/>
    <x v="0"/>
    <x v="1"/>
    <x v="4"/>
    <s v="Low"/>
    <s v="Online"/>
    <n v="15645"/>
  </r>
  <r>
    <n v="804"/>
    <d v="2024-02-03T11:00:00"/>
    <s v="2024-02-03 11:00:00"/>
    <s v=" North "/>
    <x v="2"/>
    <s v=" Home Appliances "/>
    <x v="1"/>
    <s v="Laptop"/>
    <s v="Laptop"/>
    <s v="CUST0217"/>
    <s v=" CUST0217 "/>
    <x v="0"/>
    <s v="Rahul"/>
    <x v="2"/>
    <s v="UPI"/>
    <n v="5"/>
    <s v="5"/>
    <n v="1460"/>
    <s v="1460"/>
    <n v="7300"/>
    <x v="0"/>
    <x v="1"/>
    <x v="4"/>
    <s v="Low"/>
    <s v="Online"/>
    <n v="7300"/>
  </r>
  <r>
    <n v="805"/>
    <d v="2024-02-03T12:00:00"/>
    <s v="2024-02-03 12:00:00"/>
    <s v="south"/>
    <x v="3"/>
    <s v="Grocery"/>
    <x v="3"/>
    <s v="Rice 5Kg"/>
    <s v="Rice 5kg"/>
    <s v="CUST0026"/>
    <s v=" CUST0026 "/>
    <x v="4"/>
    <s v="Karthik"/>
    <x v="3"/>
    <s v=" Net Banking "/>
    <n v="5"/>
    <s v="5"/>
    <n v="2526"/>
    <s v="2526"/>
    <n v="12630"/>
    <x v="0"/>
    <x v="1"/>
    <x v="4"/>
    <s v="Low"/>
    <s v="Online"/>
    <n v="12630"/>
  </r>
  <r>
    <n v="806"/>
    <d v="2024-02-03T13:00:00"/>
    <s v="2024-02-03 13:00:00"/>
    <s v=" west"/>
    <x v="1"/>
    <s v="Clothing"/>
    <x v="0"/>
    <s v="Laptop"/>
    <s v="Laptop"/>
    <s v="CUST0005"/>
    <s v=" CUST0005 "/>
    <x v="4"/>
    <s v="Karthik"/>
    <x v="4"/>
    <s v="Credit Card"/>
    <n v="3"/>
    <s v="3"/>
    <n v="4368"/>
    <s v="4368"/>
    <n v="13104"/>
    <x v="0"/>
    <x v="1"/>
    <x v="4"/>
    <s v="Low"/>
    <s v="Online"/>
    <n v="13104"/>
  </r>
  <r>
    <n v="807"/>
    <d v="2024-02-03T14:00:00"/>
    <s v="2024-02-03 14:00:00"/>
    <s v=" west"/>
    <x v="1"/>
    <s v="Grocery"/>
    <x v="3"/>
    <s v="Men T-Shirt"/>
    <s v="Men T-Shirt"/>
    <s v="CUST0532"/>
    <s v=" CUST0532 "/>
    <x v="2"/>
    <s v="Suresh"/>
    <x v="0"/>
    <s v=" Cash"/>
    <n v="3"/>
    <s v="3"/>
    <n v="163"/>
    <s v="163"/>
    <n v="489"/>
    <x v="0"/>
    <x v="1"/>
    <x v="4"/>
    <s v="Low"/>
    <s v="Offline"/>
    <n v="489"/>
  </r>
  <r>
    <n v="808"/>
    <d v="2024-02-03T15:00:00"/>
    <s v="2024-02-03 15:00:00"/>
    <s v=" North "/>
    <x v="2"/>
    <s v="Clothing"/>
    <x v="0"/>
    <s v="Men T-Shirt"/>
    <s v="Men T-Shirt"/>
    <s v="CUST0390"/>
    <s v=" CUST0390 "/>
    <x v="4"/>
    <s v="Karthik"/>
    <x v="4"/>
    <s v="Credit Card"/>
    <n v="4"/>
    <s v="4"/>
    <n v="1445"/>
    <s v="1445"/>
    <n v="5780"/>
    <x v="0"/>
    <x v="1"/>
    <x v="4"/>
    <s v="Low"/>
    <s v="Online"/>
    <n v="5780"/>
  </r>
  <r>
    <n v="809"/>
    <d v="2024-02-03T16:00:00"/>
    <s v="2024-02-03 16:00:00"/>
    <s v="south"/>
    <x v="3"/>
    <s v="Grocery"/>
    <x v="3"/>
    <s v="Led Tv 42Inch"/>
    <s v="LED TV 42inch"/>
    <s v="CUST0710"/>
    <s v=" CUST0710 "/>
    <x v="0"/>
    <s v="Rahul"/>
    <x v="4"/>
    <s v="Credit Card"/>
    <n v="7"/>
    <s v="7"/>
    <n v="1074"/>
    <s v="1074"/>
    <n v="7518"/>
    <x v="0"/>
    <x v="1"/>
    <x v="4"/>
    <s v="Low"/>
    <s v="Online"/>
    <n v="7518"/>
  </r>
  <r>
    <n v="810"/>
    <d v="2024-02-03T17:00:00"/>
    <s v="2024-02-03 17:00:00"/>
    <s v=" North "/>
    <x v="2"/>
    <s v=" Home Appliances "/>
    <x v="1"/>
    <s v="Led Tv 42Inch"/>
    <s v="LED TV 42inch"/>
    <s v="CUST0571"/>
    <s v=" CUST0571 "/>
    <x v="1"/>
    <s v="Meena"/>
    <x v="4"/>
    <s v="Credit Card"/>
    <n v="12"/>
    <s v="12"/>
    <n v="4261"/>
    <s v="4261"/>
    <n v="51132"/>
    <x v="0"/>
    <x v="1"/>
    <x v="4"/>
    <s v="High"/>
    <s v="Online"/>
    <n v="51132"/>
  </r>
  <r>
    <n v="811"/>
    <d v="2024-02-03T18:00:00"/>
    <s v="2024-02-03 18:00:00"/>
    <s v="EAST"/>
    <x v="0"/>
    <s v="Grocery"/>
    <x v="3"/>
    <s v="Rice 5Kg"/>
    <s v="Rice 5kg"/>
    <s v="CUST0448"/>
    <s v=" CUST0448 "/>
    <x v="1"/>
    <s v="Meena"/>
    <x v="4"/>
    <s v="Credit Card"/>
    <n v="12"/>
    <s v="12"/>
    <n v="3728"/>
    <s v="3728"/>
    <n v="44736"/>
    <x v="0"/>
    <x v="1"/>
    <x v="4"/>
    <s v="Medium"/>
    <s v="Online"/>
    <n v="44736"/>
  </r>
  <r>
    <n v="812"/>
    <d v="2024-02-03T19:00:00"/>
    <s v="2024-02-03 19:00:00"/>
    <s v="EAST"/>
    <x v="0"/>
    <s v="Grocery"/>
    <x v="3"/>
    <s v="Laptop"/>
    <s v="Laptop"/>
    <s v="CUST0754"/>
    <s v=" CUST0754 "/>
    <x v="1"/>
    <s v="Meena"/>
    <x v="0"/>
    <s v=" Cash"/>
    <n v="12"/>
    <s v="12"/>
    <n v="1722"/>
    <s v="1722"/>
    <n v="20664"/>
    <x v="0"/>
    <x v="1"/>
    <x v="4"/>
    <s v="Medium"/>
    <s v="Offline"/>
    <n v="20664"/>
  </r>
  <r>
    <n v="813"/>
    <d v="2024-02-03T20:00:00"/>
    <s v="2024-02-03 20:00:00"/>
    <s v=" North "/>
    <x v="2"/>
    <s v="Grocery"/>
    <x v="3"/>
    <s v="Men T-Shirt"/>
    <s v="Men T-Shirt"/>
    <s v="CUST0146"/>
    <s v=" CUST0146 "/>
    <x v="1"/>
    <s v="Meena"/>
    <x v="1"/>
    <s v="Debit card "/>
    <n v="14"/>
    <s v="14"/>
    <n v="557"/>
    <s v="557"/>
    <n v="7798"/>
    <x v="0"/>
    <x v="1"/>
    <x v="4"/>
    <s v="Low"/>
    <s v="Online"/>
    <n v="7798"/>
  </r>
  <r>
    <n v="814"/>
    <d v="2024-02-03T21:00:00"/>
    <s v="2024-02-03 21:00:00"/>
    <s v=" west"/>
    <x v="1"/>
    <s v=" Home Appliances "/>
    <x v="1"/>
    <s v="Rice 5Kg"/>
    <s v="Rice 5kg"/>
    <s v="CUST0388"/>
    <s v=" CUST0388 "/>
    <x v="2"/>
    <s v="Suresh"/>
    <x v="4"/>
    <s v="Credit Card"/>
    <n v="2"/>
    <s v="2"/>
    <n v="3430"/>
    <s v="3430"/>
    <n v="6860"/>
    <x v="0"/>
    <x v="1"/>
    <x v="4"/>
    <s v="Low"/>
    <s v="Online"/>
    <n v="6860"/>
  </r>
  <r>
    <n v="815"/>
    <d v="2024-02-03T22:00:00"/>
    <s v="2024-02-03 22:00:00"/>
    <s v=" west"/>
    <x v="1"/>
    <s v=" Home Appliances "/>
    <x v="1"/>
    <s v="Mixer Grinder"/>
    <s v="Mixer Grinder"/>
    <s v="CUST0785"/>
    <s v=" CUST0785 "/>
    <x v="4"/>
    <s v="Karthik"/>
    <x v="2"/>
    <s v="UPI"/>
    <n v="10"/>
    <s v="10"/>
    <n v="1840"/>
    <s v="1840"/>
    <n v="18400"/>
    <x v="0"/>
    <x v="1"/>
    <x v="4"/>
    <s v="Low"/>
    <s v="Online"/>
    <n v="18400"/>
  </r>
  <r>
    <n v="816"/>
    <d v="2024-02-03T23:00:00"/>
    <s v="2024-02-03 23:00:00"/>
    <s v=" North "/>
    <x v="2"/>
    <s v=" Home Appliances "/>
    <x v="1"/>
    <s v="Rice 5Kg"/>
    <s v="Rice 5kg"/>
    <s v="CUST0249"/>
    <s v=" CUST0249 "/>
    <x v="1"/>
    <s v="Meena"/>
    <x v="3"/>
    <s v=" Net Banking "/>
    <n v="4"/>
    <s v="4"/>
    <n v="3126"/>
    <s v="3126"/>
    <n v="12504"/>
    <x v="0"/>
    <x v="1"/>
    <x v="4"/>
    <s v="Low"/>
    <s v="Online"/>
    <n v="12504"/>
  </r>
  <r>
    <n v="817"/>
    <d v="2024-02-04T00:00:00"/>
    <s v="2024-02-04 00:00:00"/>
    <s v=" North "/>
    <x v="2"/>
    <s v=" Home Appliances "/>
    <x v="1"/>
    <s v="Washing Machine"/>
    <s v="Washing Machine"/>
    <s v="CUST0526"/>
    <s v=" CUST0526 "/>
    <x v="3"/>
    <s v="Anita"/>
    <x v="3"/>
    <s v=" Net Banking "/>
    <n v="4"/>
    <s v="4"/>
    <n v="2054"/>
    <s v="2054"/>
    <n v="8216"/>
    <x v="0"/>
    <x v="1"/>
    <x v="4"/>
    <s v="Low"/>
    <s v="Online"/>
    <n v="8216"/>
  </r>
  <r>
    <n v="818"/>
    <d v="2024-02-04T01:00:00"/>
    <s v="2024-02-04 01:00:00"/>
    <s v="EAST"/>
    <x v="0"/>
    <s v="Clothing"/>
    <x v="0"/>
    <s v="Rice 5Kg"/>
    <s v="Rice 5kg"/>
    <s v="CUST0462"/>
    <s v=" CUST0462 "/>
    <x v="1"/>
    <s v="Meena"/>
    <x v="2"/>
    <s v="UPI"/>
    <n v="1"/>
    <s v="1"/>
    <n v="379"/>
    <s v="379"/>
    <n v="379"/>
    <x v="0"/>
    <x v="1"/>
    <x v="4"/>
    <s v="Low"/>
    <s v="Online"/>
    <n v="379"/>
  </r>
  <r>
    <n v="819"/>
    <d v="2024-02-04T02:00:00"/>
    <s v="2024-02-04 02:00:00"/>
    <s v=" west"/>
    <x v="1"/>
    <s v="Clothing"/>
    <x v="0"/>
    <s v="Washing Machine"/>
    <s v="Washing Machine"/>
    <s v="CUST0013"/>
    <s v=" CUST0013 "/>
    <x v="4"/>
    <s v="Karthik"/>
    <x v="4"/>
    <s v="Credit Card"/>
    <n v="10"/>
    <s v="10"/>
    <n v="2491"/>
    <s v="2491"/>
    <n v="24910"/>
    <x v="0"/>
    <x v="1"/>
    <x v="4"/>
    <s v="Medium"/>
    <s v="Online"/>
    <n v="24910"/>
  </r>
  <r>
    <n v="820"/>
    <d v="2024-02-04T03:00:00"/>
    <s v="2024-02-04 03:00:00"/>
    <s v=" North "/>
    <x v="2"/>
    <s v="Electronics"/>
    <x v="2"/>
    <s v="Washing Machine"/>
    <s v="Washing Machine"/>
    <s v="CUST0384"/>
    <s v=" CUST0384 "/>
    <x v="1"/>
    <s v="Meena"/>
    <x v="0"/>
    <s v=" Cash"/>
    <n v="8"/>
    <s v="8"/>
    <n v="1140"/>
    <s v="1140"/>
    <n v="9120"/>
    <x v="0"/>
    <x v="1"/>
    <x v="4"/>
    <s v="Low"/>
    <s v="Offline"/>
    <n v="9120"/>
  </r>
  <r>
    <n v="821"/>
    <d v="2024-02-04T04:00:00"/>
    <s v="2024-02-04 04:00:00"/>
    <s v="EAST"/>
    <x v="0"/>
    <s v=" Home Appliances "/>
    <x v="1"/>
    <s v="Washing Machine"/>
    <s v="Washing Machine"/>
    <s v="CUST0556"/>
    <s v=" CUST0556 "/>
    <x v="2"/>
    <s v="Suresh"/>
    <x v="1"/>
    <s v="Debit card "/>
    <n v="1"/>
    <s v="1"/>
    <n v="1061"/>
    <s v="1061"/>
    <n v="1061"/>
    <x v="0"/>
    <x v="1"/>
    <x v="4"/>
    <s v="Low"/>
    <s v="Online"/>
    <n v="1061"/>
  </r>
  <r>
    <n v="822"/>
    <d v="2024-02-04T05:00:00"/>
    <s v="2024-02-04 05:00:00"/>
    <s v=" west"/>
    <x v="1"/>
    <s v="Clothing"/>
    <x v="0"/>
    <s v="Mixer Grinder"/>
    <s v="Mixer Grinder"/>
    <s v="CUST0399"/>
    <s v=" CUST0399 "/>
    <x v="0"/>
    <s v="Rahul"/>
    <x v="3"/>
    <s v=" Net Banking "/>
    <n v="8"/>
    <s v="8"/>
    <n v="3945"/>
    <s v="3945"/>
    <n v="31560"/>
    <x v="0"/>
    <x v="1"/>
    <x v="4"/>
    <s v="Medium"/>
    <s v="Online"/>
    <n v="31560"/>
  </r>
  <r>
    <n v="823"/>
    <d v="2024-02-04T06:00:00"/>
    <s v="2024-02-04 06:00:00"/>
    <s v="south"/>
    <x v="3"/>
    <s v="Grocery"/>
    <x v="3"/>
    <s v="Rice 5Kg"/>
    <s v="Rice 5kg"/>
    <s v="CUST0019"/>
    <s v=" CUST0019 "/>
    <x v="0"/>
    <s v="Rahul"/>
    <x v="1"/>
    <s v="Debit card "/>
    <n v="7"/>
    <s v="7"/>
    <n v="1317"/>
    <s v="1317"/>
    <n v="9219"/>
    <x v="0"/>
    <x v="1"/>
    <x v="4"/>
    <s v="Low"/>
    <s v="Online"/>
    <n v="9219"/>
  </r>
  <r>
    <n v="824"/>
    <d v="2024-02-04T07:00:00"/>
    <s v="2024-02-04 07:00:00"/>
    <s v="EAST"/>
    <x v="0"/>
    <s v=" Home Appliances "/>
    <x v="1"/>
    <s v="Rice 5Kg"/>
    <s v="Rice 5kg"/>
    <s v="CUST0575"/>
    <s v=" CUST0575 "/>
    <x v="4"/>
    <s v="Karthik"/>
    <x v="0"/>
    <s v=" Cash"/>
    <n v="9"/>
    <s v="9"/>
    <n v="3320"/>
    <s v="3320"/>
    <n v="29880"/>
    <x v="0"/>
    <x v="1"/>
    <x v="4"/>
    <s v="Medium"/>
    <s v="Offline"/>
    <n v="29880"/>
  </r>
  <r>
    <n v="825"/>
    <d v="2024-02-04T08:00:00"/>
    <s v="2024-02-04 08:00:00"/>
    <s v=" west"/>
    <x v="1"/>
    <s v="Electronics"/>
    <x v="2"/>
    <s v="Mixer Grinder"/>
    <s v="Mixer Grinder"/>
    <s v="CUST0491"/>
    <s v=" CUST0491 "/>
    <x v="0"/>
    <s v="Rahul"/>
    <x v="3"/>
    <s v=" Net Banking "/>
    <n v="8"/>
    <s v="8"/>
    <n v="474"/>
    <s v="474"/>
    <n v="3792"/>
    <x v="0"/>
    <x v="1"/>
    <x v="4"/>
    <s v="Low"/>
    <s v="Online"/>
    <n v="3792"/>
  </r>
  <r>
    <n v="826"/>
    <d v="2024-02-04T09:00:00"/>
    <s v="2024-02-04 09:00:00"/>
    <s v=" west"/>
    <x v="1"/>
    <s v="Electronics"/>
    <x v="2"/>
    <s v="Men T-Shirt"/>
    <s v="Men T-Shirt"/>
    <s v="CUST0751"/>
    <s v=" CUST0751 "/>
    <x v="0"/>
    <s v="Rahul"/>
    <x v="1"/>
    <s v="Debit card "/>
    <n v="5"/>
    <s v="5"/>
    <n v="4230"/>
    <s v="4230"/>
    <n v="21150"/>
    <x v="0"/>
    <x v="1"/>
    <x v="4"/>
    <s v="Medium"/>
    <s v="Online"/>
    <n v="21150"/>
  </r>
  <r>
    <n v="827"/>
    <d v="2024-02-04T10:00:00"/>
    <s v="2024-02-04 10:00:00"/>
    <s v="EAST"/>
    <x v="0"/>
    <s v="Electronics"/>
    <x v="2"/>
    <s v="Led Tv 42Inch"/>
    <s v="LED TV 42inch"/>
    <s v="CUST0419"/>
    <s v=" CUST0419 "/>
    <x v="3"/>
    <s v="Anita"/>
    <x v="0"/>
    <s v=" Cash"/>
    <n v="8"/>
    <s v="8"/>
    <n v="1492"/>
    <s v="1492"/>
    <n v="11936"/>
    <x v="0"/>
    <x v="1"/>
    <x v="4"/>
    <s v="Low"/>
    <s v="Offline"/>
    <n v="11936"/>
  </r>
  <r>
    <n v="828"/>
    <d v="2024-02-04T11:00:00"/>
    <s v="2024-02-04 11:00:00"/>
    <s v="south"/>
    <x v="3"/>
    <s v="Grocery"/>
    <x v="3"/>
    <s v="Rice 5Kg"/>
    <s v="Rice 5kg"/>
    <s v="CUST0337"/>
    <s v=" CUST0337 "/>
    <x v="4"/>
    <s v="Karthik"/>
    <x v="1"/>
    <s v="Debit card "/>
    <n v="14"/>
    <s v="14"/>
    <n v="2176"/>
    <s v="2176"/>
    <n v="30464"/>
    <x v="0"/>
    <x v="1"/>
    <x v="4"/>
    <s v="Medium"/>
    <s v="Online"/>
    <n v="30464"/>
  </r>
  <r>
    <n v="829"/>
    <d v="2024-02-04T12:00:00"/>
    <s v="2024-02-04 12:00:00"/>
    <s v="EAST"/>
    <x v="0"/>
    <s v="Clothing"/>
    <x v="0"/>
    <s v="Led Tv 42Inch"/>
    <s v="LED TV 42inch"/>
    <s v="CUST0419"/>
    <s v=" CUST0419 "/>
    <x v="4"/>
    <s v="Karthik"/>
    <x v="4"/>
    <s v="Credit Card"/>
    <n v="11"/>
    <s v="11"/>
    <n v="874"/>
    <s v="874"/>
    <n v="9614"/>
    <x v="0"/>
    <x v="1"/>
    <x v="4"/>
    <s v="Low"/>
    <s v="Online"/>
    <n v="9614"/>
  </r>
  <r>
    <n v="830"/>
    <d v="2024-02-04T13:00:00"/>
    <s v="2024-02-04 13:00:00"/>
    <s v=" west"/>
    <x v="1"/>
    <s v="Grocery"/>
    <x v="3"/>
    <s v="Laptop"/>
    <s v="Laptop"/>
    <s v="CUST0612"/>
    <s v=" CUST0612 "/>
    <x v="0"/>
    <s v="Rahul"/>
    <x v="0"/>
    <s v=" Cash"/>
    <n v="10"/>
    <s v="10"/>
    <n v="4416"/>
    <s v="4416"/>
    <n v="44160"/>
    <x v="0"/>
    <x v="1"/>
    <x v="4"/>
    <s v="Medium"/>
    <s v="Offline"/>
    <n v="44160"/>
  </r>
  <r>
    <n v="831"/>
    <d v="2024-02-04T14:00:00"/>
    <s v="2024-02-04 14:00:00"/>
    <s v=" North "/>
    <x v="2"/>
    <s v=" Home Appliances "/>
    <x v="1"/>
    <s v="Laptop"/>
    <s v="Laptop"/>
    <s v="CUST0675"/>
    <s v=" CUST0675 "/>
    <x v="0"/>
    <s v="Rahul"/>
    <x v="1"/>
    <s v="Debit card "/>
    <n v="12"/>
    <s v="12"/>
    <n v="3524"/>
    <s v="3524"/>
    <n v="42288"/>
    <x v="0"/>
    <x v="1"/>
    <x v="4"/>
    <s v="Medium"/>
    <s v="Online"/>
    <n v="42288"/>
  </r>
  <r>
    <n v="832"/>
    <d v="2024-02-04T15:00:00"/>
    <s v="2024-02-04 15:00:00"/>
    <s v=" North "/>
    <x v="2"/>
    <s v="Electronics"/>
    <x v="2"/>
    <s v="Mixer Grinder"/>
    <s v="Mixer Grinder"/>
    <s v="CUST0122"/>
    <s v=" CUST0122 "/>
    <x v="0"/>
    <s v="Rahul"/>
    <x v="4"/>
    <s v="Credit Card"/>
    <n v="12"/>
    <s v="12"/>
    <n v="2223"/>
    <s v="2223"/>
    <n v="26676"/>
    <x v="0"/>
    <x v="1"/>
    <x v="4"/>
    <s v="Medium"/>
    <s v="Online"/>
    <n v="26676"/>
  </r>
  <r>
    <n v="833"/>
    <d v="2024-02-04T16:00:00"/>
    <s v="2024-02-04 16:00:00"/>
    <s v="EAST"/>
    <x v="0"/>
    <s v="Grocery"/>
    <x v="3"/>
    <s v="Laptop"/>
    <s v="Laptop"/>
    <s v="CUST0432"/>
    <s v=" CUST0432 "/>
    <x v="2"/>
    <s v="Suresh"/>
    <x v="4"/>
    <s v="Credit Card"/>
    <n v="3"/>
    <s v="3"/>
    <n v="4689"/>
    <s v="4689"/>
    <n v="14067"/>
    <x v="0"/>
    <x v="1"/>
    <x v="4"/>
    <s v="Low"/>
    <s v="Online"/>
    <n v="14067"/>
  </r>
  <r>
    <n v="834"/>
    <d v="2024-02-04T17:00:00"/>
    <s v="2024-02-04 17:00:00"/>
    <s v=" west"/>
    <x v="1"/>
    <s v="Grocery"/>
    <x v="3"/>
    <s v="Laptop"/>
    <s v="Laptop"/>
    <s v="CUST0044"/>
    <s v=" CUST0044 "/>
    <x v="1"/>
    <s v="Meena"/>
    <x v="0"/>
    <s v=" Cash"/>
    <n v="10"/>
    <s v="10"/>
    <n v="3693"/>
    <s v="3693"/>
    <n v="36930"/>
    <x v="0"/>
    <x v="1"/>
    <x v="4"/>
    <s v="Medium"/>
    <s v="Offline"/>
    <n v="36930"/>
  </r>
  <r>
    <n v="835"/>
    <d v="2024-02-04T18:00:00"/>
    <s v="2024-02-04 18:00:00"/>
    <s v=" North "/>
    <x v="2"/>
    <s v="Clothing"/>
    <x v="0"/>
    <s v="Men T-Shirt"/>
    <s v="Men T-Shirt"/>
    <s v="CUST0317"/>
    <s v=" CUST0317 "/>
    <x v="2"/>
    <s v="Suresh"/>
    <x v="2"/>
    <s v="UPI"/>
    <n v="7"/>
    <s v="7"/>
    <n v="379"/>
    <s v="379"/>
    <n v="2653"/>
    <x v="0"/>
    <x v="1"/>
    <x v="4"/>
    <s v="Low"/>
    <s v="Online"/>
    <n v="2653"/>
  </r>
  <r>
    <n v="836"/>
    <d v="2024-02-04T19:00:00"/>
    <s v="2024-02-04 19:00:00"/>
    <s v=" west"/>
    <x v="1"/>
    <s v="Clothing"/>
    <x v="0"/>
    <s v="Men T-Shirt"/>
    <s v="Men T-Shirt"/>
    <s v="CUST0381"/>
    <s v=" CUST0381 "/>
    <x v="4"/>
    <s v="Karthik"/>
    <x v="3"/>
    <s v=" Net Banking "/>
    <n v="12"/>
    <s v="12"/>
    <n v="4941"/>
    <s v="4941"/>
    <n v="59292"/>
    <x v="0"/>
    <x v="1"/>
    <x v="4"/>
    <s v="High"/>
    <s v="Online"/>
    <n v="59292"/>
  </r>
  <r>
    <n v="837"/>
    <d v="2024-02-04T20:00:00"/>
    <s v="2024-02-04 20:00:00"/>
    <s v="EAST"/>
    <x v="0"/>
    <s v="Electronics"/>
    <x v="2"/>
    <s v="Men T-Shirt"/>
    <s v="Men T-Shirt"/>
    <s v="CUST0145"/>
    <s v=" CUST0145 "/>
    <x v="3"/>
    <s v="Anita"/>
    <x v="0"/>
    <s v=" Cash"/>
    <n v="4"/>
    <s v="4"/>
    <n v="2911"/>
    <s v="2911"/>
    <n v="11644"/>
    <x v="0"/>
    <x v="1"/>
    <x v="4"/>
    <s v="Low"/>
    <s v="Offline"/>
    <n v="11644"/>
  </r>
  <r>
    <n v="838"/>
    <d v="2024-02-04T21:00:00"/>
    <s v="2024-02-04 21:00:00"/>
    <s v=" North "/>
    <x v="2"/>
    <s v="Grocery"/>
    <x v="3"/>
    <s v="Laptop"/>
    <s v="Laptop"/>
    <s v="CUST0327"/>
    <s v=" CUST0327 "/>
    <x v="1"/>
    <s v="Meena"/>
    <x v="4"/>
    <s v="Credit Card"/>
    <n v="5"/>
    <s v="5"/>
    <n v="2442"/>
    <s v="2442"/>
    <n v="12210"/>
    <x v="0"/>
    <x v="1"/>
    <x v="4"/>
    <s v="Low"/>
    <s v="Online"/>
    <n v="12210"/>
  </r>
  <r>
    <n v="839"/>
    <d v="2024-02-04T22:00:00"/>
    <s v="2024-02-04 22:00:00"/>
    <s v=" west"/>
    <x v="1"/>
    <s v="Grocery"/>
    <x v="3"/>
    <s v="Mixer Grinder"/>
    <s v="Mixer Grinder"/>
    <s v="CUST0363"/>
    <s v=" CUST0363 "/>
    <x v="3"/>
    <s v="Anita"/>
    <x v="4"/>
    <s v="Credit Card"/>
    <n v="9"/>
    <s v="9"/>
    <n v="1574"/>
    <s v="1574"/>
    <n v="14166"/>
    <x v="0"/>
    <x v="1"/>
    <x v="4"/>
    <s v="Low"/>
    <s v="Online"/>
    <n v="14166"/>
  </r>
  <r>
    <n v="840"/>
    <d v="2024-02-04T23:00:00"/>
    <s v="2024-02-04 23:00:00"/>
    <s v=" North "/>
    <x v="2"/>
    <s v="Clothing"/>
    <x v="0"/>
    <s v="Washing Machine"/>
    <s v="Washing Machine"/>
    <s v="CUST0050"/>
    <s v=" CUST0050 "/>
    <x v="4"/>
    <s v="Karthik"/>
    <x v="0"/>
    <s v=" Cash"/>
    <n v="7"/>
    <s v="7"/>
    <n v="1957"/>
    <s v="1957"/>
    <n v="13699"/>
    <x v="0"/>
    <x v="1"/>
    <x v="4"/>
    <s v="Low"/>
    <s v="Offline"/>
    <n v="13699"/>
  </r>
  <r>
    <n v="841"/>
    <d v="2024-02-05T00:00:00"/>
    <s v="2024-02-05 00:00:00"/>
    <s v="EAST"/>
    <x v="0"/>
    <s v="Grocery"/>
    <x v="3"/>
    <s v="Washing Machine"/>
    <s v="Washing Machine"/>
    <s v="CUST0065"/>
    <s v=" CUST0065 "/>
    <x v="4"/>
    <s v="Karthik"/>
    <x v="2"/>
    <s v="UPI"/>
    <n v="4"/>
    <s v="4"/>
    <n v="2989"/>
    <s v="2989"/>
    <n v="11956"/>
    <x v="0"/>
    <x v="1"/>
    <x v="5"/>
    <s v="Low"/>
    <s v="Online"/>
    <n v="11956"/>
  </r>
  <r>
    <n v="842"/>
    <d v="2024-02-05T01:00:00"/>
    <s v="2024-02-05 01:00:00"/>
    <s v=" west"/>
    <x v="1"/>
    <s v="Grocery"/>
    <x v="3"/>
    <s v="Led Tv 42Inch"/>
    <s v="LED TV 42inch"/>
    <s v="CUST0355"/>
    <s v=" CUST0355 "/>
    <x v="3"/>
    <s v="Anita"/>
    <x v="3"/>
    <s v=" Net Banking "/>
    <n v="6"/>
    <s v="6"/>
    <n v="1159"/>
    <s v="1159"/>
    <n v="6954"/>
    <x v="0"/>
    <x v="1"/>
    <x v="5"/>
    <s v="Low"/>
    <s v="Online"/>
    <n v="6954"/>
  </r>
  <r>
    <n v="843"/>
    <d v="2024-02-05T02:00:00"/>
    <s v="2024-02-05 02:00:00"/>
    <s v=" North "/>
    <x v="2"/>
    <s v="Grocery"/>
    <x v="3"/>
    <s v="Washing Machine"/>
    <s v="Washing Machine"/>
    <s v="CUST0800"/>
    <s v=" CUST0800 "/>
    <x v="3"/>
    <s v="Anita"/>
    <x v="1"/>
    <s v="Debit card "/>
    <n v="10"/>
    <s v="10"/>
    <n v="2022"/>
    <s v="2022"/>
    <n v="20220"/>
    <x v="0"/>
    <x v="1"/>
    <x v="5"/>
    <s v="Medium"/>
    <s v="Online"/>
    <n v="20220"/>
  </r>
  <r>
    <n v="844"/>
    <d v="2024-02-05T03:00:00"/>
    <s v="2024-02-05 03:00:00"/>
    <s v="EAST"/>
    <x v="0"/>
    <s v="Clothing"/>
    <x v="0"/>
    <s v="Washing Machine"/>
    <s v="Washing Machine"/>
    <s v="CUST0164"/>
    <s v=" CUST0164 "/>
    <x v="3"/>
    <s v="Anita"/>
    <x v="0"/>
    <s v=" Cash"/>
    <n v="14"/>
    <s v="14"/>
    <n v="3899"/>
    <s v="3899"/>
    <n v="54586"/>
    <x v="0"/>
    <x v="1"/>
    <x v="5"/>
    <s v="High"/>
    <s v="Offline"/>
    <n v="54586"/>
  </r>
  <r>
    <n v="845"/>
    <d v="2024-02-05T04:00:00"/>
    <s v="2024-02-05 04:00:00"/>
    <s v=" North "/>
    <x v="2"/>
    <s v="Electronics"/>
    <x v="2"/>
    <s v="Men T-Shirt"/>
    <s v="Men T-Shirt"/>
    <s v="CUST0141"/>
    <s v=" CUST0141 "/>
    <x v="4"/>
    <s v="Karthik"/>
    <x v="3"/>
    <s v=" Net Banking "/>
    <n v="11"/>
    <s v="11"/>
    <n v="4692"/>
    <s v="4692"/>
    <n v="51612"/>
    <x v="0"/>
    <x v="1"/>
    <x v="5"/>
    <s v="High"/>
    <s v="Online"/>
    <n v="51612"/>
  </r>
  <r>
    <n v="846"/>
    <d v="2024-02-05T05:00:00"/>
    <s v="2024-02-05 05:00:00"/>
    <s v=" North "/>
    <x v="2"/>
    <s v=" Home Appliances "/>
    <x v="1"/>
    <s v="Men T-Shirt"/>
    <s v="Men T-Shirt"/>
    <s v="CUST0128"/>
    <s v=" CUST0128 "/>
    <x v="0"/>
    <s v="Rahul"/>
    <x v="3"/>
    <s v=" Net Banking "/>
    <n v="7"/>
    <s v="7"/>
    <n v="2573"/>
    <s v="2573"/>
    <n v="18011"/>
    <x v="0"/>
    <x v="1"/>
    <x v="5"/>
    <s v="Low"/>
    <s v="Online"/>
    <n v="18011"/>
  </r>
  <r>
    <n v="847"/>
    <d v="2024-02-05T06:00:00"/>
    <s v="2024-02-05 06:00:00"/>
    <s v="south"/>
    <x v="3"/>
    <s v="Electronics"/>
    <x v="2"/>
    <s v="Laptop"/>
    <s v="Laptop"/>
    <s v="CUST0398"/>
    <s v=" CUST0398 "/>
    <x v="3"/>
    <s v="Anita"/>
    <x v="4"/>
    <s v="Credit Card"/>
    <n v="13"/>
    <s v="13"/>
    <n v="4239"/>
    <s v="4239"/>
    <n v="55107"/>
    <x v="0"/>
    <x v="1"/>
    <x v="5"/>
    <s v="High"/>
    <s v="Online"/>
    <n v="55107"/>
  </r>
  <r>
    <n v="848"/>
    <d v="2024-02-05T07:00:00"/>
    <s v="2024-02-05 07:00:00"/>
    <s v="south"/>
    <x v="3"/>
    <s v=" Home Appliances "/>
    <x v="1"/>
    <s v="Led Tv 42Inch"/>
    <s v="LED TV 42inch"/>
    <s v="CUST0463"/>
    <s v=" CUST0463 "/>
    <x v="1"/>
    <s v="Meena"/>
    <x v="1"/>
    <s v="Debit card "/>
    <n v="10"/>
    <s v="10"/>
    <n v="1951"/>
    <s v="1951"/>
    <n v="19510"/>
    <x v="0"/>
    <x v="1"/>
    <x v="5"/>
    <s v="Low"/>
    <s v="Online"/>
    <n v="19510"/>
  </r>
  <r>
    <n v="849"/>
    <d v="2024-02-05T08:00:00"/>
    <s v="2024-02-05 08:00:00"/>
    <s v="EAST"/>
    <x v="0"/>
    <s v="Grocery"/>
    <x v="3"/>
    <s v="Rice 5Kg"/>
    <s v="Rice 5kg"/>
    <s v="CUST0751"/>
    <s v=" CUST0751 "/>
    <x v="4"/>
    <s v="Karthik"/>
    <x v="0"/>
    <s v=" Cash"/>
    <n v="13"/>
    <s v="13"/>
    <n v="3641"/>
    <s v="3641"/>
    <n v="47333"/>
    <x v="0"/>
    <x v="1"/>
    <x v="5"/>
    <s v="Medium"/>
    <s v="Offline"/>
    <n v="47333"/>
  </r>
  <r>
    <n v="850"/>
    <d v="2024-02-05T09:00:00"/>
    <s v="2024-02-05 09:00:00"/>
    <s v="south"/>
    <x v="3"/>
    <s v="Electronics"/>
    <x v="2"/>
    <s v="Led Tv 42Inch"/>
    <s v="LED TV 42inch"/>
    <s v="CUST0187"/>
    <s v=" CUST0187 "/>
    <x v="2"/>
    <s v="Suresh"/>
    <x v="4"/>
    <s v="Credit Card"/>
    <n v="9"/>
    <s v="9"/>
    <n v="4649"/>
    <s v="4649"/>
    <n v="41841"/>
    <x v="0"/>
    <x v="1"/>
    <x v="5"/>
    <s v="Medium"/>
    <s v="Online"/>
    <n v="41841"/>
  </r>
  <r>
    <n v="851"/>
    <d v="2024-02-05T10:00:00"/>
    <s v="2024-02-05 10:00:00"/>
    <s v="EAST"/>
    <x v="0"/>
    <s v=" Home Appliances "/>
    <x v="1"/>
    <s v="Led Tv 42Inch"/>
    <s v="LED TV 42inch"/>
    <s v="CUST0720"/>
    <s v=" CUST0720 "/>
    <x v="2"/>
    <s v="Suresh"/>
    <x v="4"/>
    <s v="Credit Card"/>
    <n v="4"/>
    <s v="4"/>
    <n v="694"/>
    <s v="694"/>
    <n v="2776"/>
    <x v="0"/>
    <x v="1"/>
    <x v="5"/>
    <s v="Low"/>
    <s v="Online"/>
    <n v="2776"/>
  </r>
  <r>
    <n v="852"/>
    <d v="2024-02-05T11:00:00"/>
    <s v="2024-02-05 11:00:00"/>
    <s v="south"/>
    <x v="3"/>
    <s v="Clothing"/>
    <x v="0"/>
    <s v="Mixer Grinder"/>
    <s v="Mixer Grinder"/>
    <s v="CUST0732"/>
    <s v=" CUST0732 "/>
    <x v="1"/>
    <s v="Meena"/>
    <x v="2"/>
    <s v="UPI"/>
    <n v="10"/>
    <s v="10"/>
    <n v="606"/>
    <s v="606"/>
    <n v="6060"/>
    <x v="0"/>
    <x v="1"/>
    <x v="5"/>
    <s v="Low"/>
    <s v="Online"/>
    <n v="6060"/>
  </r>
  <r>
    <n v="853"/>
    <d v="2024-02-05T12:00:00"/>
    <s v="2024-02-05 12:00:00"/>
    <s v=" North "/>
    <x v="2"/>
    <s v="Clothing"/>
    <x v="0"/>
    <s v="Laptop"/>
    <s v="Laptop"/>
    <s v="CUST0190"/>
    <s v=" CUST0190 "/>
    <x v="0"/>
    <s v="Rahul"/>
    <x v="3"/>
    <s v=" Net Banking "/>
    <n v="3"/>
    <s v="3"/>
    <n v="4989"/>
    <s v="4989"/>
    <n v="14967"/>
    <x v="0"/>
    <x v="1"/>
    <x v="5"/>
    <s v="Low"/>
    <s v="Online"/>
    <n v="14967"/>
  </r>
  <r>
    <n v="854"/>
    <d v="2024-02-05T13:00:00"/>
    <s v="2024-02-05 13:00:00"/>
    <s v="EAST"/>
    <x v="0"/>
    <s v="Electronics"/>
    <x v="2"/>
    <s v="Mixer Grinder"/>
    <s v="Mixer Grinder"/>
    <s v="CUST0388"/>
    <s v=" CUST0388 "/>
    <x v="3"/>
    <s v="Anita"/>
    <x v="0"/>
    <s v=" Cash"/>
    <n v="8"/>
    <s v="8"/>
    <n v="120"/>
    <s v="120"/>
    <n v="960"/>
    <x v="0"/>
    <x v="1"/>
    <x v="5"/>
    <s v="Low"/>
    <s v="Offline"/>
    <n v="960"/>
  </r>
  <r>
    <n v="855"/>
    <d v="2024-02-05T14:00:00"/>
    <s v="2024-02-05 14:00:00"/>
    <s v="EAST"/>
    <x v="0"/>
    <s v="Electronics"/>
    <x v="2"/>
    <s v="Led Tv 42Inch"/>
    <s v="LED TV 42inch"/>
    <s v="CUST0429"/>
    <s v=" CUST0429 "/>
    <x v="4"/>
    <s v="Karthik"/>
    <x v="0"/>
    <s v=" Cash"/>
    <n v="1"/>
    <s v="1"/>
    <n v="1499"/>
    <s v="1499"/>
    <n v="1499"/>
    <x v="0"/>
    <x v="1"/>
    <x v="5"/>
    <s v="Low"/>
    <s v="Offline"/>
    <n v="1499"/>
  </r>
  <r>
    <n v="856"/>
    <d v="2024-02-05T15:00:00"/>
    <s v="2024-02-05 15:00:00"/>
    <s v=" North "/>
    <x v="2"/>
    <s v="Grocery"/>
    <x v="3"/>
    <s v="Led Tv 42Inch"/>
    <s v="LED TV 42inch"/>
    <s v="CUST0284"/>
    <s v=" CUST0284 "/>
    <x v="3"/>
    <s v="Anita"/>
    <x v="0"/>
    <s v=" Cash"/>
    <n v="9"/>
    <s v="9"/>
    <n v="3301"/>
    <s v="3301"/>
    <n v="29709"/>
    <x v="0"/>
    <x v="1"/>
    <x v="5"/>
    <s v="Medium"/>
    <s v="Offline"/>
    <n v="29709"/>
  </r>
  <r>
    <n v="857"/>
    <d v="2024-02-05T16:00:00"/>
    <s v="2024-02-05 16:00:00"/>
    <s v="EAST"/>
    <x v="0"/>
    <s v="Electronics"/>
    <x v="2"/>
    <s v="Led Tv 42Inch"/>
    <s v="LED TV 42inch"/>
    <s v="CUST0237"/>
    <s v=" CUST0237 "/>
    <x v="4"/>
    <s v="Karthik"/>
    <x v="4"/>
    <s v="Credit Card"/>
    <n v="13"/>
    <s v="13"/>
    <n v="2561"/>
    <s v="2561"/>
    <n v="33293"/>
    <x v="0"/>
    <x v="1"/>
    <x v="5"/>
    <s v="Medium"/>
    <s v="Online"/>
    <n v="33293"/>
  </r>
  <r>
    <n v="858"/>
    <d v="2024-02-05T17:00:00"/>
    <s v="2024-02-05 17:00:00"/>
    <s v="EAST"/>
    <x v="0"/>
    <s v="Grocery"/>
    <x v="3"/>
    <s v="Washing Machine"/>
    <s v="Washing Machine"/>
    <s v="CUST0194"/>
    <s v=" CUST0194 "/>
    <x v="2"/>
    <s v="Suresh"/>
    <x v="2"/>
    <s v="UPI"/>
    <n v="1"/>
    <s v="1"/>
    <n v="3778"/>
    <s v="3778"/>
    <n v="3778"/>
    <x v="0"/>
    <x v="1"/>
    <x v="5"/>
    <s v="Low"/>
    <s v="Online"/>
    <n v="3778"/>
  </r>
  <r>
    <n v="859"/>
    <d v="2024-02-05T18:00:00"/>
    <s v="2024-02-05 18:00:00"/>
    <s v="south"/>
    <x v="3"/>
    <s v="Grocery"/>
    <x v="3"/>
    <s v="Mixer Grinder"/>
    <s v="Mixer Grinder"/>
    <s v="CUST0287"/>
    <s v=" CUST0287 "/>
    <x v="3"/>
    <s v="Anita"/>
    <x v="1"/>
    <s v="Debit card "/>
    <n v="2"/>
    <s v="2"/>
    <n v="436"/>
    <s v="436"/>
    <n v="872"/>
    <x v="0"/>
    <x v="1"/>
    <x v="5"/>
    <s v="Low"/>
    <s v="Online"/>
    <n v="872"/>
  </r>
  <r>
    <n v="860"/>
    <d v="2024-02-05T19:00:00"/>
    <s v="2024-02-05 19:00:00"/>
    <s v="EAST"/>
    <x v="0"/>
    <s v="Clothing"/>
    <x v="0"/>
    <s v="Led Tv 42Inch"/>
    <s v="LED TV 42inch"/>
    <s v="CUST0771"/>
    <s v=" CUST0771 "/>
    <x v="1"/>
    <s v="Meena"/>
    <x v="4"/>
    <s v="Credit Card"/>
    <n v="13"/>
    <s v="13"/>
    <n v="1767"/>
    <s v="1767"/>
    <n v="22971"/>
    <x v="0"/>
    <x v="1"/>
    <x v="5"/>
    <s v="Medium"/>
    <s v="Online"/>
    <n v="22971"/>
  </r>
  <r>
    <n v="861"/>
    <d v="2024-02-05T20:00:00"/>
    <s v="2024-02-05 20:00:00"/>
    <s v=" west"/>
    <x v="1"/>
    <s v="Clothing"/>
    <x v="0"/>
    <s v="Men T-Shirt"/>
    <s v="Men T-Shirt"/>
    <s v="CUST0758"/>
    <s v=" CUST0758 "/>
    <x v="0"/>
    <s v="Rahul"/>
    <x v="1"/>
    <s v="Debit card "/>
    <n v="8"/>
    <s v="8"/>
    <n v="3676"/>
    <s v="3676"/>
    <n v="29408"/>
    <x v="0"/>
    <x v="1"/>
    <x v="5"/>
    <s v="Medium"/>
    <s v="Online"/>
    <n v="29408"/>
  </r>
  <r>
    <n v="862"/>
    <d v="2024-02-05T21:00:00"/>
    <s v="2024-02-05 21:00:00"/>
    <s v=" North "/>
    <x v="2"/>
    <s v=" Home Appliances "/>
    <x v="1"/>
    <s v="Laptop"/>
    <s v="Laptop"/>
    <s v="CUST0136"/>
    <s v=" CUST0136 "/>
    <x v="1"/>
    <s v="Meena"/>
    <x v="2"/>
    <s v="UPI"/>
    <n v="9"/>
    <s v="9"/>
    <n v="1009"/>
    <s v="1009"/>
    <n v="9081"/>
    <x v="0"/>
    <x v="1"/>
    <x v="5"/>
    <s v="Low"/>
    <s v="Online"/>
    <n v="9081"/>
  </r>
  <r>
    <n v="863"/>
    <d v="2024-02-05T22:00:00"/>
    <s v="2024-02-05 22:00:00"/>
    <s v="south"/>
    <x v="3"/>
    <s v="Clothing"/>
    <x v="0"/>
    <s v="Laptop"/>
    <s v="Laptop"/>
    <s v="CUST0792"/>
    <s v=" CUST0792 "/>
    <x v="0"/>
    <s v="Rahul"/>
    <x v="3"/>
    <s v=" Net Banking "/>
    <n v="7"/>
    <s v="7"/>
    <n v="375"/>
    <s v="375"/>
    <n v="2625"/>
    <x v="0"/>
    <x v="1"/>
    <x v="5"/>
    <s v="Low"/>
    <s v="Online"/>
    <n v="2625"/>
  </r>
  <r>
    <n v="864"/>
    <d v="2024-02-05T23:00:00"/>
    <s v="2024-02-05 23:00:00"/>
    <s v="south"/>
    <x v="3"/>
    <s v="Clothing"/>
    <x v="0"/>
    <s v="Men T-Shirt"/>
    <s v="Men T-Shirt"/>
    <s v="CUST0783"/>
    <s v=" CUST0783 "/>
    <x v="3"/>
    <s v="Anita"/>
    <x v="0"/>
    <s v=" Cash"/>
    <n v="3"/>
    <s v="3"/>
    <n v="991"/>
    <s v="991"/>
    <n v="2973"/>
    <x v="0"/>
    <x v="1"/>
    <x v="5"/>
    <s v="Low"/>
    <s v="Offline"/>
    <n v="2973"/>
  </r>
  <r>
    <n v="865"/>
    <d v="2024-02-06T00:00:00"/>
    <s v="2024-02-06 00:00:00"/>
    <s v=" west"/>
    <x v="1"/>
    <s v="Electronics"/>
    <x v="2"/>
    <s v="Laptop"/>
    <s v="Laptop"/>
    <s v="CUST0171"/>
    <s v=" CUST0171 "/>
    <x v="3"/>
    <s v="Anita"/>
    <x v="1"/>
    <s v="Debit card "/>
    <n v="7"/>
    <s v="7"/>
    <n v="112"/>
    <s v="112"/>
    <n v="784"/>
    <x v="0"/>
    <x v="1"/>
    <x v="5"/>
    <s v="Low"/>
    <s v="Online"/>
    <n v="784"/>
  </r>
  <r>
    <n v="866"/>
    <d v="2024-02-06T01:00:00"/>
    <s v="2024-02-06 01:00:00"/>
    <s v=" North "/>
    <x v="2"/>
    <s v="Clothing"/>
    <x v="0"/>
    <s v="Washing Machine"/>
    <s v="Washing Machine"/>
    <s v="CUST0159"/>
    <s v=" CUST0159 "/>
    <x v="0"/>
    <s v="Rahul"/>
    <x v="4"/>
    <s v="Credit Card"/>
    <n v="6"/>
    <s v="6"/>
    <n v="4157"/>
    <s v="4157"/>
    <n v="24942"/>
    <x v="0"/>
    <x v="1"/>
    <x v="5"/>
    <s v="Medium"/>
    <s v="Online"/>
    <n v="24942"/>
  </r>
  <r>
    <n v="867"/>
    <d v="2024-02-06T02:00:00"/>
    <s v="2024-02-06 02:00:00"/>
    <s v=" North "/>
    <x v="2"/>
    <s v=" Home Appliances "/>
    <x v="1"/>
    <s v="Washing Machine"/>
    <s v="Washing Machine"/>
    <s v="CUST0201"/>
    <s v=" CUST0201 "/>
    <x v="2"/>
    <s v="Suresh"/>
    <x v="1"/>
    <s v="Debit card "/>
    <n v="2"/>
    <s v="2"/>
    <n v="3125"/>
    <s v="3125"/>
    <n v="6250"/>
    <x v="0"/>
    <x v="1"/>
    <x v="5"/>
    <s v="Low"/>
    <s v="Online"/>
    <n v="6250"/>
  </r>
  <r>
    <n v="868"/>
    <d v="2024-02-06T03:00:00"/>
    <s v="2024-02-06 03:00:00"/>
    <s v="south"/>
    <x v="3"/>
    <s v="Electronics"/>
    <x v="2"/>
    <s v="Rice 5Kg"/>
    <s v="Rice 5kg"/>
    <s v="CUST0487"/>
    <s v=" CUST0487 "/>
    <x v="4"/>
    <s v="Karthik"/>
    <x v="3"/>
    <s v=" Net Banking "/>
    <n v="3"/>
    <s v="3"/>
    <n v="1073"/>
    <s v="1073"/>
    <n v="3219"/>
    <x v="0"/>
    <x v="1"/>
    <x v="5"/>
    <s v="Low"/>
    <s v="Online"/>
    <n v="3219"/>
  </r>
  <r>
    <n v="869"/>
    <d v="2024-02-06T04:00:00"/>
    <s v="2024-02-06 04:00:00"/>
    <s v="EAST"/>
    <x v="0"/>
    <s v=" Home Appliances "/>
    <x v="1"/>
    <s v="Rice 5Kg"/>
    <s v="Rice 5kg"/>
    <s v="CUST0557"/>
    <s v=" CUST0557 "/>
    <x v="1"/>
    <s v="Meena"/>
    <x v="0"/>
    <s v=" Cash"/>
    <n v="11"/>
    <s v="11"/>
    <n v="4370"/>
    <s v="4370"/>
    <n v="48070"/>
    <x v="0"/>
    <x v="1"/>
    <x v="5"/>
    <s v="Medium"/>
    <s v="Offline"/>
    <n v="48070"/>
  </r>
  <r>
    <n v="870"/>
    <d v="2024-02-06T05:00:00"/>
    <s v="2024-02-06 05:00:00"/>
    <s v="south"/>
    <x v="3"/>
    <s v="Clothing"/>
    <x v="0"/>
    <s v="Rice 5Kg"/>
    <s v="Rice 5kg"/>
    <s v="CUST0776"/>
    <s v=" CUST0776 "/>
    <x v="1"/>
    <s v="Meena"/>
    <x v="1"/>
    <s v="Debit card "/>
    <n v="13"/>
    <s v="13"/>
    <n v="4070"/>
    <s v="4070"/>
    <n v="52910"/>
    <x v="0"/>
    <x v="1"/>
    <x v="5"/>
    <s v="High"/>
    <s v="Online"/>
    <n v="52910"/>
  </r>
  <r>
    <n v="871"/>
    <d v="2024-02-06T06:00:00"/>
    <s v="2024-02-06 06:00:00"/>
    <s v=" North "/>
    <x v="2"/>
    <s v=" Home Appliances "/>
    <x v="1"/>
    <s v="Laptop"/>
    <s v="Laptop"/>
    <s v="CUST0583"/>
    <s v=" CUST0583 "/>
    <x v="1"/>
    <s v="Meena"/>
    <x v="3"/>
    <s v=" Net Banking "/>
    <n v="12"/>
    <s v="12"/>
    <n v="1508"/>
    <s v="1508"/>
    <n v="18096"/>
    <x v="0"/>
    <x v="1"/>
    <x v="5"/>
    <s v="Low"/>
    <s v="Online"/>
    <n v="18096"/>
  </r>
  <r>
    <n v="872"/>
    <d v="2024-02-06T07:00:00"/>
    <s v="2024-02-06 07:00:00"/>
    <s v=" west"/>
    <x v="1"/>
    <s v="Electronics"/>
    <x v="2"/>
    <s v="Washing Machine"/>
    <s v="Washing Machine"/>
    <s v="CUST0504"/>
    <s v=" CUST0504 "/>
    <x v="3"/>
    <s v="Anita"/>
    <x v="4"/>
    <s v="Credit Card"/>
    <n v="13"/>
    <s v="13"/>
    <n v="2043"/>
    <s v="2043"/>
    <n v="26559"/>
    <x v="0"/>
    <x v="1"/>
    <x v="5"/>
    <s v="Medium"/>
    <s v="Online"/>
    <n v="26559"/>
  </r>
  <r>
    <n v="873"/>
    <d v="2024-02-06T08:00:00"/>
    <s v="2024-02-06 08:00:00"/>
    <s v="south"/>
    <x v="3"/>
    <s v="Grocery"/>
    <x v="3"/>
    <s v="Washing Machine"/>
    <s v="Washing Machine"/>
    <s v="CUST0371"/>
    <s v=" CUST0371 "/>
    <x v="1"/>
    <s v="Meena"/>
    <x v="2"/>
    <s v="UPI"/>
    <n v="10"/>
    <s v="10"/>
    <n v="2388"/>
    <s v="2388"/>
    <n v="23880"/>
    <x v="0"/>
    <x v="1"/>
    <x v="5"/>
    <s v="Medium"/>
    <s v="Online"/>
    <n v="23880"/>
  </r>
  <r>
    <n v="874"/>
    <d v="2024-02-06T09:00:00"/>
    <s v="2024-02-06 09:00:00"/>
    <s v=" North "/>
    <x v="2"/>
    <s v=" Home Appliances "/>
    <x v="1"/>
    <s v="Washing Machine"/>
    <s v="Washing Machine"/>
    <s v="CUST0103"/>
    <s v=" CUST0103 "/>
    <x v="4"/>
    <s v="Karthik"/>
    <x v="4"/>
    <s v="Credit Card"/>
    <n v="10"/>
    <s v="10"/>
    <n v="646"/>
    <s v="646"/>
    <n v="6460"/>
    <x v="0"/>
    <x v="1"/>
    <x v="5"/>
    <s v="Low"/>
    <s v="Online"/>
    <n v="6460"/>
  </r>
  <r>
    <n v="875"/>
    <d v="2024-02-06T10:00:00"/>
    <s v="2024-02-06 10:00:00"/>
    <s v="south"/>
    <x v="3"/>
    <s v=" Home Appliances "/>
    <x v="1"/>
    <s v="Men T-Shirt"/>
    <s v="Men T-Shirt"/>
    <s v="CUST0125"/>
    <s v=" CUST0125 "/>
    <x v="4"/>
    <s v="Karthik"/>
    <x v="0"/>
    <s v=" Cash"/>
    <n v="13"/>
    <s v="13"/>
    <n v="1318"/>
    <s v="1318"/>
    <n v="17134"/>
    <x v="0"/>
    <x v="1"/>
    <x v="5"/>
    <s v="Low"/>
    <s v="Offline"/>
    <n v="17134"/>
  </r>
  <r>
    <n v="876"/>
    <d v="2024-02-06T11:00:00"/>
    <s v="2024-02-06 11:00:00"/>
    <s v="EAST"/>
    <x v="0"/>
    <s v="Electronics"/>
    <x v="2"/>
    <s v="Washing Machine"/>
    <s v="Washing Machine"/>
    <s v="CUST0313"/>
    <s v=" CUST0313 "/>
    <x v="0"/>
    <s v="Rahul"/>
    <x v="4"/>
    <s v="Credit Card"/>
    <n v="12"/>
    <s v="12"/>
    <n v="1520"/>
    <s v="1520"/>
    <n v="18240"/>
    <x v="0"/>
    <x v="1"/>
    <x v="5"/>
    <s v="Low"/>
    <s v="Online"/>
    <n v="18240"/>
  </r>
  <r>
    <n v="877"/>
    <d v="2024-02-06T12:00:00"/>
    <s v="2024-02-06 12:00:00"/>
    <s v="south"/>
    <x v="3"/>
    <s v="Electronics"/>
    <x v="2"/>
    <s v="Men T-Shirt"/>
    <s v="Men T-Shirt"/>
    <s v="CUST0798"/>
    <s v=" CUST0798 "/>
    <x v="3"/>
    <s v="Anita"/>
    <x v="4"/>
    <s v="Credit Card"/>
    <n v="5"/>
    <s v="5"/>
    <n v="1554"/>
    <s v="1554"/>
    <n v="7770"/>
    <x v="0"/>
    <x v="1"/>
    <x v="5"/>
    <s v="Low"/>
    <s v="Online"/>
    <n v="7770"/>
  </r>
  <r>
    <n v="878"/>
    <d v="2024-02-06T13:00:00"/>
    <s v="2024-02-06 13:00:00"/>
    <s v="south"/>
    <x v="3"/>
    <s v=" Home Appliances "/>
    <x v="1"/>
    <s v="Rice 5Kg"/>
    <s v="Rice 5kg"/>
    <s v="CUST0458"/>
    <s v=" CUST0458 "/>
    <x v="4"/>
    <s v="Karthik"/>
    <x v="4"/>
    <s v="Credit Card"/>
    <n v="10"/>
    <s v="10"/>
    <n v="3477"/>
    <s v="3477"/>
    <n v="34770"/>
    <x v="0"/>
    <x v="1"/>
    <x v="5"/>
    <s v="Medium"/>
    <s v="Online"/>
    <n v="34770"/>
  </r>
  <r>
    <n v="879"/>
    <d v="2024-02-06T14:00:00"/>
    <s v="2024-02-06 14:00:00"/>
    <s v=" North "/>
    <x v="2"/>
    <s v="Clothing"/>
    <x v="0"/>
    <s v="Rice 5Kg"/>
    <s v="Rice 5kg"/>
    <s v="CUST0230"/>
    <s v=" CUST0230 "/>
    <x v="2"/>
    <s v="Suresh"/>
    <x v="4"/>
    <s v="Credit Card"/>
    <n v="4"/>
    <s v="4"/>
    <n v="2872"/>
    <s v="2872"/>
    <n v="11488"/>
    <x v="0"/>
    <x v="1"/>
    <x v="5"/>
    <s v="Low"/>
    <s v="Online"/>
    <n v="11488"/>
  </r>
  <r>
    <n v="880"/>
    <d v="2024-02-06T15:00:00"/>
    <s v="2024-02-06 15:00:00"/>
    <s v=" North "/>
    <x v="2"/>
    <s v=" Home Appliances "/>
    <x v="1"/>
    <s v="Laptop"/>
    <s v="Laptop"/>
    <s v="CUST0658"/>
    <s v=" CUST0658 "/>
    <x v="3"/>
    <s v="Anita"/>
    <x v="0"/>
    <s v=" Cash"/>
    <n v="2"/>
    <s v="2"/>
    <n v="4198"/>
    <s v="4198"/>
    <n v="8396"/>
    <x v="0"/>
    <x v="1"/>
    <x v="5"/>
    <s v="Low"/>
    <s v="Offline"/>
    <n v="8396"/>
  </r>
  <r>
    <n v="881"/>
    <d v="2024-02-06T16:00:00"/>
    <s v="2024-02-06 16:00:00"/>
    <s v=" North "/>
    <x v="2"/>
    <s v="Electronics"/>
    <x v="2"/>
    <s v="Rice 5Kg"/>
    <s v="Rice 5kg"/>
    <s v="CUST0197"/>
    <s v=" CUST0197 "/>
    <x v="3"/>
    <s v="Anita"/>
    <x v="3"/>
    <s v=" Net Banking "/>
    <n v="4"/>
    <s v="4"/>
    <n v="2838"/>
    <s v="2838"/>
    <n v="11352"/>
    <x v="0"/>
    <x v="1"/>
    <x v="5"/>
    <s v="Low"/>
    <s v="Online"/>
    <n v="11352"/>
  </r>
  <r>
    <n v="882"/>
    <d v="2024-02-06T17:00:00"/>
    <s v="2024-02-06 17:00:00"/>
    <s v="south"/>
    <x v="3"/>
    <s v="Grocery"/>
    <x v="3"/>
    <s v="Laptop"/>
    <s v="Laptop"/>
    <s v="CUST0733"/>
    <s v=" CUST0733 "/>
    <x v="4"/>
    <s v="Karthik"/>
    <x v="1"/>
    <s v="Debit card "/>
    <n v="12"/>
    <s v="12"/>
    <n v="3847"/>
    <s v="3847"/>
    <n v="46164"/>
    <x v="0"/>
    <x v="1"/>
    <x v="5"/>
    <s v="Medium"/>
    <s v="Online"/>
    <n v="46164"/>
  </r>
  <r>
    <n v="883"/>
    <d v="2024-02-06T18:00:00"/>
    <s v="2024-02-06 18:00:00"/>
    <s v="EAST"/>
    <x v="0"/>
    <s v="Grocery"/>
    <x v="3"/>
    <s v="Led Tv 42Inch"/>
    <s v="LED TV 42inch"/>
    <s v="CUST0423"/>
    <s v=" CUST0423 "/>
    <x v="2"/>
    <s v="Suresh"/>
    <x v="2"/>
    <s v="UPI"/>
    <n v="8"/>
    <s v="8"/>
    <n v="1942"/>
    <s v="1942"/>
    <n v="15536"/>
    <x v="0"/>
    <x v="1"/>
    <x v="5"/>
    <s v="Low"/>
    <s v="Online"/>
    <n v="15536"/>
  </r>
  <r>
    <n v="884"/>
    <d v="2024-02-06T19:00:00"/>
    <s v="2024-02-06 19:00:00"/>
    <s v=" west"/>
    <x v="1"/>
    <s v="Clothing"/>
    <x v="0"/>
    <s v="Led Tv 42Inch"/>
    <s v="LED TV 42inch"/>
    <s v="CUST0572"/>
    <s v=" CUST0572 "/>
    <x v="0"/>
    <s v="Rahul"/>
    <x v="1"/>
    <s v="Debit card "/>
    <n v="5"/>
    <s v="5"/>
    <n v="846"/>
    <s v="846"/>
    <n v="4230"/>
    <x v="0"/>
    <x v="1"/>
    <x v="5"/>
    <s v="Low"/>
    <s v="Online"/>
    <n v="4230"/>
  </r>
  <r>
    <n v="885"/>
    <d v="2024-02-06T20:00:00"/>
    <s v="2024-02-06 20:00:00"/>
    <s v=" west"/>
    <x v="1"/>
    <s v=" Home Appliances "/>
    <x v="1"/>
    <s v="Mixer Grinder"/>
    <s v="Mixer Grinder"/>
    <s v="CUST0610"/>
    <s v=" CUST0610 "/>
    <x v="4"/>
    <s v="Karthik"/>
    <x v="1"/>
    <s v="Debit card "/>
    <n v="5"/>
    <s v="5"/>
    <n v="2916"/>
    <s v="2916"/>
    <n v="14580"/>
    <x v="0"/>
    <x v="1"/>
    <x v="5"/>
    <s v="Low"/>
    <s v="Online"/>
    <n v="14580"/>
  </r>
  <r>
    <n v="886"/>
    <d v="2024-02-06T21:00:00"/>
    <s v="2024-02-06 21:00:00"/>
    <s v=" North "/>
    <x v="2"/>
    <s v="Grocery"/>
    <x v="3"/>
    <s v="Laptop"/>
    <s v="Laptop"/>
    <s v="CUST0171"/>
    <s v=" CUST0171 "/>
    <x v="2"/>
    <s v="Suresh"/>
    <x v="2"/>
    <s v="UPI"/>
    <n v="13"/>
    <s v="13"/>
    <n v="971"/>
    <s v="971"/>
    <n v="12623"/>
    <x v="0"/>
    <x v="1"/>
    <x v="5"/>
    <s v="Low"/>
    <s v="Online"/>
    <n v="12623"/>
  </r>
  <r>
    <n v="887"/>
    <d v="2024-02-06T22:00:00"/>
    <s v="2024-02-06 22:00:00"/>
    <s v=" North "/>
    <x v="2"/>
    <s v=" Home Appliances "/>
    <x v="1"/>
    <s v="Mixer Grinder"/>
    <s v="Mixer Grinder"/>
    <s v="CUST0382"/>
    <s v=" CUST0382 "/>
    <x v="3"/>
    <s v="Anita"/>
    <x v="0"/>
    <s v=" Cash"/>
    <n v="12"/>
    <s v="12"/>
    <n v="594"/>
    <s v="594"/>
    <n v="7128"/>
    <x v="0"/>
    <x v="1"/>
    <x v="5"/>
    <s v="Low"/>
    <s v="Offline"/>
    <n v="7128"/>
  </r>
  <r>
    <n v="888"/>
    <d v="2024-02-06T23:00:00"/>
    <s v="2024-02-06 23:00:00"/>
    <s v="south"/>
    <x v="3"/>
    <s v="Electronics"/>
    <x v="2"/>
    <s v="Mixer Grinder"/>
    <s v="Mixer Grinder"/>
    <s v="CUST0173"/>
    <s v=" CUST0173 "/>
    <x v="2"/>
    <s v="Suresh"/>
    <x v="2"/>
    <s v="UPI"/>
    <n v="12"/>
    <s v="12"/>
    <n v="3544"/>
    <s v="3544"/>
    <n v="42528"/>
    <x v="0"/>
    <x v="1"/>
    <x v="5"/>
    <s v="Medium"/>
    <s v="Online"/>
    <n v="42528"/>
  </r>
  <r>
    <n v="889"/>
    <d v="2024-02-07T00:00:00"/>
    <s v="2024-02-07 00:00:00"/>
    <s v=" west"/>
    <x v="1"/>
    <s v="Grocery"/>
    <x v="3"/>
    <s v="Led Tv 42Inch"/>
    <s v="LED TV 42inch"/>
    <s v="CUST0663"/>
    <s v=" CUST0663 "/>
    <x v="3"/>
    <s v="Anita"/>
    <x v="0"/>
    <s v=" Cash"/>
    <n v="10"/>
    <s v="10"/>
    <n v="4823"/>
    <s v="4823"/>
    <n v="48230"/>
    <x v="0"/>
    <x v="1"/>
    <x v="5"/>
    <s v="Medium"/>
    <s v="Offline"/>
    <n v="48230"/>
  </r>
  <r>
    <n v="890"/>
    <d v="2024-02-07T01:00:00"/>
    <s v="2024-02-07 01:00:00"/>
    <s v=" North "/>
    <x v="2"/>
    <s v="Clothing"/>
    <x v="0"/>
    <s v="Laptop"/>
    <s v="Laptop"/>
    <s v="CUST0453"/>
    <s v=" CUST0453 "/>
    <x v="4"/>
    <s v="Karthik"/>
    <x v="1"/>
    <s v="Debit card "/>
    <n v="3"/>
    <s v="3"/>
    <n v="1175"/>
    <s v="1175"/>
    <n v="3525"/>
    <x v="0"/>
    <x v="1"/>
    <x v="5"/>
    <s v="Low"/>
    <s v="Online"/>
    <n v="3525"/>
  </r>
  <r>
    <n v="891"/>
    <d v="2024-02-07T02:00:00"/>
    <s v="2024-02-07 02:00:00"/>
    <s v="EAST"/>
    <x v="0"/>
    <s v="Electronics"/>
    <x v="2"/>
    <s v="Led Tv 42Inch"/>
    <s v="LED TV 42inch"/>
    <s v="CUST0350"/>
    <s v=" CUST0350 "/>
    <x v="4"/>
    <s v="Karthik"/>
    <x v="0"/>
    <s v=" Cash"/>
    <n v="13"/>
    <s v="13"/>
    <n v="4094"/>
    <s v="4094"/>
    <n v="53222"/>
    <x v="0"/>
    <x v="1"/>
    <x v="5"/>
    <s v="High"/>
    <s v="Offline"/>
    <n v="53222"/>
  </r>
  <r>
    <n v="892"/>
    <d v="2024-02-07T03:00:00"/>
    <s v="2024-02-07 03:00:00"/>
    <s v="EAST"/>
    <x v="0"/>
    <s v="Clothing"/>
    <x v="0"/>
    <s v="Mixer Grinder"/>
    <s v="Mixer Grinder"/>
    <s v="CUST0634"/>
    <s v=" CUST0634 "/>
    <x v="1"/>
    <s v="Meena"/>
    <x v="3"/>
    <s v=" Net Banking "/>
    <n v="8"/>
    <s v="8"/>
    <n v="4337"/>
    <s v="4337"/>
    <n v="34696"/>
    <x v="0"/>
    <x v="1"/>
    <x v="5"/>
    <s v="Medium"/>
    <s v="Online"/>
    <n v="34696"/>
  </r>
  <r>
    <n v="893"/>
    <d v="2024-02-07T04:00:00"/>
    <s v="2024-02-07 04:00:00"/>
    <s v=" North "/>
    <x v="2"/>
    <s v="Electronics"/>
    <x v="2"/>
    <s v="Laptop"/>
    <s v="Laptop"/>
    <s v="CUST0494"/>
    <s v=" CUST0494 "/>
    <x v="1"/>
    <s v="Meena"/>
    <x v="2"/>
    <s v="UPI"/>
    <n v="6"/>
    <s v="6"/>
    <n v="145"/>
    <s v="145"/>
    <n v="870"/>
    <x v="0"/>
    <x v="1"/>
    <x v="5"/>
    <s v="Low"/>
    <s v="Online"/>
    <n v="870"/>
  </r>
  <r>
    <n v="894"/>
    <d v="2024-02-07T05:00:00"/>
    <s v="2024-02-07 05:00:00"/>
    <s v=" North "/>
    <x v="2"/>
    <s v="Grocery"/>
    <x v="3"/>
    <s v="Mixer Grinder"/>
    <s v="Mixer Grinder"/>
    <s v="CUST0620"/>
    <s v=" CUST0620 "/>
    <x v="1"/>
    <s v="Meena"/>
    <x v="3"/>
    <s v=" Net Banking "/>
    <n v="2"/>
    <s v="2"/>
    <n v="3156"/>
    <s v="3156"/>
    <n v="6312"/>
    <x v="0"/>
    <x v="1"/>
    <x v="5"/>
    <s v="Low"/>
    <s v="Online"/>
    <n v="6312"/>
  </r>
  <r>
    <n v="895"/>
    <d v="2024-02-07T06:00:00"/>
    <s v="2024-02-07 06:00:00"/>
    <s v=" west"/>
    <x v="1"/>
    <s v="Clothing"/>
    <x v="0"/>
    <s v="Washing Machine"/>
    <s v="Washing Machine"/>
    <s v="CUST0004"/>
    <s v=" CUST0004 "/>
    <x v="4"/>
    <s v="Karthik"/>
    <x v="1"/>
    <s v="Debit card "/>
    <n v="2"/>
    <s v="2"/>
    <n v="2157"/>
    <s v="2157"/>
    <n v="4314"/>
    <x v="0"/>
    <x v="1"/>
    <x v="5"/>
    <s v="Low"/>
    <s v="Online"/>
    <n v="4314"/>
  </r>
  <r>
    <n v="896"/>
    <d v="2024-02-07T07:00:00"/>
    <s v="2024-02-07 07:00:00"/>
    <s v=" west"/>
    <x v="1"/>
    <s v="Clothing"/>
    <x v="0"/>
    <s v="Laptop"/>
    <s v="Laptop"/>
    <s v="CUST0093"/>
    <s v=" CUST0093 "/>
    <x v="0"/>
    <s v="Rahul"/>
    <x v="2"/>
    <s v="UPI"/>
    <n v="9"/>
    <s v="9"/>
    <n v="763"/>
    <s v="763"/>
    <n v="6867"/>
    <x v="0"/>
    <x v="1"/>
    <x v="5"/>
    <s v="Low"/>
    <s v="Online"/>
    <n v="6867"/>
  </r>
  <r>
    <n v="897"/>
    <d v="2024-02-07T08:00:00"/>
    <s v="2024-02-07 08:00:00"/>
    <s v="south"/>
    <x v="3"/>
    <s v="Electronics"/>
    <x v="2"/>
    <s v="Laptop"/>
    <s v="Laptop"/>
    <s v="CUST0006"/>
    <s v=" CUST0006 "/>
    <x v="4"/>
    <s v="Karthik"/>
    <x v="1"/>
    <s v="Debit card "/>
    <n v="13"/>
    <s v="13"/>
    <n v="4768"/>
    <s v="4768"/>
    <n v="61984"/>
    <x v="0"/>
    <x v="1"/>
    <x v="5"/>
    <s v="High"/>
    <s v="Online"/>
    <n v="61984"/>
  </r>
  <r>
    <n v="898"/>
    <d v="2024-02-07T09:00:00"/>
    <s v="2024-02-07 09:00:00"/>
    <s v=" west"/>
    <x v="1"/>
    <s v="Clothing"/>
    <x v="0"/>
    <s v="Mixer Grinder"/>
    <s v="Mixer Grinder"/>
    <s v="CUST0288"/>
    <s v=" CUST0288 "/>
    <x v="2"/>
    <s v="Suresh"/>
    <x v="3"/>
    <s v=" Net Banking "/>
    <n v="7"/>
    <s v="7"/>
    <n v="2129"/>
    <s v="2129"/>
    <n v="14903"/>
    <x v="0"/>
    <x v="1"/>
    <x v="5"/>
    <s v="Low"/>
    <s v="Online"/>
    <n v="14903"/>
  </r>
  <r>
    <n v="899"/>
    <d v="2024-02-07T10:00:00"/>
    <s v="2024-02-07 10:00:00"/>
    <s v="EAST"/>
    <x v="0"/>
    <s v="Electronics"/>
    <x v="2"/>
    <s v="Washing Machine"/>
    <s v="Washing Machine"/>
    <s v="CUST0618"/>
    <s v=" CUST0618 "/>
    <x v="4"/>
    <s v="Karthik"/>
    <x v="1"/>
    <s v="Debit card "/>
    <n v="10"/>
    <s v="10"/>
    <n v="2796"/>
    <s v="2796"/>
    <n v="27960"/>
    <x v="0"/>
    <x v="1"/>
    <x v="5"/>
    <s v="Medium"/>
    <s v="Online"/>
    <n v="27960"/>
  </r>
  <r>
    <n v="900"/>
    <d v="2024-02-07T11:00:00"/>
    <s v="2024-02-07 11:00:00"/>
    <s v="EAST"/>
    <x v="0"/>
    <s v="Electronics"/>
    <x v="2"/>
    <s v="Men T-Shirt"/>
    <s v="Men T-Shirt"/>
    <s v="CUST0146"/>
    <s v=" CUST0146 "/>
    <x v="4"/>
    <s v="Karthik"/>
    <x v="2"/>
    <s v="UPI"/>
    <n v="9"/>
    <s v="9"/>
    <n v="739"/>
    <s v="739"/>
    <n v="6651"/>
    <x v="0"/>
    <x v="1"/>
    <x v="5"/>
    <s v="Low"/>
    <s v="Online"/>
    <n v="6651"/>
  </r>
  <r>
    <n v="901"/>
    <d v="2024-02-07T12:00:00"/>
    <s v="2024-02-07 12:00:00"/>
    <s v=" North "/>
    <x v="2"/>
    <s v="Electronics"/>
    <x v="2"/>
    <s v="Led Tv 42Inch"/>
    <s v="LED TV 42inch"/>
    <s v="CUST0783"/>
    <s v=" CUST0783 "/>
    <x v="3"/>
    <s v="Anita"/>
    <x v="2"/>
    <s v="UPI"/>
    <n v="14"/>
    <s v="14"/>
    <n v="2763"/>
    <s v="2763"/>
    <n v="38682"/>
    <x v="0"/>
    <x v="1"/>
    <x v="5"/>
    <s v="Medium"/>
    <s v="Online"/>
    <n v="38682"/>
  </r>
  <r>
    <n v="902"/>
    <d v="2024-02-07T13:00:00"/>
    <s v="2024-02-07 13:00:00"/>
    <s v=" west"/>
    <x v="1"/>
    <s v="Electronics"/>
    <x v="2"/>
    <s v="Mixer Grinder"/>
    <s v="Mixer Grinder"/>
    <s v="CUST0424"/>
    <s v=" CUST0424 "/>
    <x v="3"/>
    <s v="Anita"/>
    <x v="1"/>
    <s v="Debit card "/>
    <n v="6"/>
    <s v="6"/>
    <n v="2845"/>
    <s v="2845"/>
    <n v="17070"/>
    <x v="0"/>
    <x v="1"/>
    <x v="5"/>
    <s v="Low"/>
    <s v="Online"/>
    <n v="17070"/>
  </r>
  <r>
    <n v="903"/>
    <d v="2024-02-07T14:00:00"/>
    <s v="2024-02-07 14:00:00"/>
    <s v="south"/>
    <x v="3"/>
    <s v="Grocery"/>
    <x v="3"/>
    <s v="Laptop"/>
    <s v="Laptop"/>
    <s v="CUST0608"/>
    <s v=" CUST0608 "/>
    <x v="3"/>
    <s v="Anita"/>
    <x v="2"/>
    <s v="UPI"/>
    <n v="5"/>
    <s v="5"/>
    <n v="4502"/>
    <s v="4502"/>
    <n v="22510"/>
    <x v="0"/>
    <x v="1"/>
    <x v="5"/>
    <s v="Medium"/>
    <s v="Online"/>
    <n v="22510"/>
  </r>
  <r>
    <n v="904"/>
    <d v="2024-02-07T15:00:00"/>
    <s v="2024-02-07 15:00:00"/>
    <s v="EAST"/>
    <x v="0"/>
    <s v="Electronics"/>
    <x v="2"/>
    <s v="Led Tv 42Inch"/>
    <s v="LED TV 42inch"/>
    <s v="CUST0457"/>
    <s v=" CUST0457 "/>
    <x v="4"/>
    <s v="Karthik"/>
    <x v="2"/>
    <s v="UPI"/>
    <n v="12"/>
    <s v="12"/>
    <n v="2695"/>
    <s v="2695"/>
    <n v="32340"/>
    <x v="0"/>
    <x v="1"/>
    <x v="5"/>
    <s v="Medium"/>
    <s v="Online"/>
    <n v="32340"/>
  </r>
  <r>
    <n v="905"/>
    <d v="2024-02-07T16:00:00"/>
    <s v="2024-02-07 16:00:00"/>
    <s v="EAST"/>
    <x v="0"/>
    <s v=" Home Appliances "/>
    <x v="1"/>
    <s v="Led Tv 42Inch"/>
    <s v="LED TV 42inch"/>
    <s v="CUST0741"/>
    <s v=" CUST0741 "/>
    <x v="0"/>
    <s v="Rahul"/>
    <x v="1"/>
    <s v="Debit card "/>
    <n v="1"/>
    <s v="1"/>
    <n v="3527"/>
    <s v="3527"/>
    <n v="3527"/>
    <x v="0"/>
    <x v="1"/>
    <x v="5"/>
    <s v="Low"/>
    <s v="Online"/>
    <n v="3527"/>
  </r>
  <r>
    <n v="906"/>
    <d v="2024-02-07T17:00:00"/>
    <s v="2024-02-07 17:00:00"/>
    <s v="south"/>
    <x v="3"/>
    <s v="Clothing"/>
    <x v="0"/>
    <s v="Led Tv 42Inch"/>
    <s v="LED TV 42inch"/>
    <s v="CUST0202"/>
    <s v=" CUST0202 "/>
    <x v="2"/>
    <s v="Suresh"/>
    <x v="3"/>
    <s v=" Net Banking "/>
    <n v="12"/>
    <s v="12"/>
    <n v="494"/>
    <s v="494"/>
    <n v="5928"/>
    <x v="0"/>
    <x v="1"/>
    <x v="5"/>
    <s v="Low"/>
    <s v="Online"/>
    <n v="5928"/>
  </r>
  <r>
    <n v="907"/>
    <d v="2024-02-07T18:00:00"/>
    <s v="2024-02-07 18:00:00"/>
    <s v="south"/>
    <x v="3"/>
    <s v=" Home Appliances "/>
    <x v="1"/>
    <s v="Men T-Shirt"/>
    <s v="Men T-Shirt"/>
    <s v="CUST0212"/>
    <s v=" CUST0212 "/>
    <x v="2"/>
    <s v="Suresh"/>
    <x v="2"/>
    <s v="UPI"/>
    <n v="6"/>
    <s v="6"/>
    <n v="3697"/>
    <s v="3697"/>
    <n v="22182"/>
    <x v="0"/>
    <x v="1"/>
    <x v="5"/>
    <s v="Medium"/>
    <s v="Online"/>
    <n v="22182"/>
  </r>
  <r>
    <n v="908"/>
    <d v="2024-02-07T19:00:00"/>
    <s v="2024-02-07 19:00:00"/>
    <s v="EAST"/>
    <x v="0"/>
    <s v="Grocery"/>
    <x v="3"/>
    <s v="Rice 5Kg"/>
    <s v="Rice 5kg"/>
    <s v="CUST0006"/>
    <s v=" CUST0006 "/>
    <x v="0"/>
    <s v="Rahul"/>
    <x v="2"/>
    <s v="UPI"/>
    <n v="6"/>
    <s v="6"/>
    <n v="4944"/>
    <s v="4944"/>
    <n v="29664"/>
    <x v="0"/>
    <x v="1"/>
    <x v="5"/>
    <s v="Medium"/>
    <s v="Online"/>
    <n v="29664"/>
  </r>
  <r>
    <n v="909"/>
    <d v="2024-02-07T20:00:00"/>
    <s v="2024-02-07 20:00:00"/>
    <s v="EAST"/>
    <x v="0"/>
    <s v=" Home Appliances "/>
    <x v="1"/>
    <s v="Mixer Grinder"/>
    <s v="Mixer Grinder"/>
    <s v="CUST0624"/>
    <s v=" CUST0624 "/>
    <x v="0"/>
    <s v="Rahul"/>
    <x v="2"/>
    <s v="UPI"/>
    <n v="3"/>
    <s v="3"/>
    <n v="2432"/>
    <s v="2432"/>
    <n v="7296"/>
    <x v="0"/>
    <x v="1"/>
    <x v="5"/>
    <s v="Low"/>
    <s v="Online"/>
    <n v="7296"/>
  </r>
  <r>
    <n v="910"/>
    <d v="2024-02-07T21:00:00"/>
    <s v="2024-02-07 21:00:00"/>
    <s v="south"/>
    <x v="3"/>
    <s v="Clothing"/>
    <x v="0"/>
    <s v="Rice 5Kg"/>
    <s v="Rice 5kg"/>
    <s v="CUST0376"/>
    <s v=" CUST0376 "/>
    <x v="2"/>
    <s v="Suresh"/>
    <x v="2"/>
    <s v="UPI"/>
    <n v="3"/>
    <s v="3"/>
    <n v="429"/>
    <s v="429"/>
    <n v="1287"/>
    <x v="0"/>
    <x v="1"/>
    <x v="5"/>
    <s v="Low"/>
    <s v="Online"/>
    <n v="1287"/>
  </r>
  <r>
    <n v="911"/>
    <d v="2024-02-07T22:00:00"/>
    <s v="2024-02-07 22:00:00"/>
    <s v="EAST"/>
    <x v="0"/>
    <s v=" Home Appliances "/>
    <x v="1"/>
    <s v="Rice 5Kg"/>
    <s v="Rice 5kg"/>
    <s v="CUST0447"/>
    <s v=" CUST0447 "/>
    <x v="1"/>
    <s v="Meena"/>
    <x v="1"/>
    <s v="Debit card "/>
    <n v="3"/>
    <s v="3"/>
    <n v="2197"/>
    <s v="2197"/>
    <n v="6591"/>
    <x v="0"/>
    <x v="1"/>
    <x v="5"/>
    <s v="Low"/>
    <s v="Online"/>
    <n v="6591"/>
  </r>
  <r>
    <n v="912"/>
    <d v="2024-02-07T23:00:00"/>
    <s v="2024-02-07 23:00:00"/>
    <s v=" North "/>
    <x v="2"/>
    <s v="Grocery"/>
    <x v="3"/>
    <s v="Rice 5Kg"/>
    <s v="Rice 5kg"/>
    <s v="CUST0106"/>
    <s v=" CUST0106 "/>
    <x v="3"/>
    <s v="Anita"/>
    <x v="3"/>
    <s v=" Net Banking "/>
    <n v="3"/>
    <s v="3"/>
    <n v="872"/>
    <s v="872"/>
    <n v="2616"/>
    <x v="0"/>
    <x v="1"/>
    <x v="5"/>
    <s v="Low"/>
    <s v="Online"/>
    <n v="2616"/>
  </r>
  <r>
    <n v="913"/>
    <d v="2024-02-08T00:00:00"/>
    <s v="2024-02-08 00:00:00"/>
    <s v=" North "/>
    <x v="2"/>
    <s v="Electronics"/>
    <x v="2"/>
    <s v="Led Tv 42Inch"/>
    <s v="LED TV 42inch"/>
    <s v="CUST0651"/>
    <s v=" CUST0651 "/>
    <x v="3"/>
    <s v="Anita"/>
    <x v="3"/>
    <s v=" Net Banking "/>
    <n v="7"/>
    <s v="7"/>
    <n v="1745"/>
    <s v="1745"/>
    <n v="12215"/>
    <x v="0"/>
    <x v="1"/>
    <x v="5"/>
    <s v="Low"/>
    <s v="Online"/>
    <n v="12215"/>
  </r>
  <r>
    <n v="914"/>
    <d v="2024-02-08T01:00:00"/>
    <s v="2024-02-08 01:00:00"/>
    <s v="south"/>
    <x v="3"/>
    <s v=" Home Appliances "/>
    <x v="1"/>
    <s v="Washing Machine"/>
    <s v="Washing Machine"/>
    <s v="CUST0401"/>
    <s v=" CUST0401 "/>
    <x v="2"/>
    <s v="Suresh"/>
    <x v="0"/>
    <s v=" Cash"/>
    <n v="10"/>
    <s v="10"/>
    <n v="1832"/>
    <s v="1832"/>
    <n v="18320"/>
    <x v="0"/>
    <x v="1"/>
    <x v="5"/>
    <s v="Low"/>
    <s v="Offline"/>
    <n v="18320"/>
  </r>
  <r>
    <n v="915"/>
    <d v="2024-02-08T02:00:00"/>
    <s v="2024-02-08 02:00:00"/>
    <s v=" west"/>
    <x v="1"/>
    <s v="Grocery"/>
    <x v="3"/>
    <s v="Led Tv 42Inch"/>
    <s v="LED TV 42inch"/>
    <s v="CUST0096"/>
    <s v=" CUST0096 "/>
    <x v="0"/>
    <s v="Rahul"/>
    <x v="2"/>
    <s v="UPI"/>
    <n v="11"/>
    <s v="11"/>
    <n v="4573"/>
    <s v="4573"/>
    <n v="50303"/>
    <x v="0"/>
    <x v="1"/>
    <x v="5"/>
    <s v="High"/>
    <s v="Online"/>
    <n v="50303"/>
  </r>
  <r>
    <n v="916"/>
    <d v="2024-02-08T03:00:00"/>
    <s v="2024-02-08 03:00:00"/>
    <s v="south"/>
    <x v="3"/>
    <s v="Grocery"/>
    <x v="3"/>
    <s v="Led Tv 42Inch"/>
    <s v="LED TV 42inch"/>
    <s v="CUST0388"/>
    <s v=" CUST0388 "/>
    <x v="1"/>
    <s v="Meena"/>
    <x v="2"/>
    <s v="UPI"/>
    <n v="2"/>
    <s v="2"/>
    <n v="1887"/>
    <s v="1887"/>
    <n v="3774"/>
    <x v="0"/>
    <x v="1"/>
    <x v="5"/>
    <s v="Low"/>
    <s v="Online"/>
    <n v="3774"/>
  </r>
  <r>
    <n v="917"/>
    <d v="2024-02-08T04:00:00"/>
    <s v="2024-02-08 04:00:00"/>
    <s v="south"/>
    <x v="3"/>
    <s v="Clothing"/>
    <x v="0"/>
    <s v="Laptop"/>
    <s v="Laptop"/>
    <s v="CUST0452"/>
    <s v=" CUST0452 "/>
    <x v="2"/>
    <s v="Suresh"/>
    <x v="0"/>
    <s v=" Cash"/>
    <n v="10"/>
    <s v="10"/>
    <n v="1723"/>
    <s v="1723"/>
    <n v="17230"/>
    <x v="0"/>
    <x v="1"/>
    <x v="5"/>
    <s v="Low"/>
    <s v="Offline"/>
    <n v="17230"/>
  </r>
  <r>
    <n v="918"/>
    <d v="2024-02-08T05:00:00"/>
    <s v="2024-02-08 05:00:00"/>
    <s v=" west"/>
    <x v="1"/>
    <s v="Clothing"/>
    <x v="0"/>
    <s v="Laptop"/>
    <s v="Laptop"/>
    <s v="CUST0416"/>
    <s v=" CUST0416 "/>
    <x v="3"/>
    <s v="Anita"/>
    <x v="3"/>
    <s v=" Net Banking "/>
    <n v="13"/>
    <s v="13"/>
    <n v="1099"/>
    <s v="1099"/>
    <n v="14287"/>
    <x v="0"/>
    <x v="1"/>
    <x v="5"/>
    <s v="Low"/>
    <s v="Online"/>
    <n v="14287"/>
  </r>
  <r>
    <n v="919"/>
    <d v="2024-02-08T06:00:00"/>
    <s v="2024-02-08 06:00:00"/>
    <s v=" west"/>
    <x v="1"/>
    <s v=" Home Appliances "/>
    <x v="1"/>
    <s v="Rice 5Kg"/>
    <s v="Rice 5kg"/>
    <s v="CUST0726"/>
    <s v=" CUST0726 "/>
    <x v="4"/>
    <s v="Karthik"/>
    <x v="4"/>
    <s v="Credit Card"/>
    <n v="10"/>
    <s v="10"/>
    <n v="1948"/>
    <s v="1948"/>
    <n v="19480"/>
    <x v="0"/>
    <x v="1"/>
    <x v="5"/>
    <s v="Low"/>
    <s v="Online"/>
    <n v="19480"/>
  </r>
  <r>
    <n v="920"/>
    <d v="2024-02-08T07:00:00"/>
    <s v="2024-02-08 07:00:00"/>
    <s v=" west"/>
    <x v="1"/>
    <s v="Electronics"/>
    <x v="2"/>
    <s v="Led Tv 42Inch"/>
    <s v="LED TV 42inch"/>
    <s v="CUST0504"/>
    <s v=" CUST0504 "/>
    <x v="0"/>
    <s v="Rahul"/>
    <x v="4"/>
    <s v="Credit Card"/>
    <n v="2"/>
    <s v="2"/>
    <n v="1661"/>
    <s v="1661"/>
    <n v="3322"/>
    <x v="0"/>
    <x v="1"/>
    <x v="5"/>
    <s v="Low"/>
    <s v="Online"/>
    <n v="3322"/>
  </r>
  <r>
    <n v="921"/>
    <d v="2024-02-08T08:00:00"/>
    <s v="2024-02-08 08:00:00"/>
    <s v=" North "/>
    <x v="2"/>
    <s v="Grocery"/>
    <x v="3"/>
    <s v="Rice 5Kg"/>
    <s v="Rice 5kg"/>
    <s v="CUST0454"/>
    <s v=" CUST0454 "/>
    <x v="4"/>
    <s v="Karthik"/>
    <x v="3"/>
    <s v=" Net Banking "/>
    <n v="3"/>
    <s v="3"/>
    <n v="873"/>
    <s v="873"/>
    <n v="2619"/>
    <x v="0"/>
    <x v="1"/>
    <x v="5"/>
    <s v="Low"/>
    <s v="Online"/>
    <n v="2619"/>
  </r>
  <r>
    <n v="922"/>
    <d v="2024-02-08T09:00:00"/>
    <s v="2024-02-08 09:00:00"/>
    <s v="EAST"/>
    <x v="0"/>
    <s v=" Home Appliances "/>
    <x v="1"/>
    <s v="Laptop"/>
    <s v="Laptop"/>
    <s v="CUST0291"/>
    <s v=" CUST0291 "/>
    <x v="2"/>
    <s v="Suresh"/>
    <x v="2"/>
    <s v="UPI"/>
    <n v="10"/>
    <s v="10"/>
    <n v="1903"/>
    <s v="1903"/>
    <n v="19030"/>
    <x v="0"/>
    <x v="1"/>
    <x v="5"/>
    <s v="Low"/>
    <s v="Online"/>
    <n v="19030"/>
  </r>
  <r>
    <n v="923"/>
    <d v="2024-02-08T10:00:00"/>
    <s v="2024-02-08 10:00:00"/>
    <s v=" North "/>
    <x v="2"/>
    <s v="Grocery"/>
    <x v="3"/>
    <s v="Washing Machine"/>
    <s v="Washing Machine"/>
    <s v="CUST0534"/>
    <s v=" CUST0534 "/>
    <x v="3"/>
    <s v="Anita"/>
    <x v="4"/>
    <s v="Credit Card"/>
    <n v="12"/>
    <s v="12"/>
    <n v="1198"/>
    <s v="1198"/>
    <n v="14376"/>
    <x v="0"/>
    <x v="1"/>
    <x v="5"/>
    <s v="Low"/>
    <s v="Online"/>
    <n v="14376"/>
  </r>
  <r>
    <n v="924"/>
    <d v="2024-02-08T11:00:00"/>
    <s v="2024-02-08 11:00:00"/>
    <s v="EAST"/>
    <x v="0"/>
    <s v="Grocery"/>
    <x v="3"/>
    <s v="Mixer Grinder"/>
    <s v="Mixer Grinder"/>
    <s v="CUST0193"/>
    <s v=" CUST0193 "/>
    <x v="1"/>
    <s v="Meena"/>
    <x v="1"/>
    <s v="Debit card "/>
    <n v="7"/>
    <s v="7"/>
    <n v="2150"/>
    <s v="2150"/>
    <n v="15050"/>
    <x v="0"/>
    <x v="1"/>
    <x v="5"/>
    <s v="Low"/>
    <s v="Online"/>
    <n v="15050"/>
  </r>
  <r>
    <n v="925"/>
    <d v="2024-02-08T12:00:00"/>
    <s v="2024-02-08 12:00:00"/>
    <s v=" North "/>
    <x v="2"/>
    <s v="Electronics"/>
    <x v="2"/>
    <s v="Rice 5Kg"/>
    <s v="Rice 5kg"/>
    <s v="CUST0150"/>
    <s v=" CUST0150 "/>
    <x v="4"/>
    <s v="Karthik"/>
    <x v="1"/>
    <s v="Debit card "/>
    <n v="3"/>
    <s v="3"/>
    <n v="1698"/>
    <s v="1698"/>
    <n v="5094"/>
    <x v="0"/>
    <x v="1"/>
    <x v="5"/>
    <s v="Low"/>
    <s v="Online"/>
    <n v="5094"/>
  </r>
  <r>
    <n v="926"/>
    <d v="2024-02-08T13:00:00"/>
    <s v="2024-02-08 13:00:00"/>
    <s v="EAST"/>
    <x v="0"/>
    <s v="Electronics"/>
    <x v="2"/>
    <s v="Washing Machine"/>
    <s v="Washing Machine"/>
    <s v="CUST0759"/>
    <s v=" CUST0759 "/>
    <x v="1"/>
    <s v="Meena"/>
    <x v="0"/>
    <s v=" Cash"/>
    <n v="7"/>
    <s v="7"/>
    <n v="847"/>
    <s v="847"/>
    <n v="5929"/>
    <x v="0"/>
    <x v="1"/>
    <x v="5"/>
    <s v="Low"/>
    <s v="Offline"/>
    <n v="5929"/>
  </r>
  <r>
    <n v="927"/>
    <d v="2024-02-08T14:00:00"/>
    <s v="2024-02-08 14:00:00"/>
    <s v=" North "/>
    <x v="2"/>
    <s v=" Home Appliances "/>
    <x v="1"/>
    <s v="Mixer Grinder"/>
    <s v="Mixer Grinder"/>
    <s v="CUST0779"/>
    <s v=" CUST0779 "/>
    <x v="3"/>
    <s v="Anita"/>
    <x v="3"/>
    <s v=" Net Banking "/>
    <n v="9"/>
    <s v="9"/>
    <n v="4073"/>
    <s v="4073"/>
    <n v="36657"/>
    <x v="0"/>
    <x v="1"/>
    <x v="5"/>
    <s v="Medium"/>
    <s v="Online"/>
    <n v="36657"/>
  </r>
  <r>
    <n v="928"/>
    <d v="2024-02-08T15:00:00"/>
    <s v="2024-02-08 15:00:00"/>
    <s v=" west"/>
    <x v="1"/>
    <s v="Electronics"/>
    <x v="2"/>
    <s v="Men T-Shirt"/>
    <s v="Men T-Shirt"/>
    <s v="CUST0763"/>
    <s v=" CUST0763 "/>
    <x v="4"/>
    <s v="Karthik"/>
    <x v="3"/>
    <s v=" Net Banking "/>
    <n v="11"/>
    <s v="11"/>
    <n v="2422"/>
    <s v="2422"/>
    <n v="26642"/>
    <x v="0"/>
    <x v="1"/>
    <x v="5"/>
    <s v="Medium"/>
    <s v="Online"/>
    <n v="26642"/>
  </r>
  <r>
    <n v="929"/>
    <d v="2024-02-08T16:00:00"/>
    <s v="2024-02-08 16:00:00"/>
    <s v="south"/>
    <x v="3"/>
    <s v="Electronics"/>
    <x v="2"/>
    <s v="Rice 5Kg"/>
    <s v="Rice 5kg"/>
    <s v="CUST0515"/>
    <s v=" CUST0515 "/>
    <x v="1"/>
    <s v="Meena"/>
    <x v="4"/>
    <s v="Credit Card"/>
    <n v="10"/>
    <s v="10"/>
    <n v="1653"/>
    <s v="1653"/>
    <n v="16530"/>
    <x v="0"/>
    <x v="1"/>
    <x v="5"/>
    <s v="Low"/>
    <s v="Online"/>
    <n v="16530"/>
  </r>
  <r>
    <n v="930"/>
    <d v="2024-02-08T17:00:00"/>
    <s v="2024-02-08 17:00:00"/>
    <s v=" North "/>
    <x v="2"/>
    <s v=" Home Appliances "/>
    <x v="1"/>
    <s v="Rice 5Kg"/>
    <s v="Rice 5kg"/>
    <s v="CUST0393"/>
    <s v=" CUST0393 "/>
    <x v="1"/>
    <s v="Meena"/>
    <x v="2"/>
    <s v="UPI"/>
    <n v="12"/>
    <s v="12"/>
    <n v="1715"/>
    <s v="1715"/>
    <n v="20580"/>
    <x v="0"/>
    <x v="1"/>
    <x v="5"/>
    <s v="Medium"/>
    <s v="Online"/>
    <n v="20580"/>
  </r>
  <r>
    <n v="931"/>
    <d v="2024-02-08T18:00:00"/>
    <s v="2024-02-08 18:00:00"/>
    <s v="EAST"/>
    <x v="0"/>
    <s v="Electronics"/>
    <x v="2"/>
    <s v="Men T-Shirt"/>
    <s v="Men T-Shirt"/>
    <s v="CUST0316"/>
    <s v=" CUST0316 "/>
    <x v="4"/>
    <s v="Karthik"/>
    <x v="3"/>
    <s v=" Net Banking "/>
    <n v="11"/>
    <s v="11"/>
    <n v="3854"/>
    <s v="3854"/>
    <n v="42394"/>
    <x v="0"/>
    <x v="1"/>
    <x v="5"/>
    <s v="Medium"/>
    <s v="Online"/>
    <n v="42394"/>
  </r>
  <r>
    <n v="932"/>
    <d v="2024-02-08T19:00:00"/>
    <s v="2024-02-08 19:00:00"/>
    <s v=" west"/>
    <x v="1"/>
    <s v="Clothing"/>
    <x v="0"/>
    <s v="Men T-Shirt"/>
    <s v="Men T-Shirt"/>
    <s v="CUST0076"/>
    <s v=" CUST0076 "/>
    <x v="3"/>
    <s v="Anita"/>
    <x v="4"/>
    <s v="Credit Card"/>
    <n v="4"/>
    <s v="4"/>
    <n v="4524"/>
    <s v="4524"/>
    <n v="18096"/>
    <x v="0"/>
    <x v="1"/>
    <x v="5"/>
    <s v="Low"/>
    <s v="Online"/>
    <n v="18096"/>
  </r>
  <r>
    <n v="933"/>
    <d v="2024-02-08T20:00:00"/>
    <s v="2024-02-08 20:00:00"/>
    <s v=" North "/>
    <x v="2"/>
    <s v="Grocery"/>
    <x v="3"/>
    <s v="Rice 5Kg"/>
    <s v="Rice 5kg"/>
    <s v="CUST0599"/>
    <s v=" CUST0599 "/>
    <x v="1"/>
    <s v="Meena"/>
    <x v="4"/>
    <s v="Credit Card"/>
    <n v="7"/>
    <s v="7"/>
    <n v="2402"/>
    <s v="2402"/>
    <n v="16814"/>
    <x v="0"/>
    <x v="1"/>
    <x v="5"/>
    <s v="Low"/>
    <s v="Online"/>
    <n v="16814"/>
  </r>
  <r>
    <n v="934"/>
    <d v="2024-02-08T21:00:00"/>
    <s v="2024-02-08 21:00:00"/>
    <s v=" North "/>
    <x v="2"/>
    <s v="Grocery"/>
    <x v="3"/>
    <s v="Men T-Shirt"/>
    <s v="Men T-Shirt"/>
    <s v="CUST0270"/>
    <s v=" CUST0270 "/>
    <x v="2"/>
    <s v="Suresh"/>
    <x v="3"/>
    <s v=" Net Banking "/>
    <n v="9"/>
    <s v="9"/>
    <n v="4321"/>
    <s v="4321"/>
    <n v="38889"/>
    <x v="0"/>
    <x v="1"/>
    <x v="5"/>
    <s v="Medium"/>
    <s v="Online"/>
    <n v="38889"/>
  </r>
  <r>
    <n v="935"/>
    <d v="2024-02-08T22:00:00"/>
    <s v="2024-02-08 22:00:00"/>
    <s v=" west"/>
    <x v="1"/>
    <s v="Grocery"/>
    <x v="3"/>
    <s v="Led Tv 42Inch"/>
    <s v="LED TV 42inch"/>
    <s v="CUST0225"/>
    <s v=" CUST0225 "/>
    <x v="4"/>
    <s v="Karthik"/>
    <x v="4"/>
    <s v="Credit Card"/>
    <n v="14"/>
    <s v="14"/>
    <n v="4962"/>
    <s v="4962"/>
    <n v="69468"/>
    <x v="0"/>
    <x v="1"/>
    <x v="5"/>
    <s v="High"/>
    <s v="Online"/>
    <n v="69468"/>
  </r>
  <r>
    <n v="936"/>
    <d v="2024-02-08T23:00:00"/>
    <s v="2024-02-08 23:00:00"/>
    <s v=" North "/>
    <x v="2"/>
    <s v="Grocery"/>
    <x v="3"/>
    <s v="Mixer Grinder"/>
    <s v="Mixer Grinder"/>
    <s v="CUST0530"/>
    <s v=" CUST0530 "/>
    <x v="0"/>
    <s v="Rahul"/>
    <x v="0"/>
    <s v=" Cash"/>
    <n v="8"/>
    <s v="8"/>
    <n v="3755"/>
    <s v="3755"/>
    <n v="30040"/>
    <x v="0"/>
    <x v="1"/>
    <x v="5"/>
    <s v="Medium"/>
    <s v="Offline"/>
    <n v="30040"/>
  </r>
  <r>
    <n v="937"/>
    <d v="2024-02-09T00:00:00"/>
    <s v="2024-02-09 00:00:00"/>
    <s v="south"/>
    <x v="3"/>
    <s v=" Home Appliances "/>
    <x v="1"/>
    <s v="Mixer Grinder"/>
    <s v="Mixer Grinder"/>
    <s v="CUST0113"/>
    <s v=" CUST0113 "/>
    <x v="0"/>
    <s v="Rahul"/>
    <x v="0"/>
    <s v=" Cash"/>
    <n v="8"/>
    <s v="8"/>
    <n v="3495"/>
    <s v="3495"/>
    <n v="27960"/>
    <x v="0"/>
    <x v="1"/>
    <x v="5"/>
    <s v="Medium"/>
    <s v="Offline"/>
    <n v="27960"/>
  </r>
  <r>
    <n v="938"/>
    <d v="2024-02-09T01:00:00"/>
    <s v="2024-02-09 01:00:00"/>
    <s v=" North "/>
    <x v="2"/>
    <s v="Grocery"/>
    <x v="3"/>
    <s v="Mixer Grinder"/>
    <s v="Mixer Grinder"/>
    <s v="CUST0251"/>
    <s v=" CUST0251 "/>
    <x v="3"/>
    <s v="Anita"/>
    <x v="3"/>
    <s v=" Net Banking "/>
    <n v="9"/>
    <s v="9"/>
    <n v="316"/>
    <s v="316"/>
    <n v="2844"/>
    <x v="0"/>
    <x v="1"/>
    <x v="5"/>
    <s v="Low"/>
    <s v="Online"/>
    <n v="2844"/>
  </r>
  <r>
    <n v="939"/>
    <d v="2024-02-09T02:00:00"/>
    <s v="2024-02-09 02:00:00"/>
    <s v="south"/>
    <x v="3"/>
    <s v="Grocery"/>
    <x v="3"/>
    <s v="Led Tv 42Inch"/>
    <s v="LED TV 42inch"/>
    <s v="CUST0233"/>
    <s v=" CUST0233 "/>
    <x v="2"/>
    <s v="Suresh"/>
    <x v="2"/>
    <s v="UPI"/>
    <n v="14"/>
    <s v="14"/>
    <n v="3416"/>
    <s v="3416"/>
    <n v="47824"/>
    <x v="0"/>
    <x v="1"/>
    <x v="5"/>
    <s v="Medium"/>
    <s v="Online"/>
    <n v="47824"/>
  </r>
  <r>
    <n v="940"/>
    <d v="2024-02-09T03:00:00"/>
    <s v="2024-02-09 03:00:00"/>
    <s v="south"/>
    <x v="3"/>
    <s v="Grocery"/>
    <x v="3"/>
    <s v="Men T-Shirt"/>
    <s v="Men T-Shirt"/>
    <s v="CUST0791"/>
    <s v=" CUST0791 "/>
    <x v="1"/>
    <s v="Meena"/>
    <x v="0"/>
    <s v=" Cash"/>
    <n v="5"/>
    <s v="5"/>
    <n v="1459"/>
    <s v="1459"/>
    <n v="7295"/>
    <x v="0"/>
    <x v="1"/>
    <x v="5"/>
    <s v="Low"/>
    <s v="Offline"/>
    <n v="7295"/>
  </r>
  <r>
    <n v="941"/>
    <d v="2024-02-09T04:00:00"/>
    <s v="2024-02-09 04:00:00"/>
    <s v=" west"/>
    <x v="1"/>
    <s v="Grocery"/>
    <x v="3"/>
    <s v="Washing Machine"/>
    <s v="Washing Machine"/>
    <s v="CUST0714"/>
    <s v=" CUST0714 "/>
    <x v="0"/>
    <s v="Rahul"/>
    <x v="0"/>
    <s v=" Cash"/>
    <n v="14"/>
    <s v="14"/>
    <n v="3874"/>
    <s v="3874"/>
    <n v="54236"/>
    <x v="0"/>
    <x v="1"/>
    <x v="5"/>
    <s v="High"/>
    <s v="Offline"/>
    <n v="54236"/>
  </r>
  <r>
    <n v="942"/>
    <d v="2024-02-09T05:00:00"/>
    <s v="2024-02-09 05:00:00"/>
    <s v=" North "/>
    <x v="2"/>
    <s v="Clothing"/>
    <x v="0"/>
    <s v="Men T-Shirt"/>
    <s v="Men T-Shirt"/>
    <s v="CUST0083"/>
    <s v=" CUST0083 "/>
    <x v="3"/>
    <s v="Anita"/>
    <x v="3"/>
    <s v=" Net Banking "/>
    <n v="5"/>
    <s v="5"/>
    <n v="4377"/>
    <s v="4377"/>
    <n v="21885"/>
    <x v="0"/>
    <x v="1"/>
    <x v="5"/>
    <s v="Medium"/>
    <s v="Online"/>
    <n v="21885"/>
  </r>
  <r>
    <n v="943"/>
    <d v="2024-02-09T06:00:00"/>
    <s v="2024-02-09 06:00:00"/>
    <s v=" west"/>
    <x v="1"/>
    <s v="Grocery"/>
    <x v="3"/>
    <s v="Rice 5Kg"/>
    <s v="Rice 5kg"/>
    <s v="CUST0125"/>
    <s v=" CUST0125 "/>
    <x v="2"/>
    <s v="Suresh"/>
    <x v="1"/>
    <s v="Debit card "/>
    <n v="3"/>
    <s v="3"/>
    <n v="4529"/>
    <s v="4529"/>
    <n v="13587"/>
    <x v="0"/>
    <x v="1"/>
    <x v="5"/>
    <s v="Low"/>
    <s v="Online"/>
    <n v="13587"/>
  </r>
  <r>
    <n v="944"/>
    <d v="2024-02-09T07:00:00"/>
    <s v="2024-02-09 07:00:00"/>
    <s v=" North "/>
    <x v="2"/>
    <s v="Clothing"/>
    <x v="0"/>
    <s v="Laptop"/>
    <s v="Laptop"/>
    <s v="CUST0175"/>
    <s v=" CUST0175 "/>
    <x v="2"/>
    <s v="Suresh"/>
    <x v="4"/>
    <s v="Credit Card"/>
    <n v="5"/>
    <s v="5"/>
    <n v="4706"/>
    <s v="4706"/>
    <n v="23530"/>
    <x v="0"/>
    <x v="1"/>
    <x v="5"/>
    <s v="Medium"/>
    <s v="Online"/>
    <n v="23530"/>
  </r>
  <r>
    <n v="945"/>
    <d v="2024-02-09T08:00:00"/>
    <s v="2024-02-09 08:00:00"/>
    <s v=" North "/>
    <x v="2"/>
    <s v=" Home Appliances "/>
    <x v="1"/>
    <s v="Mixer Grinder"/>
    <s v="Mixer Grinder"/>
    <s v="CUST0069"/>
    <s v=" CUST0069 "/>
    <x v="3"/>
    <s v="Anita"/>
    <x v="0"/>
    <s v=" Cash"/>
    <n v="8"/>
    <s v="8"/>
    <n v="4578"/>
    <s v="4578"/>
    <n v="36624"/>
    <x v="0"/>
    <x v="1"/>
    <x v="5"/>
    <s v="Medium"/>
    <s v="Offline"/>
    <n v="36624"/>
  </r>
  <r>
    <n v="946"/>
    <d v="2024-02-09T09:00:00"/>
    <s v="2024-02-09 09:00:00"/>
    <s v="EAST"/>
    <x v="0"/>
    <s v="Electronics"/>
    <x v="2"/>
    <s v="Men T-Shirt"/>
    <s v="Men T-Shirt"/>
    <s v="CUST0047"/>
    <s v=" CUST0047 "/>
    <x v="3"/>
    <s v="Anita"/>
    <x v="1"/>
    <s v="Debit card "/>
    <n v="12"/>
    <s v="12"/>
    <n v="1996"/>
    <s v="1996"/>
    <n v="23952"/>
    <x v="0"/>
    <x v="1"/>
    <x v="5"/>
    <s v="Medium"/>
    <s v="Online"/>
    <n v="23952"/>
  </r>
  <r>
    <n v="947"/>
    <d v="2024-02-09T10:00:00"/>
    <s v="2024-02-09 10:00:00"/>
    <s v=" North "/>
    <x v="2"/>
    <s v="Grocery"/>
    <x v="3"/>
    <s v="Washing Machine"/>
    <s v="Washing Machine"/>
    <s v="CUST0256"/>
    <s v=" CUST0256 "/>
    <x v="1"/>
    <s v="Meena"/>
    <x v="2"/>
    <s v="UPI"/>
    <n v="5"/>
    <s v="5"/>
    <n v="4527"/>
    <s v="4527"/>
    <n v="22635"/>
    <x v="0"/>
    <x v="1"/>
    <x v="5"/>
    <s v="Medium"/>
    <s v="Online"/>
    <n v="22635"/>
  </r>
  <r>
    <n v="948"/>
    <d v="2024-02-09T11:00:00"/>
    <s v="2024-02-09 11:00:00"/>
    <s v=" west"/>
    <x v="1"/>
    <s v="Electronics"/>
    <x v="2"/>
    <s v="Rice 5Kg"/>
    <s v="Rice 5kg"/>
    <s v="CUST0727"/>
    <s v=" CUST0727 "/>
    <x v="3"/>
    <s v="Anita"/>
    <x v="1"/>
    <s v="Debit card "/>
    <n v="4"/>
    <s v="4"/>
    <n v="999"/>
    <s v="999"/>
    <n v="3996"/>
    <x v="0"/>
    <x v="1"/>
    <x v="5"/>
    <s v="Low"/>
    <s v="Online"/>
    <n v="3996"/>
  </r>
  <r>
    <n v="949"/>
    <d v="2024-02-09T12:00:00"/>
    <s v="2024-02-09 12:00:00"/>
    <s v="south"/>
    <x v="3"/>
    <s v="Electronics"/>
    <x v="2"/>
    <s v="Led Tv 42Inch"/>
    <s v="LED TV 42inch"/>
    <s v="CUST0030"/>
    <s v=" CUST0030 "/>
    <x v="1"/>
    <s v="Meena"/>
    <x v="3"/>
    <s v=" Net Banking "/>
    <n v="8"/>
    <s v="8"/>
    <n v="741"/>
    <s v="741"/>
    <n v="5928"/>
    <x v="0"/>
    <x v="1"/>
    <x v="5"/>
    <s v="Low"/>
    <s v="Online"/>
    <n v="5928"/>
  </r>
  <r>
    <n v="950"/>
    <d v="2024-02-09T13:00:00"/>
    <s v="2024-02-09 13:00:00"/>
    <s v=" North "/>
    <x v="2"/>
    <s v=" Home Appliances "/>
    <x v="1"/>
    <s v="Led Tv 42Inch"/>
    <s v="LED TV 42inch"/>
    <s v="CUST0281"/>
    <s v=" CUST0281 "/>
    <x v="1"/>
    <s v="Meena"/>
    <x v="2"/>
    <s v="UPI"/>
    <n v="7"/>
    <s v="7"/>
    <n v="4829"/>
    <s v="4829"/>
    <n v="33803"/>
    <x v="0"/>
    <x v="1"/>
    <x v="5"/>
    <s v="Medium"/>
    <s v="Online"/>
    <n v="33803"/>
  </r>
  <r>
    <n v="951"/>
    <d v="2024-02-09T14:00:00"/>
    <s v="2024-02-09 14:00:00"/>
    <s v="EAST"/>
    <x v="0"/>
    <s v="Electronics"/>
    <x v="2"/>
    <s v="Washing Machine"/>
    <s v="Washing Machine"/>
    <s v="CUST0237"/>
    <s v=" CUST0237 "/>
    <x v="4"/>
    <s v="Karthik"/>
    <x v="2"/>
    <s v="UPI"/>
    <n v="14"/>
    <s v="14"/>
    <n v="3727"/>
    <s v="3727"/>
    <n v="52178"/>
    <x v="0"/>
    <x v="1"/>
    <x v="5"/>
    <s v="High"/>
    <s v="Online"/>
    <n v="52178"/>
  </r>
  <r>
    <n v="952"/>
    <d v="2024-02-09T15:00:00"/>
    <s v="2024-02-09 15:00:00"/>
    <s v=" west"/>
    <x v="1"/>
    <s v="Clothing"/>
    <x v="0"/>
    <s v="Rice 5Kg"/>
    <s v="Rice 5kg"/>
    <s v="CUST0248"/>
    <s v=" CUST0248 "/>
    <x v="2"/>
    <s v="Suresh"/>
    <x v="1"/>
    <s v="Debit card "/>
    <n v="14"/>
    <s v="14"/>
    <n v="295"/>
    <s v="295"/>
    <n v="4130"/>
    <x v="0"/>
    <x v="1"/>
    <x v="5"/>
    <s v="Low"/>
    <s v="Online"/>
    <n v="4130"/>
  </r>
  <r>
    <n v="953"/>
    <d v="2024-02-09T16:00:00"/>
    <s v="2024-02-09 16:00:00"/>
    <s v=" North "/>
    <x v="2"/>
    <s v="Electronics"/>
    <x v="2"/>
    <s v="Mixer Grinder"/>
    <s v="Mixer Grinder"/>
    <s v="CUST0368"/>
    <s v=" CUST0368 "/>
    <x v="2"/>
    <s v="Suresh"/>
    <x v="3"/>
    <s v=" Net Banking "/>
    <n v="6"/>
    <s v="6"/>
    <n v="1993"/>
    <s v="1993"/>
    <n v="11958"/>
    <x v="0"/>
    <x v="1"/>
    <x v="5"/>
    <s v="Low"/>
    <s v="Online"/>
    <n v="11958"/>
  </r>
  <r>
    <n v="954"/>
    <d v="2024-02-09T17:00:00"/>
    <s v="2024-02-09 17:00:00"/>
    <s v=" west"/>
    <x v="1"/>
    <s v="Electronics"/>
    <x v="2"/>
    <s v="Men T-Shirt"/>
    <s v="Men T-Shirt"/>
    <s v="CUST0495"/>
    <s v=" CUST0495 "/>
    <x v="2"/>
    <s v="Suresh"/>
    <x v="0"/>
    <s v=" Cash"/>
    <n v="5"/>
    <s v="5"/>
    <n v="3375"/>
    <s v="3375"/>
    <n v="16875"/>
    <x v="0"/>
    <x v="1"/>
    <x v="5"/>
    <s v="Low"/>
    <s v="Offline"/>
    <n v="16875"/>
  </r>
  <r>
    <n v="955"/>
    <d v="2024-02-09T18:00:00"/>
    <s v="2024-02-09 18:00:00"/>
    <s v="EAST"/>
    <x v="0"/>
    <s v="Electronics"/>
    <x v="2"/>
    <s v="Rice 5Kg"/>
    <s v="Rice 5kg"/>
    <s v="CUST0025"/>
    <s v=" CUST0025 "/>
    <x v="4"/>
    <s v="Karthik"/>
    <x v="1"/>
    <s v="Debit card "/>
    <n v="14"/>
    <s v="14"/>
    <n v="4150"/>
    <s v="4150"/>
    <n v="58100"/>
    <x v="0"/>
    <x v="1"/>
    <x v="5"/>
    <s v="High"/>
    <s v="Online"/>
    <n v="58100"/>
  </r>
  <r>
    <n v="956"/>
    <d v="2024-02-09T19:00:00"/>
    <s v="2024-02-09 19:00:00"/>
    <s v="EAST"/>
    <x v="0"/>
    <s v="Grocery"/>
    <x v="3"/>
    <s v="Led Tv 42Inch"/>
    <s v="LED TV 42inch"/>
    <s v="CUST0586"/>
    <s v=" CUST0586 "/>
    <x v="1"/>
    <s v="Meena"/>
    <x v="0"/>
    <s v=" Cash"/>
    <n v="5"/>
    <s v="5"/>
    <n v="4653"/>
    <s v="4653"/>
    <n v="23265"/>
    <x v="0"/>
    <x v="1"/>
    <x v="5"/>
    <s v="Medium"/>
    <s v="Offline"/>
    <n v="23265"/>
  </r>
  <r>
    <n v="957"/>
    <d v="2024-02-09T20:00:00"/>
    <s v="2024-02-09 20:00:00"/>
    <s v=" west"/>
    <x v="1"/>
    <s v="Grocery"/>
    <x v="3"/>
    <s v="Washing Machine"/>
    <s v="Washing Machine"/>
    <s v="CUST0718"/>
    <s v=" CUST0718 "/>
    <x v="1"/>
    <s v="Meena"/>
    <x v="1"/>
    <s v="Debit card "/>
    <n v="13"/>
    <s v="13"/>
    <n v="2404"/>
    <s v="2404"/>
    <n v="31252"/>
    <x v="0"/>
    <x v="1"/>
    <x v="5"/>
    <s v="Medium"/>
    <s v="Online"/>
    <n v="31252"/>
  </r>
  <r>
    <n v="958"/>
    <d v="2024-02-09T21:00:00"/>
    <s v="2024-02-09 21:00:00"/>
    <s v=" North "/>
    <x v="2"/>
    <s v="Clothing"/>
    <x v="0"/>
    <s v="Washing Machine"/>
    <s v="Washing Machine"/>
    <s v="CUST0490"/>
    <s v=" CUST0490 "/>
    <x v="3"/>
    <s v="Anita"/>
    <x v="0"/>
    <s v=" Cash"/>
    <n v="10"/>
    <s v="10"/>
    <n v="3700"/>
    <s v="3700"/>
    <n v="37000"/>
    <x v="0"/>
    <x v="1"/>
    <x v="5"/>
    <s v="Medium"/>
    <s v="Offline"/>
    <n v="37000"/>
  </r>
  <r>
    <n v="959"/>
    <d v="2024-02-09T22:00:00"/>
    <s v="2024-02-09 22:00:00"/>
    <s v="south"/>
    <x v="3"/>
    <s v="Clothing"/>
    <x v="0"/>
    <s v="Men T-Shirt"/>
    <s v="Men T-Shirt"/>
    <s v="CUST0494"/>
    <s v=" CUST0494 "/>
    <x v="4"/>
    <s v="Karthik"/>
    <x v="1"/>
    <s v="Debit card "/>
    <n v="2"/>
    <s v="2"/>
    <n v="3443"/>
    <s v="3443"/>
    <n v="6886"/>
    <x v="0"/>
    <x v="1"/>
    <x v="5"/>
    <s v="Low"/>
    <s v="Online"/>
    <n v="6886"/>
  </r>
  <r>
    <n v="960"/>
    <d v="2024-02-09T23:00:00"/>
    <s v="2024-02-09 23:00:00"/>
    <s v="EAST"/>
    <x v="0"/>
    <s v="Grocery"/>
    <x v="3"/>
    <s v="Washing Machine"/>
    <s v="Washing Machine"/>
    <s v="CUST0314"/>
    <s v=" CUST0314 "/>
    <x v="3"/>
    <s v="Anita"/>
    <x v="2"/>
    <s v="UPI"/>
    <n v="13"/>
    <s v="13"/>
    <n v="2156"/>
    <s v="2156"/>
    <n v="28028"/>
    <x v="0"/>
    <x v="1"/>
    <x v="5"/>
    <s v="Medium"/>
    <s v="Online"/>
    <n v="28028"/>
  </r>
  <r>
    <n v="961"/>
    <d v="2024-02-10T00:00:00"/>
    <s v="2024-02-10 00:00:00"/>
    <s v=" North "/>
    <x v="2"/>
    <s v="Clothing"/>
    <x v="0"/>
    <s v="Washing Machine"/>
    <s v="Washing Machine"/>
    <s v="CUST0606"/>
    <s v=" CUST0606 "/>
    <x v="4"/>
    <s v="Karthik"/>
    <x v="4"/>
    <s v="Credit Card"/>
    <n v="4"/>
    <s v="4"/>
    <n v="2908"/>
    <s v="2908"/>
    <n v="11632"/>
    <x v="0"/>
    <x v="1"/>
    <x v="5"/>
    <s v="Low"/>
    <s v="Online"/>
    <n v="11632"/>
  </r>
  <r>
    <n v="962"/>
    <d v="2024-02-10T01:00:00"/>
    <s v="2024-02-10 01:00:00"/>
    <s v=" North "/>
    <x v="2"/>
    <s v="Grocery"/>
    <x v="3"/>
    <s v="Rice 5Kg"/>
    <s v="Rice 5kg"/>
    <s v="CUST0375"/>
    <s v=" CUST0375 "/>
    <x v="3"/>
    <s v="Anita"/>
    <x v="2"/>
    <s v="UPI"/>
    <n v="8"/>
    <s v="8"/>
    <n v="1324"/>
    <s v="1324"/>
    <n v="10592"/>
    <x v="0"/>
    <x v="1"/>
    <x v="5"/>
    <s v="Low"/>
    <s v="Online"/>
    <n v="10592"/>
  </r>
  <r>
    <n v="963"/>
    <d v="2024-02-10T02:00:00"/>
    <s v="2024-02-10 02:00:00"/>
    <s v="south"/>
    <x v="3"/>
    <s v=" Home Appliances "/>
    <x v="1"/>
    <s v="Mixer Grinder"/>
    <s v="Mixer Grinder"/>
    <s v="CUST0639"/>
    <s v=" CUST0639 "/>
    <x v="0"/>
    <s v="Rahul"/>
    <x v="0"/>
    <s v=" Cash"/>
    <n v="8"/>
    <s v="8"/>
    <n v="986"/>
    <s v="986"/>
    <n v="7888"/>
    <x v="0"/>
    <x v="1"/>
    <x v="5"/>
    <s v="Low"/>
    <s v="Offline"/>
    <n v="7888"/>
  </r>
  <r>
    <n v="964"/>
    <d v="2024-02-10T03:00:00"/>
    <s v="2024-02-10 03:00:00"/>
    <s v="EAST"/>
    <x v="0"/>
    <s v="Electronics"/>
    <x v="2"/>
    <s v="Men T-Shirt"/>
    <s v="Men T-Shirt"/>
    <s v="CUST0025"/>
    <s v=" CUST0025 "/>
    <x v="2"/>
    <s v="Suresh"/>
    <x v="3"/>
    <s v=" Net Banking "/>
    <n v="11"/>
    <s v="11"/>
    <n v="492"/>
    <s v="492"/>
    <n v="5412"/>
    <x v="0"/>
    <x v="1"/>
    <x v="5"/>
    <s v="Low"/>
    <s v="Online"/>
    <n v="5412"/>
  </r>
  <r>
    <n v="965"/>
    <d v="2024-02-10T04:00:00"/>
    <s v="2024-02-10 04:00:00"/>
    <s v="EAST"/>
    <x v="0"/>
    <s v="Electronics"/>
    <x v="2"/>
    <s v="Rice 5Kg"/>
    <s v="Rice 5kg"/>
    <s v="CUST0334"/>
    <s v=" CUST0334 "/>
    <x v="2"/>
    <s v="Suresh"/>
    <x v="2"/>
    <s v="UPI"/>
    <n v="1"/>
    <s v="1"/>
    <n v="1775"/>
    <s v="1775"/>
    <n v="1775"/>
    <x v="0"/>
    <x v="1"/>
    <x v="5"/>
    <s v="Low"/>
    <s v="Online"/>
    <n v="1775"/>
  </r>
  <r>
    <n v="966"/>
    <d v="2024-02-10T05:00:00"/>
    <s v="2024-02-10 05:00:00"/>
    <s v=" North "/>
    <x v="2"/>
    <s v="Clothing"/>
    <x v="0"/>
    <s v="Mixer Grinder"/>
    <s v="Mixer Grinder"/>
    <s v="CUST0355"/>
    <s v=" CUST0355 "/>
    <x v="1"/>
    <s v="Meena"/>
    <x v="4"/>
    <s v="Credit Card"/>
    <n v="2"/>
    <s v="2"/>
    <n v="3290"/>
    <s v="3290"/>
    <n v="6580"/>
    <x v="0"/>
    <x v="1"/>
    <x v="5"/>
    <s v="Low"/>
    <s v="Online"/>
    <n v="6580"/>
  </r>
  <r>
    <n v="967"/>
    <d v="2024-02-10T06:00:00"/>
    <s v="2024-02-10 06:00:00"/>
    <s v=" North "/>
    <x v="2"/>
    <s v="Grocery"/>
    <x v="3"/>
    <s v="Rice 5Kg"/>
    <s v="Rice 5kg"/>
    <s v="CUST0116"/>
    <s v=" CUST0116 "/>
    <x v="0"/>
    <s v="Rahul"/>
    <x v="0"/>
    <s v=" Cash"/>
    <n v="5"/>
    <s v="5"/>
    <n v="2546"/>
    <s v="2546"/>
    <n v="12730"/>
    <x v="0"/>
    <x v="1"/>
    <x v="5"/>
    <s v="Low"/>
    <s v="Offline"/>
    <n v="12730"/>
  </r>
  <r>
    <n v="968"/>
    <d v="2024-02-10T07:00:00"/>
    <s v="2024-02-10 07:00:00"/>
    <s v="south"/>
    <x v="3"/>
    <s v="Grocery"/>
    <x v="3"/>
    <s v="Laptop"/>
    <s v="Laptop"/>
    <s v="CUST0048"/>
    <s v=" CUST0048 "/>
    <x v="2"/>
    <s v="Suresh"/>
    <x v="2"/>
    <s v="UPI"/>
    <n v="9"/>
    <s v="9"/>
    <n v="4005"/>
    <s v="4005"/>
    <n v="36045"/>
    <x v="0"/>
    <x v="1"/>
    <x v="5"/>
    <s v="Medium"/>
    <s v="Online"/>
    <n v="36045"/>
  </r>
  <r>
    <n v="969"/>
    <d v="2024-02-10T08:00:00"/>
    <s v="2024-02-10 08:00:00"/>
    <s v="south"/>
    <x v="3"/>
    <s v="Clothing"/>
    <x v="0"/>
    <s v="Rice 5Kg"/>
    <s v="Rice 5kg"/>
    <s v="CUST0738"/>
    <s v=" CUST0738 "/>
    <x v="1"/>
    <s v="Meena"/>
    <x v="1"/>
    <s v="Debit card "/>
    <n v="10"/>
    <s v="10"/>
    <n v="3438"/>
    <s v="3438"/>
    <n v="34380"/>
    <x v="0"/>
    <x v="1"/>
    <x v="5"/>
    <s v="Medium"/>
    <s v="Online"/>
    <n v="34380"/>
  </r>
  <r>
    <n v="970"/>
    <d v="2024-02-10T09:00:00"/>
    <s v="2024-02-10 09:00:00"/>
    <s v="EAST"/>
    <x v="0"/>
    <s v="Grocery"/>
    <x v="3"/>
    <s v="Washing Machine"/>
    <s v="Washing Machine"/>
    <s v="CUST0778"/>
    <s v=" CUST0778 "/>
    <x v="0"/>
    <s v="Rahul"/>
    <x v="3"/>
    <s v=" Net Banking "/>
    <n v="11"/>
    <s v="11"/>
    <n v="3691"/>
    <s v="3691"/>
    <n v="40601"/>
    <x v="0"/>
    <x v="1"/>
    <x v="5"/>
    <s v="Medium"/>
    <s v="Online"/>
    <n v="40601"/>
  </r>
  <r>
    <n v="971"/>
    <d v="2024-02-10T10:00:00"/>
    <s v="2024-02-10 10:00:00"/>
    <s v=" west"/>
    <x v="1"/>
    <s v=" Home Appliances "/>
    <x v="1"/>
    <s v="Mixer Grinder"/>
    <s v="Mixer Grinder"/>
    <s v="CUST0099"/>
    <s v=" CUST0099 "/>
    <x v="2"/>
    <s v="Suresh"/>
    <x v="0"/>
    <s v=" Cash"/>
    <n v="12"/>
    <s v="12"/>
    <n v="3866"/>
    <s v="3866"/>
    <n v="46392"/>
    <x v="0"/>
    <x v="1"/>
    <x v="5"/>
    <s v="Medium"/>
    <s v="Offline"/>
    <n v="46392"/>
  </r>
  <r>
    <n v="972"/>
    <d v="2024-02-10T11:00:00"/>
    <s v="2024-02-10 11:00:00"/>
    <s v="EAST"/>
    <x v="0"/>
    <s v="Electronics"/>
    <x v="2"/>
    <s v="Men T-Shirt"/>
    <s v="Men T-Shirt"/>
    <s v="CUST0459"/>
    <s v=" CUST0459 "/>
    <x v="3"/>
    <s v="Anita"/>
    <x v="2"/>
    <s v="UPI"/>
    <n v="13"/>
    <s v="13"/>
    <n v="2627"/>
    <s v="2627"/>
    <n v="34151"/>
    <x v="0"/>
    <x v="1"/>
    <x v="5"/>
    <s v="Medium"/>
    <s v="Online"/>
    <n v="34151"/>
  </r>
  <r>
    <n v="973"/>
    <d v="2024-02-10T12:00:00"/>
    <s v="2024-02-10 12:00:00"/>
    <s v=" North "/>
    <x v="2"/>
    <s v="Clothing"/>
    <x v="0"/>
    <s v="Men T-Shirt"/>
    <s v="Men T-Shirt"/>
    <s v="CUST0523"/>
    <s v=" CUST0523 "/>
    <x v="4"/>
    <s v="Karthik"/>
    <x v="0"/>
    <s v=" Cash"/>
    <n v="11"/>
    <s v="11"/>
    <n v="2281"/>
    <s v="2281"/>
    <n v="25091"/>
    <x v="0"/>
    <x v="1"/>
    <x v="5"/>
    <s v="Medium"/>
    <s v="Offline"/>
    <n v="25091"/>
  </r>
  <r>
    <n v="974"/>
    <d v="2024-02-10T13:00:00"/>
    <s v="2024-02-10 13:00:00"/>
    <s v="EAST"/>
    <x v="0"/>
    <s v="Clothing"/>
    <x v="0"/>
    <s v="Mixer Grinder"/>
    <s v="Mixer Grinder"/>
    <s v="CUST0597"/>
    <s v=" CUST0597 "/>
    <x v="0"/>
    <s v="Rahul"/>
    <x v="1"/>
    <s v="Debit card "/>
    <n v="7"/>
    <s v="7"/>
    <n v="3864"/>
    <s v="3864"/>
    <n v="27048"/>
    <x v="0"/>
    <x v="1"/>
    <x v="5"/>
    <s v="Medium"/>
    <s v="Online"/>
    <n v="27048"/>
  </r>
  <r>
    <n v="975"/>
    <d v="2024-02-10T14:00:00"/>
    <s v="2024-02-10 14:00:00"/>
    <s v=" west"/>
    <x v="1"/>
    <s v="Grocery"/>
    <x v="3"/>
    <s v="Washing Machine"/>
    <s v="Washing Machine"/>
    <s v="CUST0405"/>
    <s v=" CUST0405 "/>
    <x v="1"/>
    <s v="Meena"/>
    <x v="4"/>
    <s v="Credit Card"/>
    <n v="10"/>
    <s v="10"/>
    <n v="454"/>
    <s v="454"/>
    <n v="4540"/>
    <x v="0"/>
    <x v="1"/>
    <x v="5"/>
    <s v="Low"/>
    <s v="Online"/>
    <n v="4540"/>
  </r>
  <r>
    <n v="976"/>
    <d v="2024-02-10T15:00:00"/>
    <s v="2024-02-10 15:00:00"/>
    <s v="south"/>
    <x v="3"/>
    <s v="Clothing"/>
    <x v="0"/>
    <s v="Led Tv 42Inch"/>
    <s v="LED TV 42inch"/>
    <s v="CUST0214"/>
    <s v=" CUST0214 "/>
    <x v="0"/>
    <s v="Rahul"/>
    <x v="2"/>
    <s v="UPI"/>
    <n v="5"/>
    <s v="5"/>
    <n v="2731"/>
    <s v="2731"/>
    <n v="13655"/>
    <x v="0"/>
    <x v="1"/>
    <x v="5"/>
    <s v="Low"/>
    <s v="Online"/>
    <n v="13655"/>
  </r>
  <r>
    <n v="977"/>
    <d v="2024-02-10T16:00:00"/>
    <s v="2024-02-10 16:00:00"/>
    <s v=" west"/>
    <x v="1"/>
    <s v=" Home Appliances "/>
    <x v="1"/>
    <s v="Rice 5Kg"/>
    <s v="Rice 5kg"/>
    <s v="CUST0685"/>
    <s v=" CUST0685 "/>
    <x v="1"/>
    <s v="Meena"/>
    <x v="0"/>
    <s v=" Cash"/>
    <n v="1"/>
    <s v="1"/>
    <n v="1621"/>
    <s v="1621"/>
    <n v="1621"/>
    <x v="0"/>
    <x v="1"/>
    <x v="5"/>
    <s v="Low"/>
    <s v="Offline"/>
    <n v="1621"/>
  </r>
  <r>
    <n v="978"/>
    <d v="2024-02-10T17:00:00"/>
    <s v="2024-02-10 17:00:00"/>
    <s v=" west"/>
    <x v="1"/>
    <s v="Grocery"/>
    <x v="3"/>
    <s v="Washing Machine"/>
    <s v="Washing Machine"/>
    <s v="CUST0503"/>
    <s v=" CUST0503 "/>
    <x v="0"/>
    <s v="Rahul"/>
    <x v="0"/>
    <s v=" Cash"/>
    <n v="6"/>
    <s v="6"/>
    <n v="2772"/>
    <s v="2772"/>
    <n v="16632"/>
    <x v="0"/>
    <x v="1"/>
    <x v="5"/>
    <s v="Low"/>
    <s v="Offline"/>
    <n v="16632"/>
  </r>
  <r>
    <n v="979"/>
    <d v="2024-02-10T18:00:00"/>
    <s v="2024-02-10 18:00:00"/>
    <s v=" west"/>
    <x v="1"/>
    <s v="Grocery"/>
    <x v="3"/>
    <s v="Laptop"/>
    <s v="Laptop"/>
    <s v="CUST0721"/>
    <s v=" CUST0721 "/>
    <x v="1"/>
    <s v="Meena"/>
    <x v="0"/>
    <s v=" Cash"/>
    <n v="12"/>
    <s v="12"/>
    <n v="3278"/>
    <s v="3278"/>
    <n v="39336"/>
    <x v="0"/>
    <x v="1"/>
    <x v="5"/>
    <s v="Medium"/>
    <s v="Offline"/>
    <n v="39336"/>
  </r>
  <r>
    <n v="980"/>
    <d v="2024-02-10T19:00:00"/>
    <s v="2024-02-10 19:00:00"/>
    <s v="south"/>
    <x v="3"/>
    <s v="Grocery"/>
    <x v="3"/>
    <s v="Mixer Grinder"/>
    <s v="Mixer Grinder"/>
    <s v="CUST0448"/>
    <s v=" CUST0448 "/>
    <x v="2"/>
    <s v="Suresh"/>
    <x v="4"/>
    <s v="Credit Card"/>
    <n v="8"/>
    <s v="8"/>
    <n v="2437"/>
    <s v="2437"/>
    <n v="19496"/>
    <x v="0"/>
    <x v="1"/>
    <x v="5"/>
    <s v="Low"/>
    <s v="Online"/>
    <n v="19496"/>
  </r>
  <r>
    <n v="981"/>
    <d v="2024-02-10T20:00:00"/>
    <s v="2024-02-10 20:00:00"/>
    <s v=" west"/>
    <x v="1"/>
    <s v="Grocery"/>
    <x v="3"/>
    <s v="Rice 5Kg"/>
    <s v="Rice 5kg"/>
    <s v="CUST0576"/>
    <s v=" CUST0576 "/>
    <x v="3"/>
    <s v="Anita"/>
    <x v="0"/>
    <s v=" Cash"/>
    <n v="7"/>
    <s v="7"/>
    <n v="728"/>
    <s v="728"/>
    <n v="5096"/>
    <x v="0"/>
    <x v="1"/>
    <x v="5"/>
    <s v="Low"/>
    <s v="Offline"/>
    <n v="5096"/>
  </r>
  <r>
    <n v="982"/>
    <d v="2024-02-10T21:00:00"/>
    <s v="2024-02-10 21:00:00"/>
    <s v=" west"/>
    <x v="1"/>
    <s v=" Home Appliances "/>
    <x v="1"/>
    <s v="Men T-Shirt"/>
    <s v="Men T-Shirt"/>
    <s v="CUST0258"/>
    <s v=" CUST0258 "/>
    <x v="2"/>
    <s v="Suresh"/>
    <x v="3"/>
    <s v=" Net Banking "/>
    <n v="2"/>
    <s v="2"/>
    <n v="2779"/>
    <s v="2779"/>
    <n v="5558"/>
    <x v="0"/>
    <x v="1"/>
    <x v="5"/>
    <s v="Low"/>
    <s v="Online"/>
    <n v="5558"/>
  </r>
  <r>
    <n v="983"/>
    <d v="2024-02-10T22:00:00"/>
    <s v="2024-02-10 22:00:00"/>
    <s v=" west"/>
    <x v="1"/>
    <s v="Grocery"/>
    <x v="3"/>
    <s v="Led Tv 42Inch"/>
    <s v="LED TV 42inch"/>
    <s v="CUST0121"/>
    <s v=" CUST0121 "/>
    <x v="3"/>
    <s v="Anita"/>
    <x v="3"/>
    <s v=" Net Banking "/>
    <n v="12"/>
    <s v="12"/>
    <n v="4522"/>
    <s v="4522"/>
    <n v="54264"/>
    <x v="0"/>
    <x v="1"/>
    <x v="5"/>
    <s v="High"/>
    <s v="Online"/>
    <n v="54264"/>
  </r>
  <r>
    <n v="984"/>
    <d v="2024-02-10T23:00:00"/>
    <s v="2024-02-10 23:00:00"/>
    <s v=" North "/>
    <x v="2"/>
    <s v="Clothing"/>
    <x v="0"/>
    <s v="Laptop"/>
    <s v="Laptop"/>
    <s v="CUST0054"/>
    <s v=" CUST0054 "/>
    <x v="2"/>
    <s v="Suresh"/>
    <x v="0"/>
    <s v=" Cash"/>
    <n v="5"/>
    <s v="5"/>
    <n v="1538"/>
    <s v="1538"/>
    <n v="7690"/>
    <x v="0"/>
    <x v="1"/>
    <x v="5"/>
    <s v="Low"/>
    <s v="Offline"/>
    <n v="7690"/>
  </r>
  <r>
    <n v="985"/>
    <d v="2024-02-11T00:00:00"/>
    <s v="2024-02-11 00:00:00"/>
    <s v=" west"/>
    <x v="1"/>
    <s v=" Home Appliances "/>
    <x v="1"/>
    <s v="Men T-Shirt"/>
    <s v="Men T-Shirt"/>
    <s v="CUST0331"/>
    <s v=" CUST0331 "/>
    <x v="2"/>
    <s v="Suresh"/>
    <x v="3"/>
    <s v=" Net Banking "/>
    <n v="14"/>
    <s v="14"/>
    <n v="1521"/>
    <s v="1521"/>
    <n v="21294"/>
    <x v="0"/>
    <x v="1"/>
    <x v="5"/>
    <s v="Medium"/>
    <s v="Online"/>
    <n v="21294"/>
  </r>
  <r>
    <n v="986"/>
    <d v="2024-02-11T01:00:00"/>
    <s v="2024-02-11 01:00:00"/>
    <s v="south"/>
    <x v="3"/>
    <s v="Electronics"/>
    <x v="2"/>
    <s v="Mixer Grinder"/>
    <s v="Mixer Grinder"/>
    <s v="CUST0784"/>
    <s v=" CUST0784 "/>
    <x v="0"/>
    <s v="Rahul"/>
    <x v="2"/>
    <s v="UPI"/>
    <n v="11"/>
    <s v="11"/>
    <n v="1226"/>
    <s v="1226"/>
    <n v="13486"/>
    <x v="0"/>
    <x v="1"/>
    <x v="5"/>
    <s v="Low"/>
    <s v="Online"/>
    <n v="13486"/>
  </r>
  <r>
    <n v="987"/>
    <d v="2024-02-11T02:00:00"/>
    <s v="2024-02-11 02:00:00"/>
    <s v=" west"/>
    <x v="1"/>
    <s v="Electronics"/>
    <x v="2"/>
    <s v="Rice 5Kg"/>
    <s v="Rice 5kg"/>
    <s v="CUST0241"/>
    <s v=" CUST0241 "/>
    <x v="4"/>
    <s v="Karthik"/>
    <x v="3"/>
    <s v=" Net Banking "/>
    <n v="4"/>
    <s v="4"/>
    <n v="2783"/>
    <s v="2783"/>
    <n v="11132"/>
    <x v="0"/>
    <x v="1"/>
    <x v="5"/>
    <s v="Low"/>
    <s v="Online"/>
    <n v="11132"/>
  </r>
  <r>
    <n v="988"/>
    <d v="2024-02-11T03:00:00"/>
    <s v="2024-02-11 03:00:00"/>
    <s v=" west"/>
    <x v="1"/>
    <s v="Clothing"/>
    <x v="0"/>
    <s v="Mixer Grinder"/>
    <s v="Mixer Grinder"/>
    <s v="CUST0755"/>
    <s v=" CUST0755 "/>
    <x v="1"/>
    <s v="Meena"/>
    <x v="0"/>
    <s v=" Cash"/>
    <n v="9"/>
    <s v="9"/>
    <n v="1880"/>
    <s v="1880"/>
    <n v="16920"/>
    <x v="0"/>
    <x v="1"/>
    <x v="5"/>
    <s v="Low"/>
    <s v="Offline"/>
    <n v="16920"/>
  </r>
  <r>
    <n v="989"/>
    <d v="2024-02-11T04:00:00"/>
    <s v="2024-02-11 04:00:00"/>
    <s v="south"/>
    <x v="3"/>
    <s v="Clothing"/>
    <x v="0"/>
    <s v="Rice 5Kg"/>
    <s v="Rice 5kg"/>
    <s v="CUST0530"/>
    <s v=" CUST0530 "/>
    <x v="1"/>
    <s v="Meena"/>
    <x v="1"/>
    <s v="Debit card "/>
    <n v="10"/>
    <s v="10"/>
    <n v="1631"/>
    <s v="1631"/>
    <n v="16310"/>
    <x v="0"/>
    <x v="1"/>
    <x v="5"/>
    <s v="Low"/>
    <s v="Online"/>
    <n v="16310"/>
  </r>
  <r>
    <n v="990"/>
    <d v="2024-02-11T05:00:00"/>
    <s v="2024-02-11 05:00:00"/>
    <s v=" west"/>
    <x v="1"/>
    <s v=" Home Appliances "/>
    <x v="1"/>
    <s v="Washing Machine"/>
    <s v="Washing Machine"/>
    <s v="CUST0483"/>
    <s v=" CUST0483 "/>
    <x v="1"/>
    <s v="Meena"/>
    <x v="2"/>
    <s v="UPI"/>
    <n v="1"/>
    <s v="1"/>
    <n v="2014"/>
    <s v="2014"/>
    <n v="2014"/>
    <x v="0"/>
    <x v="1"/>
    <x v="5"/>
    <s v="Low"/>
    <s v="Online"/>
    <n v="2014"/>
  </r>
  <r>
    <n v="991"/>
    <d v="2024-02-11T06:00:00"/>
    <s v="2024-02-11 06:00:00"/>
    <s v="south"/>
    <x v="3"/>
    <s v="Electronics"/>
    <x v="2"/>
    <s v="Led Tv 42Inch"/>
    <s v="LED TV 42inch"/>
    <s v="CUST0187"/>
    <s v=" CUST0187 "/>
    <x v="3"/>
    <s v="Anita"/>
    <x v="4"/>
    <s v="Credit Card"/>
    <n v="12"/>
    <s v="12"/>
    <n v="1332"/>
    <s v="1332"/>
    <n v="15984"/>
    <x v="0"/>
    <x v="1"/>
    <x v="5"/>
    <s v="Low"/>
    <s v="Online"/>
    <n v="15984"/>
  </r>
  <r>
    <n v="992"/>
    <d v="2024-02-11T07:00:00"/>
    <s v="2024-02-11 07:00:00"/>
    <s v=" west"/>
    <x v="1"/>
    <s v="Electronics"/>
    <x v="2"/>
    <s v="Washing Machine"/>
    <s v="Washing Machine"/>
    <s v="CUST0656"/>
    <s v=" CUST0656 "/>
    <x v="1"/>
    <s v="Meena"/>
    <x v="0"/>
    <s v=" Cash"/>
    <n v="6"/>
    <s v="6"/>
    <n v="2056"/>
    <s v="2056"/>
    <n v="12336"/>
    <x v="0"/>
    <x v="1"/>
    <x v="5"/>
    <s v="Low"/>
    <s v="Offline"/>
    <n v="12336"/>
  </r>
  <r>
    <n v="993"/>
    <d v="2024-02-11T08:00:00"/>
    <s v="2024-02-11 08:00:00"/>
    <s v="south"/>
    <x v="3"/>
    <s v="Electronics"/>
    <x v="2"/>
    <s v="Washing Machine"/>
    <s v="Washing Machine"/>
    <s v="CUST0262"/>
    <s v=" CUST0262 "/>
    <x v="1"/>
    <s v="Meena"/>
    <x v="4"/>
    <s v="Credit Card"/>
    <n v="3"/>
    <s v="3"/>
    <n v="492"/>
    <s v="492"/>
    <n v="1476"/>
    <x v="0"/>
    <x v="1"/>
    <x v="5"/>
    <s v="Low"/>
    <s v="Online"/>
    <n v="1476"/>
  </r>
  <r>
    <n v="994"/>
    <d v="2024-02-11T09:00:00"/>
    <s v="2024-02-11 09:00:00"/>
    <s v=" west"/>
    <x v="1"/>
    <s v="Electronics"/>
    <x v="2"/>
    <s v="Mixer Grinder"/>
    <s v="Mixer Grinder"/>
    <s v="CUST0364"/>
    <s v=" CUST0364 "/>
    <x v="0"/>
    <s v="Rahul"/>
    <x v="1"/>
    <s v="Debit card "/>
    <n v="11"/>
    <s v="11"/>
    <n v="925"/>
    <s v="925"/>
    <n v="10175"/>
    <x v="0"/>
    <x v="1"/>
    <x v="5"/>
    <s v="Low"/>
    <s v="Online"/>
    <n v="10175"/>
  </r>
  <r>
    <n v="995"/>
    <d v="2024-02-11T10:00:00"/>
    <s v="2024-02-11 10:00:00"/>
    <s v=" west"/>
    <x v="1"/>
    <s v="Electronics"/>
    <x v="2"/>
    <s v="Led Tv 42Inch"/>
    <s v="LED TV 42inch"/>
    <s v="CUST0491"/>
    <s v=" CUST0491 "/>
    <x v="2"/>
    <s v="Suresh"/>
    <x v="4"/>
    <s v="Credit Card"/>
    <n v="9"/>
    <s v="9"/>
    <n v="3063"/>
    <s v="3063"/>
    <n v="27567"/>
    <x v="0"/>
    <x v="1"/>
    <x v="5"/>
    <s v="Medium"/>
    <s v="Online"/>
    <n v="27567"/>
  </r>
  <r>
    <n v="996"/>
    <d v="2024-02-11T11:00:00"/>
    <s v="2024-02-11 11:00:00"/>
    <s v=" North "/>
    <x v="2"/>
    <s v="Grocery"/>
    <x v="3"/>
    <s v="Rice 5Kg"/>
    <s v="Rice 5kg"/>
    <s v="CUST0431"/>
    <s v=" CUST0431 "/>
    <x v="1"/>
    <s v="Meena"/>
    <x v="0"/>
    <s v=" Cash"/>
    <n v="5"/>
    <s v="5"/>
    <n v="2495"/>
    <s v="2495"/>
    <n v="12475"/>
    <x v="0"/>
    <x v="1"/>
    <x v="5"/>
    <s v="Low"/>
    <s v="Offline"/>
    <n v="12475"/>
  </r>
  <r>
    <n v="997"/>
    <d v="2024-02-11T12:00:00"/>
    <s v="2024-02-11 12:00:00"/>
    <s v=" North "/>
    <x v="2"/>
    <s v="Clothing"/>
    <x v="0"/>
    <s v="Rice 5Kg"/>
    <s v="Rice 5kg"/>
    <s v="CUST0239"/>
    <s v=" CUST0239 "/>
    <x v="4"/>
    <s v="Karthik"/>
    <x v="0"/>
    <s v=" Cash"/>
    <n v="13"/>
    <s v="13"/>
    <n v="4245"/>
    <s v="4245"/>
    <n v="55185"/>
    <x v="0"/>
    <x v="1"/>
    <x v="5"/>
    <s v="High"/>
    <s v="Offline"/>
    <n v="55185"/>
  </r>
  <r>
    <n v="998"/>
    <d v="2024-02-11T13:00:00"/>
    <s v="2024-02-11 13:00:00"/>
    <s v=" west"/>
    <x v="1"/>
    <s v="Grocery"/>
    <x v="3"/>
    <s v="Laptop"/>
    <s v="Laptop"/>
    <s v="CUST0304"/>
    <s v=" CUST0304 "/>
    <x v="1"/>
    <s v="Meena"/>
    <x v="1"/>
    <s v="Debit card "/>
    <n v="6"/>
    <s v="6"/>
    <n v="4995"/>
    <s v="4995"/>
    <n v="29970"/>
    <x v="0"/>
    <x v="1"/>
    <x v="5"/>
    <s v="Medium"/>
    <s v="Online"/>
    <n v="29970"/>
  </r>
  <r>
    <n v="999"/>
    <d v="2024-02-11T14:00:00"/>
    <s v="2024-02-11 14:00:00"/>
    <s v=" west"/>
    <x v="1"/>
    <s v="Electronics"/>
    <x v="2"/>
    <s v="Men T-Shirt"/>
    <s v="Men T-Shirt"/>
    <s v="CUST0298"/>
    <s v=" CUST0298 "/>
    <x v="3"/>
    <s v="Anita"/>
    <x v="0"/>
    <s v=" Cash"/>
    <n v="11"/>
    <s v="11"/>
    <n v="1892"/>
    <s v="1892"/>
    <n v="20812"/>
    <x v="0"/>
    <x v="1"/>
    <x v="5"/>
    <s v="Medium"/>
    <s v="Offline"/>
    <n v="20812"/>
  </r>
  <r>
    <n v="1000"/>
    <d v="2024-02-11T15:00:00"/>
    <s v="2024-02-11 15:00:00"/>
    <s v="EAST"/>
    <x v="0"/>
    <s v=" Home Appliances "/>
    <x v="1"/>
    <s v="Laptop"/>
    <s v="Laptop"/>
    <s v="CUST0076"/>
    <s v=" CUST0076 "/>
    <x v="3"/>
    <s v="Anita"/>
    <x v="1"/>
    <s v="Debit card "/>
    <n v="9"/>
    <s v="9"/>
    <n v="3164"/>
    <s v="3164"/>
    <n v="28476"/>
    <x v="0"/>
    <x v="1"/>
    <x v="5"/>
    <s v="Medium"/>
    <s v="Online"/>
    <n v="28476"/>
  </r>
  <r>
    <n v="1001"/>
    <d v="2024-02-11T16:00:00"/>
    <s v="2024-02-11 16:00:00"/>
    <s v="south"/>
    <x v="3"/>
    <s v=" Home Appliances "/>
    <x v="1"/>
    <s v="Laptop"/>
    <s v="Laptop"/>
    <s v="CUST0700"/>
    <s v=" CUST0700 "/>
    <x v="3"/>
    <s v="Anita"/>
    <x v="1"/>
    <s v="Debit card "/>
    <n v="9"/>
    <s v="9"/>
    <n v="1463"/>
    <s v="1463"/>
    <n v="13167"/>
    <x v="0"/>
    <x v="1"/>
    <x v="5"/>
    <s v="Low"/>
    <s v="Online"/>
    <n v="13167"/>
  </r>
  <r>
    <n v="1002"/>
    <d v="2024-02-11T17:00:00"/>
    <s v="2024-02-11 17:00:00"/>
    <s v="EAST"/>
    <x v="0"/>
    <s v="Electronics"/>
    <x v="2"/>
    <s v="Rice 5Kg"/>
    <s v="Rice 5kg"/>
    <s v="CUST0333"/>
    <s v=" CUST0333 "/>
    <x v="1"/>
    <s v="Meena"/>
    <x v="0"/>
    <s v=" Cash"/>
    <n v="8"/>
    <s v="8"/>
    <n v="2448"/>
    <s v="2448"/>
    <n v="19584"/>
    <x v="0"/>
    <x v="1"/>
    <x v="5"/>
    <s v="Low"/>
    <s v="Offline"/>
    <n v="19584"/>
  </r>
  <r>
    <n v="1003"/>
    <d v="2024-02-11T18:00:00"/>
    <s v="2024-02-11 18:00:00"/>
    <s v=" North "/>
    <x v="2"/>
    <s v="Electronics"/>
    <x v="2"/>
    <s v="Mixer Grinder"/>
    <s v="Mixer Grinder"/>
    <s v="CUST0758"/>
    <s v=" CUST0758 "/>
    <x v="0"/>
    <s v="Rahul"/>
    <x v="3"/>
    <s v=" Net Banking "/>
    <n v="9"/>
    <s v="9"/>
    <n v="3651"/>
    <s v="3651"/>
    <n v="32859"/>
    <x v="0"/>
    <x v="1"/>
    <x v="5"/>
    <s v="Medium"/>
    <s v="Online"/>
    <n v="32859"/>
  </r>
  <r>
    <n v="1004"/>
    <d v="2024-02-11T19:00:00"/>
    <s v="2024-02-11 19:00:00"/>
    <s v=" North "/>
    <x v="2"/>
    <s v=" Home Appliances "/>
    <x v="1"/>
    <s v="Washing Machine"/>
    <s v="Washing Machine"/>
    <s v="CUST0642"/>
    <s v=" CUST0642 "/>
    <x v="4"/>
    <s v="Karthik"/>
    <x v="1"/>
    <s v="Debit card "/>
    <n v="4"/>
    <s v="4"/>
    <n v="3728"/>
    <s v="3728"/>
    <n v="14912"/>
    <x v="0"/>
    <x v="1"/>
    <x v="5"/>
    <s v="Low"/>
    <s v="Online"/>
    <n v="14912"/>
  </r>
  <r>
    <n v="1005"/>
    <d v="2024-02-11T20:00:00"/>
    <s v="2024-02-11 20:00:00"/>
    <s v=" North "/>
    <x v="2"/>
    <s v="Grocery"/>
    <x v="3"/>
    <s v="Washing Machine"/>
    <s v="Washing Machine"/>
    <s v="CUST0474"/>
    <s v=" CUST0474 "/>
    <x v="1"/>
    <s v="Meena"/>
    <x v="0"/>
    <s v=" Cash"/>
    <n v="6"/>
    <s v="6"/>
    <n v="3436"/>
    <s v="3436"/>
    <n v="20616"/>
    <x v="0"/>
    <x v="1"/>
    <x v="5"/>
    <s v="Medium"/>
    <s v="Offline"/>
    <n v="20616"/>
  </r>
  <r>
    <n v="1006"/>
    <d v="2024-02-11T21:00:00"/>
    <s v="2024-02-11 21:00:00"/>
    <s v=" North "/>
    <x v="2"/>
    <s v="Grocery"/>
    <x v="3"/>
    <s v="Washing Machine"/>
    <s v="Washing Machine"/>
    <s v="CUST0283"/>
    <s v=" CUST0283 "/>
    <x v="0"/>
    <s v="Rahul"/>
    <x v="3"/>
    <s v=" Net Banking "/>
    <n v="5"/>
    <s v="5"/>
    <n v="1665"/>
    <s v="1665"/>
    <n v="8325"/>
    <x v="0"/>
    <x v="1"/>
    <x v="5"/>
    <s v="Low"/>
    <s v="Online"/>
    <n v="8325"/>
  </r>
  <r>
    <n v="1007"/>
    <d v="2024-02-11T22:00:00"/>
    <s v="2024-02-11 22:00:00"/>
    <s v=" west"/>
    <x v="1"/>
    <s v="Electronics"/>
    <x v="2"/>
    <s v="Led Tv 42Inch"/>
    <s v="LED TV 42inch"/>
    <s v="CUST0591"/>
    <s v=" CUST0591 "/>
    <x v="0"/>
    <s v="Rahul"/>
    <x v="1"/>
    <s v="Debit card "/>
    <n v="5"/>
    <s v="5"/>
    <n v="3767"/>
    <s v="3767"/>
    <n v="18835"/>
    <x v="0"/>
    <x v="1"/>
    <x v="5"/>
    <s v="Low"/>
    <s v="Online"/>
    <n v="18835"/>
  </r>
  <r>
    <n v="1008"/>
    <d v="2024-02-11T23:00:00"/>
    <s v="2024-02-11 23:00:00"/>
    <s v=" North "/>
    <x v="2"/>
    <s v="Grocery"/>
    <x v="3"/>
    <s v="Rice 5Kg"/>
    <s v="Rice 5kg"/>
    <s v="CUST0072"/>
    <s v=" CUST0072 "/>
    <x v="1"/>
    <s v="Meena"/>
    <x v="3"/>
    <s v=" Net Banking "/>
    <n v="4"/>
    <s v="4"/>
    <n v="2313"/>
    <s v="2313"/>
    <n v="9252"/>
    <x v="0"/>
    <x v="1"/>
    <x v="5"/>
    <s v="Low"/>
    <s v="Online"/>
    <n v="9252"/>
  </r>
  <r>
    <n v="1009"/>
    <d v="2024-02-12T00:00:00"/>
    <s v="2024-02-12 00:00:00"/>
    <s v=" west"/>
    <x v="1"/>
    <s v=" Home Appliances "/>
    <x v="1"/>
    <s v="Mixer Grinder"/>
    <s v="Mixer Grinder"/>
    <s v="CUST0263"/>
    <s v=" CUST0263 "/>
    <x v="1"/>
    <s v="Meena"/>
    <x v="2"/>
    <s v="UPI"/>
    <n v="2"/>
    <s v="2"/>
    <n v="4196"/>
    <s v="4196"/>
    <n v="8392"/>
    <x v="0"/>
    <x v="1"/>
    <x v="6"/>
    <s v="Low"/>
    <s v="Online"/>
    <n v="8392"/>
  </r>
  <r>
    <n v="1010"/>
    <d v="2024-02-12T01:00:00"/>
    <s v="2024-02-12 01:00:00"/>
    <s v=" west"/>
    <x v="1"/>
    <s v="Grocery"/>
    <x v="3"/>
    <s v="Led Tv 42Inch"/>
    <s v="LED TV 42inch"/>
    <s v="CUST0703"/>
    <s v=" CUST0703 "/>
    <x v="0"/>
    <s v="Rahul"/>
    <x v="2"/>
    <s v="UPI"/>
    <n v="12"/>
    <s v="12"/>
    <n v="1119"/>
    <s v="1119"/>
    <n v="13428"/>
    <x v="0"/>
    <x v="1"/>
    <x v="6"/>
    <s v="Low"/>
    <s v="Online"/>
    <n v="13428"/>
  </r>
  <r>
    <n v="1011"/>
    <d v="2024-02-12T02:00:00"/>
    <s v="2024-02-12 02:00:00"/>
    <s v=" North "/>
    <x v="2"/>
    <s v="Electronics"/>
    <x v="2"/>
    <s v="Men T-Shirt"/>
    <s v="Men T-Shirt"/>
    <s v="CUST0575"/>
    <s v=" CUST0575 "/>
    <x v="0"/>
    <s v="Rahul"/>
    <x v="3"/>
    <s v=" Net Banking "/>
    <n v="6"/>
    <s v="6"/>
    <n v="1384"/>
    <s v="1384"/>
    <n v="8304"/>
    <x v="0"/>
    <x v="1"/>
    <x v="6"/>
    <s v="Low"/>
    <s v="Online"/>
    <n v="8304"/>
  </r>
  <r>
    <n v="1012"/>
    <d v="2024-02-12T03:00:00"/>
    <s v="2024-02-12 03:00:00"/>
    <s v=" North "/>
    <x v="2"/>
    <s v=" Home Appliances "/>
    <x v="1"/>
    <s v="Mixer Grinder"/>
    <s v="Mixer Grinder"/>
    <s v="CUST0012"/>
    <s v=" CUST0012 "/>
    <x v="0"/>
    <s v="Rahul"/>
    <x v="1"/>
    <s v="Debit card "/>
    <n v="9"/>
    <s v="9"/>
    <n v="162"/>
    <s v="162"/>
    <n v="1458"/>
    <x v="0"/>
    <x v="1"/>
    <x v="6"/>
    <s v="Low"/>
    <s v="Online"/>
    <n v="1458"/>
  </r>
  <r>
    <n v="1013"/>
    <d v="2024-02-12T04:00:00"/>
    <s v="2024-02-12 04:00:00"/>
    <s v="south"/>
    <x v="3"/>
    <s v="Grocery"/>
    <x v="3"/>
    <s v="Laptop"/>
    <s v="Laptop"/>
    <s v="CUST0141"/>
    <s v=" CUST0141 "/>
    <x v="1"/>
    <s v="Meena"/>
    <x v="0"/>
    <s v=" Cash"/>
    <n v="12"/>
    <s v="12"/>
    <n v="2630"/>
    <s v="2630"/>
    <n v="31560"/>
    <x v="0"/>
    <x v="1"/>
    <x v="6"/>
    <s v="Medium"/>
    <s v="Offline"/>
    <n v="31560"/>
  </r>
  <r>
    <n v="1014"/>
    <d v="2024-02-12T05:00:00"/>
    <s v="2024-02-12 05:00:00"/>
    <s v="EAST"/>
    <x v="0"/>
    <s v="Clothing"/>
    <x v="0"/>
    <s v="Mixer Grinder"/>
    <s v="Mixer Grinder"/>
    <s v="CUST0766"/>
    <s v=" CUST0766 "/>
    <x v="0"/>
    <s v="Rahul"/>
    <x v="4"/>
    <s v="Credit Card"/>
    <n v="1"/>
    <s v="1"/>
    <n v="3492"/>
    <s v="3492"/>
    <n v="3492"/>
    <x v="0"/>
    <x v="1"/>
    <x v="6"/>
    <s v="Low"/>
    <s v="Online"/>
    <n v="3492"/>
  </r>
  <r>
    <n v="1015"/>
    <d v="2024-02-12T06:00:00"/>
    <s v="2024-02-12 06:00:00"/>
    <s v=" North "/>
    <x v="2"/>
    <s v=" Home Appliances "/>
    <x v="1"/>
    <s v="Mixer Grinder"/>
    <s v="Mixer Grinder"/>
    <s v="CUST0555"/>
    <s v=" CUST0555 "/>
    <x v="3"/>
    <s v="Anita"/>
    <x v="0"/>
    <s v=" Cash"/>
    <n v="14"/>
    <s v="14"/>
    <n v="3372"/>
    <s v="3372"/>
    <n v="47208"/>
    <x v="0"/>
    <x v="1"/>
    <x v="6"/>
    <s v="Medium"/>
    <s v="Offline"/>
    <n v="47208"/>
  </r>
  <r>
    <n v="1016"/>
    <d v="2024-02-12T07:00:00"/>
    <s v="2024-02-12 07:00:00"/>
    <s v="south"/>
    <x v="3"/>
    <s v=" Home Appliances "/>
    <x v="1"/>
    <s v="Washing Machine"/>
    <s v="Washing Machine"/>
    <s v="CUST0017"/>
    <s v=" CUST0017 "/>
    <x v="1"/>
    <s v="Meena"/>
    <x v="4"/>
    <s v="Credit Card"/>
    <n v="7"/>
    <s v="7"/>
    <n v="2369"/>
    <s v="2369"/>
    <n v="16583"/>
    <x v="0"/>
    <x v="1"/>
    <x v="6"/>
    <s v="Low"/>
    <s v="Online"/>
    <n v="16583"/>
  </r>
  <r>
    <n v="1017"/>
    <d v="2024-02-12T08:00:00"/>
    <s v="2024-02-12 08:00:00"/>
    <s v="south"/>
    <x v="3"/>
    <s v="Clothing"/>
    <x v="0"/>
    <s v="Mixer Grinder"/>
    <s v="Mixer Grinder"/>
    <s v="CUST0063"/>
    <s v=" CUST0063 "/>
    <x v="3"/>
    <s v="Anita"/>
    <x v="4"/>
    <s v="Credit Card"/>
    <n v="6"/>
    <s v="6"/>
    <n v="4347"/>
    <s v="4347"/>
    <n v="26082"/>
    <x v="0"/>
    <x v="1"/>
    <x v="6"/>
    <s v="Medium"/>
    <s v="Online"/>
    <n v="26082"/>
  </r>
  <r>
    <n v="1018"/>
    <d v="2024-02-12T09:00:00"/>
    <s v="2024-02-12 09:00:00"/>
    <s v="EAST"/>
    <x v="0"/>
    <s v="Clothing"/>
    <x v="0"/>
    <s v="Laptop"/>
    <s v="Laptop"/>
    <s v="CUST0253"/>
    <s v=" CUST0253 "/>
    <x v="2"/>
    <s v="Suresh"/>
    <x v="1"/>
    <s v="Debit card "/>
    <n v="3"/>
    <s v="3"/>
    <n v="743"/>
    <s v="743"/>
    <n v="2229"/>
    <x v="0"/>
    <x v="1"/>
    <x v="6"/>
    <s v="Low"/>
    <s v="Online"/>
    <n v="2229"/>
  </r>
  <r>
    <n v="1019"/>
    <d v="2024-02-12T10:00:00"/>
    <s v="2024-02-12 10:00:00"/>
    <s v=" west"/>
    <x v="1"/>
    <s v=" Home Appliances "/>
    <x v="1"/>
    <s v="Laptop"/>
    <s v="Laptop"/>
    <s v="CUST0465"/>
    <s v=" CUST0465 "/>
    <x v="1"/>
    <s v="Meena"/>
    <x v="3"/>
    <s v=" Net Banking "/>
    <n v="1"/>
    <s v="1"/>
    <n v="4821"/>
    <s v="4821"/>
    <n v="4821"/>
    <x v="0"/>
    <x v="1"/>
    <x v="6"/>
    <s v="Low"/>
    <s v="Online"/>
    <n v="4821"/>
  </r>
  <r>
    <n v="1020"/>
    <d v="2024-02-12T11:00:00"/>
    <s v="2024-02-12 11:00:00"/>
    <s v=" North "/>
    <x v="2"/>
    <s v="Clothing"/>
    <x v="0"/>
    <s v="Rice 5Kg"/>
    <s v="Rice 5kg"/>
    <s v="CUST0376"/>
    <s v=" CUST0376 "/>
    <x v="2"/>
    <s v="Suresh"/>
    <x v="0"/>
    <s v=" Cash"/>
    <n v="13"/>
    <s v="13"/>
    <n v="316"/>
    <s v="316"/>
    <n v="4108"/>
    <x v="0"/>
    <x v="1"/>
    <x v="6"/>
    <s v="Low"/>
    <s v="Offline"/>
    <n v="4108"/>
  </r>
  <r>
    <n v="1021"/>
    <d v="2024-02-12T12:00:00"/>
    <s v="2024-02-12 12:00:00"/>
    <s v="EAST"/>
    <x v="0"/>
    <s v="Electronics"/>
    <x v="2"/>
    <s v="Mixer Grinder"/>
    <s v="Mixer Grinder"/>
    <s v="CUST0520"/>
    <s v=" CUST0520 "/>
    <x v="0"/>
    <s v="Rahul"/>
    <x v="3"/>
    <s v=" Net Banking "/>
    <n v="4"/>
    <s v="4"/>
    <n v="295"/>
    <s v="295"/>
    <n v="1180"/>
    <x v="0"/>
    <x v="1"/>
    <x v="6"/>
    <s v="Low"/>
    <s v="Online"/>
    <n v="1180"/>
  </r>
  <r>
    <n v="1022"/>
    <d v="2024-02-12T13:00:00"/>
    <s v="2024-02-12 13:00:00"/>
    <s v=" North "/>
    <x v="2"/>
    <s v="Electronics"/>
    <x v="2"/>
    <s v="Washing Machine"/>
    <s v="Washing Machine"/>
    <s v="CUST0090"/>
    <s v=" CUST0090 "/>
    <x v="0"/>
    <s v="Rahul"/>
    <x v="2"/>
    <s v="UPI"/>
    <n v="14"/>
    <s v="14"/>
    <n v="3964"/>
    <s v="3964"/>
    <n v="55496"/>
    <x v="0"/>
    <x v="1"/>
    <x v="6"/>
    <s v="High"/>
    <s v="Online"/>
    <n v="55496"/>
  </r>
  <r>
    <n v="1023"/>
    <d v="2024-02-12T14:00:00"/>
    <s v="2024-02-12 14:00:00"/>
    <s v="south"/>
    <x v="3"/>
    <s v="Electronics"/>
    <x v="2"/>
    <s v="Mixer Grinder"/>
    <s v="Mixer Grinder"/>
    <s v="CUST0720"/>
    <s v=" CUST0720 "/>
    <x v="4"/>
    <s v="Karthik"/>
    <x v="1"/>
    <s v="Debit card "/>
    <n v="9"/>
    <s v="9"/>
    <n v="3373"/>
    <s v="3373"/>
    <n v="30357"/>
    <x v="0"/>
    <x v="1"/>
    <x v="6"/>
    <s v="Medium"/>
    <s v="Online"/>
    <n v="30357"/>
  </r>
  <r>
    <n v="1024"/>
    <d v="2024-02-12T15:00:00"/>
    <s v="2024-02-12 15:00:00"/>
    <s v="south"/>
    <x v="3"/>
    <s v=" Home Appliances "/>
    <x v="1"/>
    <s v="Men T-Shirt"/>
    <s v="Men T-Shirt"/>
    <s v="CUST0796"/>
    <s v=" CUST0796 "/>
    <x v="0"/>
    <s v="Rahul"/>
    <x v="1"/>
    <s v="Debit card "/>
    <n v="2"/>
    <s v="2"/>
    <n v="2794"/>
    <s v="2794"/>
    <n v="5588"/>
    <x v="0"/>
    <x v="1"/>
    <x v="6"/>
    <s v="Low"/>
    <s v="Online"/>
    <n v="5588"/>
  </r>
  <r>
    <n v="1025"/>
    <d v="2024-02-12T16:00:00"/>
    <s v="2024-02-12 16:00:00"/>
    <s v=" west"/>
    <x v="1"/>
    <s v="Clothing"/>
    <x v="0"/>
    <s v="Men T-Shirt"/>
    <s v="Men T-Shirt"/>
    <s v="CUST0630"/>
    <s v=" CUST0630 "/>
    <x v="2"/>
    <s v="Suresh"/>
    <x v="2"/>
    <s v="UPI"/>
    <n v="3"/>
    <s v="3"/>
    <n v="3312"/>
    <s v="3312"/>
    <n v="9936"/>
    <x v="0"/>
    <x v="1"/>
    <x v="6"/>
    <s v="Low"/>
    <s v="Online"/>
    <n v="9936"/>
  </r>
  <r>
    <n v="1026"/>
    <d v="2024-02-12T17:00:00"/>
    <s v="2024-02-12 17:00:00"/>
    <s v="south"/>
    <x v="3"/>
    <s v="Clothing"/>
    <x v="0"/>
    <s v="Washing Machine"/>
    <s v="Washing Machine"/>
    <s v="CUST0175"/>
    <s v=" CUST0175 "/>
    <x v="0"/>
    <s v="Rahul"/>
    <x v="0"/>
    <s v=" Cash"/>
    <n v="2"/>
    <s v="2"/>
    <n v="2855"/>
    <s v="2855"/>
    <n v="5710"/>
    <x v="0"/>
    <x v="1"/>
    <x v="6"/>
    <s v="Low"/>
    <s v="Offline"/>
    <n v="5710"/>
  </r>
  <r>
    <n v="1027"/>
    <d v="2024-02-12T18:00:00"/>
    <s v="2024-02-12 18:00:00"/>
    <s v="south"/>
    <x v="3"/>
    <s v="Grocery"/>
    <x v="3"/>
    <s v="Rice 5Kg"/>
    <s v="Rice 5kg"/>
    <s v="CUST0076"/>
    <s v=" CUST0076 "/>
    <x v="1"/>
    <s v="Meena"/>
    <x v="2"/>
    <s v="UPI"/>
    <n v="14"/>
    <s v="14"/>
    <n v="1621"/>
    <s v="1621"/>
    <n v="22694"/>
    <x v="0"/>
    <x v="1"/>
    <x v="6"/>
    <s v="Medium"/>
    <s v="Online"/>
    <n v="22694"/>
  </r>
  <r>
    <n v="1028"/>
    <d v="2024-02-12T19:00:00"/>
    <s v="2024-02-12 19:00:00"/>
    <s v="EAST"/>
    <x v="0"/>
    <s v="Grocery"/>
    <x v="3"/>
    <s v="Rice 5Kg"/>
    <s v="Rice 5kg"/>
    <s v="CUST0613"/>
    <s v=" CUST0613 "/>
    <x v="0"/>
    <s v="Rahul"/>
    <x v="0"/>
    <s v=" Cash"/>
    <n v="2"/>
    <s v="2"/>
    <n v="1180"/>
    <s v="1180"/>
    <n v="2360"/>
    <x v="0"/>
    <x v="1"/>
    <x v="6"/>
    <s v="Low"/>
    <s v="Offline"/>
    <n v="2360"/>
  </r>
  <r>
    <n v="1029"/>
    <d v="2024-02-12T20:00:00"/>
    <s v="2024-02-12 20:00:00"/>
    <s v=" North "/>
    <x v="2"/>
    <s v="Clothing"/>
    <x v="0"/>
    <s v="Laptop"/>
    <s v="Laptop"/>
    <s v="CUST0663"/>
    <s v=" CUST0663 "/>
    <x v="4"/>
    <s v="Karthik"/>
    <x v="4"/>
    <s v="Credit Card"/>
    <n v="10"/>
    <s v="10"/>
    <n v="821"/>
    <s v="821"/>
    <n v="8210"/>
    <x v="0"/>
    <x v="1"/>
    <x v="6"/>
    <s v="Low"/>
    <s v="Online"/>
    <n v="8210"/>
  </r>
  <r>
    <n v="1030"/>
    <d v="2024-02-12T21:00:00"/>
    <s v="2024-02-12 21:00:00"/>
    <s v=" North "/>
    <x v="2"/>
    <s v="Clothing"/>
    <x v="0"/>
    <s v="Laptop"/>
    <s v="Laptop"/>
    <s v="CUST0400"/>
    <s v=" CUST0400 "/>
    <x v="0"/>
    <s v="Rahul"/>
    <x v="1"/>
    <s v="Debit card "/>
    <n v="11"/>
    <s v="11"/>
    <n v="1662"/>
    <s v="1662"/>
    <n v="18282"/>
    <x v="0"/>
    <x v="1"/>
    <x v="6"/>
    <s v="Low"/>
    <s v="Online"/>
    <n v="18282"/>
  </r>
  <r>
    <n v="1031"/>
    <d v="2024-02-12T22:00:00"/>
    <s v="2024-02-12 22:00:00"/>
    <s v="EAST"/>
    <x v="0"/>
    <s v="Clothing"/>
    <x v="0"/>
    <s v="Led Tv 42Inch"/>
    <s v="LED TV 42inch"/>
    <s v="CUST0782"/>
    <s v=" CUST0782 "/>
    <x v="2"/>
    <s v="Suresh"/>
    <x v="0"/>
    <s v=" Cash"/>
    <n v="11"/>
    <s v="11"/>
    <n v="739"/>
    <s v="739"/>
    <n v="8129"/>
    <x v="0"/>
    <x v="1"/>
    <x v="6"/>
    <s v="Low"/>
    <s v="Offline"/>
    <n v="8129"/>
  </r>
  <r>
    <n v="1032"/>
    <d v="2024-02-12T23:00:00"/>
    <s v="2024-02-12 23:00:00"/>
    <s v=" west"/>
    <x v="1"/>
    <s v=" Home Appliances "/>
    <x v="1"/>
    <s v="Washing Machine"/>
    <s v="Washing Machine"/>
    <s v="CUST0071"/>
    <s v=" CUST0071 "/>
    <x v="2"/>
    <s v="Suresh"/>
    <x v="3"/>
    <s v=" Net Banking "/>
    <n v="8"/>
    <s v="8"/>
    <n v="4360"/>
    <s v="4360"/>
    <n v="34880"/>
    <x v="0"/>
    <x v="1"/>
    <x v="6"/>
    <s v="Medium"/>
    <s v="Online"/>
    <n v="34880"/>
  </r>
  <r>
    <n v="1033"/>
    <d v="2024-02-13T00:00:00"/>
    <s v="2024-02-13 00:00:00"/>
    <s v=" North "/>
    <x v="2"/>
    <s v="Clothing"/>
    <x v="0"/>
    <s v="Mixer Grinder"/>
    <s v="Mixer Grinder"/>
    <s v="CUST0180"/>
    <s v=" CUST0180 "/>
    <x v="0"/>
    <s v="Rahul"/>
    <x v="3"/>
    <s v=" Net Banking "/>
    <n v="3"/>
    <s v="3"/>
    <n v="4410"/>
    <s v="4410"/>
    <n v="13230"/>
    <x v="0"/>
    <x v="1"/>
    <x v="6"/>
    <s v="Low"/>
    <s v="Online"/>
    <n v="13230"/>
  </r>
  <r>
    <n v="1034"/>
    <d v="2024-02-13T01:00:00"/>
    <s v="2024-02-13 01:00:00"/>
    <s v="south"/>
    <x v="3"/>
    <s v="Grocery"/>
    <x v="3"/>
    <s v="Washing Machine"/>
    <s v="Washing Machine"/>
    <s v="CUST0124"/>
    <s v=" CUST0124 "/>
    <x v="2"/>
    <s v="Suresh"/>
    <x v="1"/>
    <s v="Debit card "/>
    <n v="7"/>
    <s v="7"/>
    <n v="3887"/>
    <s v="3887"/>
    <n v="27209"/>
    <x v="0"/>
    <x v="1"/>
    <x v="6"/>
    <s v="Medium"/>
    <s v="Online"/>
    <n v="27209"/>
  </r>
  <r>
    <n v="1035"/>
    <d v="2024-02-13T02:00:00"/>
    <s v="2024-02-13 02:00:00"/>
    <s v=" North "/>
    <x v="2"/>
    <s v=" Home Appliances "/>
    <x v="1"/>
    <s v="Led Tv 42Inch"/>
    <s v="LED TV 42inch"/>
    <s v="CUST0381"/>
    <s v=" CUST0381 "/>
    <x v="2"/>
    <s v="Suresh"/>
    <x v="2"/>
    <s v="UPI"/>
    <n v="8"/>
    <s v="8"/>
    <n v="3836"/>
    <s v="3836"/>
    <n v="30688"/>
    <x v="0"/>
    <x v="1"/>
    <x v="6"/>
    <s v="Medium"/>
    <s v="Online"/>
    <n v="30688"/>
  </r>
  <r>
    <n v="1036"/>
    <d v="2024-02-13T03:00:00"/>
    <s v="2024-02-13 03:00:00"/>
    <s v="south"/>
    <x v="3"/>
    <s v="Clothing"/>
    <x v="0"/>
    <s v="Laptop"/>
    <s v="Laptop"/>
    <s v="CUST0293"/>
    <s v=" CUST0293 "/>
    <x v="4"/>
    <s v="Karthik"/>
    <x v="2"/>
    <s v="UPI"/>
    <n v="3"/>
    <s v="3"/>
    <n v="189"/>
    <s v="189"/>
    <n v="567"/>
    <x v="0"/>
    <x v="1"/>
    <x v="6"/>
    <s v="Low"/>
    <s v="Online"/>
    <n v="567"/>
  </r>
  <r>
    <n v="1037"/>
    <d v="2024-02-13T04:00:00"/>
    <s v="2024-02-13 04:00:00"/>
    <s v=" west"/>
    <x v="1"/>
    <s v="Grocery"/>
    <x v="3"/>
    <s v="Washing Machine"/>
    <s v="Washing Machine"/>
    <s v="CUST0797"/>
    <s v=" CUST0797 "/>
    <x v="1"/>
    <s v="Meena"/>
    <x v="0"/>
    <s v=" Cash"/>
    <n v="2"/>
    <s v="2"/>
    <n v="3021"/>
    <s v="3021"/>
    <n v="6042"/>
    <x v="0"/>
    <x v="1"/>
    <x v="6"/>
    <s v="Low"/>
    <s v="Offline"/>
    <n v="6042"/>
  </r>
  <r>
    <n v="1038"/>
    <d v="2024-02-13T05:00:00"/>
    <s v="2024-02-13 05:00:00"/>
    <s v="EAST"/>
    <x v="0"/>
    <s v=" Home Appliances "/>
    <x v="1"/>
    <s v="Washing Machine"/>
    <s v="Washing Machine"/>
    <s v="CUST0195"/>
    <s v=" CUST0195 "/>
    <x v="4"/>
    <s v="Karthik"/>
    <x v="2"/>
    <s v="UPI"/>
    <n v="13"/>
    <s v="13"/>
    <n v="1351"/>
    <s v="1351"/>
    <n v="17563"/>
    <x v="0"/>
    <x v="1"/>
    <x v="6"/>
    <s v="Low"/>
    <s v="Online"/>
    <n v="17563"/>
  </r>
  <r>
    <n v="1039"/>
    <d v="2024-02-13T06:00:00"/>
    <s v="2024-02-13 06:00:00"/>
    <s v=" North "/>
    <x v="2"/>
    <s v="Clothing"/>
    <x v="0"/>
    <s v="Laptop"/>
    <s v="Laptop"/>
    <s v="CUST0228"/>
    <s v=" CUST0228 "/>
    <x v="3"/>
    <s v="Anita"/>
    <x v="1"/>
    <s v="Debit card "/>
    <n v="13"/>
    <s v="13"/>
    <n v="1202"/>
    <s v="1202"/>
    <n v="15626"/>
    <x v="0"/>
    <x v="1"/>
    <x v="6"/>
    <s v="Low"/>
    <s v="Online"/>
    <n v="15626"/>
  </r>
  <r>
    <n v="1040"/>
    <d v="2024-02-13T07:00:00"/>
    <s v="2024-02-13 07:00:00"/>
    <s v="EAST"/>
    <x v="0"/>
    <s v="Clothing"/>
    <x v="0"/>
    <s v="Led Tv 42Inch"/>
    <s v="LED TV 42inch"/>
    <s v="CUST0431"/>
    <s v=" CUST0431 "/>
    <x v="4"/>
    <s v="Karthik"/>
    <x v="0"/>
    <s v=" Cash"/>
    <n v="8"/>
    <s v="8"/>
    <n v="4803"/>
    <s v="4803"/>
    <n v="38424"/>
    <x v="0"/>
    <x v="1"/>
    <x v="6"/>
    <s v="Medium"/>
    <s v="Offline"/>
    <n v="38424"/>
  </r>
  <r>
    <n v="1041"/>
    <d v="2024-02-13T08:00:00"/>
    <s v="2024-02-13 08:00:00"/>
    <s v=" North "/>
    <x v="2"/>
    <s v="Clothing"/>
    <x v="0"/>
    <s v="Laptop"/>
    <s v="Laptop"/>
    <s v="CUST0436"/>
    <s v=" CUST0436 "/>
    <x v="0"/>
    <s v="Rahul"/>
    <x v="4"/>
    <s v="Credit Card"/>
    <n v="3"/>
    <s v="3"/>
    <n v="448"/>
    <s v="448"/>
    <n v="1344"/>
    <x v="0"/>
    <x v="1"/>
    <x v="6"/>
    <s v="Low"/>
    <s v="Online"/>
    <n v="1344"/>
  </r>
  <r>
    <n v="1042"/>
    <d v="2024-02-13T09:00:00"/>
    <s v="2024-02-13 09:00:00"/>
    <s v="south"/>
    <x v="3"/>
    <s v=" Home Appliances "/>
    <x v="1"/>
    <s v="Rice 5Kg"/>
    <s v="Rice 5kg"/>
    <s v="CUST0787"/>
    <s v=" CUST0787 "/>
    <x v="1"/>
    <s v="Meena"/>
    <x v="2"/>
    <s v="UPI"/>
    <n v="7"/>
    <s v="7"/>
    <n v="4013"/>
    <s v="4013"/>
    <n v="28091"/>
    <x v="0"/>
    <x v="1"/>
    <x v="6"/>
    <s v="Medium"/>
    <s v="Online"/>
    <n v="28091"/>
  </r>
  <r>
    <n v="1043"/>
    <d v="2024-02-13T10:00:00"/>
    <s v="2024-02-13 10:00:00"/>
    <s v="EAST"/>
    <x v="0"/>
    <s v="Grocery"/>
    <x v="3"/>
    <s v="Mixer Grinder"/>
    <s v="Mixer Grinder"/>
    <s v="CUST0461"/>
    <s v=" CUST0461 "/>
    <x v="0"/>
    <s v="Rahul"/>
    <x v="2"/>
    <s v="UPI"/>
    <n v="12"/>
    <s v="12"/>
    <n v="4152"/>
    <s v="4152"/>
    <n v="49824"/>
    <x v="0"/>
    <x v="1"/>
    <x v="6"/>
    <s v="Medium"/>
    <s v="Online"/>
    <n v="49824"/>
  </r>
  <r>
    <n v="1044"/>
    <d v="2024-02-13T11:00:00"/>
    <s v="2024-02-13 11:00:00"/>
    <s v=" North "/>
    <x v="2"/>
    <s v="Grocery"/>
    <x v="3"/>
    <s v="Laptop"/>
    <s v="Laptop"/>
    <s v="CUST0618"/>
    <s v=" CUST0618 "/>
    <x v="3"/>
    <s v="Anita"/>
    <x v="0"/>
    <s v=" Cash"/>
    <n v="1"/>
    <s v="1"/>
    <n v="3041"/>
    <s v="3041"/>
    <n v="3041"/>
    <x v="0"/>
    <x v="1"/>
    <x v="6"/>
    <s v="Low"/>
    <s v="Offline"/>
    <n v="3041"/>
  </r>
  <r>
    <n v="1045"/>
    <d v="2024-02-13T12:00:00"/>
    <s v="2024-02-13 12:00:00"/>
    <s v="south"/>
    <x v="3"/>
    <s v="Electronics"/>
    <x v="2"/>
    <s v="Led Tv 42Inch"/>
    <s v="LED TV 42inch"/>
    <s v="CUST0021"/>
    <s v=" CUST0021 "/>
    <x v="1"/>
    <s v="Meena"/>
    <x v="3"/>
    <s v=" Net Banking "/>
    <n v="14"/>
    <s v="14"/>
    <n v="345"/>
    <s v="345"/>
    <n v="4830"/>
    <x v="0"/>
    <x v="1"/>
    <x v="6"/>
    <s v="Low"/>
    <s v="Online"/>
    <n v="4830"/>
  </r>
  <r>
    <n v="1046"/>
    <d v="2024-02-13T13:00:00"/>
    <s v="2024-02-13 13:00:00"/>
    <s v="EAST"/>
    <x v="0"/>
    <s v="Clothing"/>
    <x v="0"/>
    <s v="Men T-Shirt"/>
    <s v="Men T-Shirt"/>
    <s v="CUST0064"/>
    <s v=" CUST0064 "/>
    <x v="2"/>
    <s v="Suresh"/>
    <x v="2"/>
    <s v="UPI"/>
    <n v="12"/>
    <s v="12"/>
    <n v="371"/>
    <s v="371"/>
    <n v="4452"/>
    <x v="0"/>
    <x v="1"/>
    <x v="6"/>
    <s v="Low"/>
    <s v="Online"/>
    <n v="4452"/>
  </r>
  <r>
    <n v="1047"/>
    <d v="2024-02-13T14:00:00"/>
    <s v="2024-02-13 14:00:00"/>
    <s v="EAST"/>
    <x v="0"/>
    <s v="Electronics"/>
    <x v="2"/>
    <s v="Rice 5Kg"/>
    <s v="Rice 5kg"/>
    <s v="CUST0165"/>
    <s v=" CUST0165 "/>
    <x v="4"/>
    <s v="Karthik"/>
    <x v="1"/>
    <s v="Debit card "/>
    <n v="6"/>
    <s v="6"/>
    <n v="2130"/>
    <s v="2130"/>
    <n v="12780"/>
    <x v="0"/>
    <x v="1"/>
    <x v="6"/>
    <s v="Low"/>
    <s v="Online"/>
    <n v="12780"/>
  </r>
  <r>
    <n v="1048"/>
    <d v="2024-02-13T15:00:00"/>
    <s v="2024-02-13 15:00:00"/>
    <s v=" North "/>
    <x v="2"/>
    <s v="Electronics"/>
    <x v="2"/>
    <s v="Men T-Shirt"/>
    <s v="Men T-Shirt"/>
    <s v="CUST0027"/>
    <s v=" CUST0027 "/>
    <x v="0"/>
    <s v="Rahul"/>
    <x v="2"/>
    <s v="UPI"/>
    <n v="12"/>
    <s v="12"/>
    <n v="4598"/>
    <s v="4598"/>
    <n v="55176"/>
    <x v="0"/>
    <x v="1"/>
    <x v="6"/>
    <s v="High"/>
    <s v="Online"/>
    <n v="55176"/>
  </r>
  <r>
    <n v="1049"/>
    <d v="2024-02-13T16:00:00"/>
    <s v="2024-02-13 16:00:00"/>
    <s v=" North "/>
    <x v="2"/>
    <s v="Grocery"/>
    <x v="3"/>
    <s v="Laptop"/>
    <s v="Laptop"/>
    <s v="CUST0311"/>
    <s v=" CUST0311 "/>
    <x v="3"/>
    <s v="Anita"/>
    <x v="4"/>
    <s v="Credit Card"/>
    <n v="12"/>
    <s v="12"/>
    <n v="3287"/>
    <s v="3287"/>
    <n v="39444"/>
    <x v="0"/>
    <x v="1"/>
    <x v="6"/>
    <s v="Medium"/>
    <s v="Online"/>
    <n v="39444"/>
  </r>
  <r>
    <n v="1050"/>
    <d v="2024-02-13T17:00:00"/>
    <s v="2024-02-13 17:00:00"/>
    <s v=" North "/>
    <x v="2"/>
    <s v=" Home Appliances "/>
    <x v="1"/>
    <s v="Rice 5Kg"/>
    <s v="Rice 5kg"/>
    <s v="CUST0285"/>
    <s v=" CUST0285 "/>
    <x v="2"/>
    <s v="Suresh"/>
    <x v="2"/>
    <s v="UPI"/>
    <n v="13"/>
    <s v="13"/>
    <n v="3606"/>
    <s v="3606"/>
    <n v="46878"/>
    <x v="0"/>
    <x v="1"/>
    <x v="6"/>
    <s v="Medium"/>
    <s v="Online"/>
    <n v="46878"/>
  </r>
  <r>
    <n v="1051"/>
    <d v="2024-02-13T18:00:00"/>
    <s v="2024-02-13 18:00:00"/>
    <s v="south"/>
    <x v="3"/>
    <s v=" Home Appliances "/>
    <x v="1"/>
    <s v="Mixer Grinder"/>
    <s v="Mixer Grinder"/>
    <s v="CUST0660"/>
    <s v=" CUST0660 "/>
    <x v="4"/>
    <s v="Karthik"/>
    <x v="3"/>
    <s v=" Net Banking "/>
    <n v="9"/>
    <s v="9"/>
    <n v="1565"/>
    <s v="1565"/>
    <n v="14085"/>
    <x v="0"/>
    <x v="1"/>
    <x v="6"/>
    <s v="Low"/>
    <s v="Online"/>
    <n v="14085"/>
  </r>
  <r>
    <n v="1052"/>
    <d v="2024-02-13T19:00:00"/>
    <s v="2024-02-13 19:00:00"/>
    <s v=" North "/>
    <x v="2"/>
    <s v="Grocery"/>
    <x v="3"/>
    <s v="Laptop"/>
    <s v="Laptop"/>
    <s v="CUST0281"/>
    <s v=" CUST0281 "/>
    <x v="2"/>
    <s v="Suresh"/>
    <x v="2"/>
    <s v="UPI"/>
    <n v="12"/>
    <s v="12"/>
    <n v="1295"/>
    <s v="1295"/>
    <n v="15540"/>
    <x v="0"/>
    <x v="1"/>
    <x v="6"/>
    <s v="Low"/>
    <s v="Online"/>
    <n v="15540"/>
  </r>
  <r>
    <n v="1053"/>
    <d v="2024-02-13T20:00:00"/>
    <s v="2024-02-13 20:00:00"/>
    <s v="EAST"/>
    <x v="0"/>
    <s v=" Home Appliances "/>
    <x v="1"/>
    <s v="Mixer Grinder"/>
    <s v="Mixer Grinder"/>
    <s v="CUST0164"/>
    <s v=" CUST0164 "/>
    <x v="4"/>
    <s v="Karthik"/>
    <x v="0"/>
    <s v=" Cash"/>
    <n v="3"/>
    <s v="3"/>
    <n v="3187"/>
    <s v="3187"/>
    <n v="9561"/>
    <x v="0"/>
    <x v="1"/>
    <x v="6"/>
    <s v="Low"/>
    <s v="Offline"/>
    <n v="9561"/>
  </r>
  <r>
    <n v="1054"/>
    <d v="2024-02-13T21:00:00"/>
    <s v="2024-02-13 21:00:00"/>
    <s v="EAST"/>
    <x v="0"/>
    <s v="Electronics"/>
    <x v="2"/>
    <s v="Washing Machine"/>
    <s v="Washing Machine"/>
    <s v="CUST0224"/>
    <s v=" CUST0224 "/>
    <x v="1"/>
    <s v="Meena"/>
    <x v="2"/>
    <s v="UPI"/>
    <n v="14"/>
    <s v="14"/>
    <n v="3108"/>
    <s v="3108"/>
    <n v="43512"/>
    <x v="0"/>
    <x v="1"/>
    <x v="6"/>
    <s v="Medium"/>
    <s v="Online"/>
    <n v="43512"/>
  </r>
  <r>
    <n v="1055"/>
    <d v="2024-02-13T22:00:00"/>
    <s v="2024-02-13 22:00:00"/>
    <s v=" North "/>
    <x v="2"/>
    <s v="Clothing"/>
    <x v="0"/>
    <s v="Men T-Shirt"/>
    <s v="Men T-Shirt"/>
    <s v="CUST0784"/>
    <s v=" CUST0784 "/>
    <x v="2"/>
    <s v="Suresh"/>
    <x v="3"/>
    <s v=" Net Banking "/>
    <n v="7"/>
    <s v="7"/>
    <n v="3923"/>
    <s v="3923"/>
    <n v="27461"/>
    <x v="0"/>
    <x v="1"/>
    <x v="6"/>
    <s v="Medium"/>
    <s v="Online"/>
    <n v="27461"/>
  </r>
  <r>
    <n v="1056"/>
    <d v="2024-02-13T23:00:00"/>
    <s v="2024-02-13 23:00:00"/>
    <s v=" North "/>
    <x v="2"/>
    <s v="Grocery"/>
    <x v="3"/>
    <s v="Rice 5Kg"/>
    <s v="Rice 5kg"/>
    <s v="CUST0146"/>
    <s v=" CUST0146 "/>
    <x v="2"/>
    <s v="Suresh"/>
    <x v="0"/>
    <s v=" Cash"/>
    <n v="13"/>
    <s v="13"/>
    <n v="1714"/>
    <s v="1714"/>
    <n v="22282"/>
    <x v="0"/>
    <x v="1"/>
    <x v="6"/>
    <s v="Medium"/>
    <s v="Offline"/>
    <n v="22282"/>
  </r>
  <r>
    <n v="1057"/>
    <d v="2024-02-14T00:00:00"/>
    <s v="2024-02-14 00:00:00"/>
    <s v=" west"/>
    <x v="1"/>
    <s v="Clothing"/>
    <x v="0"/>
    <s v="Mixer Grinder"/>
    <s v="Mixer Grinder"/>
    <s v="CUST0030"/>
    <s v=" CUST0030 "/>
    <x v="2"/>
    <s v="Suresh"/>
    <x v="1"/>
    <s v="Debit card "/>
    <n v="6"/>
    <s v="6"/>
    <n v="1226"/>
    <s v="1226"/>
    <n v="7356"/>
    <x v="0"/>
    <x v="1"/>
    <x v="6"/>
    <s v="Low"/>
    <s v="Online"/>
    <n v="7356"/>
  </r>
  <r>
    <n v="1058"/>
    <d v="2024-02-14T01:00:00"/>
    <s v="2024-02-14 01:00:00"/>
    <s v="EAST"/>
    <x v="0"/>
    <s v=" Home Appliances "/>
    <x v="1"/>
    <s v="Led Tv 42Inch"/>
    <s v="LED TV 42inch"/>
    <s v="CUST0045"/>
    <s v=" CUST0045 "/>
    <x v="1"/>
    <s v="Meena"/>
    <x v="0"/>
    <s v=" Cash"/>
    <n v="8"/>
    <s v="8"/>
    <n v="4479"/>
    <s v="4479"/>
    <n v="35832"/>
    <x v="0"/>
    <x v="1"/>
    <x v="6"/>
    <s v="Medium"/>
    <s v="Offline"/>
    <n v="35832"/>
  </r>
  <r>
    <n v="1059"/>
    <d v="2024-02-14T02:00:00"/>
    <s v="2024-02-14 02:00:00"/>
    <s v="south"/>
    <x v="3"/>
    <s v="Clothing"/>
    <x v="0"/>
    <s v="Mixer Grinder"/>
    <s v="Mixer Grinder"/>
    <s v="CUST0787"/>
    <s v=" CUST0787 "/>
    <x v="3"/>
    <s v="Anita"/>
    <x v="4"/>
    <s v="Credit Card"/>
    <n v="3"/>
    <s v="3"/>
    <n v="616"/>
    <s v="616"/>
    <n v="1848"/>
    <x v="0"/>
    <x v="1"/>
    <x v="6"/>
    <s v="Low"/>
    <s v="Online"/>
    <n v="1848"/>
  </r>
  <r>
    <n v="1060"/>
    <d v="2024-02-14T03:00:00"/>
    <s v="2024-02-14 03:00:00"/>
    <s v=" west"/>
    <x v="1"/>
    <s v=" Home Appliances "/>
    <x v="1"/>
    <s v="Led Tv 42Inch"/>
    <s v="LED TV 42inch"/>
    <s v="CUST0471"/>
    <s v=" CUST0471 "/>
    <x v="4"/>
    <s v="Karthik"/>
    <x v="0"/>
    <s v=" Cash"/>
    <n v="3"/>
    <s v="3"/>
    <n v="2765"/>
    <s v="2765"/>
    <n v="8295"/>
    <x v="0"/>
    <x v="1"/>
    <x v="6"/>
    <s v="Low"/>
    <s v="Offline"/>
    <n v="8295"/>
  </r>
  <r>
    <n v="1061"/>
    <d v="2024-02-14T04:00:00"/>
    <s v="2024-02-14 04:00:00"/>
    <s v=" North "/>
    <x v="2"/>
    <s v=" Home Appliances "/>
    <x v="1"/>
    <s v="Laptop"/>
    <s v="Laptop"/>
    <s v="CUST0034"/>
    <s v=" CUST0034 "/>
    <x v="2"/>
    <s v="Suresh"/>
    <x v="1"/>
    <s v="Debit card "/>
    <n v="4"/>
    <s v="4"/>
    <n v="1401"/>
    <s v="1401"/>
    <n v="5604"/>
    <x v="0"/>
    <x v="1"/>
    <x v="6"/>
    <s v="Low"/>
    <s v="Online"/>
    <n v="5604"/>
  </r>
  <r>
    <n v="1062"/>
    <d v="2024-02-14T05:00:00"/>
    <s v="2024-02-14 05:00:00"/>
    <s v=" North "/>
    <x v="2"/>
    <s v="Electronics"/>
    <x v="2"/>
    <s v="Rice 5Kg"/>
    <s v="Rice 5kg"/>
    <s v="CUST0653"/>
    <s v=" CUST0653 "/>
    <x v="1"/>
    <s v="Meena"/>
    <x v="2"/>
    <s v="UPI"/>
    <n v="3"/>
    <s v="3"/>
    <n v="711"/>
    <s v="711"/>
    <n v="2133"/>
    <x v="0"/>
    <x v="1"/>
    <x v="6"/>
    <s v="Low"/>
    <s v="Online"/>
    <n v="2133"/>
  </r>
  <r>
    <n v="1063"/>
    <d v="2024-02-14T06:00:00"/>
    <s v="2024-02-14 06:00:00"/>
    <s v="EAST"/>
    <x v="0"/>
    <s v=" Home Appliances "/>
    <x v="1"/>
    <s v="Mixer Grinder"/>
    <s v="Mixer Grinder"/>
    <s v="CUST0427"/>
    <s v=" CUST0427 "/>
    <x v="3"/>
    <s v="Anita"/>
    <x v="0"/>
    <s v=" Cash"/>
    <n v="9"/>
    <s v="9"/>
    <n v="849"/>
    <s v="849"/>
    <n v="7641"/>
    <x v="0"/>
    <x v="1"/>
    <x v="6"/>
    <s v="Low"/>
    <s v="Offline"/>
    <n v="7641"/>
  </r>
  <r>
    <n v="1064"/>
    <d v="2024-02-14T07:00:00"/>
    <s v="2024-02-14 07:00:00"/>
    <s v=" North "/>
    <x v="2"/>
    <s v="Electronics"/>
    <x v="2"/>
    <s v="Mixer Grinder"/>
    <s v="Mixer Grinder"/>
    <s v="CUST0221"/>
    <s v=" CUST0221 "/>
    <x v="4"/>
    <s v="Karthik"/>
    <x v="0"/>
    <s v=" Cash"/>
    <n v="11"/>
    <s v="11"/>
    <n v="1956"/>
    <s v="1956"/>
    <n v="21516"/>
    <x v="0"/>
    <x v="1"/>
    <x v="6"/>
    <s v="Medium"/>
    <s v="Offline"/>
    <n v="21516"/>
  </r>
  <r>
    <n v="1065"/>
    <d v="2024-02-14T08:00:00"/>
    <s v="2024-02-14 08:00:00"/>
    <s v="south"/>
    <x v="3"/>
    <s v="Electronics"/>
    <x v="2"/>
    <s v="Rice 5Kg"/>
    <s v="Rice 5kg"/>
    <s v="CUST0534"/>
    <s v=" CUST0534 "/>
    <x v="1"/>
    <s v="Meena"/>
    <x v="0"/>
    <s v=" Cash"/>
    <n v="4"/>
    <s v="4"/>
    <n v="499"/>
    <s v="499"/>
    <n v="1996"/>
    <x v="0"/>
    <x v="1"/>
    <x v="6"/>
    <s v="Low"/>
    <s v="Offline"/>
    <n v="1996"/>
  </r>
  <r>
    <n v="1066"/>
    <d v="2024-02-14T09:00:00"/>
    <s v="2024-02-14 09:00:00"/>
    <s v="EAST"/>
    <x v="0"/>
    <s v="Electronics"/>
    <x v="2"/>
    <s v="Mixer Grinder"/>
    <s v="Mixer Grinder"/>
    <s v="CUST0692"/>
    <s v=" CUST0692 "/>
    <x v="4"/>
    <s v="Karthik"/>
    <x v="0"/>
    <s v=" Cash"/>
    <n v="6"/>
    <s v="6"/>
    <n v="1626"/>
    <s v="1626"/>
    <n v="9756"/>
    <x v="0"/>
    <x v="1"/>
    <x v="6"/>
    <s v="Low"/>
    <s v="Offline"/>
    <n v="9756"/>
  </r>
  <r>
    <n v="1067"/>
    <d v="2024-02-14T10:00:00"/>
    <s v="2024-02-14 10:00:00"/>
    <s v=" North "/>
    <x v="2"/>
    <s v="Grocery"/>
    <x v="3"/>
    <s v="Led Tv 42Inch"/>
    <s v="LED TV 42inch"/>
    <s v="CUST0367"/>
    <s v=" CUST0367 "/>
    <x v="2"/>
    <s v="Suresh"/>
    <x v="1"/>
    <s v="Debit card "/>
    <n v="8"/>
    <s v="8"/>
    <n v="2124"/>
    <s v="2124"/>
    <n v="16992"/>
    <x v="0"/>
    <x v="1"/>
    <x v="6"/>
    <s v="Low"/>
    <s v="Online"/>
    <n v="16992"/>
  </r>
  <r>
    <n v="1068"/>
    <d v="2024-02-14T11:00:00"/>
    <s v="2024-02-14 11:00:00"/>
    <s v="EAST"/>
    <x v="0"/>
    <s v="Grocery"/>
    <x v="3"/>
    <s v="Mixer Grinder"/>
    <s v="Mixer Grinder"/>
    <s v="CUST0743"/>
    <s v=" CUST0743 "/>
    <x v="3"/>
    <s v="Anita"/>
    <x v="3"/>
    <s v=" Net Banking "/>
    <n v="11"/>
    <s v="11"/>
    <n v="419"/>
    <s v="419"/>
    <n v="4609"/>
    <x v="0"/>
    <x v="1"/>
    <x v="6"/>
    <s v="Low"/>
    <s v="Online"/>
    <n v="4609"/>
  </r>
  <r>
    <n v="1069"/>
    <d v="2024-02-14T12:00:00"/>
    <s v="2024-02-14 12:00:00"/>
    <s v=" North "/>
    <x v="2"/>
    <s v=" Home Appliances "/>
    <x v="1"/>
    <s v="Men T-Shirt"/>
    <s v="Men T-Shirt"/>
    <s v="CUST0550"/>
    <s v=" CUST0550 "/>
    <x v="1"/>
    <s v="Meena"/>
    <x v="3"/>
    <s v=" Net Banking "/>
    <n v="13"/>
    <s v="13"/>
    <n v="435"/>
    <s v="435"/>
    <n v="5655"/>
    <x v="0"/>
    <x v="1"/>
    <x v="6"/>
    <s v="Low"/>
    <s v="Online"/>
    <n v="5655"/>
  </r>
  <r>
    <n v="1070"/>
    <d v="2024-02-14T13:00:00"/>
    <s v="2024-02-14 13:00:00"/>
    <s v=" North "/>
    <x v="2"/>
    <s v="Electronics"/>
    <x v="2"/>
    <s v="Laptop"/>
    <s v="Laptop"/>
    <s v="CUST0582"/>
    <s v=" CUST0582 "/>
    <x v="3"/>
    <s v="Anita"/>
    <x v="0"/>
    <s v=" Cash"/>
    <n v="8"/>
    <s v="8"/>
    <n v="2198"/>
    <s v="2198"/>
    <n v="17584"/>
    <x v="0"/>
    <x v="1"/>
    <x v="6"/>
    <s v="Low"/>
    <s v="Offline"/>
    <n v="17584"/>
  </r>
  <r>
    <n v="1071"/>
    <d v="2024-02-14T14:00:00"/>
    <s v="2024-02-14 14:00:00"/>
    <s v=" North "/>
    <x v="2"/>
    <s v="Grocery"/>
    <x v="3"/>
    <s v="Washing Machine"/>
    <s v="Washing Machine"/>
    <s v="CUST0116"/>
    <s v=" CUST0116 "/>
    <x v="2"/>
    <s v="Suresh"/>
    <x v="1"/>
    <s v="Debit card "/>
    <n v="5"/>
    <s v="5"/>
    <n v="273"/>
    <s v="273"/>
    <n v="1365"/>
    <x v="0"/>
    <x v="1"/>
    <x v="6"/>
    <s v="Low"/>
    <s v="Online"/>
    <n v="1365"/>
  </r>
  <r>
    <n v="1072"/>
    <d v="2024-02-14T15:00:00"/>
    <s v="2024-02-14 15:00:00"/>
    <s v="south"/>
    <x v="3"/>
    <s v="Electronics"/>
    <x v="2"/>
    <s v="Led Tv 42Inch"/>
    <s v="LED TV 42inch"/>
    <s v="CUST0239"/>
    <s v=" CUST0239 "/>
    <x v="3"/>
    <s v="Anita"/>
    <x v="1"/>
    <s v="Debit card "/>
    <n v="5"/>
    <s v="5"/>
    <n v="4119"/>
    <s v="4119"/>
    <n v="20595"/>
    <x v="0"/>
    <x v="1"/>
    <x v="6"/>
    <s v="Medium"/>
    <s v="Online"/>
    <n v="20595"/>
  </r>
  <r>
    <n v="1073"/>
    <d v="2024-02-14T16:00:00"/>
    <s v="2024-02-14 16:00:00"/>
    <s v="south"/>
    <x v="3"/>
    <s v="Clothing"/>
    <x v="0"/>
    <s v="Men T-Shirt"/>
    <s v="Men T-Shirt"/>
    <s v="CUST0335"/>
    <s v=" CUST0335 "/>
    <x v="3"/>
    <s v="Anita"/>
    <x v="0"/>
    <s v=" Cash"/>
    <n v="6"/>
    <s v="6"/>
    <n v="1741"/>
    <s v="1741"/>
    <n v="10446"/>
    <x v="0"/>
    <x v="1"/>
    <x v="6"/>
    <s v="Low"/>
    <s v="Offline"/>
    <n v="10446"/>
  </r>
  <r>
    <n v="1074"/>
    <d v="2024-02-14T17:00:00"/>
    <s v="2024-02-14 17:00:00"/>
    <s v="EAST"/>
    <x v="0"/>
    <s v="Clothing"/>
    <x v="0"/>
    <s v="Laptop"/>
    <s v="Laptop"/>
    <s v="CUST0441"/>
    <s v=" CUST0441 "/>
    <x v="0"/>
    <s v="Rahul"/>
    <x v="4"/>
    <s v="Credit Card"/>
    <n v="10"/>
    <s v="10"/>
    <n v="600"/>
    <s v="600"/>
    <n v="6000"/>
    <x v="0"/>
    <x v="1"/>
    <x v="6"/>
    <s v="Low"/>
    <s v="Online"/>
    <n v="6000"/>
  </r>
  <r>
    <n v="1075"/>
    <d v="2024-02-14T18:00:00"/>
    <s v="2024-02-14 18:00:00"/>
    <s v=" North "/>
    <x v="2"/>
    <s v="Clothing"/>
    <x v="0"/>
    <s v="Rice 5Kg"/>
    <s v="Rice 5kg"/>
    <s v="CUST0148"/>
    <s v=" CUST0148 "/>
    <x v="3"/>
    <s v="Anita"/>
    <x v="0"/>
    <s v=" Cash"/>
    <n v="7"/>
    <s v="7"/>
    <n v="3746"/>
    <s v="3746"/>
    <n v="26222"/>
    <x v="0"/>
    <x v="1"/>
    <x v="6"/>
    <s v="Medium"/>
    <s v="Offline"/>
    <n v="26222"/>
  </r>
  <r>
    <n v="1076"/>
    <d v="2024-02-14T19:00:00"/>
    <s v="2024-02-14 19:00:00"/>
    <s v=" North "/>
    <x v="2"/>
    <s v=" Home Appliances "/>
    <x v="1"/>
    <s v="Led Tv 42Inch"/>
    <s v="LED TV 42inch"/>
    <s v="CUST0009"/>
    <s v=" CUST0009 "/>
    <x v="4"/>
    <s v="Karthik"/>
    <x v="4"/>
    <s v="Credit Card"/>
    <n v="13"/>
    <s v="13"/>
    <n v="2463"/>
    <s v="2463"/>
    <n v="32019"/>
    <x v="0"/>
    <x v="1"/>
    <x v="6"/>
    <s v="Medium"/>
    <s v="Online"/>
    <n v="32019"/>
  </r>
  <r>
    <n v="1077"/>
    <d v="2024-02-14T20:00:00"/>
    <s v="2024-02-14 20:00:00"/>
    <s v="south"/>
    <x v="3"/>
    <s v="Electronics"/>
    <x v="2"/>
    <s v="Washing Machine"/>
    <s v="Washing Machine"/>
    <s v="CUST0288"/>
    <s v=" CUST0288 "/>
    <x v="1"/>
    <s v="Meena"/>
    <x v="0"/>
    <s v=" Cash"/>
    <n v="13"/>
    <s v="13"/>
    <n v="1956"/>
    <s v="1956"/>
    <n v="25428"/>
    <x v="0"/>
    <x v="1"/>
    <x v="6"/>
    <s v="Medium"/>
    <s v="Offline"/>
    <n v="25428"/>
  </r>
  <r>
    <n v="1078"/>
    <d v="2024-02-14T21:00:00"/>
    <s v="2024-02-14 21:00:00"/>
    <s v=" North "/>
    <x v="2"/>
    <s v="Clothing"/>
    <x v="0"/>
    <s v="Laptop"/>
    <s v="Laptop"/>
    <s v="CUST0388"/>
    <s v=" CUST0388 "/>
    <x v="0"/>
    <s v="Rahul"/>
    <x v="4"/>
    <s v="Credit Card"/>
    <n v="10"/>
    <s v="10"/>
    <n v="3252"/>
    <s v="3252"/>
    <n v="32520"/>
    <x v="0"/>
    <x v="1"/>
    <x v="6"/>
    <s v="Medium"/>
    <s v="Online"/>
    <n v="32520"/>
  </r>
  <r>
    <n v="1079"/>
    <d v="2024-02-14T22:00:00"/>
    <s v="2024-02-14 22:00:00"/>
    <s v="south"/>
    <x v="3"/>
    <s v="Grocery"/>
    <x v="3"/>
    <s v="Washing Machine"/>
    <s v="Washing Machine"/>
    <s v="CUST0050"/>
    <s v=" CUST0050 "/>
    <x v="1"/>
    <s v="Meena"/>
    <x v="4"/>
    <s v="Credit Card"/>
    <n v="14"/>
    <s v="14"/>
    <n v="1996"/>
    <s v="1996"/>
    <n v="27944"/>
    <x v="0"/>
    <x v="1"/>
    <x v="6"/>
    <s v="Medium"/>
    <s v="Online"/>
    <n v="27944"/>
  </r>
  <r>
    <n v="1080"/>
    <d v="2024-02-14T23:00:00"/>
    <s v="2024-02-14 23:00:00"/>
    <s v=" North "/>
    <x v="2"/>
    <s v="Clothing"/>
    <x v="0"/>
    <s v="Rice 5Kg"/>
    <s v="Rice 5kg"/>
    <s v="CUST0517"/>
    <s v=" CUST0517 "/>
    <x v="1"/>
    <s v="Meena"/>
    <x v="0"/>
    <s v=" Cash"/>
    <n v="7"/>
    <s v="7"/>
    <n v="1818"/>
    <s v="1818"/>
    <n v="12726"/>
    <x v="0"/>
    <x v="1"/>
    <x v="6"/>
    <s v="Low"/>
    <s v="Offline"/>
    <n v="12726"/>
  </r>
  <r>
    <n v="1081"/>
    <d v="2024-02-15T00:00:00"/>
    <s v="2024-02-15 00:00:00"/>
    <s v="EAST"/>
    <x v="0"/>
    <s v="Clothing"/>
    <x v="0"/>
    <s v="Rice 5Kg"/>
    <s v="Rice 5kg"/>
    <s v="CUST0638"/>
    <s v=" CUST0638 "/>
    <x v="2"/>
    <s v="Suresh"/>
    <x v="4"/>
    <s v="Credit Card"/>
    <n v="13"/>
    <s v="13"/>
    <n v="1878"/>
    <s v="1878"/>
    <n v="24414"/>
    <x v="0"/>
    <x v="1"/>
    <x v="6"/>
    <s v="Medium"/>
    <s v="Online"/>
    <n v="24414"/>
  </r>
  <r>
    <n v="1082"/>
    <d v="2024-02-15T01:00:00"/>
    <s v="2024-02-15 01:00:00"/>
    <s v=" North "/>
    <x v="2"/>
    <s v="Clothing"/>
    <x v="0"/>
    <s v="Led Tv 42Inch"/>
    <s v="LED TV 42inch"/>
    <s v="CUST0587"/>
    <s v=" CUST0587 "/>
    <x v="2"/>
    <s v="Suresh"/>
    <x v="2"/>
    <s v="UPI"/>
    <n v="4"/>
    <s v="4"/>
    <n v="4892"/>
    <s v="4892"/>
    <n v="19568"/>
    <x v="0"/>
    <x v="1"/>
    <x v="6"/>
    <s v="Low"/>
    <s v="Online"/>
    <n v="19568"/>
  </r>
  <r>
    <n v="1083"/>
    <d v="2024-02-15T02:00:00"/>
    <s v="2024-02-15 02:00:00"/>
    <s v=" North "/>
    <x v="2"/>
    <s v=" Home Appliances "/>
    <x v="1"/>
    <s v="Mixer Grinder"/>
    <s v="Mixer Grinder"/>
    <s v="CUST0677"/>
    <s v=" CUST0677 "/>
    <x v="0"/>
    <s v="Rahul"/>
    <x v="3"/>
    <s v=" Net Banking "/>
    <n v="6"/>
    <s v="6"/>
    <n v="3157"/>
    <s v="3157"/>
    <n v="18942"/>
    <x v="0"/>
    <x v="1"/>
    <x v="6"/>
    <s v="Low"/>
    <s v="Online"/>
    <n v="18942"/>
  </r>
  <r>
    <n v="1084"/>
    <d v="2024-02-15T03:00:00"/>
    <s v="2024-02-15 03:00:00"/>
    <s v=" west"/>
    <x v="1"/>
    <s v="Grocery"/>
    <x v="3"/>
    <s v="Rice 5Kg"/>
    <s v="Rice 5kg"/>
    <s v="CUST0278"/>
    <s v=" CUST0278 "/>
    <x v="2"/>
    <s v="Suresh"/>
    <x v="1"/>
    <s v="Debit card "/>
    <n v="7"/>
    <s v="7"/>
    <n v="4927"/>
    <s v="4927"/>
    <n v="34489"/>
    <x v="0"/>
    <x v="1"/>
    <x v="6"/>
    <s v="Medium"/>
    <s v="Online"/>
    <n v="34489"/>
  </r>
  <r>
    <n v="1085"/>
    <d v="2024-02-15T04:00:00"/>
    <s v="2024-02-15 04:00:00"/>
    <s v="south"/>
    <x v="3"/>
    <s v="Electronics"/>
    <x v="2"/>
    <s v="Laptop"/>
    <s v="Laptop"/>
    <s v="CUST0300"/>
    <s v=" CUST0300 "/>
    <x v="2"/>
    <s v="Suresh"/>
    <x v="4"/>
    <s v="Credit Card"/>
    <n v="5"/>
    <s v="5"/>
    <n v="2813"/>
    <s v="2813"/>
    <n v="14065"/>
    <x v="0"/>
    <x v="1"/>
    <x v="6"/>
    <s v="Low"/>
    <s v="Online"/>
    <n v="14065"/>
  </r>
  <r>
    <n v="1086"/>
    <d v="2024-02-15T05:00:00"/>
    <s v="2024-02-15 05:00:00"/>
    <s v=" North "/>
    <x v="2"/>
    <s v="Grocery"/>
    <x v="3"/>
    <s v="Mixer Grinder"/>
    <s v="Mixer Grinder"/>
    <s v="CUST0589"/>
    <s v=" CUST0589 "/>
    <x v="2"/>
    <s v="Suresh"/>
    <x v="4"/>
    <s v="Credit Card"/>
    <n v="5"/>
    <s v="5"/>
    <n v="3928"/>
    <s v="3928"/>
    <n v="19640"/>
    <x v="0"/>
    <x v="1"/>
    <x v="6"/>
    <s v="Low"/>
    <s v="Online"/>
    <n v="19640"/>
  </r>
  <r>
    <n v="1087"/>
    <d v="2024-02-15T06:00:00"/>
    <s v="2024-02-15 06:00:00"/>
    <s v=" North "/>
    <x v="2"/>
    <s v="Electronics"/>
    <x v="2"/>
    <s v="Men T-Shirt"/>
    <s v="Men T-Shirt"/>
    <s v="CUST0649"/>
    <s v=" CUST0649 "/>
    <x v="1"/>
    <s v="Meena"/>
    <x v="1"/>
    <s v="Debit card "/>
    <n v="2"/>
    <s v="2"/>
    <n v="4847"/>
    <s v="4847"/>
    <n v="9694"/>
    <x v="0"/>
    <x v="1"/>
    <x v="6"/>
    <s v="Low"/>
    <s v="Online"/>
    <n v="9694"/>
  </r>
  <r>
    <n v="1088"/>
    <d v="2024-02-15T07:00:00"/>
    <s v="2024-02-15 07:00:00"/>
    <s v=" west"/>
    <x v="1"/>
    <s v=" Home Appliances "/>
    <x v="1"/>
    <s v="Washing Machine"/>
    <s v="Washing Machine"/>
    <s v="CUST0618"/>
    <s v=" CUST0618 "/>
    <x v="0"/>
    <s v="Rahul"/>
    <x v="4"/>
    <s v="Credit Card"/>
    <n v="7"/>
    <s v="7"/>
    <n v="1194"/>
    <s v="1194"/>
    <n v="8358"/>
    <x v="0"/>
    <x v="1"/>
    <x v="6"/>
    <s v="Low"/>
    <s v="Online"/>
    <n v="8358"/>
  </r>
  <r>
    <n v="1089"/>
    <d v="2024-02-15T08:00:00"/>
    <s v="2024-02-15 08:00:00"/>
    <s v=" west"/>
    <x v="1"/>
    <s v=" Home Appliances "/>
    <x v="1"/>
    <s v="Mixer Grinder"/>
    <s v="Mixer Grinder"/>
    <s v="CUST0607"/>
    <s v=" CUST0607 "/>
    <x v="1"/>
    <s v="Meena"/>
    <x v="1"/>
    <s v="Debit card "/>
    <n v="12"/>
    <s v="12"/>
    <n v="145"/>
    <s v="145"/>
    <n v="1740"/>
    <x v="0"/>
    <x v="1"/>
    <x v="6"/>
    <s v="Low"/>
    <s v="Online"/>
    <n v="1740"/>
  </r>
  <r>
    <n v="1090"/>
    <d v="2024-02-15T09:00:00"/>
    <s v="2024-02-15 09:00:00"/>
    <s v="south"/>
    <x v="3"/>
    <s v=" Home Appliances "/>
    <x v="1"/>
    <s v="Washing Machine"/>
    <s v="Washing Machine"/>
    <s v="CUST0135"/>
    <s v=" CUST0135 "/>
    <x v="4"/>
    <s v="Karthik"/>
    <x v="0"/>
    <s v=" Cash"/>
    <n v="6"/>
    <s v="6"/>
    <n v="1545"/>
    <s v="1545"/>
    <n v="9270"/>
    <x v="0"/>
    <x v="1"/>
    <x v="6"/>
    <s v="Low"/>
    <s v="Offline"/>
    <n v="9270"/>
  </r>
  <r>
    <n v="1091"/>
    <d v="2024-02-15T10:00:00"/>
    <s v="2024-02-15 10:00:00"/>
    <s v=" west"/>
    <x v="1"/>
    <s v=" Home Appliances "/>
    <x v="1"/>
    <s v="Mixer Grinder"/>
    <s v="Mixer Grinder"/>
    <s v="CUST0580"/>
    <s v=" CUST0580 "/>
    <x v="1"/>
    <s v="Meena"/>
    <x v="2"/>
    <s v="UPI"/>
    <n v="11"/>
    <s v="11"/>
    <n v="2296"/>
    <s v="2296"/>
    <n v="25256"/>
    <x v="0"/>
    <x v="1"/>
    <x v="6"/>
    <s v="Medium"/>
    <s v="Online"/>
    <n v="25256"/>
  </r>
  <r>
    <n v="1092"/>
    <d v="2024-02-15T11:00:00"/>
    <s v="2024-02-15 11:00:00"/>
    <s v="EAST"/>
    <x v="0"/>
    <s v="Electronics"/>
    <x v="2"/>
    <s v="Men T-Shirt"/>
    <s v="Men T-Shirt"/>
    <s v="CUST0147"/>
    <s v=" CUST0147 "/>
    <x v="4"/>
    <s v="Karthik"/>
    <x v="2"/>
    <s v="UPI"/>
    <n v="1"/>
    <s v="1"/>
    <n v="3301"/>
    <s v="3301"/>
    <n v="3301"/>
    <x v="0"/>
    <x v="1"/>
    <x v="6"/>
    <s v="Low"/>
    <s v="Online"/>
    <n v="3301"/>
  </r>
  <r>
    <n v="1093"/>
    <d v="2024-02-15T12:00:00"/>
    <s v="2024-02-15 12:00:00"/>
    <s v=" west"/>
    <x v="1"/>
    <s v="Clothing"/>
    <x v="0"/>
    <s v="Rice 5Kg"/>
    <s v="Rice 5kg"/>
    <s v="CUST0490"/>
    <s v=" CUST0490 "/>
    <x v="3"/>
    <s v="Anita"/>
    <x v="3"/>
    <s v=" Net Banking "/>
    <n v="4"/>
    <s v="4"/>
    <n v="555"/>
    <s v="555"/>
    <n v="2220"/>
    <x v="0"/>
    <x v="1"/>
    <x v="6"/>
    <s v="Low"/>
    <s v="Online"/>
    <n v="2220"/>
  </r>
  <r>
    <n v="1094"/>
    <d v="2024-02-15T13:00:00"/>
    <s v="2024-02-15 13:00:00"/>
    <s v="EAST"/>
    <x v="0"/>
    <s v="Electronics"/>
    <x v="2"/>
    <s v="Men T-Shirt"/>
    <s v="Men T-Shirt"/>
    <s v="CUST0478"/>
    <s v=" CUST0478 "/>
    <x v="3"/>
    <s v="Anita"/>
    <x v="4"/>
    <s v="Credit Card"/>
    <n v="3"/>
    <s v="3"/>
    <n v="1762"/>
    <s v="1762"/>
    <n v="5286"/>
    <x v="0"/>
    <x v="1"/>
    <x v="6"/>
    <s v="Low"/>
    <s v="Online"/>
    <n v="5286"/>
  </r>
  <r>
    <n v="1095"/>
    <d v="2024-02-15T14:00:00"/>
    <s v="2024-02-15 14:00:00"/>
    <s v="south"/>
    <x v="3"/>
    <s v="Grocery"/>
    <x v="3"/>
    <s v="Rice 5Kg"/>
    <s v="Rice 5kg"/>
    <s v="CUST0159"/>
    <s v=" CUST0159 "/>
    <x v="4"/>
    <s v="Karthik"/>
    <x v="3"/>
    <s v=" Net Banking "/>
    <n v="12"/>
    <s v="12"/>
    <n v="3024"/>
    <s v="3024"/>
    <n v="36288"/>
    <x v="0"/>
    <x v="1"/>
    <x v="6"/>
    <s v="Medium"/>
    <s v="Online"/>
    <n v="36288"/>
  </r>
  <r>
    <n v="1096"/>
    <d v="2024-02-15T15:00:00"/>
    <s v="2024-02-15 15:00:00"/>
    <s v="south"/>
    <x v="3"/>
    <s v=" Home Appliances "/>
    <x v="1"/>
    <s v="Rice 5Kg"/>
    <s v="Rice 5kg"/>
    <s v="CUST0384"/>
    <s v=" CUST0384 "/>
    <x v="4"/>
    <s v="Karthik"/>
    <x v="0"/>
    <s v=" Cash"/>
    <n v="3"/>
    <s v="3"/>
    <n v="1065"/>
    <s v="1065"/>
    <n v="3195"/>
    <x v="0"/>
    <x v="1"/>
    <x v="6"/>
    <s v="Low"/>
    <s v="Offline"/>
    <n v="3195"/>
  </r>
  <r>
    <n v="1097"/>
    <d v="2024-02-15T16:00:00"/>
    <s v="2024-02-15 16:00:00"/>
    <s v="south"/>
    <x v="3"/>
    <s v=" Home Appliances "/>
    <x v="1"/>
    <s v="Washing Machine"/>
    <s v="Washing Machine"/>
    <s v="CUST0163"/>
    <s v=" CUST0163 "/>
    <x v="1"/>
    <s v="Meena"/>
    <x v="2"/>
    <s v="UPI"/>
    <n v="7"/>
    <s v="7"/>
    <n v="1628"/>
    <s v="1628"/>
    <n v="11396"/>
    <x v="0"/>
    <x v="1"/>
    <x v="6"/>
    <s v="Low"/>
    <s v="Online"/>
    <n v="11396"/>
  </r>
  <r>
    <n v="1098"/>
    <d v="2024-02-15T17:00:00"/>
    <s v="2024-02-15 17:00:00"/>
    <s v="south"/>
    <x v="3"/>
    <s v="Grocery"/>
    <x v="3"/>
    <s v="Laptop"/>
    <s v="Laptop"/>
    <s v="CUST0441"/>
    <s v=" CUST0441 "/>
    <x v="4"/>
    <s v="Karthik"/>
    <x v="0"/>
    <s v=" Cash"/>
    <n v="11"/>
    <s v="11"/>
    <n v="3076"/>
    <s v="3076"/>
    <n v="33836"/>
    <x v="0"/>
    <x v="1"/>
    <x v="6"/>
    <s v="Medium"/>
    <s v="Offline"/>
    <n v="33836"/>
  </r>
  <r>
    <n v="1099"/>
    <d v="2024-02-15T18:00:00"/>
    <s v="2024-02-15 18:00:00"/>
    <s v="south"/>
    <x v="3"/>
    <s v="Electronics"/>
    <x v="2"/>
    <s v="Men T-Shirt"/>
    <s v="Men T-Shirt"/>
    <s v="CUST0189"/>
    <s v=" CUST0189 "/>
    <x v="0"/>
    <s v="Rahul"/>
    <x v="0"/>
    <s v=" Cash"/>
    <n v="12"/>
    <s v="12"/>
    <n v="3171"/>
    <s v="3171"/>
    <n v="38052"/>
    <x v="0"/>
    <x v="1"/>
    <x v="6"/>
    <s v="Medium"/>
    <s v="Offline"/>
    <n v="38052"/>
  </r>
  <r>
    <n v="1100"/>
    <d v="2024-02-15T19:00:00"/>
    <s v="2024-02-15 19:00:00"/>
    <s v="EAST"/>
    <x v="0"/>
    <s v="Clothing"/>
    <x v="0"/>
    <s v="Mixer Grinder"/>
    <s v="Mixer Grinder"/>
    <s v="CUST0415"/>
    <s v=" CUST0415 "/>
    <x v="3"/>
    <s v="Anita"/>
    <x v="4"/>
    <s v="Credit Card"/>
    <n v="10"/>
    <s v="10"/>
    <n v="4969"/>
    <s v="4969"/>
    <n v="49690"/>
    <x v="0"/>
    <x v="1"/>
    <x v="6"/>
    <s v="Medium"/>
    <s v="Online"/>
    <n v="49690"/>
  </r>
  <r>
    <n v="1101"/>
    <d v="2024-02-15T20:00:00"/>
    <s v="2024-02-15 20:00:00"/>
    <s v="EAST"/>
    <x v="0"/>
    <s v="Clothing"/>
    <x v="0"/>
    <s v="Men T-Shirt"/>
    <s v="Men T-Shirt"/>
    <s v="CUST0339"/>
    <s v=" CUST0339 "/>
    <x v="3"/>
    <s v="Anita"/>
    <x v="0"/>
    <s v=" Cash"/>
    <n v="4"/>
    <s v="4"/>
    <n v="2621"/>
    <s v="2621"/>
    <n v="10484"/>
    <x v="0"/>
    <x v="1"/>
    <x v="6"/>
    <s v="Low"/>
    <s v="Offline"/>
    <n v="10484"/>
  </r>
  <r>
    <n v="1102"/>
    <d v="2024-02-15T21:00:00"/>
    <s v="2024-02-15 21:00:00"/>
    <s v="south"/>
    <x v="3"/>
    <s v="Grocery"/>
    <x v="3"/>
    <s v="Washing Machine"/>
    <s v="Washing Machine"/>
    <s v="CUST0607"/>
    <s v=" CUST0607 "/>
    <x v="4"/>
    <s v="Karthik"/>
    <x v="2"/>
    <s v="UPI"/>
    <n v="12"/>
    <s v="12"/>
    <n v="1226"/>
    <s v="1226"/>
    <n v="14712"/>
    <x v="0"/>
    <x v="1"/>
    <x v="6"/>
    <s v="Low"/>
    <s v="Online"/>
    <n v="14712"/>
  </r>
  <r>
    <n v="1103"/>
    <d v="2024-02-15T22:00:00"/>
    <s v="2024-02-15 22:00:00"/>
    <s v=" west"/>
    <x v="1"/>
    <s v="Clothing"/>
    <x v="0"/>
    <s v="Rice 5Kg"/>
    <s v="Rice 5kg"/>
    <s v="CUST0181"/>
    <s v=" CUST0181 "/>
    <x v="2"/>
    <s v="Suresh"/>
    <x v="3"/>
    <s v=" Net Banking "/>
    <n v="8"/>
    <s v="8"/>
    <n v="3504"/>
    <s v="3504"/>
    <n v="28032"/>
    <x v="0"/>
    <x v="1"/>
    <x v="6"/>
    <s v="Medium"/>
    <s v="Online"/>
    <n v="28032"/>
  </r>
  <r>
    <n v="1104"/>
    <d v="2024-02-15T23:00:00"/>
    <s v="2024-02-15 23:00:00"/>
    <s v=" North "/>
    <x v="2"/>
    <s v="Electronics"/>
    <x v="2"/>
    <s v="Washing Machine"/>
    <s v="Washing Machine"/>
    <s v="CUST0288"/>
    <s v=" CUST0288 "/>
    <x v="2"/>
    <s v="Suresh"/>
    <x v="2"/>
    <s v="UPI"/>
    <n v="11"/>
    <s v="11"/>
    <n v="4592"/>
    <s v="4592"/>
    <n v="50512"/>
    <x v="0"/>
    <x v="1"/>
    <x v="6"/>
    <s v="High"/>
    <s v="Online"/>
    <n v="50512"/>
  </r>
  <r>
    <n v="1105"/>
    <d v="2024-02-16T00:00:00"/>
    <s v="2024-02-16 00:00:00"/>
    <s v="south"/>
    <x v="3"/>
    <s v="Electronics"/>
    <x v="2"/>
    <s v="Led Tv 42Inch"/>
    <s v="LED TV 42inch"/>
    <s v="CUST0187"/>
    <s v=" CUST0187 "/>
    <x v="4"/>
    <s v="Karthik"/>
    <x v="4"/>
    <s v="Credit Card"/>
    <n v="9"/>
    <s v="9"/>
    <n v="2443"/>
    <s v="2443"/>
    <n v="21987"/>
    <x v="0"/>
    <x v="1"/>
    <x v="6"/>
    <s v="Medium"/>
    <s v="Online"/>
    <n v="21987"/>
  </r>
  <r>
    <n v="1106"/>
    <d v="2024-02-16T01:00:00"/>
    <s v="2024-02-16 01:00:00"/>
    <s v=" west"/>
    <x v="1"/>
    <s v="Grocery"/>
    <x v="3"/>
    <s v="Led Tv 42Inch"/>
    <s v="LED TV 42inch"/>
    <s v="CUST0138"/>
    <s v=" CUST0138 "/>
    <x v="0"/>
    <s v="Rahul"/>
    <x v="2"/>
    <s v="UPI"/>
    <n v="3"/>
    <s v="3"/>
    <n v="206"/>
    <s v="206"/>
    <n v="618"/>
    <x v="0"/>
    <x v="1"/>
    <x v="6"/>
    <s v="Low"/>
    <s v="Online"/>
    <n v="618"/>
  </r>
  <r>
    <n v="1107"/>
    <d v="2024-02-16T02:00:00"/>
    <s v="2024-02-16 02:00:00"/>
    <s v=" North "/>
    <x v="2"/>
    <s v="Electronics"/>
    <x v="2"/>
    <s v="Mixer Grinder"/>
    <s v="Mixer Grinder"/>
    <s v="CUST0130"/>
    <s v=" CUST0130 "/>
    <x v="2"/>
    <s v="Suresh"/>
    <x v="1"/>
    <s v="Debit card "/>
    <n v="5"/>
    <s v="5"/>
    <n v="2677"/>
    <s v="2677"/>
    <n v="13385"/>
    <x v="0"/>
    <x v="1"/>
    <x v="6"/>
    <s v="Low"/>
    <s v="Online"/>
    <n v="13385"/>
  </r>
  <r>
    <n v="1108"/>
    <d v="2024-02-16T03:00:00"/>
    <s v="2024-02-16 03:00:00"/>
    <s v="south"/>
    <x v="3"/>
    <s v=" Home Appliances "/>
    <x v="1"/>
    <s v="Washing Machine"/>
    <s v="Washing Machine"/>
    <s v="CUST0194"/>
    <s v=" CUST0194 "/>
    <x v="4"/>
    <s v="Karthik"/>
    <x v="3"/>
    <s v=" Net Banking "/>
    <n v="4"/>
    <s v="4"/>
    <n v="3254"/>
    <s v="3254"/>
    <n v="13016"/>
    <x v="0"/>
    <x v="1"/>
    <x v="6"/>
    <s v="Low"/>
    <s v="Online"/>
    <n v="13016"/>
  </r>
  <r>
    <n v="1109"/>
    <d v="2024-02-16T04:00:00"/>
    <s v="2024-02-16 04:00:00"/>
    <s v="south"/>
    <x v="3"/>
    <s v="Grocery"/>
    <x v="3"/>
    <s v="Mixer Grinder"/>
    <s v="Mixer Grinder"/>
    <s v="CUST0316"/>
    <s v=" CUST0316 "/>
    <x v="0"/>
    <s v="Rahul"/>
    <x v="1"/>
    <s v="Debit card "/>
    <n v="14"/>
    <s v="14"/>
    <n v="4483"/>
    <s v="4483"/>
    <n v="62762"/>
    <x v="0"/>
    <x v="1"/>
    <x v="6"/>
    <s v="High"/>
    <s v="Online"/>
    <n v="62762"/>
  </r>
  <r>
    <n v="1110"/>
    <d v="2024-02-16T05:00:00"/>
    <s v="2024-02-16 05:00:00"/>
    <s v="EAST"/>
    <x v="0"/>
    <s v="Electronics"/>
    <x v="2"/>
    <s v="Mixer Grinder"/>
    <s v="Mixer Grinder"/>
    <s v="CUST0785"/>
    <s v=" CUST0785 "/>
    <x v="0"/>
    <s v="Rahul"/>
    <x v="1"/>
    <s v="Debit card "/>
    <n v="12"/>
    <s v="12"/>
    <n v="4153"/>
    <s v="4153"/>
    <n v="49836"/>
    <x v="0"/>
    <x v="1"/>
    <x v="6"/>
    <s v="Medium"/>
    <s v="Online"/>
    <n v="49836"/>
  </r>
  <r>
    <n v="1111"/>
    <d v="2024-02-16T06:00:00"/>
    <s v="2024-02-16 06:00:00"/>
    <s v=" North "/>
    <x v="2"/>
    <s v="Grocery"/>
    <x v="3"/>
    <s v="Led Tv 42Inch"/>
    <s v="LED TV 42inch"/>
    <s v="CUST0144"/>
    <s v=" CUST0144 "/>
    <x v="1"/>
    <s v="Meena"/>
    <x v="4"/>
    <s v="Credit Card"/>
    <n v="10"/>
    <s v="10"/>
    <n v="4901"/>
    <s v="4901"/>
    <n v="49010"/>
    <x v="0"/>
    <x v="1"/>
    <x v="6"/>
    <s v="Medium"/>
    <s v="Online"/>
    <n v="49010"/>
  </r>
  <r>
    <n v="1112"/>
    <d v="2024-02-16T07:00:00"/>
    <s v="2024-02-16 07:00:00"/>
    <s v=" North "/>
    <x v="2"/>
    <s v="Clothing"/>
    <x v="0"/>
    <s v="Mixer Grinder"/>
    <s v="Mixer Grinder"/>
    <s v="CUST0016"/>
    <s v=" CUST0016 "/>
    <x v="0"/>
    <s v="Rahul"/>
    <x v="0"/>
    <s v=" Cash"/>
    <n v="6"/>
    <s v="6"/>
    <n v="314"/>
    <s v="314"/>
    <n v="1884"/>
    <x v="0"/>
    <x v="1"/>
    <x v="6"/>
    <s v="Low"/>
    <s v="Offline"/>
    <n v="1884"/>
  </r>
  <r>
    <n v="1113"/>
    <d v="2024-02-16T08:00:00"/>
    <s v="2024-02-16 08:00:00"/>
    <s v=" west"/>
    <x v="1"/>
    <s v="Electronics"/>
    <x v="2"/>
    <s v="Led Tv 42Inch"/>
    <s v="LED TV 42inch"/>
    <s v="CUST0302"/>
    <s v=" CUST0302 "/>
    <x v="2"/>
    <s v="Suresh"/>
    <x v="1"/>
    <s v="Debit card "/>
    <n v="11"/>
    <s v="11"/>
    <n v="4539"/>
    <s v="4539"/>
    <n v="49929"/>
    <x v="0"/>
    <x v="1"/>
    <x v="6"/>
    <s v="Medium"/>
    <s v="Online"/>
    <n v="49929"/>
  </r>
  <r>
    <n v="1114"/>
    <d v="2024-02-16T09:00:00"/>
    <s v="2024-02-16 09:00:00"/>
    <s v="EAST"/>
    <x v="0"/>
    <s v=" Home Appliances "/>
    <x v="1"/>
    <s v="Rice 5Kg"/>
    <s v="Rice 5kg"/>
    <s v="CUST0423"/>
    <s v=" CUST0423 "/>
    <x v="2"/>
    <s v="Suresh"/>
    <x v="2"/>
    <s v="UPI"/>
    <n v="10"/>
    <s v="10"/>
    <n v="4389"/>
    <s v="4389"/>
    <n v="43890"/>
    <x v="0"/>
    <x v="1"/>
    <x v="6"/>
    <s v="Medium"/>
    <s v="Online"/>
    <n v="43890"/>
  </r>
  <r>
    <n v="1115"/>
    <d v="2024-02-16T10:00:00"/>
    <s v="2024-02-16 10:00:00"/>
    <s v="EAST"/>
    <x v="0"/>
    <s v="Electronics"/>
    <x v="2"/>
    <s v="Washing Machine"/>
    <s v="Washing Machine"/>
    <s v="CUST0245"/>
    <s v=" CUST0245 "/>
    <x v="4"/>
    <s v="Karthik"/>
    <x v="0"/>
    <s v=" Cash"/>
    <n v="4"/>
    <s v="4"/>
    <n v="4353"/>
    <s v="4353"/>
    <n v="17412"/>
    <x v="0"/>
    <x v="1"/>
    <x v="6"/>
    <s v="Low"/>
    <s v="Offline"/>
    <n v="17412"/>
  </r>
  <r>
    <n v="1116"/>
    <d v="2024-02-16T11:00:00"/>
    <s v="2024-02-16 11:00:00"/>
    <s v="EAST"/>
    <x v="0"/>
    <s v="Grocery"/>
    <x v="3"/>
    <s v="Mixer Grinder"/>
    <s v="Mixer Grinder"/>
    <s v="CUST0107"/>
    <s v=" CUST0107 "/>
    <x v="4"/>
    <s v="Karthik"/>
    <x v="2"/>
    <s v="UPI"/>
    <n v="8"/>
    <s v="8"/>
    <n v="564"/>
    <s v="564"/>
    <n v="4512"/>
    <x v="0"/>
    <x v="1"/>
    <x v="6"/>
    <s v="Low"/>
    <s v="Online"/>
    <n v="4512"/>
  </r>
  <r>
    <n v="1117"/>
    <d v="2024-02-16T12:00:00"/>
    <s v="2024-02-16 12:00:00"/>
    <s v="EAST"/>
    <x v="0"/>
    <s v="Grocery"/>
    <x v="3"/>
    <s v="Led Tv 42Inch"/>
    <s v="LED TV 42inch"/>
    <s v="CUST0088"/>
    <s v=" CUST0088 "/>
    <x v="0"/>
    <s v="Rahul"/>
    <x v="2"/>
    <s v="UPI"/>
    <n v="3"/>
    <s v="3"/>
    <n v="2472"/>
    <s v="2472"/>
    <n v="7416"/>
    <x v="0"/>
    <x v="1"/>
    <x v="6"/>
    <s v="Low"/>
    <s v="Online"/>
    <n v="7416"/>
  </r>
  <r>
    <n v="1118"/>
    <d v="2024-02-16T13:00:00"/>
    <s v="2024-02-16 13:00:00"/>
    <s v=" North "/>
    <x v="2"/>
    <s v="Electronics"/>
    <x v="2"/>
    <s v="Men T-Shirt"/>
    <s v="Men T-Shirt"/>
    <s v="CUST0129"/>
    <s v=" CUST0129 "/>
    <x v="3"/>
    <s v="Anita"/>
    <x v="0"/>
    <s v=" Cash"/>
    <n v="11"/>
    <s v="11"/>
    <n v="691"/>
    <s v="691"/>
    <n v="7601"/>
    <x v="0"/>
    <x v="1"/>
    <x v="6"/>
    <s v="Low"/>
    <s v="Offline"/>
    <n v="7601"/>
  </r>
  <r>
    <n v="1119"/>
    <d v="2024-02-16T14:00:00"/>
    <s v="2024-02-16 14:00:00"/>
    <s v=" North "/>
    <x v="2"/>
    <s v=" Home Appliances "/>
    <x v="1"/>
    <s v="Mixer Grinder"/>
    <s v="Mixer Grinder"/>
    <s v="CUST0341"/>
    <s v=" CUST0341 "/>
    <x v="1"/>
    <s v="Meena"/>
    <x v="0"/>
    <s v=" Cash"/>
    <n v="5"/>
    <s v="5"/>
    <n v="2288"/>
    <s v="2288"/>
    <n v="11440"/>
    <x v="0"/>
    <x v="1"/>
    <x v="6"/>
    <s v="Low"/>
    <s v="Offline"/>
    <n v="11440"/>
  </r>
  <r>
    <n v="1120"/>
    <d v="2024-02-16T15:00:00"/>
    <s v="2024-02-16 15:00:00"/>
    <s v="south"/>
    <x v="3"/>
    <s v=" Home Appliances "/>
    <x v="1"/>
    <s v="Laptop"/>
    <s v="Laptop"/>
    <s v="CUST0004"/>
    <s v=" CUST0004 "/>
    <x v="3"/>
    <s v="Anita"/>
    <x v="2"/>
    <s v="UPI"/>
    <n v="13"/>
    <s v="13"/>
    <n v="983"/>
    <s v="983"/>
    <n v="12779"/>
    <x v="0"/>
    <x v="1"/>
    <x v="6"/>
    <s v="Low"/>
    <s v="Online"/>
    <n v="12779"/>
  </r>
  <r>
    <n v="1121"/>
    <d v="2024-02-16T16:00:00"/>
    <s v="2024-02-16 16:00:00"/>
    <s v="south"/>
    <x v="3"/>
    <s v=" Home Appliances "/>
    <x v="1"/>
    <s v="Rice 5Kg"/>
    <s v="Rice 5kg"/>
    <s v="CUST0327"/>
    <s v=" CUST0327 "/>
    <x v="0"/>
    <s v="Rahul"/>
    <x v="4"/>
    <s v="Credit Card"/>
    <n v="1"/>
    <s v="1"/>
    <n v="4258"/>
    <s v="4258"/>
    <n v="4258"/>
    <x v="0"/>
    <x v="1"/>
    <x v="6"/>
    <s v="Low"/>
    <s v="Online"/>
    <n v="4258"/>
  </r>
  <r>
    <n v="1122"/>
    <d v="2024-02-16T17:00:00"/>
    <s v="2024-02-16 17:00:00"/>
    <s v="EAST"/>
    <x v="0"/>
    <s v="Grocery"/>
    <x v="3"/>
    <s v="Rice 5Kg"/>
    <s v="Rice 5kg"/>
    <s v="CUST0410"/>
    <s v=" CUST0410 "/>
    <x v="0"/>
    <s v="Rahul"/>
    <x v="3"/>
    <s v=" Net Banking "/>
    <n v="13"/>
    <s v="13"/>
    <n v="403"/>
    <s v="403"/>
    <n v="5239"/>
    <x v="0"/>
    <x v="1"/>
    <x v="6"/>
    <s v="Low"/>
    <s v="Online"/>
    <n v="5239"/>
  </r>
  <r>
    <n v="1123"/>
    <d v="2024-02-16T18:00:00"/>
    <s v="2024-02-16 18:00:00"/>
    <s v="EAST"/>
    <x v="0"/>
    <s v="Electronics"/>
    <x v="2"/>
    <s v="Men T-Shirt"/>
    <s v="Men T-Shirt"/>
    <s v="CUST0306"/>
    <s v=" CUST0306 "/>
    <x v="3"/>
    <s v="Anita"/>
    <x v="3"/>
    <s v=" Net Banking "/>
    <n v="6"/>
    <s v="6"/>
    <n v="4591"/>
    <s v="4591"/>
    <n v="27546"/>
    <x v="0"/>
    <x v="1"/>
    <x v="6"/>
    <s v="Medium"/>
    <s v="Online"/>
    <n v="27546"/>
  </r>
  <r>
    <n v="1124"/>
    <d v="2024-02-16T19:00:00"/>
    <s v="2024-02-16 19:00:00"/>
    <s v="EAST"/>
    <x v="0"/>
    <s v="Clothing"/>
    <x v="0"/>
    <s v="Led Tv 42Inch"/>
    <s v="LED TV 42inch"/>
    <s v="CUST0607"/>
    <s v=" CUST0607 "/>
    <x v="1"/>
    <s v="Meena"/>
    <x v="4"/>
    <s v="Credit Card"/>
    <n v="11"/>
    <s v="11"/>
    <n v="433"/>
    <s v="433"/>
    <n v="4763"/>
    <x v="0"/>
    <x v="1"/>
    <x v="6"/>
    <s v="Low"/>
    <s v="Online"/>
    <n v="4763"/>
  </r>
  <r>
    <n v="1125"/>
    <d v="2024-02-16T20:00:00"/>
    <s v="2024-02-16 20:00:00"/>
    <s v="south"/>
    <x v="3"/>
    <s v="Grocery"/>
    <x v="3"/>
    <s v="Mixer Grinder"/>
    <s v="Mixer Grinder"/>
    <s v="CUST0721"/>
    <s v=" CUST0721 "/>
    <x v="3"/>
    <s v="Anita"/>
    <x v="0"/>
    <s v=" Cash"/>
    <n v="5"/>
    <s v="5"/>
    <n v="2933"/>
    <s v="2933"/>
    <n v="14665"/>
    <x v="0"/>
    <x v="1"/>
    <x v="6"/>
    <s v="Low"/>
    <s v="Offline"/>
    <n v="14665"/>
  </r>
  <r>
    <n v="1126"/>
    <d v="2024-02-16T21:00:00"/>
    <s v="2024-02-16 21:00:00"/>
    <s v=" west"/>
    <x v="1"/>
    <s v=" Home Appliances "/>
    <x v="1"/>
    <s v="Led Tv 42Inch"/>
    <s v="LED TV 42inch"/>
    <s v="CUST0225"/>
    <s v=" CUST0225 "/>
    <x v="4"/>
    <s v="Karthik"/>
    <x v="2"/>
    <s v="UPI"/>
    <n v="8"/>
    <s v="8"/>
    <n v="4606"/>
    <s v="4606"/>
    <n v="36848"/>
    <x v="0"/>
    <x v="1"/>
    <x v="6"/>
    <s v="Medium"/>
    <s v="Online"/>
    <n v="36848"/>
  </r>
  <r>
    <n v="1127"/>
    <d v="2024-02-16T22:00:00"/>
    <s v="2024-02-16 22:00:00"/>
    <s v=" west"/>
    <x v="1"/>
    <s v="Electronics"/>
    <x v="2"/>
    <s v="Rice 5Kg"/>
    <s v="Rice 5kg"/>
    <s v="CUST0348"/>
    <s v=" CUST0348 "/>
    <x v="2"/>
    <s v="Suresh"/>
    <x v="3"/>
    <s v=" Net Banking "/>
    <n v="9"/>
    <s v="9"/>
    <n v="2431"/>
    <s v="2431"/>
    <n v="21879"/>
    <x v="0"/>
    <x v="1"/>
    <x v="6"/>
    <s v="Medium"/>
    <s v="Online"/>
    <n v="21879"/>
  </r>
  <r>
    <n v="1128"/>
    <d v="2024-02-16T23:00:00"/>
    <s v="2024-02-16 23:00:00"/>
    <s v="south"/>
    <x v="3"/>
    <s v=" Home Appliances "/>
    <x v="1"/>
    <s v="Led Tv 42Inch"/>
    <s v="LED TV 42inch"/>
    <s v="CUST0321"/>
    <s v=" CUST0321 "/>
    <x v="4"/>
    <s v="Karthik"/>
    <x v="2"/>
    <s v="UPI"/>
    <n v="8"/>
    <s v="8"/>
    <n v="4661"/>
    <s v="4661"/>
    <n v="37288"/>
    <x v="0"/>
    <x v="1"/>
    <x v="6"/>
    <s v="Medium"/>
    <s v="Online"/>
    <n v="37288"/>
  </r>
  <r>
    <n v="1129"/>
    <d v="2024-02-17T00:00:00"/>
    <s v="2024-02-17 00:00:00"/>
    <s v="south"/>
    <x v="3"/>
    <s v="Clothing"/>
    <x v="0"/>
    <s v="Rice 5Kg"/>
    <s v="Rice 5kg"/>
    <s v="CUST0559"/>
    <s v=" CUST0559 "/>
    <x v="2"/>
    <s v="Suresh"/>
    <x v="4"/>
    <s v="Credit Card"/>
    <n v="8"/>
    <s v="8"/>
    <n v="179"/>
    <s v="179"/>
    <n v="1432"/>
    <x v="0"/>
    <x v="1"/>
    <x v="6"/>
    <s v="Low"/>
    <s v="Online"/>
    <n v="1432"/>
  </r>
  <r>
    <n v="1130"/>
    <d v="2024-02-17T01:00:00"/>
    <s v="2024-02-17 01:00:00"/>
    <s v="south"/>
    <x v="3"/>
    <s v=" Home Appliances "/>
    <x v="1"/>
    <s v="Led Tv 42Inch"/>
    <s v="LED TV 42inch"/>
    <s v="CUST0181"/>
    <s v=" CUST0181 "/>
    <x v="0"/>
    <s v="Rahul"/>
    <x v="2"/>
    <s v="UPI"/>
    <n v="12"/>
    <s v="12"/>
    <n v="3863"/>
    <s v="3863"/>
    <n v="46356"/>
    <x v="0"/>
    <x v="1"/>
    <x v="6"/>
    <s v="Medium"/>
    <s v="Online"/>
    <n v="46356"/>
  </r>
  <r>
    <n v="1131"/>
    <d v="2024-02-17T02:00:00"/>
    <s v="2024-02-17 02:00:00"/>
    <s v="south"/>
    <x v="3"/>
    <s v=" Home Appliances "/>
    <x v="1"/>
    <s v="Men T-Shirt"/>
    <s v="Men T-Shirt"/>
    <s v="CUST0618"/>
    <s v=" CUST0618 "/>
    <x v="1"/>
    <s v="Meena"/>
    <x v="4"/>
    <s v="Credit Card"/>
    <n v="14"/>
    <s v="14"/>
    <n v="2931"/>
    <s v="2931"/>
    <n v="41034"/>
    <x v="0"/>
    <x v="1"/>
    <x v="6"/>
    <s v="Medium"/>
    <s v="Online"/>
    <n v="41034"/>
  </r>
  <r>
    <n v="1132"/>
    <d v="2024-02-17T03:00:00"/>
    <s v="2024-02-17 03:00:00"/>
    <s v="south"/>
    <x v="3"/>
    <s v="Clothing"/>
    <x v="0"/>
    <s v="Washing Machine"/>
    <s v="Washing Machine"/>
    <s v="CUST0711"/>
    <s v=" CUST0711 "/>
    <x v="3"/>
    <s v="Anita"/>
    <x v="0"/>
    <s v=" Cash"/>
    <n v="13"/>
    <s v="13"/>
    <n v="2077"/>
    <s v="2077"/>
    <n v="27001"/>
    <x v="0"/>
    <x v="1"/>
    <x v="6"/>
    <s v="Medium"/>
    <s v="Offline"/>
    <n v="27001"/>
  </r>
  <r>
    <n v="1133"/>
    <d v="2024-02-17T04:00:00"/>
    <s v="2024-02-17 04:00:00"/>
    <s v="south"/>
    <x v="3"/>
    <s v="Electronics"/>
    <x v="2"/>
    <s v="Men T-Shirt"/>
    <s v="Men T-Shirt"/>
    <s v="CUST0386"/>
    <s v=" CUST0386 "/>
    <x v="1"/>
    <s v="Meena"/>
    <x v="4"/>
    <s v="Credit Card"/>
    <n v="3"/>
    <s v="3"/>
    <n v="832"/>
    <s v="832"/>
    <n v="2496"/>
    <x v="0"/>
    <x v="1"/>
    <x v="6"/>
    <s v="Low"/>
    <s v="Online"/>
    <n v="2496"/>
  </r>
  <r>
    <n v="1134"/>
    <d v="2024-02-17T05:00:00"/>
    <s v="2024-02-17 05:00:00"/>
    <s v="EAST"/>
    <x v="0"/>
    <s v="Grocery"/>
    <x v="3"/>
    <s v="Men T-Shirt"/>
    <s v="Men T-Shirt"/>
    <s v="CUST0618"/>
    <s v=" CUST0618 "/>
    <x v="3"/>
    <s v="Anita"/>
    <x v="4"/>
    <s v="Credit Card"/>
    <n v="4"/>
    <s v="4"/>
    <n v="4076"/>
    <s v="4076"/>
    <n v="16304"/>
    <x v="0"/>
    <x v="1"/>
    <x v="6"/>
    <s v="Low"/>
    <s v="Online"/>
    <n v="16304"/>
  </r>
  <r>
    <n v="1135"/>
    <d v="2024-02-17T06:00:00"/>
    <s v="2024-02-17 06:00:00"/>
    <s v="EAST"/>
    <x v="0"/>
    <s v="Electronics"/>
    <x v="2"/>
    <s v="Washing Machine"/>
    <s v="Washing Machine"/>
    <s v="CUST0792"/>
    <s v=" CUST0792 "/>
    <x v="4"/>
    <s v="Karthik"/>
    <x v="3"/>
    <s v=" Net Banking "/>
    <n v="11"/>
    <s v="11"/>
    <n v="1917"/>
    <s v="1917"/>
    <n v="21087"/>
    <x v="0"/>
    <x v="1"/>
    <x v="6"/>
    <s v="Medium"/>
    <s v="Online"/>
    <n v="21087"/>
  </r>
  <r>
    <n v="1136"/>
    <d v="2024-02-17T07:00:00"/>
    <s v="2024-02-17 07:00:00"/>
    <s v="EAST"/>
    <x v="0"/>
    <s v="Clothing"/>
    <x v="0"/>
    <s v="Washing Machine"/>
    <s v="Washing Machine"/>
    <s v="CUST0772"/>
    <s v=" CUST0772 "/>
    <x v="4"/>
    <s v="Karthik"/>
    <x v="2"/>
    <s v="UPI"/>
    <n v="4"/>
    <s v="4"/>
    <n v="1484"/>
    <s v="1484"/>
    <n v="5936"/>
    <x v="0"/>
    <x v="1"/>
    <x v="6"/>
    <s v="Low"/>
    <s v="Online"/>
    <n v="5936"/>
  </r>
  <r>
    <n v="1137"/>
    <d v="2024-02-17T08:00:00"/>
    <s v="2024-02-17 08:00:00"/>
    <s v="EAST"/>
    <x v="0"/>
    <s v=" Home Appliances "/>
    <x v="1"/>
    <s v="Mixer Grinder"/>
    <s v="Mixer Grinder"/>
    <s v="CUST0108"/>
    <s v=" CUST0108 "/>
    <x v="3"/>
    <s v="Anita"/>
    <x v="3"/>
    <s v=" Net Banking "/>
    <n v="14"/>
    <s v="14"/>
    <n v="2224"/>
    <s v="2224"/>
    <n v="31136"/>
    <x v="0"/>
    <x v="1"/>
    <x v="6"/>
    <s v="Medium"/>
    <s v="Online"/>
    <n v="31136"/>
  </r>
  <r>
    <n v="1138"/>
    <d v="2024-02-17T09:00:00"/>
    <s v="2024-02-17 09:00:00"/>
    <s v="south"/>
    <x v="3"/>
    <s v="Electronics"/>
    <x v="2"/>
    <s v="Mixer Grinder"/>
    <s v="Mixer Grinder"/>
    <s v="CUST0531"/>
    <s v=" CUST0531 "/>
    <x v="1"/>
    <s v="Meena"/>
    <x v="1"/>
    <s v="Debit card "/>
    <n v="11"/>
    <s v="11"/>
    <n v="1298"/>
    <s v="1298"/>
    <n v="14278"/>
    <x v="0"/>
    <x v="1"/>
    <x v="6"/>
    <s v="Low"/>
    <s v="Online"/>
    <n v="14278"/>
  </r>
  <r>
    <n v="1139"/>
    <d v="2024-02-17T10:00:00"/>
    <s v="2024-02-17 10:00:00"/>
    <s v=" west"/>
    <x v="1"/>
    <s v="Grocery"/>
    <x v="3"/>
    <s v="Men T-Shirt"/>
    <s v="Men T-Shirt"/>
    <s v="CUST0410"/>
    <s v=" CUST0410 "/>
    <x v="3"/>
    <s v="Anita"/>
    <x v="4"/>
    <s v="Credit Card"/>
    <n v="5"/>
    <s v="5"/>
    <n v="2392"/>
    <s v="2392"/>
    <n v="11960"/>
    <x v="0"/>
    <x v="1"/>
    <x v="6"/>
    <s v="Low"/>
    <s v="Online"/>
    <n v="11960"/>
  </r>
  <r>
    <n v="1140"/>
    <d v="2024-02-17T11:00:00"/>
    <s v="2024-02-17 11:00:00"/>
    <s v=" North "/>
    <x v="2"/>
    <s v="Clothing"/>
    <x v="0"/>
    <s v="Men T-Shirt"/>
    <s v="Men T-Shirt"/>
    <s v="CUST0296"/>
    <s v=" CUST0296 "/>
    <x v="0"/>
    <s v="Rahul"/>
    <x v="1"/>
    <s v="Debit card "/>
    <n v="13"/>
    <s v="13"/>
    <n v="4317"/>
    <s v="4317"/>
    <n v="56121"/>
    <x v="0"/>
    <x v="1"/>
    <x v="6"/>
    <s v="High"/>
    <s v="Online"/>
    <n v="56121"/>
  </r>
  <r>
    <n v="1141"/>
    <d v="2024-02-17T12:00:00"/>
    <s v="2024-02-17 12:00:00"/>
    <s v="south"/>
    <x v="3"/>
    <s v="Electronics"/>
    <x v="2"/>
    <s v="Rice 5Kg"/>
    <s v="Rice 5kg"/>
    <s v="CUST0171"/>
    <s v=" CUST0171 "/>
    <x v="4"/>
    <s v="Karthik"/>
    <x v="3"/>
    <s v=" Net Banking "/>
    <n v="9"/>
    <s v="9"/>
    <n v="284"/>
    <s v="284"/>
    <n v="2556"/>
    <x v="0"/>
    <x v="1"/>
    <x v="6"/>
    <s v="Low"/>
    <s v="Online"/>
    <n v="2556"/>
  </r>
  <r>
    <n v="1142"/>
    <d v="2024-02-17T13:00:00"/>
    <s v="2024-02-17 13:00:00"/>
    <s v=" North "/>
    <x v="2"/>
    <s v="Grocery"/>
    <x v="3"/>
    <s v="Rice 5Kg"/>
    <s v="Rice 5kg"/>
    <s v="CUST0331"/>
    <s v=" CUST0331 "/>
    <x v="0"/>
    <s v="Rahul"/>
    <x v="2"/>
    <s v="UPI"/>
    <n v="12"/>
    <s v="12"/>
    <n v="4227"/>
    <s v="4227"/>
    <n v="50724"/>
    <x v="0"/>
    <x v="1"/>
    <x v="6"/>
    <s v="High"/>
    <s v="Online"/>
    <n v="50724"/>
  </r>
  <r>
    <n v="1143"/>
    <d v="2024-02-17T14:00:00"/>
    <s v="2024-02-17 14:00:00"/>
    <s v=" west"/>
    <x v="1"/>
    <s v="Clothing"/>
    <x v="0"/>
    <s v="Mixer Grinder"/>
    <s v="Mixer Grinder"/>
    <s v="CUST0493"/>
    <s v=" CUST0493 "/>
    <x v="4"/>
    <s v="Karthik"/>
    <x v="3"/>
    <s v=" Net Banking "/>
    <n v="9"/>
    <s v="9"/>
    <n v="1097"/>
    <s v="1097"/>
    <n v="9873"/>
    <x v="0"/>
    <x v="1"/>
    <x v="6"/>
    <s v="Low"/>
    <s v="Online"/>
    <n v="9873"/>
  </r>
  <r>
    <n v="1144"/>
    <d v="2024-02-17T15:00:00"/>
    <s v="2024-02-17 15:00:00"/>
    <s v="EAST"/>
    <x v="0"/>
    <s v="Grocery"/>
    <x v="3"/>
    <s v="Laptop"/>
    <s v="Laptop"/>
    <s v="CUST0195"/>
    <s v=" CUST0195 "/>
    <x v="4"/>
    <s v="Karthik"/>
    <x v="2"/>
    <s v="UPI"/>
    <n v="10"/>
    <s v="10"/>
    <n v="2086"/>
    <s v="2086"/>
    <n v="20860"/>
    <x v="0"/>
    <x v="1"/>
    <x v="6"/>
    <s v="Medium"/>
    <s v="Online"/>
    <n v="20860"/>
  </r>
  <r>
    <n v="1145"/>
    <d v="2024-02-17T16:00:00"/>
    <s v="2024-02-17 16:00:00"/>
    <s v=" west"/>
    <x v="1"/>
    <s v="Clothing"/>
    <x v="0"/>
    <s v="Laptop"/>
    <s v="Laptop"/>
    <s v="CUST0012"/>
    <s v=" CUST0012 "/>
    <x v="2"/>
    <s v="Suresh"/>
    <x v="2"/>
    <s v="UPI"/>
    <n v="13"/>
    <s v="13"/>
    <n v="2909"/>
    <s v="2909"/>
    <n v="37817"/>
    <x v="0"/>
    <x v="1"/>
    <x v="6"/>
    <s v="Medium"/>
    <s v="Online"/>
    <n v="37817"/>
  </r>
  <r>
    <n v="1146"/>
    <d v="2024-02-17T17:00:00"/>
    <s v="2024-02-17 17:00:00"/>
    <s v="south"/>
    <x v="3"/>
    <s v=" Home Appliances "/>
    <x v="1"/>
    <s v="Mixer Grinder"/>
    <s v="Mixer Grinder"/>
    <s v="CUST0195"/>
    <s v=" CUST0195 "/>
    <x v="0"/>
    <s v="Rahul"/>
    <x v="0"/>
    <s v=" Cash"/>
    <n v="12"/>
    <s v="12"/>
    <n v="4764"/>
    <s v="4764"/>
    <n v="57168"/>
    <x v="0"/>
    <x v="1"/>
    <x v="6"/>
    <s v="High"/>
    <s v="Offline"/>
    <n v="57168"/>
  </r>
  <r>
    <n v="1147"/>
    <d v="2024-02-17T18:00:00"/>
    <s v="2024-02-17 18:00:00"/>
    <s v="EAST"/>
    <x v="0"/>
    <s v="Electronics"/>
    <x v="2"/>
    <s v="Rice 5Kg"/>
    <s v="Rice 5kg"/>
    <s v="CUST0490"/>
    <s v=" CUST0490 "/>
    <x v="0"/>
    <s v="Rahul"/>
    <x v="4"/>
    <s v="Credit Card"/>
    <n v="14"/>
    <s v="14"/>
    <n v="2457"/>
    <s v="2457"/>
    <n v="34398"/>
    <x v="0"/>
    <x v="1"/>
    <x v="6"/>
    <s v="Medium"/>
    <s v="Online"/>
    <n v="34398"/>
  </r>
  <r>
    <n v="1148"/>
    <d v="2024-02-17T19:00:00"/>
    <s v="2024-02-17 19:00:00"/>
    <s v="south"/>
    <x v="3"/>
    <s v="Grocery"/>
    <x v="3"/>
    <s v="Rice 5Kg"/>
    <s v="Rice 5kg"/>
    <s v="CUST0795"/>
    <s v=" CUST0795 "/>
    <x v="2"/>
    <s v="Suresh"/>
    <x v="3"/>
    <s v=" Net Banking "/>
    <n v="1"/>
    <s v="1"/>
    <n v="1779"/>
    <s v="1779"/>
    <n v="1779"/>
    <x v="0"/>
    <x v="1"/>
    <x v="6"/>
    <s v="Low"/>
    <s v="Online"/>
    <n v="1779"/>
  </r>
  <r>
    <n v="1149"/>
    <d v="2024-02-17T20:00:00"/>
    <s v="2024-02-17 20:00:00"/>
    <s v="EAST"/>
    <x v="0"/>
    <s v="Clothing"/>
    <x v="0"/>
    <s v="Laptop"/>
    <s v="Laptop"/>
    <s v="CUST0182"/>
    <s v=" CUST0182 "/>
    <x v="1"/>
    <s v="Meena"/>
    <x v="2"/>
    <s v="UPI"/>
    <n v="14"/>
    <s v="14"/>
    <n v="3139"/>
    <s v="3139"/>
    <n v="43946"/>
    <x v="0"/>
    <x v="1"/>
    <x v="6"/>
    <s v="Medium"/>
    <s v="Online"/>
    <n v="43946"/>
  </r>
  <r>
    <n v="1150"/>
    <d v="2024-02-17T21:00:00"/>
    <s v="2024-02-17 21:00:00"/>
    <s v=" North "/>
    <x v="2"/>
    <s v="Grocery"/>
    <x v="3"/>
    <s v="Led Tv 42Inch"/>
    <s v="LED TV 42inch"/>
    <s v="CUST0656"/>
    <s v=" CUST0656 "/>
    <x v="0"/>
    <s v="Rahul"/>
    <x v="3"/>
    <s v=" Net Banking "/>
    <n v="14"/>
    <s v="14"/>
    <n v="4986"/>
    <s v="4986"/>
    <n v="69804"/>
    <x v="0"/>
    <x v="1"/>
    <x v="6"/>
    <s v="High"/>
    <s v="Online"/>
    <n v="69804"/>
  </r>
  <r>
    <n v="1151"/>
    <d v="2024-02-17T22:00:00"/>
    <s v="2024-02-17 22:00:00"/>
    <s v=" North "/>
    <x v="2"/>
    <s v="Grocery"/>
    <x v="3"/>
    <s v="Led Tv 42Inch"/>
    <s v="LED TV 42inch"/>
    <s v="CUST0316"/>
    <s v=" CUST0316 "/>
    <x v="3"/>
    <s v="Anita"/>
    <x v="3"/>
    <s v=" Net Banking "/>
    <n v="8"/>
    <s v="8"/>
    <n v="2611"/>
    <s v="2611"/>
    <n v="20888"/>
    <x v="0"/>
    <x v="1"/>
    <x v="6"/>
    <s v="Medium"/>
    <s v="Online"/>
    <n v="20888"/>
  </r>
  <r>
    <n v="1152"/>
    <d v="2024-02-17T23:00:00"/>
    <s v="2024-02-17 23:00:00"/>
    <s v=" North "/>
    <x v="2"/>
    <s v="Electronics"/>
    <x v="2"/>
    <s v="Rice 5Kg"/>
    <s v="Rice 5kg"/>
    <s v="CUST0694"/>
    <s v=" CUST0694 "/>
    <x v="2"/>
    <s v="Suresh"/>
    <x v="2"/>
    <s v="UPI"/>
    <n v="14"/>
    <s v="14"/>
    <n v="3627"/>
    <s v="3627"/>
    <n v="50778"/>
    <x v="0"/>
    <x v="1"/>
    <x v="6"/>
    <s v="High"/>
    <s v="Online"/>
    <n v="50778"/>
  </r>
  <r>
    <n v="1153"/>
    <d v="2024-02-18T00:00:00"/>
    <s v="2024-02-18 00:00:00"/>
    <s v=" west"/>
    <x v="1"/>
    <s v=" Home Appliances "/>
    <x v="1"/>
    <s v="Led Tv 42Inch"/>
    <s v="LED TV 42inch"/>
    <s v="CUST0030"/>
    <s v=" CUST0030 "/>
    <x v="0"/>
    <s v="Rahul"/>
    <x v="1"/>
    <s v="Debit card "/>
    <n v="1"/>
    <s v="1"/>
    <n v="3126"/>
    <s v="3126"/>
    <n v="3126"/>
    <x v="0"/>
    <x v="1"/>
    <x v="6"/>
    <s v="Low"/>
    <s v="Online"/>
    <n v="3126"/>
  </r>
  <r>
    <n v="1154"/>
    <d v="2024-02-18T01:00:00"/>
    <s v="2024-02-18 01:00:00"/>
    <s v="south"/>
    <x v="3"/>
    <s v="Grocery"/>
    <x v="3"/>
    <s v="Washing Machine"/>
    <s v="Washing Machine"/>
    <s v="CUST0596"/>
    <s v=" CUST0596 "/>
    <x v="1"/>
    <s v="Meena"/>
    <x v="4"/>
    <s v="Credit Card"/>
    <n v="2"/>
    <s v="2"/>
    <n v="2845"/>
    <s v="2845"/>
    <n v="5690"/>
    <x v="0"/>
    <x v="1"/>
    <x v="6"/>
    <s v="Low"/>
    <s v="Online"/>
    <n v="5690"/>
  </r>
  <r>
    <n v="1155"/>
    <d v="2024-02-18T02:00:00"/>
    <s v="2024-02-18 02:00:00"/>
    <s v=" west"/>
    <x v="1"/>
    <s v="Clothing"/>
    <x v="0"/>
    <s v="Mixer Grinder"/>
    <s v="Mixer Grinder"/>
    <s v="CUST0678"/>
    <s v=" CUST0678 "/>
    <x v="0"/>
    <s v="Rahul"/>
    <x v="4"/>
    <s v="Credit Card"/>
    <n v="7"/>
    <s v="7"/>
    <n v="4273"/>
    <s v="4273"/>
    <n v="29911"/>
    <x v="0"/>
    <x v="1"/>
    <x v="6"/>
    <s v="Medium"/>
    <s v="Online"/>
    <n v="29911"/>
  </r>
  <r>
    <n v="1156"/>
    <d v="2024-02-18T03:00:00"/>
    <s v="2024-02-18 03:00:00"/>
    <s v=" North "/>
    <x v="2"/>
    <s v="Clothing"/>
    <x v="0"/>
    <s v="Mixer Grinder"/>
    <s v="Mixer Grinder"/>
    <s v="CUST0796"/>
    <s v=" CUST0796 "/>
    <x v="4"/>
    <s v="Karthik"/>
    <x v="0"/>
    <s v=" Cash"/>
    <n v="8"/>
    <s v="8"/>
    <n v="2681"/>
    <s v="2681"/>
    <n v="21448"/>
    <x v="0"/>
    <x v="1"/>
    <x v="6"/>
    <s v="Medium"/>
    <s v="Offline"/>
    <n v="21448"/>
  </r>
  <r>
    <n v="1157"/>
    <d v="2024-02-18T04:00:00"/>
    <s v="2024-02-18 04:00:00"/>
    <s v="south"/>
    <x v="3"/>
    <s v=" Home Appliances "/>
    <x v="1"/>
    <s v="Rice 5Kg"/>
    <s v="Rice 5kg"/>
    <s v="CUST0793"/>
    <s v=" CUST0793 "/>
    <x v="3"/>
    <s v="Anita"/>
    <x v="0"/>
    <s v=" Cash"/>
    <n v="1"/>
    <s v="1"/>
    <n v="4303"/>
    <s v="4303"/>
    <n v="4303"/>
    <x v="0"/>
    <x v="1"/>
    <x v="6"/>
    <s v="Low"/>
    <s v="Offline"/>
    <n v="4303"/>
  </r>
  <r>
    <n v="1158"/>
    <d v="2024-02-18T05:00:00"/>
    <s v="2024-02-18 05:00:00"/>
    <s v=" North "/>
    <x v="2"/>
    <s v="Clothing"/>
    <x v="0"/>
    <s v="Men T-Shirt"/>
    <s v="Men T-Shirt"/>
    <s v="CUST0096"/>
    <s v=" CUST0096 "/>
    <x v="2"/>
    <s v="Suresh"/>
    <x v="0"/>
    <s v=" Cash"/>
    <n v="3"/>
    <s v="3"/>
    <n v="2911"/>
    <s v="2911"/>
    <n v="8733"/>
    <x v="0"/>
    <x v="1"/>
    <x v="6"/>
    <s v="Low"/>
    <s v="Offline"/>
    <n v="8733"/>
  </r>
  <r>
    <n v="1159"/>
    <d v="2024-02-18T06:00:00"/>
    <s v="2024-02-18 06:00:00"/>
    <s v=" west"/>
    <x v="1"/>
    <s v=" Home Appliances "/>
    <x v="1"/>
    <s v="Laptop"/>
    <s v="Laptop"/>
    <s v="CUST0381"/>
    <s v=" CUST0381 "/>
    <x v="4"/>
    <s v="Karthik"/>
    <x v="4"/>
    <s v="Credit Card"/>
    <n v="7"/>
    <s v="7"/>
    <n v="4190"/>
    <s v="4190"/>
    <n v="29330"/>
    <x v="0"/>
    <x v="1"/>
    <x v="6"/>
    <s v="Medium"/>
    <s v="Online"/>
    <n v="29330"/>
  </r>
  <r>
    <n v="1160"/>
    <d v="2024-02-18T07:00:00"/>
    <s v="2024-02-18 07:00:00"/>
    <s v=" west"/>
    <x v="1"/>
    <s v="Clothing"/>
    <x v="0"/>
    <s v="Rice 5Kg"/>
    <s v="Rice 5kg"/>
    <s v="CUST0778"/>
    <s v=" CUST0778 "/>
    <x v="1"/>
    <s v="Meena"/>
    <x v="1"/>
    <s v="Debit card "/>
    <n v="13"/>
    <s v="13"/>
    <n v="469"/>
    <s v="469"/>
    <n v="6097"/>
    <x v="0"/>
    <x v="1"/>
    <x v="6"/>
    <s v="Low"/>
    <s v="Online"/>
    <n v="6097"/>
  </r>
  <r>
    <n v="1161"/>
    <d v="2024-02-18T08:00:00"/>
    <s v="2024-02-18 08:00:00"/>
    <s v=" west"/>
    <x v="1"/>
    <s v="Electronics"/>
    <x v="2"/>
    <s v="Led Tv 42Inch"/>
    <s v="LED TV 42inch"/>
    <s v="CUST0444"/>
    <s v=" CUST0444 "/>
    <x v="4"/>
    <s v="Karthik"/>
    <x v="4"/>
    <s v="Credit Card"/>
    <n v="9"/>
    <s v="9"/>
    <n v="3843"/>
    <s v="3843"/>
    <n v="34587"/>
    <x v="0"/>
    <x v="1"/>
    <x v="6"/>
    <s v="Medium"/>
    <s v="Online"/>
    <n v="34587"/>
  </r>
  <r>
    <n v="1162"/>
    <d v="2024-02-18T09:00:00"/>
    <s v="2024-02-18 09:00:00"/>
    <s v=" North "/>
    <x v="2"/>
    <s v="Grocery"/>
    <x v="3"/>
    <s v="Laptop"/>
    <s v="Laptop"/>
    <s v="CUST0298"/>
    <s v=" CUST0298 "/>
    <x v="4"/>
    <s v="Karthik"/>
    <x v="4"/>
    <s v="Credit Card"/>
    <n v="8"/>
    <s v="8"/>
    <n v="2104"/>
    <s v="2104"/>
    <n v="16832"/>
    <x v="0"/>
    <x v="1"/>
    <x v="6"/>
    <s v="Low"/>
    <s v="Online"/>
    <n v="16832"/>
  </r>
  <r>
    <n v="1163"/>
    <d v="2024-02-18T10:00:00"/>
    <s v="2024-02-18 10:00:00"/>
    <s v="south"/>
    <x v="3"/>
    <s v="Electronics"/>
    <x v="2"/>
    <s v="Men T-Shirt"/>
    <s v="Men T-Shirt"/>
    <s v="CUST0737"/>
    <s v=" CUST0737 "/>
    <x v="1"/>
    <s v="Meena"/>
    <x v="4"/>
    <s v="Credit Card"/>
    <n v="8"/>
    <s v="8"/>
    <n v="1803"/>
    <s v="1803"/>
    <n v="14424"/>
    <x v="0"/>
    <x v="1"/>
    <x v="6"/>
    <s v="Low"/>
    <s v="Online"/>
    <n v="14424"/>
  </r>
  <r>
    <n v="1164"/>
    <d v="2024-02-18T11:00:00"/>
    <s v="2024-02-18 11:00:00"/>
    <s v="south"/>
    <x v="3"/>
    <s v="Grocery"/>
    <x v="3"/>
    <s v="Led Tv 42Inch"/>
    <s v="LED TV 42inch"/>
    <s v="CUST0361"/>
    <s v=" CUST0361 "/>
    <x v="4"/>
    <s v="Karthik"/>
    <x v="4"/>
    <s v="Credit Card"/>
    <n v="9"/>
    <s v="9"/>
    <n v="3424"/>
    <s v="3424"/>
    <n v="30816"/>
    <x v="0"/>
    <x v="1"/>
    <x v="6"/>
    <s v="Medium"/>
    <s v="Online"/>
    <n v="30816"/>
  </r>
  <r>
    <n v="1165"/>
    <d v="2024-02-18T12:00:00"/>
    <s v="2024-02-18 12:00:00"/>
    <s v=" North "/>
    <x v="2"/>
    <s v="Grocery"/>
    <x v="3"/>
    <s v="Washing Machine"/>
    <s v="Washing Machine"/>
    <s v="CUST0374"/>
    <s v=" CUST0374 "/>
    <x v="2"/>
    <s v="Suresh"/>
    <x v="1"/>
    <s v="Debit card "/>
    <n v="10"/>
    <s v="10"/>
    <n v="540"/>
    <s v="540"/>
    <n v="5400"/>
    <x v="0"/>
    <x v="1"/>
    <x v="6"/>
    <s v="Low"/>
    <s v="Online"/>
    <n v="5400"/>
  </r>
  <r>
    <n v="1166"/>
    <d v="2024-02-18T13:00:00"/>
    <s v="2024-02-18 13:00:00"/>
    <s v="south"/>
    <x v="3"/>
    <s v="Grocery"/>
    <x v="3"/>
    <s v="Led Tv 42Inch"/>
    <s v="LED TV 42inch"/>
    <s v="CUST0554"/>
    <s v=" CUST0554 "/>
    <x v="0"/>
    <s v="Rahul"/>
    <x v="0"/>
    <s v=" Cash"/>
    <n v="3"/>
    <s v="3"/>
    <n v="3357"/>
    <s v="3357"/>
    <n v="10071"/>
    <x v="0"/>
    <x v="1"/>
    <x v="6"/>
    <s v="Low"/>
    <s v="Offline"/>
    <n v="10071"/>
  </r>
  <r>
    <n v="1167"/>
    <d v="2024-02-18T14:00:00"/>
    <s v="2024-02-18 14:00:00"/>
    <s v=" North "/>
    <x v="2"/>
    <s v="Electronics"/>
    <x v="2"/>
    <s v="Washing Machine"/>
    <s v="Washing Machine"/>
    <s v="CUST0303"/>
    <s v=" CUST0303 "/>
    <x v="4"/>
    <s v="Karthik"/>
    <x v="3"/>
    <s v=" Net Banking "/>
    <n v="8"/>
    <s v="8"/>
    <n v="3006"/>
    <s v="3006"/>
    <n v="24048"/>
    <x v="0"/>
    <x v="1"/>
    <x v="6"/>
    <s v="Medium"/>
    <s v="Online"/>
    <n v="24048"/>
  </r>
  <r>
    <n v="1168"/>
    <d v="2024-02-18T15:00:00"/>
    <s v="2024-02-18 15:00:00"/>
    <s v="south"/>
    <x v="3"/>
    <s v="Grocery"/>
    <x v="3"/>
    <s v="Laptop"/>
    <s v="Laptop"/>
    <s v="CUST0421"/>
    <s v=" CUST0421 "/>
    <x v="2"/>
    <s v="Suresh"/>
    <x v="0"/>
    <s v=" Cash"/>
    <n v="1"/>
    <s v="1"/>
    <n v="326"/>
    <s v="326"/>
    <n v="326"/>
    <x v="0"/>
    <x v="1"/>
    <x v="6"/>
    <s v="Low"/>
    <s v="Offline"/>
    <n v="326"/>
  </r>
  <r>
    <n v="1169"/>
    <d v="2024-02-18T16:00:00"/>
    <s v="2024-02-18 16:00:00"/>
    <s v="EAST"/>
    <x v="0"/>
    <s v="Electronics"/>
    <x v="2"/>
    <s v="Washing Machine"/>
    <s v="Washing Machine"/>
    <s v="CUST0246"/>
    <s v=" CUST0246 "/>
    <x v="0"/>
    <s v="Rahul"/>
    <x v="0"/>
    <s v=" Cash"/>
    <n v="8"/>
    <s v="8"/>
    <n v="2501"/>
    <s v="2501"/>
    <n v="20008"/>
    <x v="0"/>
    <x v="1"/>
    <x v="6"/>
    <s v="Medium"/>
    <s v="Offline"/>
    <n v="20008"/>
  </r>
  <r>
    <n v="1170"/>
    <d v="2024-02-18T17:00:00"/>
    <s v="2024-02-18 17:00:00"/>
    <s v="EAST"/>
    <x v="0"/>
    <s v=" Home Appliances "/>
    <x v="1"/>
    <s v="Laptop"/>
    <s v="Laptop"/>
    <s v="CUST0720"/>
    <s v=" CUST0720 "/>
    <x v="0"/>
    <s v="Rahul"/>
    <x v="3"/>
    <s v=" Net Banking "/>
    <n v="13"/>
    <s v="13"/>
    <n v="4818"/>
    <s v="4818"/>
    <n v="62634"/>
    <x v="0"/>
    <x v="1"/>
    <x v="6"/>
    <s v="High"/>
    <s v="Online"/>
    <n v="62634"/>
  </r>
  <r>
    <n v="1171"/>
    <d v="2024-02-18T18:00:00"/>
    <s v="2024-02-18 18:00:00"/>
    <s v=" west"/>
    <x v="1"/>
    <s v="Clothing"/>
    <x v="0"/>
    <s v="Laptop"/>
    <s v="Laptop"/>
    <s v="CUST0237"/>
    <s v=" CUST0237 "/>
    <x v="4"/>
    <s v="Karthik"/>
    <x v="4"/>
    <s v="Credit Card"/>
    <n v="7"/>
    <s v="7"/>
    <n v="1124"/>
    <s v="1124"/>
    <n v="7868"/>
    <x v="0"/>
    <x v="1"/>
    <x v="6"/>
    <s v="Low"/>
    <s v="Online"/>
    <n v="7868"/>
  </r>
  <r>
    <n v="1172"/>
    <d v="2024-02-18T19:00:00"/>
    <s v="2024-02-18 19:00:00"/>
    <s v="EAST"/>
    <x v="0"/>
    <s v="Clothing"/>
    <x v="0"/>
    <s v="Laptop"/>
    <s v="Laptop"/>
    <s v="CUST0534"/>
    <s v=" CUST0534 "/>
    <x v="2"/>
    <s v="Suresh"/>
    <x v="1"/>
    <s v="Debit card "/>
    <n v="13"/>
    <s v="13"/>
    <n v="3591"/>
    <s v="3591"/>
    <n v="46683"/>
    <x v="0"/>
    <x v="1"/>
    <x v="6"/>
    <s v="Medium"/>
    <s v="Online"/>
    <n v="46683"/>
  </r>
  <r>
    <n v="1173"/>
    <d v="2024-02-18T20:00:00"/>
    <s v="2024-02-18 20:00:00"/>
    <s v="EAST"/>
    <x v="0"/>
    <s v="Grocery"/>
    <x v="3"/>
    <s v="Laptop"/>
    <s v="Laptop"/>
    <s v="CUST0185"/>
    <s v=" CUST0185 "/>
    <x v="4"/>
    <s v="Karthik"/>
    <x v="1"/>
    <s v="Debit card "/>
    <n v="8"/>
    <s v="8"/>
    <n v="4356"/>
    <s v="4356"/>
    <n v="34848"/>
    <x v="0"/>
    <x v="1"/>
    <x v="6"/>
    <s v="Medium"/>
    <s v="Online"/>
    <n v="34848"/>
  </r>
  <r>
    <n v="1174"/>
    <d v="2024-02-18T21:00:00"/>
    <s v="2024-02-18 21:00:00"/>
    <s v="EAST"/>
    <x v="0"/>
    <s v="Electronics"/>
    <x v="2"/>
    <s v="Laptop"/>
    <s v="Laptop"/>
    <s v="CUST0468"/>
    <s v=" CUST0468 "/>
    <x v="1"/>
    <s v="Meena"/>
    <x v="0"/>
    <s v=" Cash"/>
    <n v="1"/>
    <s v="1"/>
    <n v="970"/>
    <s v="970"/>
    <n v="970"/>
    <x v="0"/>
    <x v="1"/>
    <x v="6"/>
    <s v="Low"/>
    <s v="Offline"/>
    <n v="970"/>
  </r>
  <r>
    <n v="1175"/>
    <d v="2024-02-18T22:00:00"/>
    <s v="2024-02-18 22:00:00"/>
    <s v=" North "/>
    <x v="2"/>
    <s v="Clothing"/>
    <x v="0"/>
    <s v="Led Tv 42Inch"/>
    <s v="LED TV 42inch"/>
    <s v="CUST0754"/>
    <s v=" CUST0754 "/>
    <x v="0"/>
    <s v="Rahul"/>
    <x v="3"/>
    <s v=" Net Banking "/>
    <n v="6"/>
    <s v="6"/>
    <n v="3299"/>
    <s v="3299"/>
    <n v="19794"/>
    <x v="0"/>
    <x v="1"/>
    <x v="6"/>
    <s v="Low"/>
    <s v="Online"/>
    <n v="19794"/>
  </r>
  <r>
    <n v="1176"/>
    <d v="2024-02-18T23:00:00"/>
    <s v="2024-02-18 23:00:00"/>
    <s v="EAST"/>
    <x v="0"/>
    <s v="Electronics"/>
    <x v="2"/>
    <s v="Laptop"/>
    <s v="Laptop"/>
    <s v="CUST0363"/>
    <s v=" CUST0363 "/>
    <x v="4"/>
    <s v="Karthik"/>
    <x v="2"/>
    <s v="UPI"/>
    <n v="7"/>
    <s v="7"/>
    <n v="1845"/>
    <s v="1845"/>
    <n v="12915"/>
    <x v="0"/>
    <x v="1"/>
    <x v="6"/>
    <s v="Low"/>
    <s v="Online"/>
    <n v="12915"/>
  </r>
  <r>
    <n v="1177"/>
    <d v="2024-02-19T00:00:00"/>
    <s v="2024-02-19 00:00:00"/>
    <s v="EAST"/>
    <x v="0"/>
    <s v="Electronics"/>
    <x v="2"/>
    <s v="Led Tv 42Inch"/>
    <s v="LED TV 42inch"/>
    <s v="CUST0283"/>
    <s v=" CUST0283 "/>
    <x v="0"/>
    <s v="Rahul"/>
    <x v="4"/>
    <s v="Credit Card"/>
    <n v="14"/>
    <s v="14"/>
    <n v="543"/>
    <s v="543"/>
    <n v="7602"/>
    <x v="0"/>
    <x v="1"/>
    <x v="7"/>
    <s v="Low"/>
    <s v="Online"/>
    <n v="7602"/>
  </r>
  <r>
    <n v="1178"/>
    <d v="2024-02-19T01:00:00"/>
    <s v="2024-02-19 01:00:00"/>
    <s v=" west"/>
    <x v="1"/>
    <s v="Grocery"/>
    <x v="3"/>
    <s v="Laptop"/>
    <s v="Laptop"/>
    <s v="CUST0553"/>
    <s v=" CUST0553 "/>
    <x v="2"/>
    <s v="Suresh"/>
    <x v="0"/>
    <s v=" Cash"/>
    <n v="11"/>
    <s v="11"/>
    <n v="4658"/>
    <s v="4658"/>
    <n v="51238"/>
    <x v="0"/>
    <x v="1"/>
    <x v="7"/>
    <s v="High"/>
    <s v="Offline"/>
    <n v="51238"/>
  </r>
  <r>
    <n v="1179"/>
    <d v="2024-02-19T02:00:00"/>
    <s v="2024-02-19 02:00:00"/>
    <s v="EAST"/>
    <x v="0"/>
    <s v="Clothing"/>
    <x v="0"/>
    <s v="Washing Machine"/>
    <s v="Washing Machine"/>
    <s v="CUST0336"/>
    <s v=" CUST0336 "/>
    <x v="3"/>
    <s v="Anita"/>
    <x v="1"/>
    <s v="Debit card "/>
    <n v="5"/>
    <s v="5"/>
    <n v="572"/>
    <s v="572"/>
    <n v="2860"/>
    <x v="0"/>
    <x v="1"/>
    <x v="7"/>
    <s v="Low"/>
    <s v="Online"/>
    <n v="2860"/>
  </r>
  <r>
    <n v="1180"/>
    <d v="2024-02-19T03:00:00"/>
    <s v="2024-02-19 03:00:00"/>
    <s v="EAST"/>
    <x v="0"/>
    <s v="Grocery"/>
    <x v="3"/>
    <s v="Laptop"/>
    <s v="Laptop"/>
    <s v="CUST0162"/>
    <s v=" CUST0162 "/>
    <x v="4"/>
    <s v="Karthik"/>
    <x v="3"/>
    <s v=" Net Banking "/>
    <n v="14"/>
    <s v="14"/>
    <n v="179"/>
    <s v="179"/>
    <n v="2506"/>
    <x v="0"/>
    <x v="1"/>
    <x v="7"/>
    <s v="Low"/>
    <s v="Online"/>
    <n v="2506"/>
  </r>
  <r>
    <n v="1181"/>
    <d v="2024-02-19T04:00:00"/>
    <s v="2024-02-19 04:00:00"/>
    <s v="south"/>
    <x v="3"/>
    <s v="Grocery"/>
    <x v="3"/>
    <s v="Men T-Shirt"/>
    <s v="Men T-Shirt"/>
    <s v="CUST0160"/>
    <s v=" CUST0160 "/>
    <x v="4"/>
    <s v="Karthik"/>
    <x v="3"/>
    <s v=" Net Banking "/>
    <n v="5"/>
    <s v="5"/>
    <n v="339"/>
    <s v="339"/>
    <n v="1695"/>
    <x v="0"/>
    <x v="1"/>
    <x v="7"/>
    <s v="Low"/>
    <s v="Online"/>
    <n v="1695"/>
  </r>
  <r>
    <n v="1182"/>
    <d v="2024-02-19T05:00:00"/>
    <s v="2024-02-19 05:00:00"/>
    <s v=" west"/>
    <x v="1"/>
    <s v="Clothing"/>
    <x v="0"/>
    <s v="Laptop"/>
    <s v="Laptop"/>
    <s v="CUST0474"/>
    <s v=" CUST0474 "/>
    <x v="0"/>
    <s v="Rahul"/>
    <x v="0"/>
    <s v=" Cash"/>
    <n v="7"/>
    <s v="7"/>
    <n v="4752"/>
    <s v="4752"/>
    <n v="33264"/>
    <x v="0"/>
    <x v="1"/>
    <x v="7"/>
    <s v="Medium"/>
    <s v="Offline"/>
    <n v="33264"/>
  </r>
  <r>
    <n v="1183"/>
    <d v="2024-02-19T06:00:00"/>
    <s v="2024-02-19 06:00:00"/>
    <s v=" west"/>
    <x v="1"/>
    <s v="Clothing"/>
    <x v="0"/>
    <s v="Laptop"/>
    <s v="Laptop"/>
    <s v="CUST0601"/>
    <s v=" CUST0601 "/>
    <x v="2"/>
    <s v="Suresh"/>
    <x v="2"/>
    <s v="UPI"/>
    <n v="11"/>
    <s v="11"/>
    <n v="689"/>
    <s v="689"/>
    <n v="7579"/>
    <x v="0"/>
    <x v="1"/>
    <x v="7"/>
    <s v="Low"/>
    <s v="Online"/>
    <n v="7579"/>
  </r>
  <r>
    <n v="1184"/>
    <d v="2024-02-19T07:00:00"/>
    <s v="2024-02-19 07:00:00"/>
    <s v=" west"/>
    <x v="1"/>
    <s v=" Home Appliances "/>
    <x v="1"/>
    <s v="Washing Machine"/>
    <s v="Washing Machine"/>
    <s v="CUST0322"/>
    <s v=" CUST0322 "/>
    <x v="1"/>
    <s v="Meena"/>
    <x v="1"/>
    <s v="Debit card "/>
    <n v="3"/>
    <s v="3"/>
    <n v="1460"/>
    <s v="1460"/>
    <n v="4380"/>
    <x v="0"/>
    <x v="1"/>
    <x v="7"/>
    <s v="Low"/>
    <s v="Online"/>
    <n v="4380"/>
  </r>
  <r>
    <n v="1185"/>
    <d v="2024-02-19T08:00:00"/>
    <s v="2024-02-19 08:00:00"/>
    <s v=" west"/>
    <x v="1"/>
    <s v=" Home Appliances "/>
    <x v="1"/>
    <s v="Mixer Grinder"/>
    <s v="Mixer Grinder"/>
    <s v="CUST0012"/>
    <s v=" CUST0012 "/>
    <x v="2"/>
    <s v="Suresh"/>
    <x v="0"/>
    <s v=" Cash"/>
    <n v="6"/>
    <s v="6"/>
    <n v="1984"/>
    <s v="1984"/>
    <n v="11904"/>
    <x v="0"/>
    <x v="1"/>
    <x v="7"/>
    <s v="Low"/>
    <s v="Offline"/>
    <n v="11904"/>
  </r>
  <r>
    <n v="1186"/>
    <d v="2024-02-19T09:00:00"/>
    <s v="2024-02-19 09:00:00"/>
    <s v=" west"/>
    <x v="1"/>
    <s v="Electronics"/>
    <x v="2"/>
    <s v="Washing Machine"/>
    <s v="Washing Machine"/>
    <s v="CUST0424"/>
    <s v=" CUST0424 "/>
    <x v="4"/>
    <s v="Karthik"/>
    <x v="2"/>
    <s v="UPI"/>
    <n v="7"/>
    <s v="7"/>
    <n v="2416"/>
    <s v="2416"/>
    <n v="16912"/>
    <x v="0"/>
    <x v="1"/>
    <x v="7"/>
    <s v="Low"/>
    <s v="Online"/>
    <n v="16912"/>
  </r>
  <r>
    <n v="1187"/>
    <d v="2024-02-19T10:00:00"/>
    <s v="2024-02-19 10:00:00"/>
    <s v=" west"/>
    <x v="1"/>
    <s v="Clothing"/>
    <x v="0"/>
    <s v="Men T-Shirt"/>
    <s v="Men T-Shirt"/>
    <s v="CUST0073"/>
    <s v=" CUST0073 "/>
    <x v="1"/>
    <s v="Meena"/>
    <x v="3"/>
    <s v=" Net Banking "/>
    <n v="1"/>
    <s v="1"/>
    <n v="4530"/>
    <s v="4530"/>
    <n v="4530"/>
    <x v="0"/>
    <x v="1"/>
    <x v="7"/>
    <s v="Low"/>
    <s v="Online"/>
    <n v="4530"/>
  </r>
  <r>
    <n v="1188"/>
    <d v="2024-02-19T11:00:00"/>
    <s v="2024-02-19 11:00:00"/>
    <s v=" North "/>
    <x v="2"/>
    <s v=" Home Appliances "/>
    <x v="1"/>
    <s v="Mixer Grinder"/>
    <s v="Mixer Grinder"/>
    <s v="CUST0588"/>
    <s v=" CUST0588 "/>
    <x v="2"/>
    <s v="Suresh"/>
    <x v="4"/>
    <s v="Credit Card"/>
    <n v="12"/>
    <s v="12"/>
    <n v="411"/>
    <s v="411"/>
    <n v="4932"/>
    <x v="0"/>
    <x v="1"/>
    <x v="7"/>
    <s v="Low"/>
    <s v="Online"/>
    <n v="4932"/>
  </r>
  <r>
    <n v="1189"/>
    <d v="2024-02-19T12:00:00"/>
    <s v="2024-02-19 12:00:00"/>
    <s v="EAST"/>
    <x v="0"/>
    <s v="Electronics"/>
    <x v="2"/>
    <s v="Rice 5Kg"/>
    <s v="Rice 5kg"/>
    <s v="CUST0201"/>
    <s v=" CUST0201 "/>
    <x v="3"/>
    <s v="Anita"/>
    <x v="1"/>
    <s v="Debit card "/>
    <n v="2"/>
    <s v="2"/>
    <n v="1176"/>
    <s v="1176"/>
    <n v="2352"/>
    <x v="0"/>
    <x v="1"/>
    <x v="7"/>
    <s v="Low"/>
    <s v="Online"/>
    <n v="2352"/>
  </r>
  <r>
    <n v="1190"/>
    <d v="2024-02-19T13:00:00"/>
    <s v="2024-02-19 13:00:00"/>
    <s v=" west"/>
    <x v="1"/>
    <s v="Electronics"/>
    <x v="2"/>
    <s v="Rice 5Kg"/>
    <s v="Rice 5kg"/>
    <s v="CUST0522"/>
    <s v=" CUST0522 "/>
    <x v="0"/>
    <s v="Rahul"/>
    <x v="1"/>
    <s v="Debit card "/>
    <n v="12"/>
    <s v="12"/>
    <n v="133"/>
    <s v="133"/>
    <n v="1596"/>
    <x v="0"/>
    <x v="1"/>
    <x v="7"/>
    <s v="Low"/>
    <s v="Online"/>
    <n v="1596"/>
  </r>
  <r>
    <n v="1191"/>
    <d v="2024-02-19T14:00:00"/>
    <s v="2024-02-19 14:00:00"/>
    <s v="EAST"/>
    <x v="0"/>
    <s v="Electronics"/>
    <x v="2"/>
    <s v="Men T-Shirt"/>
    <s v="Men T-Shirt"/>
    <s v="CUST0505"/>
    <s v=" CUST0505 "/>
    <x v="2"/>
    <s v="Suresh"/>
    <x v="2"/>
    <s v="UPI"/>
    <n v="4"/>
    <s v="4"/>
    <n v="1941"/>
    <s v="1941"/>
    <n v="7764"/>
    <x v="0"/>
    <x v="1"/>
    <x v="7"/>
    <s v="Low"/>
    <s v="Online"/>
    <n v="7764"/>
  </r>
  <r>
    <n v="1192"/>
    <d v="2024-02-19T15:00:00"/>
    <s v="2024-02-19 15:00:00"/>
    <s v="EAST"/>
    <x v="0"/>
    <s v=" Home Appliances "/>
    <x v="1"/>
    <s v="Washing Machine"/>
    <s v="Washing Machine"/>
    <s v="CUST0738"/>
    <s v=" CUST0738 "/>
    <x v="2"/>
    <s v="Suresh"/>
    <x v="0"/>
    <s v=" Cash"/>
    <n v="13"/>
    <s v="13"/>
    <n v="4581"/>
    <s v="4581"/>
    <n v="59553"/>
    <x v="0"/>
    <x v="1"/>
    <x v="7"/>
    <s v="High"/>
    <s v="Offline"/>
    <n v="59553"/>
  </r>
  <r>
    <n v="1193"/>
    <d v="2024-02-19T16:00:00"/>
    <s v="2024-02-19 16:00:00"/>
    <s v=" North "/>
    <x v="2"/>
    <s v="Clothing"/>
    <x v="0"/>
    <s v="Led Tv 42Inch"/>
    <s v="LED TV 42inch"/>
    <s v="CUST0688"/>
    <s v=" CUST0688 "/>
    <x v="3"/>
    <s v="Anita"/>
    <x v="3"/>
    <s v=" Net Banking "/>
    <n v="8"/>
    <s v="8"/>
    <n v="348"/>
    <s v="348"/>
    <n v="2784"/>
    <x v="0"/>
    <x v="1"/>
    <x v="7"/>
    <s v="Low"/>
    <s v="Online"/>
    <n v="2784"/>
  </r>
  <r>
    <n v="1194"/>
    <d v="2024-02-19T17:00:00"/>
    <s v="2024-02-19 17:00:00"/>
    <s v=" west"/>
    <x v="1"/>
    <s v="Grocery"/>
    <x v="3"/>
    <s v="Men T-Shirt"/>
    <s v="Men T-Shirt"/>
    <s v="CUST0788"/>
    <s v=" CUST0788 "/>
    <x v="4"/>
    <s v="Karthik"/>
    <x v="2"/>
    <s v="UPI"/>
    <n v="11"/>
    <s v="11"/>
    <n v="1234"/>
    <s v="1234"/>
    <n v="13574"/>
    <x v="0"/>
    <x v="1"/>
    <x v="7"/>
    <s v="Low"/>
    <s v="Online"/>
    <n v="13574"/>
  </r>
  <r>
    <n v="1195"/>
    <d v="2024-02-19T18:00:00"/>
    <s v="2024-02-19 18:00:00"/>
    <s v="south"/>
    <x v="3"/>
    <s v="Electronics"/>
    <x v="2"/>
    <s v="Mixer Grinder"/>
    <s v="Mixer Grinder"/>
    <s v="CUST0039"/>
    <s v=" CUST0039 "/>
    <x v="0"/>
    <s v="Rahul"/>
    <x v="4"/>
    <s v="Credit Card"/>
    <n v="13"/>
    <s v="13"/>
    <n v="4989"/>
    <s v="4989"/>
    <n v="64857"/>
    <x v="0"/>
    <x v="1"/>
    <x v="7"/>
    <s v="High"/>
    <s v="Online"/>
    <n v="64857"/>
  </r>
  <r>
    <n v="1196"/>
    <d v="2024-02-19T19:00:00"/>
    <s v="2024-02-19 19:00:00"/>
    <s v=" North "/>
    <x v="2"/>
    <s v=" Home Appliances "/>
    <x v="1"/>
    <s v="Mixer Grinder"/>
    <s v="Mixer Grinder"/>
    <s v="CUST0060"/>
    <s v=" CUST0060 "/>
    <x v="2"/>
    <s v="Suresh"/>
    <x v="4"/>
    <s v="Credit Card"/>
    <n v="14"/>
    <s v="14"/>
    <n v="475"/>
    <s v="475"/>
    <n v="6650"/>
    <x v="0"/>
    <x v="1"/>
    <x v="7"/>
    <s v="Low"/>
    <s v="Online"/>
    <n v="6650"/>
  </r>
  <r>
    <n v="1197"/>
    <d v="2024-02-19T20:00:00"/>
    <s v="2024-02-19 20:00:00"/>
    <s v="south"/>
    <x v="3"/>
    <s v=" Home Appliances "/>
    <x v="1"/>
    <s v="Laptop"/>
    <s v="Laptop"/>
    <s v="CUST0578"/>
    <s v=" CUST0578 "/>
    <x v="1"/>
    <s v="Meena"/>
    <x v="4"/>
    <s v="Credit Card"/>
    <n v="10"/>
    <s v="10"/>
    <n v="823"/>
    <s v="823"/>
    <n v="8230"/>
    <x v="0"/>
    <x v="1"/>
    <x v="7"/>
    <s v="Low"/>
    <s v="Online"/>
    <n v="8230"/>
  </r>
  <r>
    <n v="1198"/>
    <d v="2024-02-19T21:00:00"/>
    <s v="2024-02-19 21:00:00"/>
    <s v="EAST"/>
    <x v="0"/>
    <s v="Grocery"/>
    <x v="3"/>
    <s v="Rice 5Kg"/>
    <s v="Rice 5kg"/>
    <s v="CUST0321"/>
    <s v=" CUST0321 "/>
    <x v="2"/>
    <s v="Suresh"/>
    <x v="2"/>
    <s v="UPI"/>
    <n v="6"/>
    <s v="6"/>
    <n v="2013"/>
    <s v="2013"/>
    <n v="12078"/>
    <x v="0"/>
    <x v="1"/>
    <x v="7"/>
    <s v="Low"/>
    <s v="Online"/>
    <n v="12078"/>
  </r>
  <r>
    <n v="1199"/>
    <d v="2024-02-19T22:00:00"/>
    <s v="2024-02-19 22:00:00"/>
    <s v="EAST"/>
    <x v="0"/>
    <s v="Grocery"/>
    <x v="3"/>
    <s v="Mixer Grinder"/>
    <s v="Mixer Grinder"/>
    <s v="CUST0435"/>
    <s v=" CUST0435 "/>
    <x v="0"/>
    <s v="Rahul"/>
    <x v="3"/>
    <s v=" Net Banking "/>
    <n v="1"/>
    <s v="1"/>
    <n v="4397"/>
    <s v="4397"/>
    <n v="4397"/>
    <x v="0"/>
    <x v="1"/>
    <x v="7"/>
    <s v="Low"/>
    <s v="Online"/>
    <n v="4397"/>
  </r>
  <r>
    <n v="1200"/>
    <d v="2024-02-19T23:00:00"/>
    <s v="2024-02-19 23:00:00"/>
    <s v=" North "/>
    <x v="2"/>
    <s v=" Home Appliances "/>
    <x v="1"/>
    <s v="Men T-Shirt"/>
    <s v="Men T-Shirt"/>
    <s v="CUST0636"/>
    <s v=" CUST0636 "/>
    <x v="2"/>
    <s v="Suresh"/>
    <x v="1"/>
    <s v="Debit card "/>
    <n v="10"/>
    <s v="10"/>
    <n v="2592"/>
    <s v="2592"/>
    <n v="25920"/>
    <x v="0"/>
    <x v="1"/>
    <x v="7"/>
    <s v="Medium"/>
    <s v="Online"/>
    <n v="25920"/>
  </r>
  <r>
    <n v="1201"/>
    <d v="2024-02-20T00:00:00"/>
    <s v="2024-02-20 00:00:00"/>
    <s v=" North "/>
    <x v="2"/>
    <s v="Clothing"/>
    <x v="0"/>
    <s v="Mixer Grinder"/>
    <s v="Mixer Grinder"/>
    <s v="CUST0676"/>
    <s v=" CUST0676 "/>
    <x v="3"/>
    <s v="Anita"/>
    <x v="0"/>
    <s v=" Cash"/>
    <n v="5"/>
    <s v="5"/>
    <n v="2042"/>
    <s v="2042"/>
    <n v="10210"/>
    <x v="0"/>
    <x v="1"/>
    <x v="7"/>
    <s v="Low"/>
    <s v="Offline"/>
    <n v="10210"/>
  </r>
  <r>
    <n v="1202"/>
    <d v="2024-02-20T01:00:00"/>
    <s v="2024-02-20 01:00:00"/>
    <s v="south"/>
    <x v="3"/>
    <s v="Grocery"/>
    <x v="3"/>
    <s v="Men T-Shirt"/>
    <s v="Men T-Shirt"/>
    <s v="CUST0408"/>
    <s v=" CUST0408 "/>
    <x v="2"/>
    <s v="Suresh"/>
    <x v="1"/>
    <s v="Debit card "/>
    <n v="7"/>
    <s v="7"/>
    <n v="4104"/>
    <s v="4104"/>
    <n v="28728"/>
    <x v="0"/>
    <x v="1"/>
    <x v="7"/>
    <s v="Medium"/>
    <s v="Online"/>
    <n v="28728"/>
  </r>
  <r>
    <n v="1203"/>
    <d v="2024-02-20T02:00:00"/>
    <s v="2024-02-20 02:00:00"/>
    <s v=" west"/>
    <x v="1"/>
    <s v=" Home Appliances "/>
    <x v="1"/>
    <s v="Led Tv 42Inch"/>
    <s v="LED TV 42inch"/>
    <s v="CUST0386"/>
    <s v=" CUST0386 "/>
    <x v="2"/>
    <s v="Suresh"/>
    <x v="3"/>
    <s v=" Net Banking "/>
    <n v="13"/>
    <s v="13"/>
    <n v="2444"/>
    <s v="2444"/>
    <n v="31772"/>
    <x v="0"/>
    <x v="1"/>
    <x v="7"/>
    <s v="Medium"/>
    <s v="Online"/>
    <n v="31772"/>
  </r>
  <r>
    <n v="1204"/>
    <d v="2024-02-20T03:00:00"/>
    <s v="2024-02-20 03:00:00"/>
    <s v="south"/>
    <x v="3"/>
    <s v="Grocery"/>
    <x v="3"/>
    <s v="Laptop"/>
    <s v="Laptop"/>
    <s v="CUST0671"/>
    <s v=" CUST0671 "/>
    <x v="1"/>
    <s v="Meena"/>
    <x v="1"/>
    <s v="Debit card "/>
    <n v="6"/>
    <s v="6"/>
    <n v="1431"/>
    <s v="1431"/>
    <n v="8586"/>
    <x v="0"/>
    <x v="1"/>
    <x v="7"/>
    <s v="Low"/>
    <s v="Online"/>
    <n v="8586"/>
  </r>
  <r>
    <n v="1205"/>
    <d v="2024-02-20T04:00:00"/>
    <s v="2024-02-20 04:00:00"/>
    <s v=" North "/>
    <x v="2"/>
    <s v="Clothing"/>
    <x v="0"/>
    <s v="Rice 5Kg"/>
    <s v="Rice 5kg"/>
    <s v="CUST0569"/>
    <s v=" CUST0569 "/>
    <x v="3"/>
    <s v="Anita"/>
    <x v="2"/>
    <s v="UPI"/>
    <n v="13"/>
    <s v="13"/>
    <n v="4688"/>
    <s v="4688"/>
    <n v="60944"/>
    <x v="0"/>
    <x v="1"/>
    <x v="7"/>
    <s v="High"/>
    <s v="Online"/>
    <n v="60944"/>
  </r>
  <r>
    <n v="1206"/>
    <d v="2024-02-20T05:00:00"/>
    <s v="2024-02-20 05:00:00"/>
    <s v="south"/>
    <x v="3"/>
    <s v="Electronics"/>
    <x v="2"/>
    <s v="Mixer Grinder"/>
    <s v="Mixer Grinder"/>
    <s v="CUST0078"/>
    <s v=" CUST0078 "/>
    <x v="3"/>
    <s v="Anita"/>
    <x v="4"/>
    <s v="Credit Card"/>
    <n v="13"/>
    <s v="13"/>
    <n v="437"/>
    <s v="437"/>
    <n v="5681"/>
    <x v="0"/>
    <x v="1"/>
    <x v="7"/>
    <s v="Low"/>
    <s v="Online"/>
    <n v="5681"/>
  </r>
  <r>
    <n v="1207"/>
    <d v="2024-02-20T06:00:00"/>
    <s v="2024-02-20 06:00:00"/>
    <s v=" North "/>
    <x v="2"/>
    <s v="Grocery"/>
    <x v="3"/>
    <s v="Men T-Shirt"/>
    <s v="Men T-Shirt"/>
    <s v="CUST0194"/>
    <s v=" CUST0194 "/>
    <x v="2"/>
    <s v="Suresh"/>
    <x v="3"/>
    <s v=" Net Banking "/>
    <n v="12"/>
    <s v="12"/>
    <n v="1965"/>
    <s v="1965"/>
    <n v="23580"/>
    <x v="0"/>
    <x v="1"/>
    <x v="7"/>
    <s v="Medium"/>
    <s v="Online"/>
    <n v="23580"/>
  </r>
  <r>
    <n v="1208"/>
    <d v="2024-02-20T07:00:00"/>
    <s v="2024-02-20 07:00:00"/>
    <s v="south"/>
    <x v="3"/>
    <s v="Clothing"/>
    <x v="0"/>
    <s v="Washing Machine"/>
    <s v="Washing Machine"/>
    <s v="CUST0285"/>
    <s v=" CUST0285 "/>
    <x v="1"/>
    <s v="Meena"/>
    <x v="3"/>
    <s v=" Net Banking "/>
    <n v="9"/>
    <s v="9"/>
    <n v="3237"/>
    <s v="3237"/>
    <n v="29133"/>
    <x v="0"/>
    <x v="1"/>
    <x v="7"/>
    <s v="Medium"/>
    <s v="Online"/>
    <n v="29133"/>
  </r>
  <r>
    <n v="1209"/>
    <d v="2024-02-20T08:00:00"/>
    <s v="2024-02-20 08:00:00"/>
    <s v=" North "/>
    <x v="2"/>
    <s v=" Home Appliances "/>
    <x v="1"/>
    <s v="Rice 5Kg"/>
    <s v="Rice 5kg"/>
    <s v="CUST0527"/>
    <s v=" CUST0527 "/>
    <x v="2"/>
    <s v="Suresh"/>
    <x v="1"/>
    <s v="Debit card "/>
    <n v="8"/>
    <s v="8"/>
    <n v="891"/>
    <s v="891"/>
    <n v="7128"/>
    <x v="0"/>
    <x v="1"/>
    <x v="7"/>
    <s v="Low"/>
    <s v="Online"/>
    <n v="7128"/>
  </r>
  <r>
    <n v="1210"/>
    <d v="2024-02-20T09:00:00"/>
    <s v="2024-02-20 09:00:00"/>
    <s v=" North "/>
    <x v="2"/>
    <s v="Grocery"/>
    <x v="3"/>
    <s v="Led Tv 42Inch"/>
    <s v="LED TV 42inch"/>
    <s v="CUST0524"/>
    <s v=" CUST0524 "/>
    <x v="2"/>
    <s v="Suresh"/>
    <x v="2"/>
    <s v="UPI"/>
    <n v="4"/>
    <s v="4"/>
    <n v="3711"/>
    <s v="3711"/>
    <n v="14844"/>
    <x v="0"/>
    <x v="1"/>
    <x v="7"/>
    <s v="Low"/>
    <s v="Online"/>
    <n v="14844"/>
  </r>
  <r>
    <n v="1211"/>
    <d v="2024-02-20T10:00:00"/>
    <s v="2024-02-20 10:00:00"/>
    <s v=" North "/>
    <x v="2"/>
    <s v="Grocery"/>
    <x v="3"/>
    <s v="Men T-Shirt"/>
    <s v="Men T-Shirt"/>
    <s v="CUST0613"/>
    <s v=" CUST0613 "/>
    <x v="0"/>
    <s v="Rahul"/>
    <x v="1"/>
    <s v="Debit card "/>
    <n v="13"/>
    <s v="13"/>
    <n v="3800"/>
    <s v="3800"/>
    <n v="49400"/>
    <x v="0"/>
    <x v="1"/>
    <x v="7"/>
    <s v="Medium"/>
    <s v="Online"/>
    <n v="49400"/>
  </r>
  <r>
    <n v="1212"/>
    <d v="2024-02-20T11:00:00"/>
    <s v="2024-02-20 11:00:00"/>
    <s v=" west"/>
    <x v="1"/>
    <s v=" Home Appliances "/>
    <x v="1"/>
    <s v="Laptop"/>
    <s v="Laptop"/>
    <s v="CUST0156"/>
    <s v=" CUST0156 "/>
    <x v="0"/>
    <s v="Rahul"/>
    <x v="1"/>
    <s v="Debit card "/>
    <n v="11"/>
    <s v="11"/>
    <n v="1616"/>
    <s v="1616"/>
    <n v="17776"/>
    <x v="0"/>
    <x v="1"/>
    <x v="7"/>
    <s v="Low"/>
    <s v="Online"/>
    <n v="17776"/>
  </r>
  <r>
    <n v="1213"/>
    <d v="2024-02-20T12:00:00"/>
    <s v="2024-02-20 12:00:00"/>
    <s v="south"/>
    <x v="3"/>
    <s v="Electronics"/>
    <x v="2"/>
    <s v="Laptop"/>
    <s v="Laptop"/>
    <s v="CUST0340"/>
    <s v=" CUST0340 "/>
    <x v="1"/>
    <s v="Meena"/>
    <x v="3"/>
    <s v=" Net Banking "/>
    <n v="12"/>
    <s v="12"/>
    <n v="4053"/>
    <s v="4053"/>
    <n v="48636"/>
    <x v="0"/>
    <x v="1"/>
    <x v="7"/>
    <s v="Medium"/>
    <s v="Online"/>
    <n v="48636"/>
  </r>
  <r>
    <n v="1214"/>
    <d v="2024-02-20T13:00:00"/>
    <s v="2024-02-20 13:00:00"/>
    <s v="south"/>
    <x v="3"/>
    <s v=" Home Appliances "/>
    <x v="1"/>
    <s v="Led Tv 42Inch"/>
    <s v="LED TV 42inch"/>
    <s v="CUST0125"/>
    <s v=" CUST0125 "/>
    <x v="4"/>
    <s v="Karthik"/>
    <x v="1"/>
    <s v="Debit card "/>
    <n v="5"/>
    <s v="5"/>
    <n v="4008"/>
    <s v="4008"/>
    <n v="20040"/>
    <x v="0"/>
    <x v="1"/>
    <x v="7"/>
    <s v="Medium"/>
    <s v="Online"/>
    <n v="20040"/>
  </r>
  <r>
    <n v="1215"/>
    <d v="2024-02-20T14:00:00"/>
    <s v="2024-02-20 14:00:00"/>
    <s v="south"/>
    <x v="3"/>
    <s v="Grocery"/>
    <x v="3"/>
    <s v="Led Tv 42Inch"/>
    <s v="LED TV 42inch"/>
    <s v="CUST0280"/>
    <s v=" CUST0280 "/>
    <x v="0"/>
    <s v="Rahul"/>
    <x v="4"/>
    <s v="Credit Card"/>
    <n v="7"/>
    <s v="7"/>
    <n v="2773"/>
    <s v="2773"/>
    <n v="19411"/>
    <x v="0"/>
    <x v="1"/>
    <x v="7"/>
    <s v="Low"/>
    <s v="Online"/>
    <n v="19411"/>
  </r>
  <r>
    <n v="1216"/>
    <d v="2024-02-20T15:00:00"/>
    <s v="2024-02-20 15:00:00"/>
    <s v=" North "/>
    <x v="2"/>
    <s v=" Home Appliances "/>
    <x v="1"/>
    <s v="Laptop"/>
    <s v="Laptop"/>
    <s v="CUST0622"/>
    <s v=" CUST0622 "/>
    <x v="4"/>
    <s v="Karthik"/>
    <x v="1"/>
    <s v="Debit card "/>
    <n v="8"/>
    <s v="8"/>
    <n v="2222"/>
    <s v="2222"/>
    <n v="17776"/>
    <x v="0"/>
    <x v="1"/>
    <x v="7"/>
    <s v="Low"/>
    <s v="Online"/>
    <n v="17776"/>
  </r>
  <r>
    <n v="1217"/>
    <d v="2024-02-20T16:00:00"/>
    <s v="2024-02-20 16:00:00"/>
    <s v="south"/>
    <x v="3"/>
    <s v="Clothing"/>
    <x v="0"/>
    <s v="Mixer Grinder"/>
    <s v="Mixer Grinder"/>
    <s v="CUST0658"/>
    <s v=" CUST0658 "/>
    <x v="3"/>
    <s v="Anita"/>
    <x v="4"/>
    <s v="Credit Card"/>
    <n v="5"/>
    <s v="5"/>
    <n v="3885"/>
    <s v="3885"/>
    <n v="19425"/>
    <x v="0"/>
    <x v="1"/>
    <x v="7"/>
    <s v="Low"/>
    <s v="Online"/>
    <n v="19425"/>
  </r>
  <r>
    <n v="1218"/>
    <d v="2024-02-20T17:00:00"/>
    <s v="2024-02-20 17:00:00"/>
    <s v="south"/>
    <x v="3"/>
    <s v=" Home Appliances "/>
    <x v="1"/>
    <s v="Mixer Grinder"/>
    <s v="Mixer Grinder"/>
    <s v="CUST0728"/>
    <s v=" CUST0728 "/>
    <x v="0"/>
    <s v="Rahul"/>
    <x v="3"/>
    <s v=" Net Banking "/>
    <n v="9"/>
    <s v="9"/>
    <n v="158"/>
    <s v="158"/>
    <n v="1422"/>
    <x v="0"/>
    <x v="1"/>
    <x v="7"/>
    <s v="Low"/>
    <s v="Online"/>
    <n v="1422"/>
  </r>
  <r>
    <n v="1219"/>
    <d v="2024-02-20T18:00:00"/>
    <s v="2024-02-20 18:00:00"/>
    <s v=" North "/>
    <x v="2"/>
    <s v="Grocery"/>
    <x v="3"/>
    <s v="Men T-Shirt"/>
    <s v="Men T-Shirt"/>
    <s v="CUST0674"/>
    <s v=" CUST0674 "/>
    <x v="0"/>
    <s v="Rahul"/>
    <x v="2"/>
    <s v="UPI"/>
    <n v="14"/>
    <s v="14"/>
    <n v="2533"/>
    <s v="2533"/>
    <n v="35462"/>
    <x v="0"/>
    <x v="1"/>
    <x v="7"/>
    <s v="Medium"/>
    <s v="Online"/>
    <n v="35462"/>
  </r>
  <r>
    <n v="1220"/>
    <d v="2024-02-20T19:00:00"/>
    <s v="2024-02-20 19:00:00"/>
    <s v="EAST"/>
    <x v="0"/>
    <s v=" Home Appliances "/>
    <x v="1"/>
    <s v="Washing Machine"/>
    <s v="Washing Machine"/>
    <s v="CUST0128"/>
    <s v=" CUST0128 "/>
    <x v="1"/>
    <s v="Meena"/>
    <x v="4"/>
    <s v="Credit Card"/>
    <n v="10"/>
    <s v="10"/>
    <n v="2162"/>
    <s v="2162"/>
    <n v="21620"/>
    <x v="0"/>
    <x v="1"/>
    <x v="7"/>
    <s v="Medium"/>
    <s v="Online"/>
    <n v="21620"/>
  </r>
  <r>
    <n v="1221"/>
    <d v="2024-02-20T20:00:00"/>
    <s v="2024-02-20 20:00:00"/>
    <s v=" North "/>
    <x v="2"/>
    <s v="Electronics"/>
    <x v="2"/>
    <s v="Men T-Shirt"/>
    <s v="Men T-Shirt"/>
    <s v="CUST0314"/>
    <s v=" CUST0314 "/>
    <x v="4"/>
    <s v="Karthik"/>
    <x v="2"/>
    <s v="UPI"/>
    <n v="12"/>
    <s v="12"/>
    <n v="1354"/>
    <s v="1354"/>
    <n v="16248"/>
    <x v="0"/>
    <x v="1"/>
    <x v="7"/>
    <s v="Low"/>
    <s v="Online"/>
    <n v="16248"/>
  </r>
  <r>
    <n v="1222"/>
    <d v="2024-02-20T21:00:00"/>
    <s v="2024-02-20 21:00:00"/>
    <s v="south"/>
    <x v="3"/>
    <s v=" Home Appliances "/>
    <x v="1"/>
    <s v="Washing Machine"/>
    <s v="Washing Machine"/>
    <s v="CUST0332"/>
    <s v=" CUST0332 "/>
    <x v="0"/>
    <s v="Rahul"/>
    <x v="2"/>
    <s v="UPI"/>
    <n v="4"/>
    <s v="4"/>
    <n v="3788"/>
    <s v="3788"/>
    <n v="15152"/>
    <x v="0"/>
    <x v="1"/>
    <x v="7"/>
    <s v="Low"/>
    <s v="Online"/>
    <n v="15152"/>
  </r>
  <r>
    <n v="1223"/>
    <d v="2024-02-20T22:00:00"/>
    <s v="2024-02-20 22:00:00"/>
    <s v=" North "/>
    <x v="2"/>
    <s v="Electronics"/>
    <x v="2"/>
    <s v="Led Tv 42Inch"/>
    <s v="LED TV 42inch"/>
    <s v="CUST0150"/>
    <s v=" CUST0150 "/>
    <x v="0"/>
    <s v="Rahul"/>
    <x v="4"/>
    <s v="Credit Card"/>
    <n v="4"/>
    <s v="4"/>
    <n v="3848"/>
    <s v="3848"/>
    <n v="15392"/>
    <x v="0"/>
    <x v="1"/>
    <x v="7"/>
    <s v="Low"/>
    <s v="Online"/>
    <n v="15392"/>
  </r>
  <r>
    <n v="1224"/>
    <d v="2024-02-20T23:00:00"/>
    <s v="2024-02-20 23:00:00"/>
    <s v="EAST"/>
    <x v="0"/>
    <s v="Clothing"/>
    <x v="0"/>
    <s v="Rice 5Kg"/>
    <s v="Rice 5kg"/>
    <s v="CUST0454"/>
    <s v=" CUST0454 "/>
    <x v="1"/>
    <s v="Meena"/>
    <x v="3"/>
    <s v=" Net Banking "/>
    <n v="13"/>
    <s v="13"/>
    <n v="4230"/>
    <s v="4230"/>
    <n v="54990"/>
    <x v="0"/>
    <x v="1"/>
    <x v="7"/>
    <s v="High"/>
    <s v="Online"/>
    <n v="54990"/>
  </r>
  <r>
    <n v="1225"/>
    <d v="2024-02-21T00:00:00"/>
    <s v="2024-02-21 00:00:00"/>
    <s v=" North "/>
    <x v="2"/>
    <s v="Electronics"/>
    <x v="2"/>
    <s v="Men T-Shirt"/>
    <s v="Men T-Shirt"/>
    <s v="CUST0036"/>
    <s v=" CUST0036 "/>
    <x v="1"/>
    <s v="Meena"/>
    <x v="0"/>
    <s v=" Cash"/>
    <n v="8"/>
    <s v="8"/>
    <n v="4357"/>
    <s v="4357"/>
    <n v="34856"/>
    <x v="0"/>
    <x v="1"/>
    <x v="7"/>
    <s v="Medium"/>
    <s v="Offline"/>
    <n v="34856"/>
  </r>
  <r>
    <n v="1226"/>
    <d v="2024-02-21T01:00:00"/>
    <s v="2024-02-21 01:00:00"/>
    <s v="south"/>
    <x v="3"/>
    <s v=" Home Appliances "/>
    <x v="1"/>
    <s v="Men T-Shirt"/>
    <s v="Men T-Shirt"/>
    <s v="CUST0685"/>
    <s v=" CUST0685 "/>
    <x v="4"/>
    <s v="Karthik"/>
    <x v="2"/>
    <s v="UPI"/>
    <n v="1"/>
    <s v="1"/>
    <n v="3129"/>
    <s v="3129"/>
    <n v="3129"/>
    <x v="0"/>
    <x v="1"/>
    <x v="7"/>
    <s v="Low"/>
    <s v="Online"/>
    <n v="3129"/>
  </r>
  <r>
    <n v="1227"/>
    <d v="2024-02-21T02:00:00"/>
    <s v="2024-02-21 02:00:00"/>
    <s v="EAST"/>
    <x v="0"/>
    <s v="Grocery"/>
    <x v="3"/>
    <s v="Washing Machine"/>
    <s v="Washing Machine"/>
    <s v="CUST0420"/>
    <s v=" CUST0420 "/>
    <x v="3"/>
    <s v="Anita"/>
    <x v="2"/>
    <s v="UPI"/>
    <n v="8"/>
    <s v="8"/>
    <n v="2946"/>
    <s v="2946"/>
    <n v="23568"/>
    <x v="0"/>
    <x v="1"/>
    <x v="7"/>
    <s v="Medium"/>
    <s v="Online"/>
    <n v="23568"/>
  </r>
  <r>
    <n v="1228"/>
    <d v="2024-02-21T03:00:00"/>
    <s v="2024-02-21 03:00:00"/>
    <s v=" west"/>
    <x v="1"/>
    <s v="Electronics"/>
    <x v="2"/>
    <s v="Led Tv 42Inch"/>
    <s v="LED TV 42inch"/>
    <s v="CUST0022"/>
    <s v=" CUST0022 "/>
    <x v="3"/>
    <s v="Anita"/>
    <x v="3"/>
    <s v=" Net Banking "/>
    <n v="5"/>
    <s v="5"/>
    <n v="570"/>
    <s v="570"/>
    <n v="2850"/>
    <x v="0"/>
    <x v="1"/>
    <x v="7"/>
    <s v="Low"/>
    <s v="Online"/>
    <n v="2850"/>
  </r>
  <r>
    <n v="1229"/>
    <d v="2024-02-21T04:00:00"/>
    <s v="2024-02-21 04:00:00"/>
    <s v="south"/>
    <x v="3"/>
    <s v="Clothing"/>
    <x v="0"/>
    <s v="Led Tv 42Inch"/>
    <s v="LED TV 42inch"/>
    <s v="CUST0206"/>
    <s v=" CUST0206 "/>
    <x v="2"/>
    <s v="Suresh"/>
    <x v="3"/>
    <s v=" Net Banking "/>
    <n v="13"/>
    <s v="13"/>
    <n v="4135"/>
    <s v="4135"/>
    <n v="53755"/>
    <x v="0"/>
    <x v="1"/>
    <x v="7"/>
    <s v="High"/>
    <s v="Online"/>
    <n v="53755"/>
  </r>
  <r>
    <n v="1230"/>
    <d v="2024-02-21T05:00:00"/>
    <s v="2024-02-21 05:00:00"/>
    <s v="EAST"/>
    <x v="0"/>
    <s v="Electronics"/>
    <x v="2"/>
    <s v="Washing Machine"/>
    <s v="Washing Machine"/>
    <s v="CUST0639"/>
    <s v=" CUST0639 "/>
    <x v="0"/>
    <s v="Rahul"/>
    <x v="1"/>
    <s v="Debit card "/>
    <n v="14"/>
    <s v="14"/>
    <n v="2999"/>
    <s v="2999"/>
    <n v="41986"/>
    <x v="0"/>
    <x v="1"/>
    <x v="7"/>
    <s v="Medium"/>
    <s v="Online"/>
    <n v="41986"/>
  </r>
  <r>
    <n v="1231"/>
    <d v="2024-02-21T06:00:00"/>
    <s v="2024-02-21 06:00:00"/>
    <s v="EAST"/>
    <x v="0"/>
    <s v="Electronics"/>
    <x v="2"/>
    <s v="Led Tv 42Inch"/>
    <s v="LED TV 42inch"/>
    <s v="CUST0356"/>
    <s v=" CUST0356 "/>
    <x v="4"/>
    <s v="Karthik"/>
    <x v="3"/>
    <s v=" Net Banking "/>
    <n v="11"/>
    <s v="11"/>
    <n v="1546"/>
    <s v="1546"/>
    <n v="17006"/>
    <x v="0"/>
    <x v="1"/>
    <x v="7"/>
    <s v="Low"/>
    <s v="Online"/>
    <n v="17006"/>
  </r>
  <r>
    <n v="1232"/>
    <d v="2024-02-21T07:00:00"/>
    <s v="2024-02-21 07:00:00"/>
    <s v=" west"/>
    <x v="1"/>
    <s v="Electronics"/>
    <x v="2"/>
    <s v="Laptop"/>
    <s v="Laptop"/>
    <s v="CUST0440"/>
    <s v=" CUST0440 "/>
    <x v="0"/>
    <s v="Rahul"/>
    <x v="2"/>
    <s v="UPI"/>
    <n v="1"/>
    <s v="1"/>
    <n v="4543"/>
    <s v="4543"/>
    <n v="4543"/>
    <x v="0"/>
    <x v="1"/>
    <x v="7"/>
    <s v="Low"/>
    <s v="Online"/>
    <n v="4543"/>
  </r>
  <r>
    <n v="1233"/>
    <d v="2024-02-21T08:00:00"/>
    <s v="2024-02-21 08:00:00"/>
    <s v=" North "/>
    <x v="2"/>
    <s v="Clothing"/>
    <x v="0"/>
    <s v="Mixer Grinder"/>
    <s v="Mixer Grinder"/>
    <s v="CUST0729"/>
    <s v=" CUST0729 "/>
    <x v="4"/>
    <s v="Karthik"/>
    <x v="4"/>
    <s v="Credit Card"/>
    <n v="4"/>
    <s v="4"/>
    <n v="4889"/>
    <s v="4889"/>
    <n v="19556"/>
    <x v="0"/>
    <x v="1"/>
    <x v="7"/>
    <s v="Low"/>
    <s v="Online"/>
    <n v="19556"/>
  </r>
  <r>
    <n v="1234"/>
    <d v="2024-02-21T09:00:00"/>
    <s v="2024-02-21 09:00:00"/>
    <s v=" North "/>
    <x v="2"/>
    <s v=" Home Appliances "/>
    <x v="1"/>
    <s v="Laptop"/>
    <s v="Laptop"/>
    <s v="CUST0096"/>
    <s v=" CUST0096 "/>
    <x v="4"/>
    <s v="Karthik"/>
    <x v="0"/>
    <s v=" Cash"/>
    <n v="2"/>
    <s v="2"/>
    <n v="1012"/>
    <s v="1012"/>
    <n v="2024"/>
    <x v="0"/>
    <x v="1"/>
    <x v="7"/>
    <s v="Low"/>
    <s v="Offline"/>
    <n v="2024"/>
  </r>
  <r>
    <n v="1235"/>
    <d v="2024-02-21T10:00:00"/>
    <s v="2024-02-21 10:00:00"/>
    <s v="south"/>
    <x v="3"/>
    <s v="Electronics"/>
    <x v="2"/>
    <s v="Rice 5Kg"/>
    <s v="Rice 5kg"/>
    <s v="CUST0164"/>
    <s v=" CUST0164 "/>
    <x v="4"/>
    <s v="Karthik"/>
    <x v="1"/>
    <s v="Debit card "/>
    <n v="4"/>
    <s v="4"/>
    <n v="4342"/>
    <s v="4342"/>
    <n v="17368"/>
    <x v="0"/>
    <x v="1"/>
    <x v="7"/>
    <s v="Low"/>
    <s v="Online"/>
    <n v="17368"/>
  </r>
  <r>
    <n v="1236"/>
    <d v="2024-02-21T11:00:00"/>
    <s v="2024-02-21 11:00:00"/>
    <s v=" west"/>
    <x v="1"/>
    <s v="Electronics"/>
    <x v="2"/>
    <s v="Men T-Shirt"/>
    <s v="Men T-Shirt"/>
    <s v="CUST0148"/>
    <s v=" CUST0148 "/>
    <x v="0"/>
    <s v="Rahul"/>
    <x v="4"/>
    <s v="Credit Card"/>
    <n v="8"/>
    <s v="8"/>
    <n v="1811"/>
    <s v="1811"/>
    <n v="14488"/>
    <x v="0"/>
    <x v="1"/>
    <x v="7"/>
    <s v="Low"/>
    <s v="Online"/>
    <n v="14488"/>
  </r>
  <r>
    <n v="1237"/>
    <d v="2024-02-21T12:00:00"/>
    <s v="2024-02-21 12:00:00"/>
    <s v=" North "/>
    <x v="2"/>
    <s v="Grocery"/>
    <x v="3"/>
    <s v="Rice 5Kg"/>
    <s v="Rice 5kg"/>
    <s v="CUST0530"/>
    <s v=" CUST0530 "/>
    <x v="1"/>
    <s v="Meena"/>
    <x v="0"/>
    <s v=" Cash"/>
    <n v="5"/>
    <s v="5"/>
    <n v="774"/>
    <s v="774"/>
    <n v="3870"/>
    <x v="0"/>
    <x v="1"/>
    <x v="7"/>
    <s v="Low"/>
    <s v="Offline"/>
    <n v="3870"/>
  </r>
  <r>
    <n v="1238"/>
    <d v="2024-02-21T13:00:00"/>
    <s v="2024-02-21 13:00:00"/>
    <s v=" west"/>
    <x v="1"/>
    <s v="Clothing"/>
    <x v="0"/>
    <s v="Men T-Shirt"/>
    <s v="Men T-Shirt"/>
    <s v="CUST0294"/>
    <s v=" CUST0294 "/>
    <x v="0"/>
    <s v="Rahul"/>
    <x v="0"/>
    <s v=" Cash"/>
    <n v="1"/>
    <s v="1"/>
    <n v="1539"/>
    <s v="1539"/>
    <n v="1539"/>
    <x v="0"/>
    <x v="1"/>
    <x v="7"/>
    <s v="Low"/>
    <s v="Offline"/>
    <n v="1539"/>
  </r>
  <r>
    <n v="1239"/>
    <d v="2024-02-21T14:00:00"/>
    <s v="2024-02-21 14:00:00"/>
    <s v=" North "/>
    <x v="2"/>
    <s v="Electronics"/>
    <x v="2"/>
    <s v="Mixer Grinder"/>
    <s v="Mixer Grinder"/>
    <s v="CUST0195"/>
    <s v=" CUST0195 "/>
    <x v="4"/>
    <s v="Karthik"/>
    <x v="0"/>
    <s v=" Cash"/>
    <n v="7"/>
    <s v="7"/>
    <n v="2834"/>
    <s v="2834"/>
    <n v="19838"/>
    <x v="0"/>
    <x v="1"/>
    <x v="7"/>
    <s v="Low"/>
    <s v="Offline"/>
    <n v="19838"/>
  </r>
  <r>
    <n v="1240"/>
    <d v="2024-02-21T15:00:00"/>
    <s v="2024-02-21 15:00:00"/>
    <s v="EAST"/>
    <x v="0"/>
    <s v="Clothing"/>
    <x v="0"/>
    <s v="Led Tv 42Inch"/>
    <s v="LED TV 42inch"/>
    <s v="CUST0663"/>
    <s v=" CUST0663 "/>
    <x v="2"/>
    <s v="Suresh"/>
    <x v="4"/>
    <s v="Credit Card"/>
    <n v="1"/>
    <s v="1"/>
    <n v="3730"/>
    <s v="3730"/>
    <n v="3730"/>
    <x v="0"/>
    <x v="1"/>
    <x v="7"/>
    <s v="Low"/>
    <s v="Online"/>
    <n v="3730"/>
  </r>
  <r>
    <n v="1241"/>
    <d v="2024-02-21T16:00:00"/>
    <s v="2024-02-21 16:00:00"/>
    <s v=" North "/>
    <x v="2"/>
    <s v="Electronics"/>
    <x v="2"/>
    <s v="Laptop"/>
    <s v="Laptop"/>
    <s v="CUST0480"/>
    <s v=" CUST0480 "/>
    <x v="3"/>
    <s v="Anita"/>
    <x v="1"/>
    <s v="Debit card "/>
    <n v="9"/>
    <s v="9"/>
    <n v="785"/>
    <s v="785"/>
    <n v="7065"/>
    <x v="0"/>
    <x v="1"/>
    <x v="7"/>
    <s v="Low"/>
    <s v="Online"/>
    <n v="7065"/>
  </r>
  <r>
    <n v="1242"/>
    <d v="2024-02-21T17:00:00"/>
    <s v="2024-02-21 17:00:00"/>
    <s v=" west"/>
    <x v="1"/>
    <s v=" Home Appliances "/>
    <x v="1"/>
    <s v="Washing Machine"/>
    <s v="Washing Machine"/>
    <s v="CUST0123"/>
    <s v=" CUST0123 "/>
    <x v="4"/>
    <s v="Karthik"/>
    <x v="1"/>
    <s v="Debit card "/>
    <n v="3"/>
    <s v="3"/>
    <n v="1226"/>
    <s v="1226"/>
    <n v="3678"/>
    <x v="0"/>
    <x v="1"/>
    <x v="7"/>
    <s v="Low"/>
    <s v="Online"/>
    <n v="3678"/>
  </r>
  <r>
    <n v="1243"/>
    <d v="2024-02-21T18:00:00"/>
    <s v="2024-02-21 18:00:00"/>
    <s v="EAST"/>
    <x v="0"/>
    <s v=" Home Appliances "/>
    <x v="1"/>
    <s v="Laptop"/>
    <s v="Laptop"/>
    <s v="CUST0400"/>
    <s v=" CUST0400 "/>
    <x v="2"/>
    <s v="Suresh"/>
    <x v="0"/>
    <s v=" Cash"/>
    <n v="12"/>
    <s v="12"/>
    <n v="4316"/>
    <s v="4316"/>
    <n v="51792"/>
    <x v="0"/>
    <x v="1"/>
    <x v="7"/>
    <s v="High"/>
    <s v="Offline"/>
    <n v="51792"/>
  </r>
  <r>
    <n v="1244"/>
    <d v="2024-02-21T19:00:00"/>
    <s v="2024-02-21 19:00:00"/>
    <s v="EAST"/>
    <x v="0"/>
    <s v="Electronics"/>
    <x v="2"/>
    <s v="Mixer Grinder"/>
    <s v="Mixer Grinder"/>
    <s v="CUST0699"/>
    <s v=" CUST0699 "/>
    <x v="1"/>
    <s v="Meena"/>
    <x v="4"/>
    <s v="Credit Card"/>
    <n v="3"/>
    <s v="3"/>
    <n v="2566"/>
    <s v="2566"/>
    <n v="7698"/>
    <x v="0"/>
    <x v="1"/>
    <x v="7"/>
    <s v="Low"/>
    <s v="Online"/>
    <n v="7698"/>
  </r>
  <r>
    <n v="1245"/>
    <d v="2024-02-21T20:00:00"/>
    <s v="2024-02-21 20:00:00"/>
    <s v="EAST"/>
    <x v="0"/>
    <s v=" Home Appliances "/>
    <x v="1"/>
    <s v="Rice 5Kg"/>
    <s v="Rice 5kg"/>
    <s v="CUST0452"/>
    <s v=" CUST0452 "/>
    <x v="4"/>
    <s v="Karthik"/>
    <x v="0"/>
    <s v=" Cash"/>
    <n v="6"/>
    <s v="6"/>
    <n v="2497"/>
    <s v="2497"/>
    <n v="14982"/>
    <x v="0"/>
    <x v="1"/>
    <x v="7"/>
    <s v="Low"/>
    <s v="Offline"/>
    <n v="14982"/>
  </r>
  <r>
    <n v="1246"/>
    <d v="2024-02-21T21:00:00"/>
    <s v="2024-02-21 21:00:00"/>
    <s v=" west"/>
    <x v="1"/>
    <s v="Electronics"/>
    <x v="2"/>
    <s v="Washing Machine"/>
    <s v="Washing Machine"/>
    <s v="CUST0661"/>
    <s v=" CUST0661 "/>
    <x v="2"/>
    <s v="Suresh"/>
    <x v="3"/>
    <s v=" Net Banking "/>
    <n v="10"/>
    <s v="10"/>
    <n v="4237"/>
    <s v="4237"/>
    <n v="42370"/>
    <x v="0"/>
    <x v="1"/>
    <x v="7"/>
    <s v="Medium"/>
    <s v="Online"/>
    <n v="42370"/>
  </r>
  <r>
    <n v="1247"/>
    <d v="2024-02-21T22:00:00"/>
    <s v="2024-02-21 22:00:00"/>
    <s v="south"/>
    <x v="3"/>
    <s v=" Home Appliances "/>
    <x v="1"/>
    <s v="Led Tv 42Inch"/>
    <s v="LED TV 42inch"/>
    <s v="CUST0104"/>
    <s v=" CUST0104 "/>
    <x v="4"/>
    <s v="Karthik"/>
    <x v="1"/>
    <s v="Debit card "/>
    <n v="6"/>
    <s v="6"/>
    <n v="3538"/>
    <s v="3538"/>
    <n v="21228"/>
    <x v="0"/>
    <x v="1"/>
    <x v="7"/>
    <s v="Medium"/>
    <s v="Online"/>
    <n v="21228"/>
  </r>
  <r>
    <n v="1248"/>
    <d v="2024-02-21T23:00:00"/>
    <s v="2024-02-21 23:00:00"/>
    <s v="south"/>
    <x v="3"/>
    <s v="Grocery"/>
    <x v="3"/>
    <s v="Mixer Grinder"/>
    <s v="Mixer Grinder"/>
    <s v="CUST0755"/>
    <s v=" CUST0755 "/>
    <x v="0"/>
    <s v="Rahul"/>
    <x v="2"/>
    <s v="UPI"/>
    <n v="13"/>
    <s v="13"/>
    <n v="4224"/>
    <s v="4224"/>
    <n v="54912"/>
    <x v="0"/>
    <x v="1"/>
    <x v="7"/>
    <s v="High"/>
    <s v="Online"/>
    <n v="54912"/>
  </r>
  <r>
    <n v="1249"/>
    <d v="2024-02-22T00:00:00"/>
    <s v="2024-02-22 00:00:00"/>
    <s v="south"/>
    <x v="3"/>
    <s v="Grocery"/>
    <x v="3"/>
    <s v="Washing Machine"/>
    <s v="Washing Machine"/>
    <s v="CUST0462"/>
    <s v=" CUST0462 "/>
    <x v="2"/>
    <s v="Suresh"/>
    <x v="0"/>
    <s v=" Cash"/>
    <n v="11"/>
    <s v="11"/>
    <n v="1065"/>
    <s v="1065"/>
    <n v="11715"/>
    <x v="0"/>
    <x v="1"/>
    <x v="7"/>
    <s v="Low"/>
    <s v="Offline"/>
    <n v="11715"/>
  </r>
  <r>
    <n v="1250"/>
    <d v="2024-02-22T01:00:00"/>
    <s v="2024-02-22 01:00:00"/>
    <s v=" west"/>
    <x v="1"/>
    <s v="Grocery"/>
    <x v="3"/>
    <s v="Mixer Grinder"/>
    <s v="Mixer Grinder"/>
    <s v="CUST0743"/>
    <s v=" CUST0743 "/>
    <x v="0"/>
    <s v="Rahul"/>
    <x v="3"/>
    <s v=" Net Banking "/>
    <n v="11"/>
    <s v="11"/>
    <n v="1019"/>
    <s v="1019"/>
    <n v="11209"/>
    <x v="0"/>
    <x v="1"/>
    <x v="7"/>
    <s v="Low"/>
    <s v="Online"/>
    <n v="11209"/>
  </r>
  <r>
    <n v="1251"/>
    <d v="2024-02-22T02:00:00"/>
    <s v="2024-02-22 02:00:00"/>
    <s v="EAST"/>
    <x v="0"/>
    <s v="Clothing"/>
    <x v="0"/>
    <s v="Mixer Grinder"/>
    <s v="Mixer Grinder"/>
    <s v="CUST0718"/>
    <s v=" CUST0718 "/>
    <x v="0"/>
    <s v="Rahul"/>
    <x v="1"/>
    <s v="Debit card "/>
    <n v="6"/>
    <s v="6"/>
    <n v="2972"/>
    <s v="2972"/>
    <n v="17832"/>
    <x v="0"/>
    <x v="1"/>
    <x v="7"/>
    <s v="Low"/>
    <s v="Online"/>
    <n v="17832"/>
  </r>
  <r>
    <n v="1252"/>
    <d v="2024-02-22T03:00:00"/>
    <s v="2024-02-22 03:00:00"/>
    <s v="south"/>
    <x v="3"/>
    <s v="Clothing"/>
    <x v="0"/>
    <s v="Led Tv 42Inch"/>
    <s v="LED TV 42inch"/>
    <s v="CUST0710"/>
    <s v=" CUST0710 "/>
    <x v="2"/>
    <s v="Suresh"/>
    <x v="4"/>
    <s v="Credit Card"/>
    <n v="13"/>
    <s v="13"/>
    <n v="1608"/>
    <s v="1608"/>
    <n v="20904"/>
    <x v="0"/>
    <x v="1"/>
    <x v="7"/>
    <s v="Medium"/>
    <s v="Online"/>
    <n v="20904"/>
  </r>
  <r>
    <n v="1253"/>
    <d v="2024-02-22T04:00:00"/>
    <s v="2024-02-22 04:00:00"/>
    <s v=" west"/>
    <x v="1"/>
    <s v="Grocery"/>
    <x v="3"/>
    <s v="Men T-Shirt"/>
    <s v="Men T-Shirt"/>
    <s v="CUST0396"/>
    <s v=" CUST0396 "/>
    <x v="3"/>
    <s v="Anita"/>
    <x v="1"/>
    <s v="Debit card "/>
    <n v="1"/>
    <s v="1"/>
    <n v="1312"/>
    <s v="1312"/>
    <n v="1312"/>
    <x v="0"/>
    <x v="1"/>
    <x v="7"/>
    <s v="Low"/>
    <s v="Online"/>
    <n v="1312"/>
  </r>
  <r>
    <n v="1254"/>
    <d v="2024-02-22T05:00:00"/>
    <s v="2024-02-22 05:00:00"/>
    <s v="south"/>
    <x v="3"/>
    <s v="Clothing"/>
    <x v="0"/>
    <s v="Washing Machine"/>
    <s v="Washing Machine"/>
    <s v="CUST0337"/>
    <s v=" CUST0337 "/>
    <x v="2"/>
    <s v="Suresh"/>
    <x v="4"/>
    <s v="Credit Card"/>
    <n v="5"/>
    <s v="5"/>
    <n v="971"/>
    <s v="971"/>
    <n v="4855"/>
    <x v="0"/>
    <x v="1"/>
    <x v="7"/>
    <s v="Low"/>
    <s v="Online"/>
    <n v="4855"/>
  </r>
  <r>
    <n v="1255"/>
    <d v="2024-02-22T06:00:00"/>
    <s v="2024-02-22 06:00:00"/>
    <s v=" North "/>
    <x v="2"/>
    <s v=" Home Appliances "/>
    <x v="1"/>
    <s v="Led Tv 42Inch"/>
    <s v="LED TV 42inch"/>
    <s v="CUST0599"/>
    <s v=" CUST0599 "/>
    <x v="3"/>
    <s v="Anita"/>
    <x v="4"/>
    <s v="Credit Card"/>
    <n v="12"/>
    <s v="12"/>
    <n v="4490"/>
    <s v="4490"/>
    <n v="53880"/>
    <x v="0"/>
    <x v="1"/>
    <x v="7"/>
    <s v="High"/>
    <s v="Online"/>
    <n v="53880"/>
  </r>
  <r>
    <n v="1256"/>
    <d v="2024-02-22T07:00:00"/>
    <s v="2024-02-22 07:00:00"/>
    <s v="south"/>
    <x v="3"/>
    <s v="Electronics"/>
    <x v="2"/>
    <s v="Mixer Grinder"/>
    <s v="Mixer Grinder"/>
    <s v="CUST0142"/>
    <s v=" CUST0142 "/>
    <x v="4"/>
    <s v="Karthik"/>
    <x v="0"/>
    <s v=" Cash"/>
    <n v="6"/>
    <s v="6"/>
    <n v="3354"/>
    <s v="3354"/>
    <n v="20124"/>
    <x v="0"/>
    <x v="1"/>
    <x v="7"/>
    <s v="Medium"/>
    <s v="Offline"/>
    <n v="20124"/>
  </r>
  <r>
    <n v="1257"/>
    <d v="2024-02-22T08:00:00"/>
    <s v="2024-02-22 08:00:00"/>
    <s v="south"/>
    <x v="3"/>
    <s v="Electronics"/>
    <x v="2"/>
    <s v="Led Tv 42Inch"/>
    <s v="LED TV 42inch"/>
    <s v="CUST0317"/>
    <s v=" CUST0317 "/>
    <x v="4"/>
    <s v="Karthik"/>
    <x v="0"/>
    <s v=" Cash"/>
    <n v="8"/>
    <s v="8"/>
    <n v="963"/>
    <s v="963"/>
    <n v="7704"/>
    <x v="0"/>
    <x v="1"/>
    <x v="7"/>
    <s v="Low"/>
    <s v="Offline"/>
    <n v="7704"/>
  </r>
  <r>
    <n v="1258"/>
    <d v="2024-02-22T09:00:00"/>
    <s v="2024-02-22 09:00:00"/>
    <s v="EAST"/>
    <x v="0"/>
    <s v="Electronics"/>
    <x v="2"/>
    <s v="Men T-Shirt"/>
    <s v="Men T-Shirt"/>
    <s v="CUST0711"/>
    <s v=" CUST0711 "/>
    <x v="2"/>
    <s v="Suresh"/>
    <x v="1"/>
    <s v="Debit card "/>
    <n v="13"/>
    <s v="13"/>
    <n v="4053"/>
    <s v="4053"/>
    <n v="52689"/>
    <x v="0"/>
    <x v="1"/>
    <x v="7"/>
    <s v="High"/>
    <s v="Online"/>
    <n v="52689"/>
  </r>
  <r>
    <n v="1259"/>
    <d v="2024-02-22T10:00:00"/>
    <s v="2024-02-22 10:00:00"/>
    <s v=" west"/>
    <x v="1"/>
    <s v="Grocery"/>
    <x v="3"/>
    <s v="Laptop"/>
    <s v="Laptop"/>
    <s v="CUST0558"/>
    <s v=" CUST0558 "/>
    <x v="4"/>
    <s v="Karthik"/>
    <x v="3"/>
    <s v=" Net Banking "/>
    <n v="1"/>
    <s v="1"/>
    <n v="3208"/>
    <s v="3208"/>
    <n v="3208"/>
    <x v="0"/>
    <x v="1"/>
    <x v="7"/>
    <s v="Low"/>
    <s v="Online"/>
    <n v="3208"/>
  </r>
  <r>
    <n v="1260"/>
    <d v="2024-02-22T11:00:00"/>
    <s v="2024-02-22 11:00:00"/>
    <s v="EAST"/>
    <x v="0"/>
    <s v="Clothing"/>
    <x v="0"/>
    <s v="Washing Machine"/>
    <s v="Washing Machine"/>
    <s v="CUST0800"/>
    <s v=" CUST0800 "/>
    <x v="1"/>
    <s v="Meena"/>
    <x v="1"/>
    <s v="Debit card "/>
    <n v="5"/>
    <s v="5"/>
    <n v="3155"/>
    <s v="3155"/>
    <n v="15775"/>
    <x v="0"/>
    <x v="1"/>
    <x v="7"/>
    <s v="Low"/>
    <s v="Online"/>
    <n v="15775"/>
  </r>
  <r>
    <n v="1261"/>
    <d v="2024-02-22T12:00:00"/>
    <s v="2024-02-22 12:00:00"/>
    <s v="EAST"/>
    <x v="0"/>
    <s v=" Home Appliances "/>
    <x v="1"/>
    <s v="Men T-Shirt"/>
    <s v="Men T-Shirt"/>
    <s v="CUST0527"/>
    <s v=" CUST0527 "/>
    <x v="0"/>
    <s v="Rahul"/>
    <x v="2"/>
    <s v="UPI"/>
    <n v="3"/>
    <s v="3"/>
    <n v="4094"/>
    <s v="4094"/>
    <n v="12282"/>
    <x v="0"/>
    <x v="1"/>
    <x v="7"/>
    <s v="Low"/>
    <s v="Online"/>
    <n v="12282"/>
  </r>
  <r>
    <n v="1262"/>
    <d v="2024-02-22T13:00:00"/>
    <s v="2024-02-22 13:00:00"/>
    <s v="EAST"/>
    <x v="0"/>
    <s v=" Home Appliances "/>
    <x v="1"/>
    <s v="Rice 5Kg"/>
    <s v="Rice 5kg"/>
    <s v="CUST0556"/>
    <s v=" CUST0556 "/>
    <x v="0"/>
    <s v="Rahul"/>
    <x v="4"/>
    <s v="Credit Card"/>
    <n v="2"/>
    <s v="2"/>
    <n v="2782"/>
    <s v="2782"/>
    <n v="5564"/>
    <x v="0"/>
    <x v="1"/>
    <x v="7"/>
    <s v="Low"/>
    <s v="Online"/>
    <n v="5564"/>
  </r>
  <r>
    <n v="1263"/>
    <d v="2024-02-22T14:00:00"/>
    <s v="2024-02-22 14:00:00"/>
    <s v="EAST"/>
    <x v="0"/>
    <s v="Grocery"/>
    <x v="3"/>
    <s v="Washing Machine"/>
    <s v="Washing Machine"/>
    <s v="CUST0401"/>
    <s v=" CUST0401 "/>
    <x v="3"/>
    <s v="Anita"/>
    <x v="4"/>
    <s v="Credit Card"/>
    <n v="11"/>
    <s v="11"/>
    <n v="4790"/>
    <s v="4790"/>
    <n v="52690"/>
    <x v="0"/>
    <x v="1"/>
    <x v="7"/>
    <s v="High"/>
    <s v="Online"/>
    <n v="52690"/>
  </r>
  <r>
    <n v="1264"/>
    <d v="2024-02-22T15:00:00"/>
    <s v="2024-02-22 15:00:00"/>
    <s v="EAST"/>
    <x v="0"/>
    <s v=" Home Appliances "/>
    <x v="1"/>
    <s v="Men T-Shirt"/>
    <s v="Men T-Shirt"/>
    <s v="CUST0681"/>
    <s v=" CUST0681 "/>
    <x v="4"/>
    <s v="Karthik"/>
    <x v="0"/>
    <s v=" Cash"/>
    <n v="8"/>
    <s v="8"/>
    <n v="713"/>
    <s v="713"/>
    <n v="5704"/>
    <x v="0"/>
    <x v="1"/>
    <x v="7"/>
    <s v="Low"/>
    <s v="Offline"/>
    <n v="5704"/>
  </r>
  <r>
    <n v="1265"/>
    <d v="2024-02-22T16:00:00"/>
    <s v="2024-02-22 16:00:00"/>
    <s v="south"/>
    <x v="3"/>
    <s v=" Home Appliances "/>
    <x v="1"/>
    <s v="Mixer Grinder"/>
    <s v="Mixer Grinder"/>
    <s v="CUST0310"/>
    <s v=" CUST0310 "/>
    <x v="3"/>
    <s v="Anita"/>
    <x v="3"/>
    <s v=" Net Banking "/>
    <n v="7"/>
    <s v="7"/>
    <n v="1972"/>
    <s v="1972"/>
    <n v="13804"/>
    <x v="0"/>
    <x v="1"/>
    <x v="7"/>
    <s v="Low"/>
    <s v="Online"/>
    <n v="13804"/>
  </r>
  <r>
    <n v="1266"/>
    <d v="2024-02-22T17:00:00"/>
    <s v="2024-02-22 17:00:00"/>
    <s v="EAST"/>
    <x v="0"/>
    <s v=" Home Appliances "/>
    <x v="1"/>
    <s v="Washing Machine"/>
    <s v="Washing Machine"/>
    <s v="CUST0495"/>
    <s v=" CUST0495 "/>
    <x v="0"/>
    <s v="Rahul"/>
    <x v="0"/>
    <s v=" Cash"/>
    <n v="10"/>
    <s v="10"/>
    <n v="3254"/>
    <s v="3254"/>
    <n v="32540"/>
    <x v="0"/>
    <x v="1"/>
    <x v="7"/>
    <s v="Medium"/>
    <s v="Offline"/>
    <n v="32540"/>
  </r>
  <r>
    <n v="1267"/>
    <d v="2024-02-22T18:00:00"/>
    <s v="2024-02-22 18:00:00"/>
    <s v="EAST"/>
    <x v="0"/>
    <s v=" Home Appliances "/>
    <x v="1"/>
    <s v="Washing Machine"/>
    <s v="Washing Machine"/>
    <s v="CUST0556"/>
    <s v=" CUST0556 "/>
    <x v="0"/>
    <s v="Rahul"/>
    <x v="2"/>
    <s v="UPI"/>
    <n v="7"/>
    <s v="7"/>
    <n v="4660"/>
    <s v="4660"/>
    <n v="32620"/>
    <x v="0"/>
    <x v="1"/>
    <x v="7"/>
    <s v="Medium"/>
    <s v="Online"/>
    <n v="32620"/>
  </r>
  <r>
    <n v="1268"/>
    <d v="2024-02-22T19:00:00"/>
    <s v="2024-02-22 19:00:00"/>
    <s v=" west"/>
    <x v="1"/>
    <s v="Clothing"/>
    <x v="0"/>
    <s v="Led Tv 42Inch"/>
    <s v="LED TV 42inch"/>
    <s v="CUST0610"/>
    <s v=" CUST0610 "/>
    <x v="4"/>
    <s v="Karthik"/>
    <x v="1"/>
    <s v="Debit card "/>
    <n v="5"/>
    <s v="5"/>
    <n v="3473"/>
    <s v="3473"/>
    <n v="17365"/>
    <x v="0"/>
    <x v="1"/>
    <x v="7"/>
    <s v="Low"/>
    <s v="Online"/>
    <n v="17365"/>
  </r>
  <r>
    <n v="1269"/>
    <d v="2024-02-22T20:00:00"/>
    <s v="2024-02-22 20:00:00"/>
    <s v=" North "/>
    <x v="2"/>
    <s v=" Home Appliances "/>
    <x v="1"/>
    <s v="Mixer Grinder"/>
    <s v="Mixer Grinder"/>
    <s v="CUST0773"/>
    <s v=" CUST0773 "/>
    <x v="1"/>
    <s v="Meena"/>
    <x v="1"/>
    <s v="Debit card "/>
    <n v="12"/>
    <s v="12"/>
    <n v="3291"/>
    <s v="3291"/>
    <n v="39492"/>
    <x v="0"/>
    <x v="1"/>
    <x v="7"/>
    <s v="Medium"/>
    <s v="Online"/>
    <n v="39492"/>
  </r>
  <r>
    <n v="1270"/>
    <d v="2024-02-22T21:00:00"/>
    <s v="2024-02-22 21:00:00"/>
    <s v="south"/>
    <x v="3"/>
    <s v="Electronics"/>
    <x v="2"/>
    <s v="Rice 5Kg"/>
    <s v="Rice 5kg"/>
    <s v="CUST0109"/>
    <s v=" CUST0109 "/>
    <x v="1"/>
    <s v="Meena"/>
    <x v="3"/>
    <s v=" Net Banking "/>
    <n v="13"/>
    <s v="13"/>
    <n v="667"/>
    <s v="667"/>
    <n v="8671"/>
    <x v="0"/>
    <x v="1"/>
    <x v="7"/>
    <s v="Low"/>
    <s v="Online"/>
    <n v="8671"/>
  </r>
  <r>
    <n v="1271"/>
    <d v="2024-02-22T22:00:00"/>
    <s v="2024-02-22 22:00:00"/>
    <s v="south"/>
    <x v="3"/>
    <s v="Grocery"/>
    <x v="3"/>
    <s v="Laptop"/>
    <s v="Laptop"/>
    <s v="CUST0795"/>
    <s v=" CUST0795 "/>
    <x v="4"/>
    <s v="Karthik"/>
    <x v="0"/>
    <s v=" Cash"/>
    <n v="9"/>
    <s v="9"/>
    <n v="4233"/>
    <s v="4233"/>
    <n v="38097"/>
    <x v="0"/>
    <x v="1"/>
    <x v="7"/>
    <s v="Medium"/>
    <s v="Offline"/>
    <n v="38097"/>
  </r>
  <r>
    <n v="1272"/>
    <d v="2024-02-22T23:00:00"/>
    <s v="2024-02-22 23:00:00"/>
    <s v="south"/>
    <x v="3"/>
    <s v="Clothing"/>
    <x v="0"/>
    <s v="Men T-Shirt"/>
    <s v="Men T-Shirt"/>
    <s v="CUST0372"/>
    <s v=" CUST0372 "/>
    <x v="4"/>
    <s v="Karthik"/>
    <x v="0"/>
    <s v=" Cash"/>
    <n v="5"/>
    <s v="5"/>
    <n v="344"/>
    <s v="344"/>
    <n v="1720"/>
    <x v="0"/>
    <x v="1"/>
    <x v="7"/>
    <s v="Low"/>
    <s v="Offline"/>
    <n v="1720"/>
  </r>
  <r>
    <n v="1273"/>
    <d v="2024-02-23T00:00:00"/>
    <s v="2024-02-23 00:00:00"/>
    <s v="EAST"/>
    <x v="0"/>
    <s v=" Home Appliances "/>
    <x v="1"/>
    <s v="Led Tv 42Inch"/>
    <s v="LED TV 42inch"/>
    <s v="CUST0616"/>
    <s v=" CUST0616 "/>
    <x v="3"/>
    <s v="Anita"/>
    <x v="2"/>
    <s v="UPI"/>
    <n v="2"/>
    <s v="2"/>
    <n v="120"/>
    <s v="120"/>
    <n v="240"/>
    <x v="0"/>
    <x v="1"/>
    <x v="7"/>
    <s v="Low"/>
    <s v="Online"/>
    <n v="240"/>
  </r>
  <r>
    <n v="1274"/>
    <d v="2024-02-23T01:00:00"/>
    <s v="2024-02-23 01:00:00"/>
    <s v="EAST"/>
    <x v="0"/>
    <s v="Clothing"/>
    <x v="0"/>
    <s v="Men T-Shirt"/>
    <s v="Men T-Shirt"/>
    <s v="CUST0768"/>
    <s v=" CUST0768 "/>
    <x v="4"/>
    <s v="Karthik"/>
    <x v="1"/>
    <s v="Debit card "/>
    <n v="3"/>
    <s v="3"/>
    <n v="493"/>
    <s v="493"/>
    <n v="1479"/>
    <x v="0"/>
    <x v="1"/>
    <x v="7"/>
    <s v="Low"/>
    <s v="Online"/>
    <n v="1479"/>
  </r>
  <r>
    <n v="1275"/>
    <d v="2024-02-23T02:00:00"/>
    <s v="2024-02-23 02:00:00"/>
    <s v="EAST"/>
    <x v="0"/>
    <s v=" Home Appliances "/>
    <x v="1"/>
    <s v="Rice 5Kg"/>
    <s v="Rice 5kg"/>
    <s v="CUST0206"/>
    <s v=" CUST0206 "/>
    <x v="1"/>
    <s v="Meena"/>
    <x v="0"/>
    <s v=" Cash"/>
    <n v="4"/>
    <s v="4"/>
    <n v="3914"/>
    <s v="3914"/>
    <n v="15656"/>
    <x v="0"/>
    <x v="1"/>
    <x v="7"/>
    <s v="Low"/>
    <s v="Offline"/>
    <n v="15656"/>
  </r>
  <r>
    <n v="1276"/>
    <d v="2024-02-23T03:00:00"/>
    <s v="2024-02-23 03:00:00"/>
    <s v=" west"/>
    <x v="1"/>
    <s v="Electronics"/>
    <x v="2"/>
    <s v="Rice 5Kg"/>
    <s v="Rice 5kg"/>
    <s v="CUST0043"/>
    <s v=" CUST0043 "/>
    <x v="4"/>
    <s v="Karthik"/>
    <x v="3"/>
    <s v=" Net Banking "/>
    <n v="5"/>
    <s v="5"/>
    <n v="2155"/>
    <s v="2155"/>
    <n v="10775"/>
    <x v="0"/>
    <x v="1"/>
    <x v="7"/>
    <s v="Low"/>
    <s v="Online"/>
    <n v="10775"/>
  </r>
  <r>
    <n v="1277"/>
    <d v="2024-02-23T04:00:00"/>
    <s v="2024-02-23 04:00:00"/>
    <s v=" North "/>
    <x v="2"/>
    <s v="Grocery"/>
    <x v="3"/>
    <s v="Washing Machine"/>
    <s v="Washing Machine"/>
    <s v="CUST0245"/>
    <s v=" CUST0245 "/>
    <x v="3"/>
    <s v="Anita"/>
    <x v="1"/>
    <s v="Debit card "/>
    <n v="13"/>
    <s v="13"/>
    <n v="3615"/>
    <s v="3615"/>
    <n v="46995"/>
    <x v="0"/>
    <x v="1"/>
    <x v="7"/>
    <s v="Medium"/>
    <s v="Online"/>
    <n v="46995"/>
  </r>
  <r>
    <n v="1278"/>
    <d v="2024-02-23T05:00:00"/>
    <s v="2024-02-23 05:00:00"/>
    <s v="EAST"/>
    <x v="0"/>
    <s v=" Home Appliances "/>
    <x v="1"/>
    <s v="Rice 5Kg"/>
    <s v="Rice 5kg"/>
    <s v="CUST0287"/>
    <s v=" CUST0287 "/>
    <x v="3"/>
    <s v="Anita"/>
    <x v="2"/>
    <s v="UPI"/>
    <n v="3"/>
    <s v="3"/>
    <n v="2475"/>
    <s v="2475"/>
    <n v="7425"/>
    <x v="0"/>
    <x v="1"/>
    <x v="7"/>
    <s v="Low"/>
    <s v="Online"/>
    <n v="7425"/>
  </r>
  <r>
    <n v="1279"/>
    <d v="2024-02-23T06:00:00"/>
    <s v="2024-02-23 06:00:00"/>
    <s v=" North "/>
    <x v="2"/>
    <s v=" Home Appliances "/>
    <x v="1"/>
    <s v="Men T-Shirt"/>
    <s v="Men T-Shirt"/>
    <s v="CUST0355"/>
    <s v=" CUST0355 "/>
    <x v="3"/>
    <s v="Anita"/>
    <x v="3"/>
    <s v=" Net Banking "/>
    <n v="12"/>
    <s v="12"/>
    <n v="2010"/>
    <s v="2010"/>
    <n v="24120"/>
    <x v="0"/>
    <x v="1"/>
    <x v="7"/>
    <s v="Medium"/>
    <s v="Online"/>
    <n v="24120"/>
  </r>
  <r>
    <n v="1280"/>
    <d v="2024-02-23T07:00:00"/>
    <s v="2024-02-23 07:00:00"/>
    <s v=" west"/>
    <x v="1"/>
    <s v=" Home Appliances "/>
    <x v="1"/>
    <s v="Mixer Grinder"/>
    <s v="Mixer Grinder"/>
    <s v="CUST0785"/>
    <s v=" CUST0785 "/>
    <x v="3"/>
    <s v="Anita"/>
    <x v="4"/>
    <s v="Credit Card"/>
    <n v="14"/>
    <s v="14"/>
    <n v="389"/>
    <s v="389"/>
    <n v="5446"/>
    <x v="0"/>
    <x v="1"/>
    <x v="7"/>
    <s v="Low"/>
    <s v="Online"/>
    <n v="5446"/>
  </r>
  <r>
    <n v="1281"/>
    <d v="2024-02-23T08:00:00"/>
    <s v="2024-02-23 08:00:00"/>
    <s v="south"/>
    <x v="3"/>
    <s v=" Home Appliances "/>
    <x v="1"/>
    <s v="Mixer Grinder"/>
    <s v="Mixer Grinder"/>
    <s v="CUST0476"/>
    <s v=" CUST0476 "/>
    <x v="2"/>
    <s v="Suresh"/>
    <x v="2"/>
    <s v="UPI"/>
    <n v="7"/>
    <s v="7"/>
    <n v="2658"/>
    <s v="2658"/>
    <n v="18606"/>
    <x v="0"/>
    <x v="1"/>
    <x v="7"/>
    <s v="Low"/>
    <s v="Online"/>
    <n v="18606"/>
  </r>
  <r>
    <n v="1282"/>
    <d v="2024-02-23T09:00:00"/>
    <s v="2024-02-23 09:00:00"/>
    <s v="EAST"/>
    <x v="0"/>
    <s v="Grocery"/>
    <x v="3"/>
    <s v="Washing Machine"/>
    <s v="Washing Machine"/>
    <s v="CUST0083"/>
    <s v=" CUST0083 "/>
    <x v="4"/>
    <s v="Karthik"/>
    <x v="3"/>
    <s v=" Net Banking "/>
    <n v="5"/>
    <s v="5"/>
    <n v="460"/>
    <s v="460"/>
    <n v="2300"/>
    <x v="0"/>
    <x v="1"/>
    <x v="7"/>
    <s v="Low"/>
    <s v="Online"/>
    <n v="2300"/>
  </r>
  <r>
    <n v="1283"/>
    <d v="2024-02-23T10:00:00"/>
    <s v="2024-02-23 10:00:00"/>
    <s v=" North "/>
    <x v="2"/>
    <s v="Grocery"/>
    <x v="3"/>
    <s v="Laptop"/>
    <s v="Laptop"/>
    <s v="CUST0110"/>
    <s v=" CUST0110 "/>
    <x v="0"/>
    <s v="Rahul"/>
    <x v="0"/>
    <s v=" Cash"/>
    <n v="5"/>
    <s v="5"/>
    <n v="1722"/>
    <s v="1722"/>
    <n v="8610"/>
    <x v="0"/>
    <x v="1"/>
    <x v="7"/>
    <s v="Low"/>
    <s v="Offline"/>
    <n v="8610"/>
  </r>
  <r>
    <n v="1284"/>
    <d v="2024-02-23T11:00:00"/>
    <s v="2024-02-23 11:00:00"/>
    <s v=" North "/>
    <x v="2"/>
    <s v="Electronics"/>
    <x v="2"/>
    <s v="Men T-Shirt"/>
    <s v="Men T-Shirt"/>
    <s v="CUST0190"/>
    <s v=" CUST0190 "/>
    <x v="4"/>
    <s v="Karthik"/>
    <x v="4"/>
    <s v="Credit Card"/>
    <n v="6"/>
    <s v="6"/>
    <n v="4414"/>
    <s v="4414"/>
    <n v="26484"/>
    <x v="0"/>
    <x v="1"/>
    <x v="7"/>
    <s v="Medium"/>
    <s v="Online"/>
    <n v="26484"/>
  </r>
  <r>
    <n v="1285"/>
    <d v="2024-02-23T12:00:00"/>
    <s v="2024-02-23 12:00:00"/>
    <s v="EAST"/>
    <x v="0"/>
    <s v="Grocery"/>
    <x v="3"/>
    <s v="Men T-Shirt"/>
    <s v="Men T-Shirt"/>
    <s v="CUST0800"/>
    <s v=" CUST0800 "/>
    <x v="2"/>
    <s v="Suresh"/>
    <x v="2"/>
    <s v="UPI"/>
    <n v="7"/>
    <s v="7"/>
    <n v="4194"/>
    <s v="4194"/>
    <n v="29358"/>
    <x v="0"/>
    <x v="1"/>
    <x v="7"/>
    <s v="Medium"/>
    <s v="Online"/>
    <n v="29358"/>
  </r>
  <r>
    <n v="1286"/>
    <d v="2024-02-23T13:00:00"/>
    <s v="2024-02-23 13:00:00"/>
    <s v="south"/>
    <x v="3"/>
    <s v=" Home Appliances "/>
    <x v="1"/>
    <s v="Rice 5Kg"/>
    <s v="Rice 5kg"/>
    <s v="CUST0251"/>
    <s v=" CUST0251 "/>
    <x v="3"/>
    <s v="Anita"/>
    <x v="0"/>
    <s v=" Cash"/>
    <n v="10"/>
    <s v="10"/>
    <n v="2553"/>
    <s v="2553"/>
    <n v="25530"/>
    <x v="0"/>
    <x v="1"/>
    <x v="7"/>
    <s v="Medium"/>
    <s v="Offline"/>
    <n v="25530"/>
  </r>
  <r>
    <n v="1287"/>
    <d v="2024-02-23T14:00:00"/>
    <s v="2024-02-23 14:00:00"/>
    <s v="south"/>
    <x v="3"/>
    <s v="Electronics"/>
    <x v="2"/>
    <s v="Men T-Shirt"/>
    <s v="Men T-Shirt"/>
    <s v="CUST0724"/>
    <s v=" CUST0724 "/>
    <x v="2"/>
    <s v="Suresh"/>
    <x v="4"/>
    <s v="Credit Card"/>
    <n v="10"/>
    <s v="10"/>
    <n v="2115"/>
    <s v="2115"/>
    <n v="21150"/>
    <x v="0"/>
    <x v="1"/>
    <x v="7"/>
    <s v="Medium"/>
    <s v="Online"/>
    <n v="21150"/>
  </r>
  <r>
    <n v="1288"/>
    <d v="2024-02-23T15:00:00"/>
    <s v="2024-02-23 15:00:00"/>
    <s v="south"/>
    <x v="3"/>
    <s v="Electronics"/>
    <x v="2"/>
    <s v="Led Tv 42Inch"/>
    <s v="LED TV 42inch"/>
    <s v="CUST0291"/>
    <s v=" CUST0291 "/>
    <x v="1"/>
    <s v="Meena"/>
    <x v="1"/>
    <s v="Debit card "/>
    <n v="8"/>
    <s v="8"/>
    <n v="2140"/>
    <s v="2140"/>
    <n v="17120"/>
    <x v="0"/>
    <x v="1"/>
    <x v="7"/>
    <s v="Low"/>
    <s v="Online"/>
    <n v="17120"/>
  </r>
  <r>
    <n v="1289"/>
    <d v="2024-02-23T16:00:00"/>
    <s v="2024-02-23 16:00:00"/>
    <s v=" west"/>
    <x v="1"/>
    <s v="Electronics"/>
    <x v="2"/>
    <s v="Laptop"/>
    <s v="Laptop"/>
    <s v="CUST0645"/>
    <s v=" CUST0645 "/>
    <x v="1"/>
    <s v="Meena"/>
    <x v="0"/>
    <s v=" Cash"/>
    <n v="9"/>
    <s v="9"/>
    <n v="2144"/>
    <s v="2144"/>
    <n v="19296"/>
    <x v="0"/>
    <x v="1"/>
    <x v="7"/>
    <s v="Low"/>
    <s v="Offline"/>
    <n v="19296"/>
  </r>
  <r>
    <n v="1290"/>
    <d v="2024-02-23T17:00:00"/>
    <s v="2024-02-23 17:00:00"/>
    <s v=" North "/>
    <x v="2"/>
    <s v=" Home Appliances "/>
    <x v="1"/>
    <s v="Rice 5Kg"/>
    <s v="Rice 5kg"/>
    <s v="CUST0201"/>
    <s v=" CUST0201 "/>
    <x v="4"/>
    <s v="Karthik"/>
    <x v="3"/>
    <s v=" Net Banking "/>
    <n v="11"/>
    <s v="11"/>
    <n v="2900"/>
    <s v="2900"/>
    <n v="31900"/>
    <x v="0"/>
    <x v="1"/>
    <x v="7"/>
    <s v="Medium"/>
    <s v="Online"/>
    <n v="31900"/>
  </r>
  <r>
    <n v="1291"/>
    <d v="2024-02-23T18:00:00"/>
    <s v="2024-02-23 18:00:00"/>
    <s v=" North "/>
    <x v="2"/>
    <s v="Clothing"/>
    <x v="0"/>
    <s v="Led Tv 42Inch"/>
    <s v="LED TV 42inch"/>
    <s v="CUST0797"/>
    <s v=" CUST0797 "/>
    <x v="4"/>
    <s v="Karthik"/>
    <x v="2"/>
    <s v="UPI"/>
    <n v="4"/>
    <s v="4"/>
    <n v="3070"/>
    <s v="3070"/>
    <n v="12280"/>
    <x v="0"/>
    <x v="1"/>
    <x v="7"/>
    <s v="Low"/>
    <s v="Online"/>
    <n v="12280"/>
  </r>
  <r>
    <n v="1292"/>
    <d v="2024-02-23T19:00:00"/>
    <s v="2024-02-23 19:00:00"/>
    <s v=" North "/>
    <x v="2"/>
    <s v=" Home Appliances "/>
    <x v="1"/>
    <s v="Washing Machine"/>
    <s v="Washing Machine"/>
    <s v="CUST0326"/>
    <s v=" CUST0326 "/>
    <x v="0"/>
    <s v="Rahul"/>
    <x v="4"/>
    <s v="Credit Card"/>
    <n v="5"/>
    <s v="5"/>
    <n v="931"/>
    <s v="931"/>
    <n v="4655"/>
    <x v="0"/>
    <x v="1"/>
    <x v="7"/>
    <s v="Low"/>
    <s v="Online"/>
    <n v="4655"/>
  </r>
  <r>
    <n v="1293"/>
    <d v="2024-02-23T20:00:00"/>
    <s v="2024-02-23 20:00:00"/>
    <s v=" west"/>
    <x v="1"/>
    <s v="Grocery"/>
    <x v="3"/>
    <s v="Mixer Grinder"/>
    <s v="Mixer Grinder"/>
    <s v="CUST0511"/>
    <s v=" CUST0511 "/>
    <x v="0"/>
    <s v="Rahul"/>
    <x v="0"/>
    <s v=" Cash"/>
    <n v="5"/>
    <s v="5"/>
    <n v="1893"/>
    <s v="1893"/>
    <n v="9465"/>
    <x v="0"/>
    <x v="1"/>
    <x v="7"/>
    <s v="Low"/>
    <s v="Offline"/>
    <n v="9465"/>
  </r>
  <r>
    <n v="1294"/>
    <d v="2024-02-23T21:00:00"/>
    <s v="2024-02-23 21:00:00"/>
    <s v=" North "/>
    <x v="2"/>
    <s v="Grocery"/>
    <x v="3"/>
    <s v="Washing Machine"/>
    <s v="Washing Machine"/>
    <s v="CUST0409"/>
    <s v=" CUST0409 "/>
    <x v="1"/>
    <s v="Meena"/>
    <x v="1"/>
    <s v="Debit card "/>
    <n v="8"/>
    <s v="8"/>
    <n v="3792"/>
    <s v="3792"/>
    <n v="30336"/>
    <x v="0"/>
    <x v="1"/>
    <x v="7"/>
    <s v="Medium"/>
    <s v="Online"/>
    <n v="30336"/>
  </r>
  <r>
    <n v="1295"/>
    <d v="2024-02-23T22:00:00"/>
    <s v="2024-02-23 22:00:00"/>
    <s v=" west"/>
    <x v="1"/>
    <s v=" Home Appliances "/>
    <x v="1"/>
    <s v="Mixer Grinder"/>
    <s v="Mixer Grinder"/>
    <s v="CUST0607"/>
    <s v=" CUST0607 "/>
    <x v="3"/>
    <s v="Anita"/>
    <x v="2"/>
    <s v="UPI"/>
    <n v="9"/>
    <s v="9"/>
    <n v="1891"/>
    <s v="1891"/>
    <n v="17019"/>
    <x v="0"/>
    <x v="1"/>
    <x v="7"/>
    <s v="Low"/>
    <s v="Online"/>
    <n v="17019"/>
  </r>
  <r>
    <n v="1296"/>
    <d v="2024-02-23T23:00:00"/>
    <s v="2024-02-23 23:00:00"/>
    <s v="south"/>
    <x v="3"/>
    <s v=" Home Appliances "/>
    <x v="1"/>
    <s v="Washing Machine"/>
    <s v="Washing Machine"/>
    <s v="CUST0790"/>
    <s v=" CUST0790 "/>
    <x v="2"/>
    <s v="Suresh"/>
    <x v="2"/>
    <s v="UPI"/>
    <n v="7"/>
    <s v="7"/>
    <n v="2941"/>
    <s v="2941"/>
    <n v="20587"/>
    <x v="0"/>
    <x v="1"/>
    <x v="7"/>
    <s v="Medium"/>
    <s v="Online"/>
    <n v="20587"/>
  </r>
  <r>
    <n v="1297"/>
    <d v="2024-02-24T00:00:00"/>
    <s v="2024-02-24 00:00:00"/>
    <s v="EAST"/>
    <x v="0"/>
    <s v="Electronics"/>
    <x v="2"/>
    <s v="Men T-Shirt"/>
    <s v="Men T-Shirt"/>
    <s v="CUST0508"/>
    <s v=" CUST0508 "/>
    <x v="0"/>
    <s v="Rahul"/>
    <x v="0"/>
    <s v=" Cash"/>
    <n v="5"/>
    <s v="5"/>
    <n v="4790"/>
    <s v="4790"/>
    <n v="23950"/>
    <x v="0"/>
    <x v="1"/>
    <x v="7"/>
    <s v="Medium"/>
    <s v="Offline"/>
    <n v="23950"/>
  </r>
  <r>
    <n v="1298"/>
    <d v="2024-02-24T01:00:00"/>
    <s v="2024-02-24 01:00:00"/>
    <s v=" North "/>
    <x v="2"/>
    <s v=" Home Appliances "/>
    <x v="1"/>
    <s v="Led Tv 42Inch"/>
    <s v="LED TV 42inch"/>
    <s v="CUST0731"/>
    <s v=" CUST0731 "/>
    <x v="0"/>
    <s v="Rahul"/>
    <x v="1"/>
    <s v="Debit card "/>
    <n v="3"/>
    <s v="3"/>
    <n v="2254"/>
    <s v="2254"/>
    <n v="6762"/>
    <x v="0"/>
    <x v="1"/>
    <x v="7"/>
    <s v="Low"/>
    <s v="Online"/>
    <n v="6762"/>
  </r>
  <r>
    <n v="1299"/>
    <d v="2024-02-24T02:00:00"/>
    <s v="2024-02-24 02:00:00"/>
    <s v=" North "/>
    <x v="2"/>
    <s v="Electronics"/>
    <x v="2"/>
    <s v="Mixer Grinder"/>
    <s v="Mixer Grinder"/>
    <s v="CUST0601"/>
    <s v=" CUST0601 "/>
    <x v="3"/>
    <s v="Anita"/>
    <x v="4"/>
    <s v="Credit Card"/>
    <n v="1"/>
    <s v="1"/>
    <n v="680"/>
    <s v="680"/>
    <n v="680"/>
    <x v="0"/>
    <x v="1"/>
    <x v="7"/>
    <s v="Low"/>
    <s v="Online"/>
    <n v="680"/>
  </r>
  <r>
    <n v="1300"/>
    <d v="2024-02-24T03:00:00"/>
    <s v="2024-02-24 03:00:00"/>
    <s v="south"/>
    <x v="3"/>
    <s v="Grocery"/>
    <x v="3"/>
    <s v="Rice 5Kg"/>
    <s v="Rice 5kg"/>
    <s v="CUST0072"/>
    <s v=" CUST0072 "/>
    <x v="3"/>
    <s v="Anita"/>
    <x v="0"/>
    <s v=" Cash"/>
    <n v="11"/>
    <s v="11"/>
    <n v="2953"/>
    <s v="2953"/>
    <n v="32483"/>
    <x v="0"/>
    <x v="1"/>
    <x v="7"/>
    <s v="Medium"/>
    <s v="Offline"/>
    <n v="32483"/>
  </r>
  <r>
    <n v="1301"/>
    <d v="2024-02-24T04:00:00"/>
    <s v="2024-02-24 04:00:00"/>
    <s v="EAST"/>
    <x v="0"/>
    <s v="Electronics"/>
    <x v="2"/>
    <s v="Led Tv 42Inch"/>
    <s v="LED TV 42inch"/>
    <s v="CUST0247"/>
    <s v=" CUST0247 "/>
    <x v="4"/>
    <s v="Karthik"/>
    <x v="4"/>
    <s v="Credit Card"/>
    <n v="9"/>
    <s v="9"/>
    <n v="2336"/>
    <s v="2336"/>
    <n v="21024"/>
    <x v="0"/>
    <x v="1"/>
    <x v="7"/>
    <s v="Medium"/>
    <s v="Online"/>
    <n v="21024"/>
  </r>
  <r>
    <n v="1302"/>
    <d v="2024-02-24T05:00:00"/>
    <s v="2024-02-24 05:00:00"/>
    <s v=" west"/>
    <x v="1"/>
    <s v=" Home Appliances "/>
    <x v="1"/>
    <s v="Rice 5Kg"/>
    <s v="Rice 5kg"/>
    <s v="CUST0641"/>
    <s v=" CUST0641 "/>
    <x v="2"/>
    <s v="Suresh"/>
    <x v="2"/>
    <s v="UPI"/>
    <n v="5"/>
    <s v="5"/>
    <n v="4276"/>
    <s v="4276"/>
    <n v="21380"/>
    <x v="0"/>
    <x v="1"/>
    <x v="7"/>
    <s v="Medium"/>
    <s v="Online"/>
    <n v="21380"/>
  </r>
  <r>
    <n v="1303"/>
    <d v="2024-02-24T06:00:00"/>
    <s v="2024-02-24 06:00:00"/>
    <s v="EAST"/>
    <x v="0"/>
    <s v="Grocery"/>
    <x v="3"/>
    <s v="Led Tv 42Inch"/>
    <s v="LED TV 42inch"/>
    <s v="CUST0724"/>
    <s v=" CUST0724 "/>
    <x v="3"/>
    <s v="Anita"/>
    <x v="4"/>
    <s v="Credit Card"/>
    <n v="9"/>
    <s v="9"/>
    <n v="2255"/>
    <s v="2255"/>
    <n v="20295"/>
    <x v="0"/>
    <x v="1"/>
    <x v="7"/>
    <s v="Medium"/>
    <s v="Online"/>
    <n v="20295"/>
  </r>
  <r>
    <n v="1304"/>
    <d v="2024-02-24T07:00:00"/>
    <s v="2024-02-24 07:00:00"/>
    <s v="south"/>
    <x v="3"/>
    <s v="Clothing"/>
    <x v="0"/>
    <s v="Led Tv 42Inch"/>
    <s v="LED TV 42inch"/>
    <s v="CUST0608"/>
    <s v=" CUST0608 "/>
    <x v="0"/>
    <s v="Rahul"/>
    <x v="1"/>
    <s v="Debit card "/>
    <n v="10"/>
    <s v="10"/>
    <n v="1444"/>
    <s v="1444"/>
    <n v="14440"/>
    <x v="0"/>
    <x v="1"/>
    <x v="7"/>
    <s v="Low"/>
    <s v="Online"/>
    <n v="14440"/>
  </r>
  <r>
    <n v="1305"/>
    <d v="2024-02-24T08:00:00"/>
    <s v="2024-02-24 08:00:00"/>
    <s v="south"/>
    <x v="3"/>
    <s v="Electronics"/>
    <x v="2"/>
    <s v="Washing Machine"/>
    <s v="Washing Machine"/>
    <s v="CUST0587"/>
    <s v=" CUST0587 "/>
    <x v="0"/>
    <s v="Rahul"/>
    <x v="3"/>
    <s v=" Net Banking "/>
    <n v="12"/>
    <s v="12"/>
    <n v="445"/>
    <s v="445"/>
    <n v="5340"/>
    <x v="0"/>
    <x v="1"/>
    <x v="7"/>
    <s v="Low"/>
    <s v="Online"/>
    <n v="5340"/>
  </r>
  <r>
    <n v="1306"/>
    <d v="2024-02-24T09:00:00"/>
    <s v="2024-02-24 09:00:00"/>
    <s v="EAST"/>
    <x v="0"/>
    <s v="Grocery"/>
    <x v="3"/>
    <s v="Mixer Grinder"/>
    <s v="Mixer Grinder"/>
    <s v="CUST0566"/>
    <s v=" CUST0566 "/>
    <x v="1"/>
    <s v="Meena"/>
    <x v="1"/>
    <s v="Debit card "/>
    <n v="13"/>
    <s v="13"/>
    <n v="1986"/>
    <s v="1986"/>
    <n v="25818"/>
    <x v="0"/>
    <x v="1"/>
    <x v="7"/>
    <s v="Medium"/>
    <s v="Online"/>
    <n v="25818"/>
  </r>
  <r>
    <n v="1307"/>
    <d v="2024-02-24T10:00:00"/>
    <s v="2024-02-24 10:00:00"/>
    <s v=" west"/>
    <x v="1"/>
    <s v="Electronics"/>
    <x v="2"/>
    <s v="Mixer Grinder"/>
    <s v="Mixer Grinder"/>
    <s v="CUST0344"/>
    <s v=" CUST0344 "/>
    <x v="3"/>
    <s v="Anita"/>
    <x v="4"/>
    <s v="Credit Card"/>
    <n v="14"/>
    <s v="14"/>
    <n v="654"/>
    <s v="654"/>
    <n v="9156"/>
    <x v="0"/>
    <x v="1"/>
    <x v="7"/>
    <s v="Low"/>
    <s v="Online"/>
    <n v="9156"/>
  </r>
  <r>
    <n v="1308"/>
    <d v="2024-02-24T11:00:00"/>
    <s v="2024-02-24 11:00:00"/>
    <s v=" west"/>
    <x v="1"/>
    <s v="Grocery"/>
    <x v="3"/>
    <s v="Led Tv 42Inch"/>
    <s v="LED TV 42inch"/>
    <s v="CUST0054"/>
    <s v=" CUST0054 "/>
    <x v="4"/>
    <s v="Karthik"/>
    <x v="0"/>
    <s v=" Cash"/>
    <n v="4"/>
    <s v="4"/>
    <n v="3870"/>
    <s v="3870"/>
    <n v="15480"/>
    <x v="0"/>
    <x v="1"/>
    <x v="7"/>
    <s v="Low"/>
    <s v="Offline"/>
    <n v="15480"/>
  </r>
  <r>
    <n v="1309"/>
    <d v="2024-02-24T12:00:00"/>
    <s v="2024-02-24 12:00:00"/>
    <s v=" North "/>
    <x v="2"/>
    <s v="Grocery"/>
    <x v="3"/>
    <s v="Men T-Shirt"/>
    <s v="Men T-Shirt"/>
    <s v="CUST0730"/>
    <s v=" CUST0730 "/>
    <x v="2"/>
    <s v="Suresh"/>
    <x v="2"/>
    <s v="UPI"/>
    <n v="5"/>
    <s v="5"/>
    <n v="4497"/>
    <s v="4497"/>
    <n v="22485"/>
    <x v="0"/>
    <x v="1"/>
    <x v="7"/>
    <s v="Medium"/>
    <s v="Online"/>
    <n v="22485"/>
  </r>
  <r>
    <n v="1310"/>
    <d v="2024-02-24T13:00:00"/>
    <s v="2024-02-24 13:00:00"/>
    <s v=" west"/>
    <x v="1"/>
    <s v="Electronics"/>
    <x v="2"/>
    <s v="Men T-Shirt"/>
    <s v="Men T-Shirt"/>
    <s v="CUST0528"/>
    <s v=" CUST0528 "/>
    <x v="4"/>
    <s v="Karthik"/>
    <x v="3"/>
    <s v=" Net Banking "/>
    <n v="4"/>
    <s v="4"/>
    <n v="299"/>
    <s v="299"/>
    <n v="1196"/>
    <x v="0"/>
    <x v="1"/>
    <x v="7"/>
    <s v="Low"/>
    <s v="Online"/>
    <n v="1196"/>
  </r>
  <r>
    <n v="1311"/>
    <d v="2024-02-24T14:00:00"/>
    <s v="2024-02-24 14:00:00"/>
    <s v="EAST"/>
    <x v="0"/>
    <s v="Clothing"/>
    <x v="0"/>
    <s v="Rice 5Kg"/>
    <s v="Rice 5kg"/>
    <s v="CUST0611"/>
    <s v=" CUST0611 "/>
    <x v="0"/>
    <s v="Rahul"/>
    <x v="0"/>
    <s v=" Cash"/>
    <n v="2"/>
    <s v="2"/>
    <n v="3040"/>
    <s v="3040"/>
    <n v="6080"/>
    <x v="0"/>
    <x v="1"/>
    <x v="7"/>
    <s v="Low"/>
    <s v="Offline"/>
    <n v="6080"/>
  </r>
  <r>
    <n v="1312"/>
    <d v="2024-02-24T15:00:00"/>
    <s v="2024-02-24 15:00:00"/>
    <s v="south"/>
    <x v="3"/>
    <s v="Grocery"/>
    <x v="3"/>
    <s v="Rice 5Kg"/>
    <s v="Rice 5kg"/>
    <s v="CUST0532"/>
    <s v=" CUST0532 "/>
    <x v="4"/>
    <s v="Karthik"/>
    <x v="0"/>
    <s v=" Cash"/>
    <n v="12"/>
    <s v="12"/>
    <n v="3590"/>
    <s v="3590"/>
    <n v="43080"/>
    <x v="0"/>
    <x v="1"/>
    <x v="7"/>
    <s v="Medium"/>
    <s v="Offline"/>
    <n v="43080"/>
  </r>
  <r>
    <n v="1313"/>
    <d v="2024-02-24T16:00:00"/>
    <s v="2024-02-24 16:00:00"/>
    <s v=" North "/>
    <x v="2"/>
    <s v="Grocery"/>
    <x v="3"/>
    <s v="Washing Machine"/>
    <s v="Washing Machine"/>
    <s v="CUST0558"/>
    <s v=" CUST0558 "/>
    <x v="0"/>
    <s v="Rahul"/>
    <x v="1"/>
    <s v="Debit card "/>
    <n v="1"/>
    <s v="1"/>
    <n v="406"/>
    <s v="406"/>
    <n v="406"/>
    <x v="0"/>
    <x v="1"/>
    <x v="7"/>
    <s v="Low"/>
    <s v="Online"/>
    <n v="406"/>
  </r>
  <r>
    <n v="1314"/>
    <d v="2024-02-24T17:00:00"/>
    <s v="2024-02-24 17:00:00"/>
    <s v=" North "/>
    <x v="2"/>
    <s v="Grocery"/>
    <x v="3"/>
    <s v="Led Tv 42Inch"/>
    <s v="LED TV 42inch"/>
    <s v="CUST0193"/>
    <s v=" CUST0193 "/>
    <x v="0"/>
    <s v="Rahul"/>
    <x v="4"/>
    <s v="Credit Card"/>
    <n v="8"/>
    <s v="8"/>
    <n v="3175"/>
    <s v="3175"/>
    <n v="25400"/>
    <x v="0"/>
    <x v="1"/>
    <x v="7"/>
    <s v="Medium"/>
    <s v="Online"/>
    <n v="25400"/>
  </r>
  <r>
    <n v="1315"/>
    <d v="2024-02-24T18:00:00"/>
    <s v="2024-02-24 18:00:00"/>
    <s v="south"/>
    <x v="3"/>
    <s v="Clothing"/>
    <x v="0"/>
    <s v="Rice 5Kg"/>
    <s v="Rice 5kg"/>
    <s v="CUST0058"/>
    <s v=" CUST0058 "/>
    <x v="0"/>
    <s v="Rahul"/>
    <x v="1"/>
    <s v="Debit card "/>
    <n v="4"/>
    <s v="4"/>
    <n v="1756"/>
    <s v="1756"/>
    <n v="7024"/>
    <x v="0"/>
    <x v="1"/>
    <x v="7"/>
    <s v="Low"/>
    <s v="Online"/>
    <n v="7024"/>
  </r>
  <r>
    <n v="1316"/>
    <d v="2024-02-24T19:00:00"/>
    <s v="2024-02-24 19:00:00"/>
    <s v=" west"/>
    <x v="1"/>
    <s v="Clothing"/>
    <x v="0"/>
    <s v="Rice 5Kg"/>
    <s v="Rice 5kg"/>
    <s v="CUST0437"/>
    <s v=" CUST0437 "/>
    <x v="0"/>
    <s v="Rahul"/>
    <x v="4"/>
    <s v="Credit Card"/>
    <n v="5"/>
    <s v="5"/>
    <n v="2792"/>
    <s v="2792"/>
    <n v="13960"/>
    <x v="0"/>
    <x v="1"/>
    <x v="7"/>
    <s v="Low"/>
    <s v="Online"/>
    <n v="13960"/>
  </r>
  <r>
    <n v="1317"/>
    <d v="2024-02-24T20:00:00"/>
    <s v="2024-02-24 20:00:00"/>
    <s v="south"/>
    <x v="3"/>
    <s v=" Home Appliances "/>
    <x v="1"/>
    <s v="Laptop"/>
    <s v="Laptop"/>
    <s v="CUST0111"/>
    <s v=" CUST0111 "/>
    <x v="0"/>
    <s v="Rahul"/>
    <x v="1"/>
    <s v="Debit card "/>
    <n v="6"/>
    <s v="6"/>
    <n v="1864"/>
    <s v="1864"/>
    <n v="11184"/>
    <x v="0"/>
    <x v="1"/>
    <x v="7"/>
    <s v="Low"/>
    <s v="Online"/>
    <n v="11184"/>
  </r>
  <r>
    <n v="1318"/>
    <d v="2024-02-24T21:00:00"/>
    <s v="2024-02-24 21:00:00"/>
    <s v=" west"/>
    <x v="1"/>
    <s v="Electronics"/>
    <x v="2"/>
    <s v="Led Tv 42Inch"/>
    <s v="LED TV 42inch"/>
    <s v="CUST0129"/>
    <s v=" CUST0129 "/>
    <x v="1"/>
    <s v="Meena"/>
    <x v="0"/>
    <s v=" Cash"/>
    <n v="14"/>
    <s v="14"/>
    <n v="375"/>
    <s v="375"/>
    <n v="5250"/>
    <x v="0"/>
    <x v="1"/>
    <x v="7"/>
    <s v="Low"/>
    <s v="Offline"/>
    <n v="5250"/>
  </r>
  <r>
    <n v="1319"/>
    <d v="2024-02-24T22:00:00"/>
    <s v="2024-02-24 22:00:00"/>
    <s v="south"/>
    <x v="3"/>
    <s v="Clothing"/>
    <x v="0"/>
    <s v="Washing Machine"/>
    <s v="Washing Machine"/>
    <s v="CUST0706"/>
    <s v=" CUST0706 "/>
    <x v="4"/>
    <s v="Karthik"/>
    <x v="2"/>
    <s v="UPI"/>
    <n v="8"/>
    <s v="8"/>
    <n v="3461"/>
    <s v="3461"/>
    <n v="27688"/>
    <x v="0"/>
    <x v="1"/>
    <x v="7"/>
    <s v="Medium"/>
    <s v="Online"/>
    <n v="27688"/>
  </r>
  <r>
    <n v="1320"/>
    <d v="2024-02-24T23:00:00"/>
    <s v="2024-02-24 23:00:00"/>
    <s v="EAST"/>
    <x v="0"/>
    <s v="Electronics"/>
    <x v="2"/>
    <s v="Rice 5Kg"/>
    <s v="Rice 5kg"/>
    <s v="CUST0326"/>
    <s v=" CUST0326 "/>
    <x v="1"/>
    <s v="Meena"/>
    <x v="4"/>
    <s v="Credit Card"/>
    <n v="11"/>
    <s v="11"/>
    <n v="1501"/>
    <s v="1501"/>
    <n v="16511"/>
    <x v="0"/>
    <x v="1"/>
    <x v="7"/>
    <s v="Low"/>
    <s v="Online"/>
    <n v="16511"/>
  </r>
  <r>
    <n v="1321"/>
    <d v="2024-02-25T00:00:00"/>
    <s v="2024-02-25 00:00:00"/>
    <s v=" west"/>
    <x v="1"/>
    <s v=" Home Appliances "/>
    <x v="1"/>
    <s v="Washing Machine"/>
    <s v="Washing Machine"/>
    <s v="CUST0008"/>
    <s v=" CUST0008 "/>
    <x v="1"/>
    <s v="Meena"/>
    <x v="3"/>
    <s v=" Net Banking "/>
    <n v="8"/>
    <s v="8"/>
    <n v="4833"/>
    <s v="4833"/>
    <n v="38664"/>
    <x v="0"/>
    <x v="1"/>
    <x v="7"/>
    <s v="Medium"/>
    <s v="Online"/>
    <n v="38664"/>
  </r>
  <r>
    <n v="1322"/>
    <d v="2024-02-25T01:00:00"/>
    <s v="2024-02-25 01:00:00"/>
    <s v="EAST"/>
    <x v="0"/>
    <s v="Electronics"/>
    <x v="2"/>
    <s v="Mixer Grinder"/>
    <s v="Mixer Grinder"/>
    <s v="CUST0029"/>
    <s v=" CUST0029 "/>
    <x v="3"/>
    <s v="Anita"/>
    <x v="3"/>
    <s v=" Net Banking "/>
    <n v="7"/>
    <s v="7"/>
    <n v="1875"/>
    <s v="1875"/>
    <n v="13125"/>
    <x v="0"/>
    <x v="1"/>
    <x v="7"/>
    <s v="Low"/>
    <s v="Online"/>
    <n v="13125"/>
  </r>
  <r>
    <n v="1323"/>
    <d v="2024-02-25T02:00:00"/>
    <s v="2024-02-25 02:00:00"/>
    <s v=" North "/>
    <x v="2"/>
    <s v="Clothing"/>
    <x v="0"/>
    <s v="Washing Machine"/>
    <s v="Washing Machine"/>
    <s v="CUST0112"/>
    <s v=" CUST0112 "/>
    <x v="3"/>
    <s v="Anita"/>
    <x v="0"/>
    <s v=" Cash"/>
    <n v="4"/>
    <s v="4"/>
    <n v="3481"/>
    <s v="3481"/>
    <n v="13924"/>
    <x v="0"/>
    <x v="1"/>
    <x v="7"/>
    <s v="Low"/>
    <s v="Offline"/>
    <n v="13924"/>
  </r>
  <r>
    <n v="1324"/>
    <d v="2024-02-25T03:00:00"/>
    <s v="2024-02-25 03:00:00"/>
    <s v="south"/>
    <x v="3"/>
    <s v="Electronics"/>
    <x v="2"/>
    <s v="Men T-Shirt"/>
    <s v="Men T-Shirt"/>
    <s v="CUST0673"/>
    <s v=" CUST0673 "/>
    <x v="3"/>
    <s v="Anita"/>
    <x v="1"/>
    <s v="Debit card "/>
    <n v="6"/>
    <s v="6"/>
    <n v="4150"/>
    <s v="4150"/>
    <n v="24900"/>
    <x v="0"/>
    <x v="1"/>
    <x v="7"/>
    <s v="Medium"/>
    <s v="Online"/>
    <n v="24900"/>
  </r>
  <r>
    <n v="1325"/>
    <d v="2024-02-25T04:00:00"/>
    <s v="2024-02-25 04:00:00"/>
    <s v=" North "/>
    <x v="2"/>
    <s v="Clothing"/>
    <x v="0"/>
    <s v="Men T-Shirt"/>
    <s v="Men T-Shirt"/>
    <s v="CUST0131"/>
    <s v=" CUST0131 "/>
    <x v="2"/>
    <s v="Suresh"/>
    <x v="1"/>
    <s v="Debit card "/>
    <n v="4"/>
    <s v="4"/>
    <n v="3560"/>
    <s v="3560"/>
    <n v="14240"/>
    <x v="0"/>
    <x v="1"/>
    <x v="7"/>
    <s v="Low"/>
    <s v="Online"/>
    <n v="14240"/>
  </r>
  <r>
    <n v="1326"/>
    <d v="2024-02-25T05:00:00"/>
    <s v="2024-02-25 05:00:00"/>
    <s v=" North "/>
    <x v="2"/>
    <s v="Electronics"/>
    <x v="2"/>
    <s v="Washing Machine"/>
    <s v="Washing Machine"/>
    <s v="CUST0188"/>
    <s v=" CUST0188 "/>
    <x v="3"/>
    <s v="Anita"/>
    <x v="0"/>
    <s v=" Cash"/>
    <n v="14"/>
    <s v="14"/>
    <n v="1980"/>
    <s v="1980"/>
    <n v="27720"/>
    <x v="0"/>
    <x v="1"/>
    <x v="7"/>
    <s v="Medium"/>
    <s v="Offline"/>
    <n v="27720"/>
  </r>
  <r>
    <n v="1327"/>
    <d v="2024-02-25T06:00:00"/>
    <s v="2024-02-25 06:00:00"/>
    <s v=" North "/>
    <x v="2"/>
    <s v="Clothing"/>
    <x v="0"/>
    <s v="Men T-Shirt"/>
    <s v="Men T-Shirt"/>
    <s v="CUST0675"/>
    <s v=" CUST0675 "/>
    <x v="4"/>
    <s v="Karthik"/>
    <x v="3"/>
    <s v=" Net Banking "/>
    <n v="7"/>
    <s v="7"/>
    <n v="3935"/>
    <s v="3935"/>
    <n v="27545"/>
    <x v="0"/>
    <x v="1"/>
    <x v="7"/>
    <s v="Medium"/>
    <s v="Online"/>
    <n v="27545"/>
  </r>
  <r>
    <n v="1328"/>
    <d v="2024-02-25T07:00:00"/>
    <s v="2024-02-25 07:00:00"/>
    <s v=" North "/>
    <x v="2"/>
    <s v="Clothing"/>
    <x v="0"/>
    <s v="Mixer Grinder"/>
    <s v="Mixer Grinder"/>
    <s v="CUST0709"/>
    <s v=" CUST0709 "/>
    <x v="1"/>
    <s v="Meena"/>
    <x v="3"/>
    <s v=" Net Banking "/>
    <n v="12"/>
    <s v="12"/>
    <n v="4378"/>
    <s v="4378"/>
    <n v="52536"/>
    <x v="0"/>
    <x v="1"/>
    <x v="7"/>
    <s v="High"/>
    <s v="Online"/>
    <n v="52536"/>
  </r>
  <r>
    <n v="1329"/>
    <d v="2024-02-25T08:00:00"/>
    <s v="2024-02-25 08:00:00"/>
    <s v="south"/>
    <x v="3"/>
    <s v="Electronics"/>
    <x v="2"/>
    <s v="Led Tv 42Inch"/>
    <s v="LED TV 42inch"/>
    <s v="CUST0475"/>
    <s v=" CUST0475 "/>
    <x v="4"/>
    <s v="Karthik"/>
    <x v="1"/>
    <s v="Debit card "/>
    <n v="13"/>
    <s v="13"/>
    <n v="1944"/>
    <s v="1944"/>
    <n v="25272"/>
    <x v="0"/>
    <x v="1"/>
    <x v="7"/>
    <s v="Medium"/>
    <s v="Online"/>
    <n v="25272"/>
  </r>
  <r>
    <n v="1330"/>
    <d v="2024-02-25T09:00:00"/>
    <s v="2024-02-25 09:00:00"/>
    <s v=" North "/>
    <x v="2"/>
    <s v=" Home Appliances "/>
    <x v="1"/>
    <s v="Men T-Shirt"/>
    <s v="Men T-Shirt"/>
    <s v="CUST0364"/>
    <s v=" CUST0364 "/>
    <x v="3"/>
    <s v="Anita"/>
    <x v="4"/>
    <s v="Credit Card"/>
    <n v="12"/>
    <s v="12"/>
    <n v="3477"/>
    <s v="3477"/>
    <n v="41724"/>
    <x v="0"/>
    <x v="1"/>
    <x v="7"/>
    <s v="Medium"/>
    <s v="Online"/>
    <n v="41724"/>
  </r>
  <r>
    <n v="1331"/>
    <d v="2024-02-25T10:00:00"/>
    <s v="2024-02-25 10:00:00"/>
    <s v="south"/>
    <x v="3"/>
    <s v="Grocery"/>
    <x v="3"/>
    <s v="Men T-Shirt"/>
    <s v="Men T-Shirt"/>
    <s v="CUST0204"/>
    <s v=" CUST0204 "/>
    <x v="2"/>
    <s v="Suresh"/>
    <x v="2"/>
    <s v="UPI"/>
    <n v="13"/>
    <s v="13"/>
    <n v="171"/>
    <s v="171"/>
    <n v="2223"/>
    <x v="0"/>
    <x v="1"/>
    <x v="7"/>
    <s v="Low"/>
    <s v="Online"/>
    <n v="2223"/>
  </r>
  <r>
    <n v="1332"/>
    <d v="2024-02-25T11:00:00"/>
    <s v="2024-02-25 11:00:00"/>
    <s v="south"/>
    <x v="3"/>
    <s v=" Home Appliances "/>
    <x v="1"/>
    <s v="Washing Machine"/>
    <s v="Washing Machine"/>
    <s v="CUST0212"/>
    <s v=" CUST0212 "/>
    <x v="2"/>
    <s v="Suresh"/>
    <x v="4"/>
    <s v="Credit Card"/>
    <n v="13"/>
    <s v="13"/>
    <n v="1776"/>
    <s v="1776"/>
    <n v="23088"/>
    <x v="0"/>
    <x v="1"/>
    <x v="7"/>
    <s v="Medium"/>
    <s v="Online"/>
    <n v="23088"/>
  </r>
  <r>
    <n v="1333"/>
    <d v="2024-02-25T12:00:00"/>
    <s v="2024-02-25 12:00:00"/>
    <s v="EAST"/>
    <x v="0"/>
    <s v="Electronics"/>
    <x v="2"/>
    <s v="Mixer Grinder"/>
    <s v="Mixer Grinder"/>
    <s v="CUST0621"/>
    <s v=" CUST0621 "/>
    <x v="1"/>
    <s v="Meena"/>
    <x v="3"/>
    <s v=" Net Banking "/>
    <n v="11"/>
    <s v="11"/>
    <n v="1395"/>
    <s v="1395"/>
    <n v="15345"/>
    <x v="0"/>
    <x v="1"/>
    <x v="7"/>
    <s v="Low"/>
    <s v="Online"/>
    <n v="15345"/>
  </r>
  <r>
    <n v="1334"/>
    <d v="2024-02-25T13:00:00"/>
    <s v="2024-02-25 13:00:00"/>
    <s v=" west"/>
    <x v="1"/>
    <s v=" Home Appliances "/>
    <x v="1"/>
    <s v="Led Tv 42Inch"/>
    <s v="LED TV 42inch"/>
    <s v="CUST0276"/>
    <s v=" CUST0276 "/>
    <x v="4"/>
    <s v="Karthik"/>
    <x v="4"/>
    <s v="Credit Card"/>
    <n v="14"/>
    <s v="14"/>
    <n v="1143"/>
    <s v="1143"/>
    <n v="16002"/>
    <x v="0"/>
    <x v="1"/>
    <x v="7"/>
    <s v="Low"/>
    <s v="Online"/>
    <n v="16002"/>
  </r>
  <r>
    <n v="1335"/>
    <d v="2024-02-25T14:00:00"/>
    <s v="2024-02-25 14:00:00"/>
    <s v=" west"/>
    <x v="1"/>
    <s v="Clothing"/>
    <x v="0"/>
    <s v="Washing Machine"/>
    <s v="Washing Machine"/>
    <s v="CUST0073"/>
    <s v=" CUST0073 "/>
    <x v="0"/>
    <s v="Rahul"/>
    <x v="2"/>
    <s v="UPI"/>
    <n v="1"/>
    <s v="1"/>
    <n v="2725"/>
    <s v="2725"/>
    <n v="2725"/>
    <x v="0"/>
    <x v="1"/>
    <x v="7"/>
    <s v="Low"/>
    <s v="Online"/>
    <n v="2725"/>
  </r>
  <r>
    <n v="1336"/>
    <d v="2024-02-25T15:00:00"/>
    <s v="2024-02-25 15:00:00"/>
    <s v="south"/>
    <x v="3"/>
    <s v="Grocery"/>
    <x v="3"/>
    <s v="Washing Machine"/>
    <s v="Washing Machine"/>
    <s v="CUST0679"/>
    <s v=" CUST0679 "/>
    <x v="4"/>
    <s v="Karthik"/>
    <x v="4"/>
    <s v="Credit Card"/>
    <n v="5"/>
    <s v="5"/>
    <n v="3142"/>
    <s v="3142"/>
    <n v="15710"/>
    <x v="0"/>
    <x v="1"/>
    <x v="7"/>
    <s v="Low"/>
    <s v="Online"/>
    <n v="15710"/>
  </r>
  <r>
    <n v="1337"/>
    <d v="2024-02-25T16:00:00"/>
    <s v="2024-02-25 16:00:00"/>
    <s v="EAST"/>
    <x v="0"/>
    <s v="Electronics"/>
    <x v="2"/>
    <s v="Laptop"/>
    <s v="Laptop"/>
    <s v="CUST0772"/>
    <s v=" CUST0772 "/>
    <x v="3"/>
    <s v="Anita"/>
    <x v="4"/>
    <s v="Credit Card"/>
    <n v="14"/>
    <s v="14"/>
    <n v="914"/>
    <s v="914"/>
    <n v="12796"/>
    <x v="0"/>
    <x v="1"/>
    <x v="7"/>
    <s v="Low"/>
    <s v="Online"/>
    <n v="12796"/>
  </r>
  <r>
    <n v="1338"/>
    <d v="2024-02-25T17:00:00"/>
    <s v="2024-02-25 17:00:00"/>
    <s v="south"/>
    <x v="3"/>
    <s v="Electronics"/>
    <x v="2"/>
    <s v="Mixer Grinder"/>
    <s v="Mixer Grinder"/>
    <s v="CUST0243"/>
    <s v=" CUST0243 "/>
    <x v="0"/>
    <s v="Rahul"/>
    <x v="4"/>
    <s v="Credit Card"/>
    <n v="10"/>
    <s v="10"/>
    <n v="2294"/>
    <s v="2294"/>
    <n v="22940"/>
    <x v="0"/>
    <x v="1"/>
    <x v="7"/>
    <s v="Medium"/>
    <s v="Online"/>
    <n v="22940"/>
  </r>
  <r>
    <n v="1339"/>
    <d v="2024-02-25T18:00:00"/>
    <s v="2024-02-25 18:00:00"/>
    <s v="south"/>
    <x v="3"/>
    <s v="Electronics"/>
    <x v="2"/>
    <s v="Led Tv 42Inch"/>
    <s v="LED TV 42inch"/>
    <s v="CUST0787"/>
    <s v=" CUST0787 "/>
    <x v="2"/>
    <s v="Suresh"/>
    <x v="4"/>
    <s v="Credit Card"/>
    <n v="12"/>
    <s v="12"/>
    <n v="3600"/>
    <s v="3600"/>
    <n v="43200"/>
    <x v="0"/>
    <x v="1"/>
    <x v="7"/>
    <s v="Medium"/>
    <s v="Online"/>
    <n v="43200"/>
  </r>
  <r>
    <n v="1340"/>
    <d v="2024-02-25T19:00:00"/>
    <s v="2024-02-25 19:00:00"/>
    <s v="south"/>
    <x v="3"/>
    <s v="Grocery"/>
    <x v="3"/>
    <s v="Mixer Grinder"/>
    <s v="Mixer Grinder"/>
    <s v="CUST0102"/>
    <s v=" CUST0102 "/>
    <x v="1"/>
    <s v="Meena"/>
    <x v="0"/>
    <s v=" Cash"/>
    <n v="10"/>
    <s v="10"/>
    <n v="409"/>
    <s v="409"/>
    <n v="4090"/>
    <x v="0"/>
    <x v="1"/>
    <x v="7"/>
    <s v="Low"/>
    <s v="Offline"/>
    <n v="4090"/>
  </r>
  <r>
    <n v="1341"/>
    <d v="2024-02-25T20:00:00"/>
    <s v="2024-02-25 20:00:00"/>
    <s v="EAST"/>
    <x v="0"/>
    <s v="Clothing"/>
    <x v="0"/>
    <s v="Led Tv 42Inch"/>
    <s v="LED TV 42inch"/>
    <s v="CUST0685"/>
    <s v=" CUST0685 "/>
    <x v="1"/>
    <s v="Meena"/>
    <x v="3"/>
    <s v=" Net Banking "/>
    <n v="4"/>
    <s v="4"/>
    <n v="2161"/>
    <s v="2161"/>
    <n v="8644"/>
    <x v="0"/>
    <x v="1"/>
    <x v="7"/>
    <s v="Low"/>
    <s v="Online"/>
    <n v="8644"/>
  </r>
  <r>
    <n v="1342"/>
    <d v="2024-02-25T21:00:00"/>
    <s v="2024-02-25 21:00:00"/>
    <s v=" west"/>
    <x v="1"/>
    <s v="Electronics"/>
    <x v="2"/>
    <s v="Mixer Grinder"/>
    <s v="Mixer Grinder"/>
    <s v="CUST0171"/>
    <s v=" CUST0171 "/>
    <x v="2"/>
    <s v="Suresh"/>
    <x v="2"/>
    <s v="UPI"/>
    <n v="11"/>
    <s v="11"/>
    <n v="4327"/>
    <s v="4327"/>
    <n v="47597"/>
    <x v="0"/>
    <x v="1"/>
    <x v="7"/>
    <s v="Medium"/>
    <s v="Online"/>
    <n v="47597"/>
  </r>
  <r>
    <n v="1343"/>
    <d v="2024-02-25T22:00:00"/>
    <s v="2024-02-25 22:00:00"/>
    <s v="EAST"/>
    <x v="0"/>
    <s v=" Home Appliances "/>
    <x v="1"/>
    <s v="Washing Machine"/>
    <s v="Washing Machine"/>
    <s v="CUST0653"/>
    <s v=" CUST0653 "/>
    <x v="3"/>
    <s v="Anita"/>
    <x v="3"/>
    <s v=" Net Banking "/>
    <n v="7"/>
    <s v="7"/>
    <n v="1977"/>
    <s v="1977"/>
    <n v="13839"/>
    <x v="0"/>
    <x v="1"/>
    <x v="7"/>
    <s v="Low"/>
    <s v="Online"/>
    <n v="13839"/>
  </r>
  <r>
    <n v="1344"/>
    <d v="2024-02-25T23:00:00"/>
    <s v="2024-02-25 23:00:00"/>
    <s v=" North "/>
    <x v="2"/>
    <s v="Electronics"/>
    <x v="2"/>
    <s v="Washing Machine"/>
    <s v="Washing Machine"/>
    <s v="CUST0188"/>
    <s v=" CUST0188 "/>
    <x v="2"/>
    <s v="Suresh"/>
    <x v="0"/>
    <s v=" Cash"/>
    <n v="13"/>
    <s v="13"/>
    <n v="2902"/>
    <s v="2902"/>
    <n v="37726"/>
    <x v="0"/>
    <x v="1"/>
    <x v="7"/>
    <s v="Medium"/>
    <s v="Offline"/>
    <n v="37726"/>
  </r>
  <r>
    <n v="1345"/>
    <d v="2024-02-26T00:00:00"/>
    <s v="2024-02-26 00:00:00"/>
    <s v="EAST"/>
    <x v="0"/>
    <s v="Electronics"/>
    <x v="2"/>
    <s v="Rice 5Kg"/>
    <s v="Rice 5kg"/>
    <s v="CUST0441"/>
    <s v=" CUST0441 "/>
    <x v="3"/>
    <s v="Anita"/>
    <x v="0"/>
    <s v=" Cash"/>
    <n v="9"/>
    <s v="9"/>
    <n v="2586"/>
    <s v="2586"/>
    <n v="23274"/>
    <x v="0"/>
    <x v="1"/>
    <x v="8"/>
    <s v="Medium"/>
    <s v="Offline"/>
    <n v="23274"/>
  </r>
  <r>
    <n v="1346"/>
    <d v="2024-02-26T01:00:00"/>
    <s v="2024-02-26 01:00:00"/>
    <s v="EAST"/>
    <x v="0"/>
    <s v="Electronics"/>
    <x v="2"/>
    <s v="Men T-Shirt"/>
    <s v="Men T-Shirt"/>
    <s v="CUST0086"/>
    <s v=" CUST0086 "/>
    <x v="0"/>
    <s v="Rahul"/>
    <x v="0"/>
    <s v=" Cash"/>
    <n v="5"/>
    <s v="5"/>
    <n v="4935"/>
    <s v="4935"/>
    <n v="24675"/>
    <x v="0"/>
    <x v="1"/>
    <x v="8"/>
    <s v="Medium"/>
    <s v="Offline"/>
    <n v="24675"/>
  </r>
  <r>
    <n v="1347"/>
    <d v="2024-02-26T02:00:00"/>
    <s v="2024-02-26 02:00:00"/>
    <s v="EAST"/>
    <x v="0"/>
    <s v="Electronics"/>
    <x v="2"/>
    <s v="Laptop"/>
    <s v="Laptop"/>
    <s v="CUST0476"/>
    <s v=" CUST0476 "/>
    <x v="2"/>
    <s v="Suresh"/>
    <x v="0"/>
    <s v=" Cash"/>
    <n v="4"/>
    <s v="4"/>
    <n v="3845"/>
    <s v="3845"/>
    <n v="15380"/>
    <x v="0"/>
    <x v="1"/>
    <x v="8"/>
    <s v="Low"/>
    <s v="Offline"/>
    <n v="15380"/>
  </r>
  <r>
    <n v="1348"/>
    <d v="2024-02-26T03:00:00"/>
    <s v="2024-02-26 03:00:00"/>
    <s v="EAST"/>
    <x v="0"/>
    <s v="Clothing"/>
    <x v="0"/>
    <s v="Mixer Grinder"/>
    <s v="Mixer Grinder"/>
    <s v="CUST0052"/>
    <s v=" CUST0052 "/>
    <x v="3"/>
    <s v="Anita"/>
    <x v="4"/>
    <s v="Credit Card"/>
    <n v="9"/>
    <s v="9"/>
    <n v="894"/>
    <s v="894"/>
    <n v="8046"/>
    <x v="0"/>
    <x v="1"/>
    <x v="8"/>
    <s v="Low"/>
    <s v="Online"/>
    <n v="8046"/>
  </r>
  <r>
    <n v="1349"/>
    <d v="2024-02-26T04:00:00"/>
    <s v="2024-02-26 04:00:00"/>
    <s v=" west"/>
    <x v="1"/>
    <s v=" Home Appliances "/>
    <x v="1"/>
    <s v="Laptop"/>
    <s v="Laptop"/>
    <s v="CUST0111"/>
    <s v=" CUST0111 "/>
    <x v="0"/>
    <s v="Rahul"/>
    <x v="3"/>
    <s v=" Net Banking "/>
    <n v="5"/>
    <s v="5"/>
    <n v="4114"/>
    <s v="4114"/>
    <n v="20570"/>
    <x v="0"/>
    <x v="1"/>
    <x v="8"/>
    <s v="Medium"/>
    <s v="Online"/>
    <n v="20570"/>
  </r>
  <r>
    <n v="1350"/>
    <d v="2024-02-26T05:00:00"/>
    <s v="2024-02-26 05:00:00"/>
    <s v=" North "/>
    <x v="2"/>
    <s v="Clothing"/>
    <x v="0"/>
    <s v="Rice 5Kg"/>
    <s v="Rice 5kg"/>
    <s v="CUST0043"/>
    <s v=" CUST0043 "/>
    <x v="2"/>
    <s v="Suresh"/>
    <x v="1"/>
    <s v="Debit card "/>
    <n v="9"/>
    <s v="9"/>
    <n v="4453"/>
    <s v="4453"/>
    <n v="40077"/>
    <x v="0"/>
    <x v="1"/>
    <x v="8"/>
    <s v="Medium"/>
    <s v="Online"/>
    <n v="40077"/>
  </r>
  <r>
    <n v="1351"/>
    <d v="2024-02-26T06:00:00"/>
    <s v="2024-02-26 06:00:00"/>
    <s v=" west"/>
    <x v="1"/>
    <s v=" Home Appliances "/>
    <x v="1"/>
    <s v="Men T-Shirt"/>
    <s v="Men T-Shirt"/>
    <s v="CUST0211"/>
    <s v=" CUST0211 "/>
    <x v="1"/>
    <s v="Meena"/>
    <x v="2"/>
    <s v="UPI"/>
    <n v="8"/>
    <s v="8"/>
    <n v="3507"/>
    <s v="3507"/>
    <n v="28056"/>
    <x v="0"/>
    <x v="1"/>
    <x v="8"/>
    <s v="Medium"/>
    <s v="Online"/>
    <n v="28056"/>
  </r>
  <r>
    <n v="1352"/>
    <d v="2024-02-26T07:00:00"/>
    <s v="2024-02-26 07:00:00"/>
    <s v=" west"/>
    <x v="1"/>
    <s v="Electronics"/>
    <x v="2"/>
    <s v="Mixer Grinder"/>
    <s v="Mixer Grinder"/>
    <s v="CUST0200"/>
    <s v=" CUST0200 "/>
    <x v="2"/>
    <s v="Suresh"/>
    <x v="0"/>
    <s v=" Cash"/>
    <n v="4"/>
    <s v="4"/>
    <n v="2556"/>
    <s v="2556"/>
    <n v="10224"/>
    <x v="0"/>
    <x v="1"/>
    <x v="8"/>
    <s v="Low"/>
    <s v="Offline"/>
    <n v="10224"/>
  </r>
  <r>
    <n v="1353"/>
    <d v="2024-02-26T08:00:00"/>
    <s v="2024-02-26 08:00:00"/>
    <s v="EAST"/>
    <x v="0"/>
    <s v="Grocery"/>
    <x v="3"/>
    <s v="Led Tv 42Inch"/>
    <s v="LED TV 42inch"/>
    <s v="CUST0752"/>
    <s v=" CUST0752 "/>
    <x v="4"/>
    <s v="Karthik"/>
    <x v="3"/>
    <s v=" Net Banking "/>
    <n v="11"/>
    <s v="11"/>
    <n v="1951"/>
    <s v="1951"/>
    <n v="21461"/>
    <x v="0"/>
    <x v="1"/>
    <x v="8"/>
    <s v="Medium"/>
    <s v="Online"/>
    <n v="21461"/>
  </r>
  <r>
    <n v="1354"/>
    <d v="2024-02-26T09:00:00"/>
    <s v="2024-02-26 09:00:00"/>
    <s v="south"/>
    <x v="3"/>
    <s v="Clothing"/>
    <x v="0"/>
    <s v="Men T-Shirt"/>
    <s v="Men T-Shirt"/>
    <s v="CUST0627"/>
    <s v=" CUST0627 "/>
    <x v="2"/>
    <s v="Suresh"/>
    <x v="0"/>
    <s v=" Cash"/>
    <n v="11"/>
    <s v="11"/>
    <n v="1074"/>
    <s v="1074"/>
    <n v="11814"/>
    <x v="0"/>
    <x v="1"/>
    <x v="8"/>
    <s v="Low"/>
    <s v="Offline"/>
    <n v="11814"/>
  </r>
  <r>
    <n v="1355"/>
    <d v="2024-02-26T10:00:00"/>
    <s v="2024-02-26 10:00:00"/>
    <s v="south"/>
    <x v="3"/>
    <s v="Grocery"/>
    <x v="3"/>
    <s v="Washing Machine"/>
    <s v="Washing Machine"/>
    <s v="CUST0026"/>
    <s v=" CUST0026 "/>
    <x v="4"/>
    <s v="Karthik"/>
    <x v="0"/>
    <s v=" Cash"/>
    <n v="7"/>
    <s v="7"/>
    <n v="1147"/>
    <s v="1147"/>
    <n v="8029"/>
    <x v="0"/>
    <x v="1"/>
    <x v="8"/>
    <s v="Low"/>
    <s v="Offline"/>
    <n v="8029"/>
  </r>
  <r>
    <n v="1356"/>
    <d v="2024-02-26T11:00:00"/>
    <s v="2024-02-26 11:00:00"/>
    <s v=" west"/>
    <x v="1"/>
    <s v="Clothing"/>
    <x v="0"/>
    <s v="Rice 5Kg"/>
    <s v="Rice 5kg"/>
    <s v="CUST0299"/>
    <s v=" CUST0299 "/>
    <x v="0"/>
    <s v="Rahul"/>
    <x v="0"/>
    <s v=" Cash"/>
    <n v="5"/>
    <s v="5"/>
    <n v="4466"/>
    <s v="4466"/>
    <n v="22330"/>
    <x v="0"/>
    <x v="1"/>
    <x v="8"/>
    <s v="Medium"/>
    <s v="Offline"/>
    <n v="22330"/>
  </r>
  <r>
    <n v="1357"/>
    <d v="2024-02-26T12:00:00"/>
    <s v="2024-02-26 12:00:00"/>
    <s v=" west"/>
    <x v="1"/>
    <s v="Electronics"/>
    <x v="2"/>
    <s v="Men T-Shirt"/>
    <s v="Men T-Shirt"/>
    <s v="CUST0077"/>
    <s v=" CUST0077 "/>
    <x v="2"/>
    <s v="Suresh"/>
    <x v="0"/>
    <s v=" Cash"/>
    <n v="10"/>
    <s v="10"/>
    <n v="4337"/>
    <s v="4337"/>
    <n v="43370"/>
    <x v="0"/>
    <x v="1"/>
    <x v="8"/>
    <s v="Medium"/>
    <s v="Offline"/>
    <n v="43370"/>
  </r>
  <r>
    <n v="1358"/>
    <d v="2024-02-26T13:00:00"/>
    <s v="2024-02-26 13:00:00"/>
    <s v="EAST"/>
    <x v="0"/>
    <s v="Clothing"/>
    <x v="0"/>
    <s v="Men T-Shirt"/>
    <s v="Men T-Shirt"/>
    <s v="CUST0137"/>
    <s v=" CUST0137 "/>
    <x v="0"/>
    <s v="Rahul"/>
    <x v="0"/>
    <s v=" Cash"/>
    <n v="4"/>
    <s v="4"/>
    <n v="3889"/>
    <s v="3889"/>
    <n v="15556"/>
    <x v="0"/>
    <x v="1"/>
    <x v="8"/>
    <s v="Low"/>
    <s v="Offline"/>
    <n v="15556"/>
  </r>
  <r>
    <n v="1359"/>
    <d v="2024-02-26T14:00:00"/>
    <s v="2024-02-26 14:00:00"/>
    <s v=" west"/>
    <x v="1"/>
    <s v="Electronics"/>
    <x v="2"/>
    <s v="Washing Machine"/>
    <s v="Washing Machine"/>
    <s v="CUST0020"/>
    <s v=" CUST0020 "/>
    <x v="0"/>
    <s v="Rahul"/>
    <x v="2"/>
    <s v="UPI"/>
    <n v="5"/>
    <s v="5"/>
    <n v="3121"/>
    <s v="3121"/>
    <n v="15605"/>
    <x v="0"/>
    <x v="1"/>
    <x v="8"/>
    <s v="Low"/>
    <s v="Online"/>
    <n v="15605"/>
  </r>
  <r>
    <n v="1360"/>
    <d v="2024-02-26T15:00:00"/>
    <s v="2024-02-26 15:00:00"/>
    <s v="EAST"/>
    <x v="0"/>
    <s v="Clothing"/>
    <x v="0"/>
    <s v="Mixer Grinder"/>
    <s v="Mixer Grinder"/>
    <s v="CUST0440"/>
    <s v=" CUST0440 "/>
    <x v="3"/>
    <s v="Anita"/>
    <x v="3"/>
    <s v=" Net Banking "/>
    <n v="5"/>
    <s v="5"/>
    <n v="4469"/>
    <s v="4469"/>
    <n v="22345"/>
    <x v="0"/>
    <x v="1"/>
    <x v="8"/>
    <s v="Medium"/>
    <s v="Online"/>
    <n v="22345"/>
  </r>
  <r>
    <n v="1361"/>
    <d v="2024-02-26T16:00:00"/>
    <s v="2024-02-26 16:00:00"/>
    <s v="south"/>
    <x v="3"/>
    <s v="Electronics"/>
    <x v="2"/>
    <s v="Led Tv 42Inch"/>
    <s v="LED TV 42inch"/>
    <s v="CUST0211"/>
    <s v=" CUST0211 "/>
    <x v="0"/>
    <s v="Rahul"/>
    <x v="0"/>
    <s v=" Cash"/>
    <n v="11"/>
    <s v="11"/>
    <n v="4129"/>
    <s v="4129"/>
    <n v="45419"/>
    <x v="0"/>
    <x v="1"/>
    <x v="8"/>
    <s v="Medium"/>
    <s v="Offline"/>
    <n v="45419"/>
  </r>
  <r>
    <n v="1362"/>
    <d v="2024-02-26T17:00:00"/>
    <s v="2024-02-26 17:00:00"/>
    <s v="south"/>
    <x v="3"/>
    <s v="Electronics"/>
    <x v="2"/>
    <s v="Washing Machine"/>
    <s v="Washing Machine"/>
    <s v="CUST0752"/>
    <s v=" CUST0752 "/>
    <x v="0"/>
    <s v="Rahul"/>
    <x v="0"/>
    <s v=" Cash"/>
    <n v="9"/>
    <s v="9"/>
    <n v="564"/>
    <s v="564"/>
    <n v="5076"/>
    <x v="0"/>
    <x v="1"/>
    <x v="8"/>
    <s v="Low"/>
    <s v="Offline"/>
    <n v="5076"/>
  </r>
  <r>
    <n v="1363"/>
    <d v="2024-02-26T18:00:00"/>
    <s v="2024-02-26 18:00:00"/>
    <s v=" North "/>
    <x v="2"/>
    <s v=" Home Appliances "/>
    <x v="1"/>
    <s v="Led Tv 42Inch"/>
    <s v="LED TV 42inch"/>
    <s v="CUST0551"/>
    <s v=" CUST0551 "/>
    <x v="2"/>
    <s v="Suresh"/>
    <x v="0"/>
    <s v=" Cash"/>
    <n v="12"/>
    <s v="12"/>
    <n v="387"/>
    <s v="387"/>
    <n v="4644"/>
    <x v="0"/>
    <x v="1"/>
    <x v="8"/>
    <s v="Low"/>
    <s v="Offline"/>
    <n v="4644"/>
  </r>
  <r>
    <n v="1364"/>
    <d v="2024-02-26T19:00:00"/>
    <s v="2024-02-26 19:00:00"/>
    <s v="south"/>
    <x v="3"/>
    <s v="Electronics"/>
    <x v="2"/>
    <s v="Mixer Grinder"/>
    <s v="Mixer Grinder"/>
    <s v="CUST0435"/>
    <s v=" CUST0435 "/>
    <x v="2"/>
    <s v="Suresh"/>
    <x v="0"/>
    <s v=" Cash"/>
    <n v="9"/>
    <s v="9"/>
    <n v="3295"/>
    <s v="3295"/>
    <n v="29655"/>
    <x v="0"/>
    <x v="1"/>
    <x v="8"/>
    <s v="Medium"/>
    <s v="Offline"/>
    <n v="29655"/>
  </r>
  <r>
    <n v="1365"/>
    <d v="2024-02-26T20:00:00"/>
    <s v="2024-02-26 20:00:00"/>
    <s v=" west"/>
    <x v="1"/>
    <s v=" Home Appliances "/>
    <x v="1"/>
    <s v="Men T-Shirt"/>
    <s v="Men T-Shirt"/>
    <s v="CUST0780"/>
    <s v=" CUST0780 "/>
    <x v="1"/>
    <s v="Meena"/>
    <x v="4"/>
    <s v="Credit Card"/>
    <n v="6"/>
    <s v="6"/>
    <n v="975"/>
    <s v="975"/>
    <n v="5850"/>
    <x v="0"/>
    <x v="1"/>
    <x v="8"/>
    <s v="Low"/>
    <s v="Online"/>
    <n v="5850"/>
  </r>
  <r>
    <n v="1366"/>
    <d v="2024-02-26T21:00:00"/>
    <s v="2024-02-26 21:00:00"/>
    <s v="south"/>
    <x v="3"/>
    <s v="Electronics"/>
    <x v="2"/>
    <s v="Led Tv 42Inch"/>
    <s v="LED TV 42inch"/>
    <s v="CUST0207"/>
    <s v=" CUST0207 "/>
    <x v="3"/>
    <s v="Anita"/>
    <x v="4"/>
    <s v="Credit Card"/>
    <n v="14"/>
    <s v="14"/>
    <n v="2092"/>
    <s v="2092"/>
    <n v="29288"/>
    <x v="0"/>
    <x v="1"/>
    <x v="8"/>
    <s v="Medium"/>
    <s v="Online"/>
    <n v="29288"/>
  </r>
  <r>
    <n v="1367"/>
    <d v="2024-02-26T22:00:00"/>
    <s v="2024-02-26 22:00:00"/>
    <s v="EAST"/>
    <x v="0"/>
    <s v="Grocery"/>
    <x v="3"/>
    <s v="Rice 5Kg"/>
    <s v="Rice 5kg"/>
    <s v="CUST0439"/>
    <s v=" CUST0439 "/>
    <x v="0"/>
    <s v="Rahul"/>
    <x v="1"/>
    <s v="Debit card "/>
    <n v="4"/>
    <s v="4"/>
    <n v="3025"/>
    <s v="3025"/>
    <n v="12100"/>
    <x v="0"/>
    <x v="1"/>
    <x v="8"/>
    <s v="Low"/>
    <s v="Online"/>
    <n v="12100"/>
  </r>
  <r>
    <n v="1368"/>
    <d v="2024-02-26T23:00:00"/>
    <s v="2024-02-26 23:00:00"/>
    <s v="south"/>
    <x v="3"/>
    <s v="Electronics"/>
    <x v="2"/>
    <s v="Rice 5Kg"/>
    <s v="Rice 5kg"/>
    <s v="CUST0779"/>
    <s v=" CUST0779 "/>
    <x v="3"/>
    <s v="Anita"/>
    <x v="0"/>
    <s v=" Cash"/>
    <n v="2"/>
    <s v="2"/>
    <n v="1220"/>
    <s v="1220"/>
    <n v="2440"/>
    <x v="0"/>
    <x v="1"/>
    <x v="8"/>
    <s v="Low"/>
    <s v="Offline"/>
    <n v="2440"/>
  </r>
  <r>
    <n v="1369"/>
    <d v="2024-02-27T00:00:00"/>
    <s v="2024-02-27 00:00:00"/>
    <s v=" North "/>
    <x v="2"/>
    <s v="Grocery"/>
    <x v="3"/>
    <s v="Washing Machine"/>
    <s v="Washing Machine"/>
    <s v="CUST0666"/>
    <s v=" CUST0666 "/>
    <x v="4"/>
    <s v="Karthik"/>
    <x v="1"/>
    <s v="Debit card "/>
    <n v="14"/>
    <s v="14"/>
    <n v="546"/>
    <s v="546"/>
    <n v="7644"/>
    <x v="0"/>
    <x v="1"/>
    <x v="8"/>
    <s v="Low"/>
    <s v="Online"/>
    <n v="7644"/>
  </r>
  <r>
    <n v="1370"/>
    <d v="2024-02-27T01:00:00"/>
    <s v="2024-02-27 01:00:00"/>
    <s v="south"/>
    <x v="3"/>
    <s v="Grocery"/>
    <x v="3"/>
    <s v="Mixer Grinder"/>
    <s v="Mixer Grinder"/>
    <s v="CUST0042"/>
    <s v=" CUST0042 "/>
    <x v="0"/>
    <s v="Rahul"/>
    <x v="2"/>
    <s v="UPI"/>
    <n v="3"/>
    <s v="3"/>
    <n v="2932"/>
    <s v="2932"/>
    <n v="8796"/>
    <x v="0"/>
    <x v="1"/>
    <x v="8"/>
    <s v="Low"/>
    <s v="Online"/>
    <n v="8796"/>
  </r>
  <r>
    <n v="1371"/>
    <d v="2024-02-27T02:00:00"/>
    <s v="2024-02-27 02:00:00"/>
    <s v="EAST"/>
    <x v="0"/>
    <s v="Electronics"/>
    <x v="2"/>
    <s v="Washing Machine"/>
    <s v="Washing Machine"/>
    <s v="CUST0411"/>
    <s v=" CUST0411 "/>
    <x v="3"/>
    <s v="Anita"/>
    <x v="1"/>
    <s v="Debit card "/>
    <n v="2"/>
    <s v="2"/>
    <n v="3668"/>
    <s v="3668"/>
    <n v="7336"/>
    <x v="0"/>
    <x v="1"/>
    <x v="8"/>
    <s v="Low"/>
    <s v="Online"/>
    <n v="7336"/>
  </r>
  <r>
    <n v="1372"/>
    <d v="2024-02-27T03:00:00"/>
    <s v="2024-02-27 03:00:00"/>
    <s v="EAST"/>
    <x v="0"/>
    <s v="Grocery"/>
    <x v="3"/>
    <s v="Washing Machine"/>
    <s v="Washing Machine"/>
    <s v="CUST0523"/>
    <s v=" CUST0523 "/>
    <x v="1"/>
    <s v="Meena"/>
    <x v="3"/>
    <s v=" Net Banking "/>
    <n v="5"/>
    <s v="5"/>
    <n v="2996"/>
    <s v="2996"/>
    <n v="14980"/>
    <x v="0"/>
    <x v="1"/>
    <x v="8"/>
    <s v="Low"/>
    <s v="Online"/>
    <n v="14980"/>
  </r>
  <r>
    <n v="1373"/>
    <d v="2024-02-27T04:00:00"/>
    <s v="2024-02-27 04:00:00"/>
    <s v=" west"/>
    <x v="1"/>
    <s v=" Home Appliances "/>
    <x v="1"/>
    <s v="Laptop"/>
    <s v="Laptop"/>
    <s v="CUST0610"/>
    <s v=" CUST0610 "/>
    <x v="1"/>
    <s v="Meena"/>
    <x v="4"/>
    <s v="Credit Card"/>
    <n v="6"/>
    <s v="6"/>
    <n v="821"/>
    <s v="821"/>
    <n v="4926"/>
    <x v="0"/>
    <x v="1"/>
    <x v="8"/>
    <s v="Low"/>
    <s v="Online"/>
    <n v="4926"/>
  </r>
  <r>
    <n v="1374"/>
    <d v="2024-02-27T05:00:00"/>
    <s v="2024-02-27 05:00:00"/>
    <s v="south"/>
    <x v="3"/>
    <s v="Clothing"/>
    <x v="0"/>
    <s v="Washing Machine"/>
    <s v="Washing Machine"/>
    <s v="CUST0427"/>
    <s v=" CUST0427 "/>
    <x v="0"/>
    <s v="Rahul"/>
    <x v="4"/>
    <s v="Credit Card"/>
    <n v="11"/>
    <s v="11"/>
    <n v="2263"/>
    <s v="2263"/>
    <n v="24893"/>
    <x v="0"/>
    <x v="1"/>
    <x v="8"/>
    <s v="Medium"/>
    <s v="Online"/>
    <n v="24893"/>
  </r>
  <r>
    <n v="1375"/>
    <d v="2024-02-27T06:00:00"/>
    <s v="2024-02-27 06:00:00"/>
    <s v="EAST"/>
    <x v="0"/>
    <s v="Electronics"/>
    <x v="2"/>
    <s v="Laptop"/>
    <s v="Laptop"/>
    <s v="CUST0275"/>
    <s v=" CUST0275 "/>
    <x v="4"/>
    <s v="Karthik"/>
    <x v="0"/>
    <s v=" Cash"/>
    <n v="5"/>
    <s v="5"/>
    <n v="2682"/>
    <s v="2682"/>
    <n v="13410"/>
    <x v="0"/>
    <x v="1"/>
    <x v="8"/>
    <s v="Low"/>
    <s v="Offline"/>
    <n v="13410"/>
  </r>
  <r>
    <n v="1376"/>
    <d v="2024-02-27T07:00:00"/>
    <s v="2024-02-27 07:00:00"/>
    <s v=" North "/>
    <x v="2"/>
    <s v="Grocery"/>
    <x v="3"/>
    <s v="Rice 5Kg"/>
    <s v="Rice 5kg"/>
    <s v="CUST0448"/>
    <s v=" CUST0448 "/>
    <x v="1"/>
    <s v="Meena"/>
    <x v="0"/>
    <s v=" Cash"/>
    <n v="2"/>
    <s v="2"/>
    <n v="1451"/>
    <s v="1451"/>
    <n v="2902"/>
    <x v="0"/>
    <x v="1"/>
    <x v="8"/>
    <s v="Low"/>
    <s v="Offline"/>
    <n v="2902"/>
  </r>
  <r>
    <n v="1377"/>
    <d v="2024-02-27T08:00:00"/>
    <s v="2024-02-27 08:00:00"/>
    <s v=" west"/>
    <x v="1"/>
    <s v="Electronics"/>
    <x v="2"/>
    <s v="Rice 5Kg"/>
    <s v="Rice 5kg"/>
    <s v="CUST0742"/>
    <s v=" CUST0742 "/>
    <x v="1"/>
    <s v="Meena"/>
    <x v="2"/>
    <s v="UPI"/>
    <n v="12"/>
    <s v="12"/>
    <n v="4080"/>
    <s v="4080"/>
    <n v="48960"/>
    <x v="0"/>
    <x v="1"/>
    <x v="8"/>
    <s v="Medium"/>
    <s v="Online"/>
    <n v="48960"/>
  </r>
  <r>
    <n v="1378"/>
    <d v="2024-02-27T09:00:00"/>
    <s v="2024-02-27 09:00:00"/>
    <s v=" North "/>
    <x v="2"/>
    <s v=" Home Appliances "/>
    <x v="1"/>
    <s v="Washing Machine"/>
    <s v="Washing Machine"/>
    <s v="CUST0369"/>
    <s v=" CUST0369 "/>
    <x v="4"/>
    <s v="Karthik"/>
    <x v="2"/>
    <s v="UPI"/>
    <n v="5"/>
    <s v="5"/>
    <n v="4602"/>
    <s v="4602"/>
    <n v="23010"/>
    <x v="0"/>
    <x v="1"/>
    <x v="8"/>
    <s v="Medium"/>
    <s v="Online"/>
    <n v="23010"/>
  </r>
  <r>
    <n v="1379"/>
    <d v="2024-02-27T10:00:00"/>
    <s v="2024-02-27 10:00:00"/>
    <s v="south"/>
    <x v="3"/>
    <s v="Electronics"/>
    <x v="2"/>
    <s v="Rice 5Kg"/>
    <s v="Rice 5kg"/>
    <s v="CUST0220"/>
    <s v=" CUST0220 "/>
    <x v="3"/>
    <s v="Anita"/>
    <x v="3"/>
    <s v=" Net Banking "/>
    <n v="9"/>
    <s v="9"/>
    <n v="3484"/>
    <s v="3484"/>
    <n v="31356"/>
    <x v="0"/>
    <x v="1"/>
    <x v="8"/>
    <s v="Medium"/>
    <s v="Online"/>
    <n v="31356"/>
  </r>
  <r>
    <n v="1380"/>
    <d v="2024-02-27T11:00:00"/>
    <s v="2024-02-27 11:00:00"/>
    <s v="south"/>
    <x v="3"/>
    <s v="Electronics"/>
    <x v="2"/>
    <s v="Mixer Grinder"/>
    <s v="Mixer Grinder"/>
    <s v="CUST0577"/>
    <s v=" CUST0577 "/>
    <x v="1"/>
    <s v="Meena"/>
    <x v="0"/>
    <s v=" Cash"/>
    <n v="4"/>
    <s v="4"/>
    <n v="1825"/>
    <s v="1825"/>
    <n v="7300"/>
    <x v="0"/>
    <x v="1"/>
    <x v="8"/>
    <s v="Low"/>
    <s v="Offline"/>
    <n v="7300"/>
  </r>
  <r>
    <n v="1381"/>
    <d v="2024-02-27T12:00:00"/>
    <s v="2024-02-27 12:00:00"/>
    <s v="south"/>
    <x v="3"/>
    <s v="Grocery"/>
    <x v="3"/>
    <s v="Laptop"/>
    <s v="Laptop"/>
    <s v="CUST0232"/>
    <s v=" CUST0232 "/>
    <x v="2"/>
    <s v="Suresh"/>
    <x v="0"/>
    <s v=" Cash"/>
    <n v="12"/>
    <s v="12"/>
    <n v="793"/>
    <s v="793"/>
    <n v="9516"/>
    <x v="0"/>
    <x v="1"/>
    <x v="8"/>
    <s v="Low"/>
    <s v="Offline"/>
    <n v="9516"/>
  </r>
  <r>
    <n v="1382"/>
    <d v="2024-02-27T13:00:00"/>
    <s v="2024-02-27 13:00:00"/>
    <s v=" west"/>
    <x v="1"/>
    <s v=" Home Appliances "/>
    <x v="1"/>
    <s v="Laptop"/>
    <s v="Laptop"/>
    <s v="CUST0328"/>
    <s v=" CUST0328 "/>
    <x v="1"/>
    <s v="Meena"/>
    <x v="2"/>
    <s v="UPI"/>
    <n v="10"/>
    <s v="10"/>
    <n v="3513"/>
    <s v="3513"/>
    <n v="35130"/>
    <x v="0"/>
    <x v="1"/>
    <x v="8"/>
    <s v="Medium"/>
    <s v="Online"/>
    <n v="35130"/>
  </r>
  <r>
    <n v="1383"/>
    <d v="2024-02-27T14:00:00"/>
    <s v="2024-02-27 14:00:00"/>
    <s v="EAST"/>
    <x v="0"/>
    <s v="Clothing"/>
    <x v="0"/>
    <s v="Washing Machine"/>
    <s v="Washing Machine"/>
    <s v="CUST0443"/>
    <s v=" CUST0443 "/>
    <x v="3"/>
    <s v="Anita"/>
    <x v="2"/>
    <s v="UPI"/>
    <n v="2"/>
    <s v="2"/>
    <n v="594"/>
    <s v="594"/>
    <n v="1188"/>
    <x v="0"/>
    <x v="1"/>
    <x v="8"/>
    <s v="Low"/>
    <s v="Online"/>
    <n v="1188"/>
  </r>
  <r>
    <n v="1384"/>
    <d v="2024-02-27T15:00:00"/>
    <s v="2024-02-27 15:00:00"/>
    <s v=" west"/>
    <x v="1"/>
    <s v="Clothing"/>
    <x v="0"/>
    <s v="Rice 5Kg"/>
    <s v="Rice 5kg"/>
    <s v="CUST0052"/>
    <s v=" CUST0052 "/>
    <x v="3"/>
    <s v="Anita"/>
    <x v="2"/>
    <s v="UPI"/>
    <n v="3"/>
    <s v="3"/>
    <n v="1047"/>
    <s v="1047"/>
    <n v="3141"/>
    <x v="0"/>
    <x v="1"/>
    <x v="8"/>
    <s v="Low"/>
    <s v="Online"/>
    <n v="3141"/>
  </r>
  <r>
    <n v="1385"/>
    <d v="2024-02-27T16:00:00"/>
    <s v="2024-02-27 16:00:00"/>
    <s v=" North "/>
    <x v="2"/>
    <s v="Grocery"/>
    <x v="3"/>
    <s v="Led Tv 42Inch"/>
    <s v="LED TV 42inch"/>
    <s v="CUST0376"/>
    <s v=" CUST0376 "/>
    <x v="0"/>
    <s v="Rahul"/>
    <x v="4"/>
    <s v="Credit Card"/>
    <n v="3"/>
    <s v="3"/>
    <n v="122"/>
    <s v="122"/>
    <n v="366"/>
    <x v="0"/>
    <x v="1"/>
    <x v="8"/>
    <s v="Low"/>
    <s v="Online"/>
    <n v="366"/>
  </r>
  <r>
    <n v="1386"/>
    <d v="2024-02-27T17:00:00"/>
    <s v="2024-02-27 17:00:00"/>
    <s v=" west"/>
    <x v="1"/>
    <s v="Electronics"/>
    <x v="2"/>
    <s v="Laptop"/>
    <s v="Laptop"/>
    <s v="CUST0263"/>
    <s v=" CUST0263 "/>
    <x v="2"/>
    <s v="Suresh"/>
    <x v="1"/>
    <s v="Debit card "/>
    <n v="9"/>
    <s v="9"/>
    <n v="1228"/>
    <s v="1228"/>
    <n v="11052"/>
    <x v="0"/>
    <x v="1"/>
    <x v="8"/>
    <s v="Low"/>
    <s v="Online"/>
    <n v="11052"/>
  </r>
  <r>
    <n v="1387"/>
    <d v="2024-02-27T18:00:00"/>
    <s v="2024-02-27 18:00:00"/>
    <s v=" North "/>
    <x v="2"/>
    <s v="Grocery"/>
    <x v="3"/>
    <s v="Washing Machine"/>
    <s v="Washing Machine"/>
    <s v="CUST0267"/>
    <s v=" CUST0267 "/>
    <x v="3"/>
    <s v="Anita"/>
    <x v="1"/>
    <s v="Debit card "/>
    <n v="4"/>
    <s v="4"/>
    <n v="657"/>
    <s v="657"/>
    <n v="2628"/>
    <x v="0"/>
    <x v="1"/>
    <x v="8"/>
    <s v="Low"/>
    <s v="Online"/>
    <n v="2628"/>
  </r>
  <r>
    <n v="1388"/>
    <d v="2024-02-27T19:00:00"/>
    <s v="2024-02-27 19:00:00"/>
    <s v=" west"/>
    <x v="1"/>
    <s v="Grocery"/>
    <x v="3"/>
    <s v="Washing Machine"/>
    <s v="Washing Machine"/>
    <s v="CUST0359"/>
    <s v=" CUST0359 "/>
    <x v="4"/>
    <s v="Karthik"/>
    <x v="0"/>
    <s v=" Cash"/>
    <n v="1"/>
    <s v="1"/>
    <n v="1716"/>
    <s v="1716"/>
    <n v="1716"/>
    <x v="0"/>
    <x v="1"/>
    <x v="8"/>
    <s v="Low"/>
    <s v="Offline"/>
    <n v="1716"/>
  </r>
  <r>
    <n v="1389"/>
    <d v="2024-02-27T20:00:00"/>
    <s v="2024-02-27 20:00:00"/>
    <s v="EAST"/>
    <x v="0"/>
    <s v="Grocery"/>
    <x v="3"/>
    <s v="Mixer Grinder"/>
    <s v="Mixer Grinder"/>
    <s v="CUST0317"/>
    <s v=" CUST0317 "/>
    <x v="2"/>
    <s v="Suresh"/>
    <x v="4"/>
    <s v="Credit Card"/>
    <n v="1"/>
    <s v="1"/>
    <n v="3830"/>
    <s v="3830"/>
    <n v="3830"/>
    <x v="0"/>
    <x v="1"/>
    <x v="8"/>
    <s v="Low"/>
    <s v="Online"/>
    <n v="3830"/>
  </r>
  <r>
    <n v="1390"/>
    <d v="2024-02-27T21:00:00"/>
    <s v="2024-02-27 21:00:00"/>
    <s v=" North "/>
    <x v="2"/>
    <s v="Electronics"/>
    <x v="2"/>
    <s v="Men T-Shirt"/>
    <s v="Men T-Shirt"/>
    <s v="CUST0324"/>
    <s v=" CUST0324 "/>
    <x v="2"/>
    <s v="Suresh"/>
    <x v="2"/>
    <s v="UPI"/>
    <n v="7"/>
    <s v="7"/>
    <n v="1756"/>
    <s v="1756"/>
    <n v="12292"/>
    <x v="0"/>
    <x v="1"/>
    <x v="8"/>
    <s v="Low"/>
    <s v="Online"/>
    <n v="12292"/>
  </r>
  <r>
    <n v="1391"/>
    <d v="2024-02-27T22:00:00"/>
    <s v="2024-02-27 22:00:00"/>
    <s v="south"/>
    <x v="3"/>
    <s v=" Home Appliances "/>
    <x v="1"/>
    <s v="Men T-Shirt"/>
    <s v="Men T-Shirt"/>
    <s v="CUST0666"/>
    <s v=" CUST0666 "/>
    <x v="4"/>
    <s v="Karthik"/>
    <x v="0"/>
    <s v=" Cash"/>
    <n v="7"/>
    <s v="7"/>
    <n v="4273"/>
    <s v="4273"/>
    <n v="29911"/>
    <x v="0"/>
    <x v="1"/>
    <x v="8"/>
    <s v="Medium"/>
    <s v="Offline"/>
    <n v="29911"/>
  </r>
  <r>
    <n v="1392"/>
    <d v="2024-02-27T23:00:00"/>
    <s v="2024-02-27 23:00:00"/>
    <s v="south"/>
    <x v="3"/>
    <s v="Grocery"/>
    <x v="3"/>
    <s v="Laptop"/>
    <s v="Laptop"/>
    <s v="CUST0652"/>
    <s v=" CUST0652 "/>
    <x v="1"/>
    <s v="Meena"/>
    <x v="4"/>
    <s v="Credit Card"/>
    <n v="2"/>
    <s v="2"/>
    <n v="906"/>
    <s v="906"/>
    <n v="1812"/>
    <x v="0"/>
    <x v="1"/>
    <x v="8"/>
    <s v="Low"/>
    <s v="Online"/>
    <n v="1812"/>
  </r>
  <r>
    <n v="1393"/>
    <d v="2024-02-28T00:00:00"/>
    <s v="2024-02-28 00:00:00"/>
    <s v=" west"/>
    <x v="1"/>
    <s v="Electronics"/>
    <x v="2"/>
    <s v="Mixer Grinder"/>
    <s v="Mixer Grinder"/>
    <s v="CUST0563"/>
    <s v=" CUST0563 "/>
    <x v="4"/>
    <s v="Karthik"/>
    <x v="3"/>
    <s v=" Net Banking "/>
    <n v="9"/>
    <s v="9"/>
    <n v="3412"/>
    <s v="3412"/>
    <n v="30708"/>
    <x v="0"/>
    <x v="1"/>
    <x v="8"/>
    <s v="Medium"/>
    <s v="Online"/>
    <n v="30708"/>
  </r>
  <r>
    <n v="1394"/>
    <d v="2024-02-28T01:00:00"/>
    <s v="2024-02-28 01:00:00"/>
    <s v="south"/>
    <x v="3"/>
    <s v=" Home Appliances "/>
    <x v="1"/>
    <s v="Mixer Grinder"/>
    <s v="Mixer Grinder"/>
    <s v="CUST0629"/>
    <s v=" CUST0629 "/>
    <x v="4"/>
    <s v="Karthik"/>
    <x v="4"/>
    <s v="Credit Card"/>
    <n v="9"/>
    <s v="9"/>
    <n v="4963"/>
    <s v="4963"/>
    <n v="44667"/>
    <x v="0"/>
    <x v="1"/>
    <x v="8"/>
    <s v="Medium"/>
    <s v="Online"/>
    <n v="44667"/>
  </r>
  <r>
    <n v="1395"/>
    <d v="2024-02-28T02:00:00"/>
    <s v="2024-02-28 02:00:00"/>
    <s v=" North "/>
    <x v="2"/>
    <s v="Grocery"/>
    <x v="3"/>
    <s v="Mixer Grinder"/>
    <s v="Mixer Grinder"/>
    <s v="CUST0421"/>
    <s v=" CUST0421 "/>
    <x v="1"/>
    <s v="Meena"/>
    <x v="0"/>
    <s v=" Cash"/>
    <n v="5"/>
    <s v="5"/>
    <n v="553"/>
    <s v="553"/>
    <n v="2765"/>
    <x v="0"/>
    <x v="1"/>
    <x v="8"/>
    <s v="Low"/>
    <s v="Offline"/>
    <n v="2765"/>
  </r>
  <r>
    <n v="1396"/>
    <d v="2024-02-28T03:00:00"/>
    <s v="2024-02-28 03:00:00"/>
    <s v="south"/>
    <x v="3"/>
    <s v="Clothing"/>
    <x v="0"/>
    <s v="Laptop"/>
    <s v="Laptop"/>
    <s v="CUST0046"/>
    <s v=" CUST0046 "/>
    <x v="1"/>
    <s v="Meena"/>
    <x v="1"/>
    <s v="Debit card "/>
    <n v="3"/>
    <s v="3"/>
    <n v="3075"/>
    <s v="3075"/>
    <n v="9225"/>
    <x v="0"/>
    <x v="1"/>
    <x v="8"/>
    <s v="Low"/>
    <s v="Online"/>
    <n v="9225"/>
  </r>
  <r>
    <n v="1397"/>
    <d v="2024-02-28T04:00:00"/>
    <s v="2024-02-28 04:00:00"/>
    <s v="EAST"/>
    <x v="0"/>
    <s v=" Home Appliances "/>
    <x v="1"/>
    <s v="Men T-Shirt"/>
    <s v="Men T-Shirt"/>
    <s v="CUST0600"/>
    <s v=" CUST0600 "/>
    <x v="1"/>
    <s v="Meena"/>
    <x v="2"/>
    <s v="UPI"/>
    <n v="3"/>
    <s v="3"/>
    <n v="2424"/>
    <s v="2424"/>
    <n v="7272"/>
    <x v="0"/>
    <x v="1"/>
    <x v="8"/>
    <s v="Low"/>
    <s v="Online"/>
    <n v="7272"/>
  </r>
  <r>
    <n v="1398"/>
    <d v="2024-02-28T05:00:00"/>
    <s v="2024-02-28 05:00:00"/>
    <s v="EAST"/>
    <x v="0"/>
    <s v="Grocery"/>
    <x v="3"/>
    <s v="Mixer Grinder"/>
    <s v="Mixer Grinder"/>
    <s v="CUST0720"/>
    <s v=" CUST0720 "/>
    <x v="1"/>
    <s v="Meena"/>
    <x v="3"/>
    <s v=" Net Banking "/>
    <n v="12"/>
    <s v="12"/>
    <n v="1547"/>
    <s v="1547"/>
    <n v="18564"/>
    <x v="0"/>
    <x v="1"/>
    <x v="8"/>
    <s v="Low"/>
    <s v="Online"/>
    <n v="18564"/>
  </r>
  <r>
    <n v="1399"/>
    <d v="2024-02-28T06:00:00"/>
    <s v="2024-02-28 06:00:00"/>
    <s v=" west"/>
    <x v="1"/>
    <s v=" Home Appliances "/>
    <x v="1"/>
    <s v="Rice 5Kg"/>
    <s v="Rice 5kg"/>
    <s v="CUST0269"/>
    <s v=" CUST0269 "/>
    <x v="1"/>
    <s v="Meena"/>
    <x v="4"/>
    <s v="Credit Card"/>
    <n v="3"/>
    <s v="3"/>
    <n v="2661"/>
    <s v="2661"/>
    <n v="7983"/>
    <x v="0"/>
    <x v="1"/>
    <x v="8"/>
    <s v="Low"/>
    <s v="Online"/>
    <n v="7983"/>
  </r>
  <r>
    <n v="1400"/>
    <d v="2024-02-28T07:00:00"/>
    <s v="2024-02-28 07:00:00"/>
    <s v=" North "/>
    <x v="2"/>
    <s v=" Home Appliances "/>
    <x v="1"/>
    <s v="Washing Machine"/>
    <s v="Washing Machine"/>
    <s v="CUST0601"/>
    <s v=" CUST0601 "/>
    <x v="4"/>
    <s v="Karthik"/>
    <x v="0"/>
    <s v=" Cash"/>
    <n v="6"/>
    <s v="6"/>
    <n v="2611"/>
    <s v="2611"/>
    <n v="15666"/>
    <x v="0"/>
    <x v="1"/>
    <x v="8"/>
    <s v="Low"/>
    <s v="Offline"/>
    <n v="15666"/>
  </r>
  <r>
    <n v="1401"/>
    <d v="2024-02-28T08:00:00"/>
    <s v="2024-02-28 08:00:00"/>
    <s v="EAST"/>
    <x v="0"/>
    <s v=" Home Appliances "/>
    <x v="1"/>
    <s v="Washing Machine"/>
    <s v="Washing Machine"/>
    <s v="CUST0381"/>
    <s v=" CUST0381 "/>
    <x v="0"/>
    <s v="Rahul"/>
    <x v="0"/>
    <s v=" Cash"/>
    <n v="4"/>
    <s v="4"/>
    <n v="2971"/>
    <s v="2971"/>
    <n v="11884"/>
    <x v="0"/>
    <x v="1"/>
    <x v="8"/>
    <s v="Low"/>
    <s v="Offline"/>
    <n v="11884"/>
  </r>
  <r>
    <n v="1402"/>
    <d v="2024-02-28T09:00:00"/>
    <s v="2024-02-28 09:00:00"/>
    <s v="EAST"/>
    <x v="0"/>
    <s v=" Home Appliances "/>
    <x v="1"/>
    <s v="Led Tv 42Inch"/>
    <s v="LED TV 42inch"/>
    <s v="CUST0118"/>
    <s v=" CUST0118 "/>
    <x v="0"/>
    <s v="Rahul"/>
    <x v="2"/>
    <s v="UPI"/>
    <n v="8"/>
    <s v="8"/>
    <n v="462"/>
    <s v="462"/>
    <n v="3696"/>
    <x v="0"/>
    <x v="1"/>
    <x v="8"/>
    <s v="Low"/>
    <s v="Online"/>
    <n v="3696"/>
  </r>
  <r>
    <n v="1403"/>
    <d v="2024-02-28T10:00:00"/>
    <s v="2024-02-28 10:00:00"/>
    <s v=" North "/>
    <x v="2"/>
    <s v=" Home Appliances "/>
    <x v="1"/>
    <s v="Led Tv 42Inch"/>
    <s v="LED TV 42inch"/>
    <s v="CUST0566"/>
    <s v=" CUST0566 "/>
    <x v="3"/>
    <s v="Anita"/>
    <x v="0"/>
    <s v=" Cash"/>
    <n v="13"/>
    <s v="13"/>
    <n v="3554"/>
    <s v="3554"/>
    <n v="46202"/>
    <x v="0"/>
    <x v="1"/>
    <x v="8"/>
    <s v="Medium"/>
    <s v="Offline"/>
    <n v="46202"/>
  </r>
  <r>
    <n v="1404"/>
    <d v="2024-02-28T11:00:00"/>
    <s v="2024-02-28 11:00:00"/>
    <s v="south"/>
    <x v="3"/>
    <s v=" Home Appliances "/>
    <x v="1"/>
    <s v="Laptop"/>
    <s v="Laptop"/>
    <s v="CUST0116"/>
    <s v=" CUST0116 "/>
    <x v="0"/>
    <s v="Rahul"/>
    <x v="0"/>
    <s v=" Cash"/>
    <n v="11"/>
    <s v="11"/>
    <n v="2898"/>
    <s v="2898"/>
    <n v="31878"/>
    <x v="0"/>
    <x v="1"/>
    <x v="8"/>
    <s v="Medium"/>
    <s v="Offline"/>
    <n v="31878"/>
  </r>
  <r>
    <n v="1405"/>
    <d v="2024-02-28T12:00:00"/>
    <s v="2024-02-28 12:00:00"/>
    <s v="south"/>
    <x v="3"/>
    <s v="Grocery"/>
    <x v="3"/>
    <s v="Laptop"/>
    <s v="Laptop"/>
    <s v="CUST0630"/>
    <s v=" CUST0630 "/>
    <x v="0"/>
    <s v="Rahul"/>
    <x v="2"/>
    <s v="UPI"/>
    <n v="13"/>
    <s v="13"/>
    <n v="4720"/>
    <s v="4720"/>
    <n v="61360"/>
    <x v="0"/>
    <x v="1"/>
    <x v="8"/>
    <s v="High"/>
    <s v="Online"/>
    <n v="61360"/>
  </r>
  <r>
    <n v="1406"/>
    <d v="2024-02-28T13:00:00"/>
    <s v="2024-02-28 13:00:00"/>
    <s v=" west"/>
    <x v="1"/>
    <s v="Clothing"/>
    <x v="0"/>
    <s v="Washing Machine"/>
    <s v="Washing Machine"/>
    <s v="CUST0260"/>
    <s v=" CUST0260 "/>
    <x v="4"/>
    <s v="Karthik"/>
    <x v="3"/>
    <s v=" Net Banking "/>
    <n v="11"/>
    <s v="11"/>
    <n v="3553"/>
    <s v="3553"/>
    <n v="39083"/>
    <x v="0"/>
    <x v="1"/>
    <x v="8"/>
    <s v="Medium"/>
    <s v="Online"/>
    <n v="39083"/>
  </r>
  <r>
    <n v="1407"/>
    <d v="2024-02-28T14:00:00"/>
    <s v="2024-02-28 14:00:00"/>
    <s v="south"/>
    <x v="3"/>
    <s v="Electronics"/>
    <x v="2"/>
    <s v="Rice 5Kg"/>
    <s v="Rice 5kg"/>
    <s v="CUST0075"/>
    <s v=" CUST0075 "/>
    <x v="1"/>
    <s v="Meena"/>
    <x v="1"/>
    <s v="Debit card "/>
    <n v="11"/>
    <s v="11"/>
    <n v="3355"/>
    <s v="3355"/>
    <n v="36905"/>
    <x v="0"/>
    <x v="1"/>
    <x v="8"/>
    <s v="Medium"/>
    <s v="Online"/>
    <n v="36905"/>
  </r>
  <r>
    <n v="1408"/>
    <d v="2024-02-28T15:00:00"/>
    <s v="2024-02-28 15:00:00"/>
    <s v=" North "/>
    <x v="2"/>
    <s v=" Home Appliances "/>
    <x v="1"/>
    <s v="Men T-Shirt"/>
    <s v="Men T-Shirt"/>
    <s v="CUST0480"/>
    <s v=" CUST0480 "/>
    <x v="1"/>
    <s v="Meena"/>
    <x v="1"/>
    <s v="Debit card "/>
    <n v="5"/>
    <s v="5"/>
    <n v="1317"/>
    <s v="1317"/>
    <n v="6585"/>
    <x v="0"/>
    <x v="1"/>
    <x v="8"/>
    <s v="Low"/>
    <s v="Online"/>
    <n v="6585"/>
  </r>
  <r>
    <n v="1409"/>
    <d v="2024-02-28T16:00:00"/>
    <s v="2024-02-28 16:00:00"/>
    <s v="EAST"/>
    <x v="0"/>
    <s v="Electronics"/>
    <x v="2"/>
    <s v="Men T-Shirt"/>
    <s v="Men T-Shirt"/>
    <s v="CUST0305"/>
    <s v=" CUST0305 "/>
    <x v="4"/>
    <s v="Karthik"/>
    <x v="4"/>
    <s v="Credit Card"/>
    <n v="1"/>
    <s v="1"/>
    <n v="1585"/>
    <s v="1585"/>
    <n v="1585"/>
    <x v="0"/>
    <x v="1"/>
    <x v="8"/>
    <s v="Low"/>
    <s v="Online"/>
    <n v="1585"/>
  </r>
  <r>
    <n v="1410"/>
    <d v="2024-02-28T17:00:00"/>
    <s v="2024-02-28 17:00:00"/>
    <s v="south"/>
    <x v="3"/>
    <s v="Grocery"/>
    <x v="3"/>
    <s v="Laptop"/>
    <s v="Laptop"/>
    <s v="CUST0007"/>
    <s v=" CUST0007 "/>
    <x v="0"/>
    <s v="Rahul"/>
    <x v="3"/>
    <s v=" Net Banking "/>
    <n v="9"/>
    <s v="9"/>
    <n v="2203"/>
    <s v="2203"/>
    <n v="19827"/>
    <x v="0"/>
    <x v="1"/>
    <x v="8"/>
    <s v="Low"/>
    <s v="Online"/>
    <n v="19827"/>
  </r>
  <r>
    <n v="1411"/>
    <d v="2024-02-28T18:00:00"/>
    <s v="2024-02-28 18:00:00"/>
    <s v=" west"/>
    <x v="1"/>
    <s v=" Home Appliances "/>
    <x v="1"/>
    <s v="Rice 5Kg"/>
    <s v="Rice 5kg"/>
    <s v="CUST0366"/>
    <s v=" CUST0366 "/>
    <x v="4"/>
    <s v="Karthik"/>
    <x v="4"/>
    <s v="Credit Card"/>
    <n v="1"/>
    <s v="1"/>
    <n v="2636"/>
    <s v="2636"/>
    <n v="2636"/>
    <x v="0"/>
    <x v="1"/>
    <x v="8"/>
    <s v="Low"/>
    <s v="Online"/>
    <n v="2636"/>
  </r>
  <r>
    <n v="1412"/>
    <d v="2024-02-28T19:00:00"/>
    <s v="2024-02-28 19:00:00"/>
    <s v="south"/>
    <x v="3"/>
    <s v="Clothing"/>
    <x v="0"/>
    <s v="Laptop"/>
    <s v="Laptop"/>
    <s v="CUST0634"/>
    <s v=" CUST0634 "/>
    <x v="3"/>
    <s v="Anita"/>
    <x v="1"/>
    <s v="Debit card "/>
    <n v="6"/>
    <s v="6"/>
    <n v="1955"/>
    <s v="1955"/>
    <n v="11730"/>
    <x v="0"/>
    <x v="1"/>
    <x v="8"/>
    <s v="Low"/>
    <s v="Online"/>
    <n v="11730"/>
  </r>
  <r>
    <n v="1413"/>
    <d v="2024-02-28T20:00:00"/>
    <s v="2024-02-28 20:00:00"/>
    <s v=" North "/>
    <x v="2"/>
    <s v="Electronics"/>
    <x v="2"/>
    <s v="Men T-Shirt"/>
    <s v="Men T-Shirt"/>
    <s v="CUST0523"/>
    <s v=" CUST0523 "/>
    <x v="1"/>
    <s v="Meena"/>
    <x v="2"/>
    <s v="UPI"/>
    <n v="1"/>
    <s v="1"/>
    <n v="4917"/>
    <s v="4917"/>
    <n v="4917"/>
    <x v="0"/>
    <x v="1"/>
    <x v="8"/>
    <s v="Low"/>
    <s v="Online"/>
    <n v="4917"/>
  </r>
  <r>
    <n v="1414"/>
    <d v="2024-02-28T21:00:00"/>
    <s v="2024-02-28 21:00:00"/>
    <s v=" west"/>
    <x v="1"/>
    <s v=" Home Appliances "/>
    <x v="1"/>
    <s v="Laptop"/>
    <s v="Laptop"/>
    <s v="CUST0348"/>
    <s v=" CUST0348 "/>
    <x v="2"/>
    <s v="Suresh"/>
    <x v="0"/>
    <s v=" Cash"/>
    <n v="3"/>
    <s v="3"/>
    <n v="1307"/>
    <s v="1307"/>
    <n v="3921"/>
    <x v="0"/>
    <x v="1"/>
    <x v="8"/>
    <s v="Low"/>
    <s v="Offline"/>
    <n v="3921"/>
  </r>
  <r>
    <n v="1415"/>
    <d v="2024-02-28T22:00:00"/>
    <s v="2024-02-28 22:00:00"/>
    <s v="south"/>
    <x v="3"/>
    <s v="Grocery"/>
    <x v="3"/>
    <s v="Mixer Grinder"/>
    <s v="Mixer Grinder"/>
    <s v="CUST0438"/>
    <s v=" CUST0438 "/>
    <x v="3"/>
    <s v="Anita"/>
    <x v="1"/>
    <s v="Debit card "/>
    <n v="10"/>
    <s v="10"/>
    <n v="1548"/>
    <s v="1548"/>
    <n v="15480"/>
    <x v="0"/>
    <x v="1"/>
    <x v="8"/>
    <s v="Low"/>
    <s v="Online"/>
    <n v="15480"/>
  </r>
  <r>
    <n v="1416"/>
    <d v="2024-02-28T23:00:00"/>
    <s v="2024-02-28 23:00:00"/>
    <s v=" west"/>
    <x v="1"/>
    <s v="Clothing"/>
    <x v="0"/>
    <s v="Laptop"/>
    <s v="Laptop"/>
    <s v="CUST0215"/>
    <s v=" CUST0215 "/>
    <x v="3"/>
    <s v="Anita"/>
    <x v="3"/>
    <s v=" Net Banking "/>
    <n v="5"/>
    <s v="5"/>
    <n v="1607"/>
    <s v="1607"/>
    <n v="8035"/>
    <x v="0"/>
    <x v="1"/>
    <x v="8"/>
    <s v="Low"/>
    <s v="Online"/>
    <n v="8035"/>
  </r>
  <r>
    <n v="1417"/>
    <d v="2024-02-29T00:00:00"/>
    <s v="2024-02-29 00:00:00"/>
    <s v=" North "/>
    <x v="2"/>
    <s v="Electronics"/>
    <x v="2"/>
    <s v="Washing Machine"/>
    <s v="Washing Machine"/>
    <s v="CUST0429"/>
    <s v=" CUST0429 "/>
    <x v="4"/>
    <s v="Karthik"/>
    <x v="1"/>
    <s v="Debit card "/>
    <n v="10"/>
    <s v="10"/>
    <n v="1103"/>
    <s v="1103"/>
    <n v="11030"/>
    <x v="0"/>
    <x v="1"/>
    <x v="8"/>
    <s v="Low"/>
    <s v="Online"/>
    <n v="11030"/>
  </r>
  <r>
    <n v="1418"/>
    <d v="2024-02-29T01:00:00"/>
    <s v="2024-02-29 01:00:00"/>
    <s v="EAST"/>
    <x v="0"/>
    <s v="Electronics"/>
    <x v="2"/>
    <s v="Laptop"/>
    <s v="Laptop"/>
    <s v="CUST0791"/>
    <s v=" CUST0791 "/>
    <x v="0"/>
    <s v="Rahul"/>
    <x v="3"/>
    <s v=" Net Banking "/>
    <n v="7"/>
    <s v="7"/>
    <n v="1025"/>
    <s v="1025"/>
    <n v="7175"/>
    <x v="0"/>
    <x v="1"/>
    <x v="8"/>
    <s v="Low"/>
    <s v="Online"/>
    <n v="7175"/>
  </r>
  <r>
    <n v="1419"/>
    <d v="2024-02-29T02:00:00"/>
    <s v="2024-02-29 02:00:00"/>
    <s v=" North "/>
    <x v="2"/>
    <s v=" Home Appliances "/>
    <x v="1"/>
    <s v="Washing Machine"/>
    <s v="Washing Machine"/>
    <s v="CUST0498"/>
    <s v=" CUST0498 "/>
    <x v="1"/>
    <s v="Meena"/>
    <x v="3"/>
    <s v=" Net Banking "/>
    <n v="14"/>
    <s v="14"/>
    <n v="183"/>
    <s v="183"/>
    <n v="2562"/>
    <x v="0"/>
    <x v="1"/>
    <x v="8"/>
    <s v="Low"/>
    <s v="Online"/>
    <n v="2562"/>
  </r>
  <r>
    <n v="1420"/>
    <d v="2024-02-29T03:00:00"/>
    <s v="2024-02-29 03:00:00"/>
    <s v=" North "/>
    <x v="2"/>
    <s v="Clothing"/>
    <x v="0"/>
    <s v="Rice 5Kg"/>
    <s v="Rice 5kg"/>
    <s v="CUST0540"/>
    <s v=" CUST0540 "/>
    <x v="2"/>
    <s v="Suresh"/>
    <x v="3"/>
    <s v=" Net Banking "/>
    <n v="10"/>
    <s v="10"/>
    <n v="3842"/>
    <s v="3842"/>
    <n v="38420"/>
    <x v="0"/>
    <x v="1"/>
    <x v="8"/>
    <s v="Medium"/>
    <s v="Online"/>
    <n v="38420"/>
  </r>
  <r>
    <n v="1421"/>
    <d v="2024-02-29T04:00:00"/>
    <s v="2024-02-29 04:00:00"/>
    <s v=" North "/>
    <x v="2"/>
    <s v="Clothing"/>
    <x v="0"/>
    <s v="Men T-Shirt"/>
    <s v="Men T-Shirt"/>
    <s v="CUST0747"/>
    <s v=" CUST0747 "/>
    <x v="3"/>
    <s v="Anita"/>
    <x v="4"/>
    <s v="Credit Card"/>
    <n v="8"/>
    <s v="8"/>
    <n v="4027"/>
    <s v="4027"/>
    <n v="32216"/>
    <x v="0"/>
    <x v="1"/>
    <x v="8"/>
    <s v="Medium"/>
    <s v="Online"/>
    <n v="32216"/>
  </r>
  <r>
    <n v="1422"/>
    <d v="2024-02-29T05:00:00"/>
    <s v="2024-02-29 05:00:00"/>
    <s v=" North "/>
    <x v="2"/>
    <s v="Clothing"/>
    <x v="0"/>
    <s v="Led Tv 42Inch"/>
    <s v="LED TV 42inch"/>
    <s v="CUST0367"/>
    <s v=" CUST0367 "/>
    <x v="2"/>
    <s v="Suresh"/>
    <x v="2"/>
    <s v="UPI"/>
    <n v="12"/>
    <s v="12"/>
    <n v="1642"/>
    <s v="1642"/>
    <n v="19704"/>
    <x v="0"/>
    <x v="1"/>
    <x v="8"/>
    <s v="Low"/>
    <s v="Online"/>
    <n v="19704"/>
  </r>
  <r>
    <n v="1423"/>
    <d v="2024-02-29T06:00:00"/>
    <s v="2024-02-29 06:00:00"/>
    <s v="EAST"/>
    <x v="0"/>
    <s v="Clothing"/>
    <x v="0"/>
    <s v="Led Tv 42Inch"/>
    <s v="LED TV 42inch"/>
    <s v="CUST0313"/>
    <s v=" CUST0313 "/>
    <x v="0"/>
    <s v="Rahul"/>
    <x v="1"/>
    <s v="Debit card "/>
    <n v="9"/>
    <s v="9"/>
    <n v="1085"/>
    <s v="1085"/>
    <n v="9765"/>
    <x v="0"/>
    <x v="1"/>
    <x v="8"/>
    <s v="Low"/>
    <s v="Online"/>
    <n v="9765"/>
  </r>
  <r>
    <n v="1424"/>
    <d v="2024-02-29T07:00:00"/>
    <s v="2024-02-29 07:00:00"/>
    <s v="EAST"/>
    <x v="0"/>
    <s v="Grocery"/>
    <x v="3"/>
    <s v="Men T-Shirt"/>
    <s v="Men T-Shirt"/>
    <s v="CUST0538"/>
    <s v=" CUST0538 "/>
    <x v="0"/>
    <s v="Rahul"/>
    <x v="2"/>
    <s v="UPI"/>
    <n v="6"/>
    <s v="6"/>
    <n v="4331"/>
    <s v="4331"/>
    <n v="25986"/>
    <x v="0"/>
    <x v="1"/>
    <x v="8"/>
    <s v="Medium"/>
    <s v="Online"/>
    <n v="25986"/>
  </r>
  <r>
    <n v="1425"/>
    <d v="2024-02-29T08:00:00"/>
    <s v="2024-02-29 08:00:00"/>
    <s v=" west"/>
    <x v="1"/>
    <s v="Clothing"/>
    <x v="0"/>
    <s v="Led Tv 42Inch"/>
    <s v="LED TV 42inch"/>
    <s v="CUST0054"/>
    <s v=" CUST0054 "/>
    <x v="2"/>
    <s v="Suresh"/>
    <x v="0"/>
    <s v=" Cash"/>
    <n v="11"/>
    <s v="11"/>
    <n v="1008"/>
    <s v="1008"/>
    <n v="11088"/>
    <x v="0"/>
    <x v="1"/>
    <x v="8"/>
    <s v="Low"/>
    <s v="Offline"/>
    <n v="11088"/>
  </r>
  <r>
    <n v="1426"/>
    <d v="2024-02-29T09:00:00"/>
    <s v="2024-02-29 09:00:00"/>
    <s v="south"/>
    <x v="3"/>
    <s v="Electronics"/>
    <x v="2"/>
    <s v="Laptop"/>
    <s v="Laptop"/>
    <s v="CUST0541"/>
    <s v=" CUST0541 "/>
    <x v="1"/>
    <s v="Meena"/>
    <x v="1"/>
    <s v="Debit card "/>
    <n v="9"/>
    <s v="9"/>
    <n v="3008"/>
    <s v="3008"/>
    <n v="27072"/>
    <x v="0"/>
    <x v="1"/>
    <x v="8"/>
    <s v="Medium"/>
    <s v="Online"/>
    <n v="27072"/>
  </r>
  <r>
    <n v="1427"/>
    <d v="2024-02-29T10:00:00"/>
    <s v="2024-02-29 10:00:00"/>
    <s v="EAST"/>
    <x v="0"/>
    <s v="Electronics"/>
    <x v="2"/>
    <s v="Rice 5Kg"/>
    <s v="Rice 5kg"/>
    <s v="CUST0467"/>
    <s v=" CUST0467 "/>
    <x v="0"/>
    <s v="Rahul"/>
    <x v="2"/>
    <s v="UPI"/>
    <n v="8"/>
    <s v="8"/>
    <n v="4785"/>
    <s v="4785"/>
    <n v="38280"/>
    <x v="0"/>
    <x v="1"/>
    <x v="8"/>
    <s v="Medium"/>
    <s v="Online"/>
    <n v="38280"/>
  </r>
  <r>
    <n v="1428"/>
    <d v="2024-02-29T11:00:00"/>
    <s v="2024-02-29 11:00:00"/>
    <s v="EAST"/>
    <x v="0"/>
    <s v="Grocery"/>
    <x v="3"/>
    <s v="Rice 5Kg"/>
    <s v="Rice 5kg"/>
    <s v="CUST0164"/>
    <s v=" CUST0164 "/>
    <x v="2"/>
    <s v="Suresh"/>
    <x v="2"/>
    <s v="UPI"/>
    <n v="9"/>
    <s v="9"/>
    <n v="2837"/>
    <s v="2837"/>
    <n v="25533"/>
    <x v="0"/>
    <x v="1"/>
    <x v="8"/>
    <s v="Medium"/>
    <s v="Online"/>
    <n v="25533"/>
  </r>
  <r>
    <n v="1429"/>
    <d v="2024-02-29T12:00:00"/>
    <s v="2024-02-29 12:00:00"/>
    <s v="south"/>
    <x v="3"/>
    <s v="Electronics"/>
    <x v="2"/>
    <s v="Men T-Shirt"/>
    <s v="Men T-Shirt"/>
    <s v="CUST0782"/>
    <s v=" CUST0782 "/>
    <x v="3"/>
    <s v="Anita"/>
    <x v="0"/>
    <s v=" Cash"/>
    <n v="10"/>
    <s v="10"/>
    <n v="2686"/>
    <s v="2686"/>
    <n v="26860"/>
    <x v="0"/>
    <x v="1"/>
    <x v="8"/>
    <s v="Medium"/>
    <s v="Offline"/>
    <n v="26860"/>
  </r>
  <r>
    <n v="1430"/>
    <d v="2024-02-29T13:00:00"/>
    <s v="2024-02-29 13:00:00"/>
    <s v="EAST"/>
    <x v="0"/>
    <s v="Electronics"/>
    <x v="2"/>
    <s v="Led Tv 42Inch"/>
    <s v="LED TV 42inch"/>
    <s v="CUST0334"/>
    <s v=" CUST0334 "/>
    <x v="2"/>
    <s v="Suresh"/>
    <x v="3"/>
    <s v=" Net Banking "/>
    <n v="4"/>
    <s v="4"/>
    <n v="1243"/>
    <s v="1243"/>
    <n v="4972"/>
    <x v="0"/>
    <x v="1"/>
    <x v="8"/>
    <s v="Low"/>
    <s v="Online"/>
    <n v="4972"/>
  </r>
  <r>
    <n v="1431"/>
    <d v="2024-02-29T14:00:00"/>
    <s v="2024-02-29 14:00:00"/>
    <s v=" North "/>
    <x v="2"/>
    <s v="Clothing"/>
    <x v="0"/>
    <s v="Laptop"/>
    <s v="Laptop"/>
    <s v="CUST0547"/>
    <s v=" CUST0547 "/>
    <x v="2"/>
    <s v="Suresh"/>
    <x v="1"/>
    <s v="Debit card "/>
    <n v="9"/>
    <s v="9"/>
    <n v="1431"/>
    <s v="1431"/>
    <n v="12879"/>
    <x v="0"/>
    <x v="1"/>
    <x v="8"/>
    <s v="Low"/>
    <s v="Online"/>
    <n v="12879"/>
  </r>
  <r>
    <n v="1432"/>
    <d v="2024-02-29T15:00:00"/>
    <s v="2024-02-29 15:00:00"/>
    <s v=" North "/>
    <x v="2"/>
    <s v="Electronics"/>
    <x v="2"/>
    <s v="Rice 5Kg"/>
    <s v="Rice 5kg"/>
    <s v="CUST0798"/>
    <s v=" CUST0798 "/>
    <x v="4"/>
    <s v="Karthik"/>
    <x v="1"/>
    <s v="Debit card "/>
    <n v="7"/>
    <s v="7"/>
    <n v="3448"/>
    <s v="3448"/>
    <n v="24136"/>
    <x v="0"/>
    <x v="1"/>
    <x v="8"/>
    <s v="Medium"/>
    <s v="Online"/>
    <n v="24136"/>
  </r>
  <r>
    <n v="1433"/>
    <d v="2024-02-29T16:00:00"/>
    <s v="2024-02-29 16:00:00"/>
    <s v="south"/>
    <x v="3"/>
    <s v="Grocery"/>
    <x v="3"/>
    <s v="Rice 5Kg"/>
    <s v="Rice 5kg"/>
    <s v="CUST0348"/>
    <s v=" CUST0348 "/>
    <x v="0"/>
    <s v="Rahul"/>
    <x v="0"/>
    <s v=" Cash"/>
    <n v="5"/>
    <s v="5"/>
    <n v="1653"/>
    <s v="1653"/>
    <n v="8265"/>
    <x v="0"/>
    <x v="1"/>
    <x v="8"/>
    <s v="Low"/>
    <s v="Offline"/>
    <n v="8265"/>
  </r>
  <r>
    <n v="1434"/>
    <d v="2024-02-29T17:00:00"/>
    <s v="2024-02-29 17:00:00"/>
    <s v=" west"/>
    <x v="1"/>
    <s v="Clothing"/>
    <x v="0"/>
    <s v="Mixer Grinder"/>
    <s v="Mixer Grinder"/>
    <s v="CUST0273"/>
    <s v=" CUST0273 "/>
    <x v="1"/>
    <s v="Meena"/>
    <x v="3"/>
    <s v=" Net Banking "/>
    <n v="5"/>
    <s v="5"/>
    <n v="2442"/>
    <s v="2442"/>
    <n v="12210"/>
    <x v="0"/>
    <x v="1"/>
    <x v="8"/>
    <s v="Low"/>
    <s v="Online"/>
    <n v="12210"/>
  </r>
  <r>
    <n v="1435"/>
    <d v="2024-02-29T18:00:00"/>
    <s v="2024-02-29 18:00:00"/>
    <s v=" west"/>
    <x v="1"/>
    <s v=" Home Appliances "/>
    <x v="1"/>
    <s v="Mixer Grinder"/>
    <s v="Mixer Grinder"/>
    <s v="CUST0720"/>
    <s v=" CUST0720 "/>
    <x v="1"/>
    <s v="Meena"/>
    <x v="1"/>
    <s v="Debit card "/>
    <n v="1"/>
    <s v="1"/>
    <n v="1906"/>
    <s v="1906"/>
    <n v="1906"/>
    <x v="0"/>
    <x v="1"/>
    <x v="8"/>
    <s v="Low"/>
    <s v="Online"/>
    <n v="1906"/>
  </r>
  <r>
    <n v="1436"/>
    <d v="2024-02-29T19:00:00"/>
    <s v="2024-02-29 19:00:00"/>
    <s v="south"/>
    <x v="3"/>
    <s v="Clothing"/>
    <x v="0"/>
    <s v="Rice 5Kg"/>
    <s v="Rice 5kg"/>
    <s v="CUST0750"/>
    <s v=" CUST0750 "/>
    <x v="4"/>
    <s v="Karthik"/>
    <x v="1"/>
    <s v="Debit card "/>
    <n v="2"/>
    <s v="2"/>
    <n v="2200"/>
    <s v="2200"/>
    <n v="4400"/>
    <x v="0"/>
    <x v="1"/>
    <x v="8"/>
    <s v="Low"/>
    <s v="Online"/>
    <n v="4400"/>
  </r>
  <r>
    <n v="1437"/>
    <d v="2024-02-29T20:00:00"/>
    <s v="2024-02-29 20:00:00"/>
    <s v="south"/>
    <x v="3"/>
    <s v="Grocery"/>
    <x v="3"/>
    <s v="Men T-Shirt"/>
    <s v="Men T-Shirt"/>
    <s v="CUST0414"/>
    <s v=" CUST0414 "/>
    <x v="1"/>
    <s v="Meena"/>
    <x v="1"/>
    <s v="Debit card "/>
    <n v="10"/>
    <s v="10"/>
    <n v="905"/>
    <s v="905"/>
    <n v="9050"/>
    <x v="0"/>
    <x v="1"/>
    <x v="8"/>
    <s v="Low"/>
    <s v="Online"/>
    <n v="9050"/>
  </r>
  <r>
    <n v="1438"/>
    <d v="2024-02-29T21:00:00"/>
    <s v="2024-02-29 21:00:00"/>
    <s v=" North "/>
    <x v="2"/>
    <s v="Clothing"/>
    <x v="0"/>
    <s v="Washing Machine"/>
    <s v="Washing Machine"/>
    <s v="CUST0500"/>
    <s v=" CUST0500 "/>
    <x v="2"/>
    <s v="Suresh"/>
    <x v="3"/>
    <s v=" Net Banking "/>
    <n v="3"/>
    <s v="3"/>
    <n v="4247"/>
    <s v="4247"/>
    <n v="12741"/>
    <x v="0"/>
    <x v="1"/>
    <x v="8"/>
    <s v="Low"/>
    <s v="Online"/>
    <n v="12741"/>
  </r>
  <r>
    <n v="1439"/>
    <d v="2024-02-29T22:00:00"/>
    <s v="2024-02-29 22:00:00"/>
    <s v=" west"/>
    <x v="1"/>
    <s v="Clothing"/>
    <x v="0"/>
    <s v="Washing Machine"/>
    <s v="Washing Machine"/>
    <s v="CUST0093"/>
    <s v=" CUST0093 "/>
    <x v="4"/>
    <s v="Karthik"/>
    <x v="0"/>
    <s v=" Cash"/>
    <n v="14"/>
    <s v="14"/>
    <n v="2875"/>
    <s v="2875"/>
    <n v="40250"/>
    <x v="0"/>
    <x v="1"/>
    <x v="8"/>
    <s v="Medium"/>
    <s v="Offline"/>
    <n v="40250"/>
  </r>
  <r>
    <n v="1440"/>
    <d v="2024-02-29T23:00:00"/>
    <s v="2024-02-29 23:00:00"/>
    <s v="EAST"/>
    <x v="0"/>
    <s v="Grocery"/>
    <x v="3"/>
    <s v="Laptop"/>
    <s v="Laptop"/>
    <s v="CUST0685"/>
    <s v=" CUST0685 "/>
    <x v="3"/>
    <s v="Anita"/>
    <x v="1"/>
    <s v="Debit card "/>
    <n v="14"/>
    <s v="14"/>
    <n v="171"/>
    <s v="171"/>
    <n v="2394"/>
    <x v="0"/>
    <x v="1"/>
    <x v="8"/>
    <s v="Low"/>
    <s v="Online"/>
    <n v="2394"/>
  </r>
  <r>
    <n v="1441"/>
    <d v="2024-03-01T00:00:00"/>
    <s v="2024-03-01 00:00:00"/>
    <s v=" North "/>
    <x v="2"/>
    <s v="Clothing"/>
    <x v="0"/>
    <s v="Rice 5Kg"/>
    <s v="Rice 5kg"/>
    <s v="CUST0079"/>
    <s v=" CUST0079 "/>
    <x v="0"/>
    <s v="Rahul"/>
    <x v="2"/>
    <s v="UPI"/>
    <n v="8"/>
    <s v="8"/>
    <n v="127"/>
    <s v="127"/>
    <n v="1016"/>
    <x v="0"/>
    <x v="2"/>
    <x v="8"/>
    <s v="Low"/>
    <s v="Online"/>
    <n v="1016"/>
  </r>
  <r>
    <n v="1442"/>
    <d v="2024-03-01T01:00:00"/>
    <s v="2024-03-01 01:00:00"/>
    <s v="south"/>
    <x v="3"/>
    <s v="Grocery"/>
    <x v="3"/>
    <s v="Rice 5Kg"/>
    <s v="Rice 5kg"/>
    <s v="CUST0622"/>
    <s v=" CUST0622 "/>
    <x v="0"/>
    <s v="Rahul"/>
    <x v="3"/>
    <s v=" Net Banking "/>
    <n v="6"/>
    <s v="6"/>
    <n v="568"/>
    <s v="568"/>
    <n v="3408"/>
    <x v="0"/>
    <x v="2"/>
    <x v="8"/>
    <s v="Low"/>
    <s v="Online"/>
    <n v="3408"/>
  </r>
  <r>
    <n v="1443"/>
    <d v="2024-03-01T02:00:00"/>
    <s v="2024-03-01 02:00:00"/>
    <s v=" west"/>
    <x v="1"/>
    <s v="Grocery"/>
    <x v="3"/>
    <s v="Rice 5Kg"/>
    <s v="Rice 5kg"/>
    <s v="CUST0217"/>
    <s v=" CUST0217 "/>
    <x v="0"/>
    <s v="Rahul"/>
    <x v="4"/>
    <s v="Credit Card"/>
    <n v="12"/>
    <s v="12"/>
    <n v="4083"/>
    <s v="4083"/>
    <n v="48996"/>
    <x v="0"/>
    <x v="2"/>
    <x v="8"/>
    <s v="Medium"/>
    <s v="Online"/>
    <n v="48996"/>
  </r>
  <r>
    <n v="1444"/>
    <d v="2024-03-01T03:00:00"/>
    <s v="2024-03-01 03:00:00"/>
    <s v="EAST"/>
    <x v="0"/>
    <s v=" Home Appliances "/>
    <x v="1"/>
    <s v="Men T-Shirt"/>
    <s v="Men T-Shirt"/>
    <s v="CUST0358"/>
    <s v=" CUST0358 "/>
    <x v="2"/>
    <s v="Suresh"/>
    <x v="0"/>
    <s v=" Cash"/>
    <n v="10"/>
    <s v="10"/>
    <n v="863"/>
    <s v="863"/>
    <n v="8630"/>
    <x v="0"/>
    <x v="2"/>
    <x v="8"/>
    <s v="Low"/>
    <s v="Offline"/>
    <n v="8630"/>
  </r>
  <r>
    <n v="1445"/>
    <d v="2024-03-01T04:00:00"/>
    <s v="2024-03-01 04:00:00"/>
    <s v="EAST"/>
    <x v="0"/>
    <s v="Electronics"/>
    <x v="2"/>
    <s v="Mixer Grinder"/>
    <s v="Mixer Grinder"/>
    <s v="CUST0618"/>
    <s v=" CUST0618 "/>
    <x v="3"/>
    <s v="Anita"/>
    <x v="2"/>
    <s v="UPI"/>
    <n v="11"/>
    <s v="11"/>
    <n v="1524"/>
    <s v="1524"/>
    <n v="16764"/>
    <x v="0"/>
    <x v="2"/>
    <x v="8"/>
    <s v="Low"/>
    <s v="Online"/>
    <n v="16764"/>
  </r>
  <r>
    <n v="1446"/>
    <d v="2024-03-01T05:00:00"/>
    <s v="2024-03-01 05:00:00"/>
    <s v=" North "/>
    <x v="2"/>
    <s v="Electronics"/>
    <x v="2"/>
    <s v="Rice 5Kg"/>
    <s v="Rice 5kg"/>
    <s v="CUST0507"/>
    <s v=" CUST0507 "/>
    <x v="4"/>
    <s v="Karthik"/>
    <x v="1"/>
    <s v="Debit card "/>
    <n v="13"/>
    <s v="13"/>
    <n v="2348"/>
    <s v="2348"/>
    <n v="30524"/>
    <x v="0"/>
    <x v="2"/>
    <x v="8"/>
    <s v="Medium"/>
    <s v="Online"/>
    <n v="30524"/>
  </r>
  <r>
    <n v="1447"/>
    <d v="2024-03-01T06:00:00"/>
    <s v="2024-03-01 06:00:00"/>
    <s v=" west"/>
    <x v="1"/>
    <s v="Clothing"/>
    <x v="0"/>
    <s v="Rice 5Kg"/>
    <s v="Rice 5kg"/>
    <s v="CUST0559"/>
    <s v=" CUST0559 "/>
    <x v="4"/>
    <s v="Karthik"/>
    <x v="4"/>
    <s v="Credit Card"/>
    <n v="14"/>
    <s v="14"/>
    <n v="3932"/>
    <s v="3932"/>
    <n v="55048"/>
    <x v="0"/>
    <x v="2"/>
    <x v="8"/>
    <s v="High"/>
    <s v="Online"/>
    <n v="55048"/>
  </r>
  <r>
    <n v="1448"/>
    <d v="2024-03-01T07:00:00"/>
    <s v="2024-03-01 07:00:00"/>
    <s v=" west"/>
    <x v="1"/>
    <s v="Clothing"/>
    <x v="0"/>
    <s v="Led Tv 42Inch"/>
    <s v="LED TV 42inch"/>
    <s v="CUST0181"/>
    <s v=" CUST0181 "/>
    <x v="0"/>
    <s v="Rahul"/>
    <x v="0"/>
    <s v=" Cash"/>
    <n v="5"/>
    <s v="5"/>
    <n v="4160"/>
    <s v="4160"/>
    <n v="20800"/>
    <x v="0"/>
    <x v="2"/>
    <x v="8"/>
    <s v="Medium"/>
    <s v="Offline"/>
    <n v="20800"/>
  </r>
  <r>
    <n v="1449"/>
    <d v="2024-03-01T08:00:00"/>
    <s v="2024-03-01 08:00:00"/>
    <s v="south"/>
    <x v="3"/>
    <s v=" Home Appliances "/>
    <x v="1"/>
    <s v="Men T-Shirt"/>
    <s v="Men T-Shirt"/>
    <s v="CUST0576"/>
    <s v=" CUST0576 "/>
    <x v="3"/>
    <s v="Anita"/>
    <x v="3"/>
    <s v=" Net Banking "/>
    <n v="13"/>
    <s v="13"/>
    <n v="4170"/>
    <s v="4170"/>
    <n v="54210"/>
    <x v="0"/>
    <x v="2"/>
    <x v="8"/>
    <s v="High"/>
    <s v="Online"/>
    <n v="54210"/>
  </r>
  <r>
    <n v="1450"/>
    <d v="2024-03-01T09:00:00"/>
    <s v="2024-03-01 09:00:00"/>
    <s v=" west"/>
    <x v="1"/>
    <s v=" Home Appliances "/>
    <x v="1"/>
    <s v="Laptop"/>
    <s v="Laptop"/>
    <s v="CUST0246"/>
    <s v=" CUST0246 "/>
    <x v="3"/>
    <s v="Anita"/>
    <x v="4"/>
    <s v="Credit Card"/>
    <n v="1"/>
    <s v="1"/>
    <n v="1775"/>
    <s v="1775"/>
    <n v="1775"/>
    <x v="0"/>
    <x v="2"/>
    <x v="8"/>
    <s v="Low"/>
    <s v="Online"/>
    <n v="1775"/>
  </r>
  <r>
    <n v="1451"/>
    <d v="2024-03-01T10:00:00"/>
    <s v="2024-03-01 10:00:00"/>
    <s v=" west"/>
    <x v="1"/>
    <s v=" Home Appliances "/>
    <x v="1"/>
    <s v="Rice 5Kg"/>
    <s v="Rice 5kg"/>
    <s v="CUST0244"/>
    <s v=" CUST0244 "/>
    <x v="3"/>
    <s v="Anita"/>
    <x v="4"/>
    <s v="Credit Card"/>
    <n v="12"/>
    <s v="12"/>
    <n v="659"/>
    <s v="659"/>
    <n v="7908"/>
    <x v="0"/>
    <x v="2"/>
    <x v="8"/>
    <s v="Low"/>
    <s v="Online"/>
    <n v="7908"/>
  </r>
  <r>
    <n v="1452"/>
    <d v="2024-03-01T11:00:00"/>
    <s v="2024-03-01 11:00:00"/>
    <s v=" North "/>
    <x v="2"/>
    <s v="Grocery"/>
    <x v="3"/>
    <s v="Led Tv 42Inch"/>
    <s v="LED TV 42inch"/>
    <s v="CUST0506"/>
    <s v=" CUST0506 "/>
    <x v="1"/>
    <s v="Meena"/>
    <x v="2"/>
    <s v="UPI"/>
    <n v="11"/>
    <s v="11"/>
    <n v="4574"/>
    <s v="4574"/>
    <n v="50314"/>
    <x v="0"/>
    <x v="2"/>
    <x v="8"/>
    <s v="High"/>
    <s v="Online"/>
    <n v="50314"/>
  </r>
  <r>
    <n v="1453"/>
    <d v="2024-03-01T12:00:00"/>
    <s v="2024-03-01 12:00:00"/>
    <s v=" west"/>
    <x v="1"/>
    <s v=" Home Appliances "/>
    <x v="1"/>
    <s v="Washing Machine"/>
    <s v="Washing Machine"/>
    <s v="CUST0422"/>
    <s v=" CUST0422 "/>
    <x v="1"/>
    <s v="Meena"/>
    <x v="0"/>
    <s v=" Cash"/>
    <n v="12"/>
    <s v="12"/>
    <n v="3931"/>
    <s v="3931"/>
    <n v="47172"/>
    <x v="0"/>
    <x v="2"/>
    <x v="8"/>
    <s v="Medium"/>
    <s v="Offline"/>
    <n v="47172"/>
  </r>
  <r>
    <n v="1454"/>
    <d v="2024-03-01T13:00:00"/>
    <s v="2024-03-01 13:00:00"/>
    <s v="EAST"/>
    <x v="0"/>
    <s v=" Home Appliances "/>
    <x v="1"/>
    <s v="Laptop"/>
    <s v="Laptop"/>
    <s v="CUST0320"/>
    <s v=" CUST0320 "/>
    <x v="0"/>
    <s v="Rahul"/>
    <x v="2"/>
    <s v="UPI"/>
    <n v="9"/>
    <s v="9"/>
    <n v="2018"/>
    <s v="2018"/>
    <n v="18162"/>
    <x v="0"/>
    <x v="2"/>
    <x v="8"/>
    <s v="Low"/>
    <s v="Online"/>
    <n v="18162"/>
  </r>
  <r>
    <n v="1455"/>
    <d v="2024-03-01T14:00:00"/>
    <s v="2024-03-01 14:00:00"/>
    <s v=" North "/>
    <x v="2"/>
    <s v="Clothing"/>
    <x v="0"/>
    <s v="Rice 5Kg"/>
    <s v="Rice 5kg"/>
    <s v="CUST0087"/>
    <s v=" CUST0087 "/>
    <x v="3"/>
    <s v="Anita"/>
    <x v="2"/>
    <s v="UPI"/>
    <n v="3"/>
    <s v="3"/>
    <n v="178"/>
    <s v="178"/>
    <n v="534"/>
    <x v="0"/>
    <x v="2"/>
    <x v="8"/>
    <s v="Low"/>
    <s v="Online"/>
    <n v="534"/>
  </r>
  <r>
    <n v="1456"/>
    <d v="2024-03-01T15:00:00"/>
    <s v="2024-03-01 15:00:00"/>
    <s v=" North "/>
    <x v="2"/>
    <s v=" Home Appliances "/>
    <x v="1"/>
    <s v="Rice 5Kg"/>
    <s v="Rice 5kg"/>
    <s v="CUST0217"/>
    <s v=" CUST0217 "/>
    <x v="3"/>
    <s v="Anita"/>
    <x v="1"/>
    <s v="Debit card "/>
    <n v="3"/>
    <s v="3"/>
    <n v="3747"/>
    <s v="3747"/>
    <n v="11241"/>
    <x v="0"/>
    <x v="2"/>
    <x v="8"/>
    <s v="Low"/>
    <s v="Online"/>
    <n v="11241"/>
  </r>
  <r>
    <n v="1457"/>
    <d v="2024-03-01T16:00:00"/>
    <s v="2024-03-01 16:00:00"/>
    <s v="south"/>
    <x v="3"/>
    <s v="Grocery"/>
    <x v="3"/>
    <s v="Led Tv 42Inch"/>
    <s v="LED TV 42inch"/>
    <s v="CUST0490"/>
    <s v=" CUST0490 "/>
    <x v="4"/>
    <s v="Karthik"/>
    <x v="3"/>
    <s v=" Net Banking "/>
    <n v="2"/>
    <s v="2"/>
    <n v="1131"/>
    <s v="1131"/>
    <n v="2262"/>
    <x v="0"/>
    <x v="2"/>
    <x v="8"/>
    <s v="Low"/>
    <s v="Online"/>
    <n v="2262"/>
  </r>
  <r>
    <n v="1458"/>
    <d v="2024-03-01T17:00:00"/>
    <s v="2024-03-01 17:00:00"/>
    <s v=" west"/>
    <x v="1"/>
    <s v="Grocery"/>
    <x v="3"/>
    <s v="Men T-Shirt"/>
    <s v="Men T-Shirt"/>
    <s v="CUST0519"/>
    <s v=" CUST0519 "/>
    <x v="4"/>
    <s v="Karthik"/>
    <x v="4"/>
    <s v="Credit Card"/>
    <n v="4"/>
    <s v="4"/>
    <n v="2172"/>
    <s v="2172"/>
    <n v="8688"/>
    <x v="0"/>
    <x v="2"/>
    <x v="8"/>
    <s v="Low"/>
    <s v="Online"/>
    <n v="8688"/>
  </r>
  <r>
    <n v="1459"/>
    <d v="2024-03-01T18:00:00"/>
    <s v="2024-03-01 18:00:00"/>
    <s v="south"/>
    <x v="3"/>
    <s v="Clothing"/>
    <x v="0"/>
    <s v="Rice 5Kg"/>
    <s v="Rice 5kg"/>
    <s v="CUST0278"/>
    <s v=" CUST0278 "/>
    <x v="0"/>
    <s v="Rahul"/>
    <x v="0"/>
    <s v=" Cash"/>
    <n v="12"/>
    <s v="12"/>
    <n v="4645"/>
    <s v="4645"/>
    <n v="55740"/>
    <x v="0"/>
    <x v="2"/>
    <x v="8"/>
    <s v="High"/>
    <s v="Offline"/>
    <n v="55740"/>
  </r>
  <r>
    <n v="1460"/>
    <d v="2024-03-01T19:00:00"/>
    <s v="2024-03-01 19:00:00"/>
    <s v="EAST"/>
    <x v="0"/>
    <s v=" Home Appliances "/>
    <x v="1"/>
    <s v="Washing Machine"/>
    <s v="Washing Machine"/>
    <s v="CUST0722"/>
    <s v=" CUST0722 "/>
    <x v="3"/>
    <s v="Anita"/>
    <x v="3"/>
    <s v=" Net Banking "/>
    <n v="2"/>
    <s v="2"/>
    <n v="1584"/>
    <s v="1584"/>
    <n v="3168"/>
    <x v="0"/>
    <x v="2"/>
    <x v="8"/>
    <s v="Low"/>
    <s v="Online"/>
    <n v="3168"/>
  </r>
  <r>
    <n v="1461"/>
    <d v="2024-03-01T20:00:00"/>
    <s v="2024-03-01 20:00:00"/>
    <s v=" North "/>
    <x v="2"/>
    <s v=" Home Appliances "/>
    <x v="1"/>
    <s v="Rice 5Kg"/>
    <s v="Rice 5kg"/>
    <s v="CUST0169"/>
    <s v=" CUST0169 "/>
    <x v="0"/>
    <s v="Rahul"/>
    <x v="3"/>
    <s v=" Net Banking "/>
    <n v="13"/>
    <s v="13"/>
    <n v="2345"/>
    <s v="2345"/>
    <n v="30485"/>
    <x v="0"/>
    <x v="2"/>
    <x v="8"/>
    <s v="Medium"/>
    <s v="Online"/>
    <n v="30485"/>
  </r>
  <r>
    <n v="1462"/>
    <d v="2024-03-01T21:00:00"/>
    <s v="2024-03-01 21:00:00"/>
    <s v=" North "/>
    <x v="2"/>
    <s v="Grocery"/>
    <x v="3"/>
    <s v="Washing Machine"/>
    <s v="Washing Machine"/>
    <s v="CUST0330"/>
    <s v=" CUST0330 "/>
    <x v="4"/>
    <s v="Karthik"/>
    <x v="0"/>
    <s v=" Cash"/>
    <n v="9"/>
    <s v="9"/>
    <n v="1650"/>
    <s v="1650"/>
    <n v="14850"/>
    <x v="0"/>
    <x v="2"/>
    <x v="8"/>
    <s v="Low"/>
    <s v="Offline"/>
    <n v="14850"/>
  </r>
  <r>
    <n v="1463"/>
    <d v="2024-03-01T22:00:00"/>
    <s v="2024-03-01 22:00:00"/>
    <s v=" North "/>
    <x v="2"/>
    <s v=" Home Appliances "/>
    <x v="1"/>
    <s v="Laptop"/>
    <s v="Laptop"/>
    <s v="CUST0650"/>
    <s v=" CUST0650 "/>
    <x v="4"/>
    <s v="Karthik"/>
    <x v="3"/>
    <s v=" Net Banking "/>
    <n v="12"/>
    <s v="12"/>
    <n v="4885"/>
    <s v="4885"/>
    <n v="58620"/>
    <x v="0"/>
    <x v="2"/>
    <x v="8"/>
    <s v="High"/>
    <s v="Online"/>
    <n v="58620"/>
  </r>
  <r>
    <n v="1464"/>
    <d v="2024-03-01T23:00:00"/>
    <s v="2024-03-01 23:00:00"/>
    <s v="EAST"/>
    <x v="0"/>
    <s v=" Home Appliances "/>
    <x v="1"/>
    <s v="Laptop"/>
    <s v="Laptop"/>
    <s v="CUST0441"/>
    <s v=" CUST0441 "/>
    <x v="1"/>
    <s v="Meena"/>
    <x v="1"/>
    <s v="Debit card "/>
    <n v="10"/>
    <s v="10"/>
    <n v="4782"/>
    <s v="4782"/>
    <n v="47820"/>
    <x v="0"/>
    <x v="2"/>
    <x v="8"/>
    <s v="Medium"/>
    <s v="Online"/>
    <n v="47820"/>
  </r>
  <r>
    <n v="1465"/>
    <d v="2024-03-02T00:00:00"/>
    <s v="2024-03-02 00:00:00"/>
    <s v="EAST"/>
    <x v="0"/>
    <s v=" Home Appliances "/>
    <x v="1"/>
    <s v="Mixer Grinder"/>
    <s v="Mixer Grinder"/>
    <s v="CUST0391"/>
    <s v=" CUST0391 "/>
    <x v="0"/>
    <s v="Rahul"/>
    <x v="3"/>
    <s v=" Net Banking "/>
    <n v="7"/>
    <s v="7"/>
    <n v="1929"/>
    <s v="1929"/>
    <n v="13503"/>
    <x v="0"/>
    <x v="2"/>
    <x v="8"/>
    <s v="Low"/>
    <s v="Online"/>
    <n v="13503"/>
  </r>
  <r>
    <n v="1466"/>
    <d v="2024-03-02T01:00:00"/>
    <s v="2024-03-02 01:00:00"/>
    <s v="south"/>
    <x v="3"/>
    <s v="Electronics"/>
    <x v="2"/>
    <s v="Mixer Grinder"/>
    <s v="Mixer Grinder"/>
    <s v="CUST0496"/>
    <s v=" CUST0496 "/>
    <x v="0"/>
    <s v="Rahul"/>
    <x v="1"/>
    <s v="Debit card "/>
    <n v="8"/>
    <s v="8"/>
    <n v="3851"/>
    <s v="3851"/>
    <n v="30808"/>
    <x v="0"/>
    <x v="2"/>
    <x v="8"/>
    <s v="Medium"/>
    <s v="Online"/>
    <n v="30808"/>
  </r>
  <r>
    <n v="1467"/>
    <d v="2024-03-02T02:00:00"/>
    <s v="2024-03-02 02:00:00"/>
    <s v="south"/>
    <x v="3"/>
    <s v="Clothing"/>
    <x v="0"/>
    <s v="Washing Machine"/>
    <s v="Washing Machine"/>
    <s v="CUST0381"/>
    <s v=" CUST0381 "/>
    <x v="3"/>
    <s v="Anita"/>
    <x v="4"/>
    <s v="Credit Card"/>
    <n v="3"/>
    <s v="3"/>
    <n v="4822"/>
    <s v="4822"/>
    <n v="14466"/>
    <x v="0"/>
    <x v="2"/>
    <x v="8"/>
    <s v="Low"/>
    <s v="Online"/>
    <n v="14466"/>
  </r>
  <r>
    <n v="1468"/>
    <d v="2024-03-02T03:00:00"/>
    <s v="2024-03-02 03:00:00"/>
    <s v="south"/>
    <x v="3"/>
    <s v="Electronics"/>
    <x v="2"/>
    <s v="Men T-Shirt"/>
    <s v="Men T-Shirt"/>
    <s v="CUST0306"/>
    <s v=" CUST0306 "/>
    <x v="3"/>
    <s v="Anita"/>
    <x v="4"/>
    <s v="Credit Card"/>
    <n v="6"/>
    <s v="6"/>
    <n v="2131"/>
    <s v="2131"/>
    <n v="12786"/>
    <x v="0"/>
    <x v="2"/>
    <x v="8"/>
    <s v="Low"/>
    <s v="Online"/>
    <n v="12786"/>
  </r>
  <r>
    <n v="1469"/>
    <d v="2024-03-02T04:00:00"/>
    <s v="2024-03-02 04:00:00"/>
    <s v=" west"/>
    <x v="1"/>
    <s v="Clothing"/>
    <x v="0"/>
    <s v="Rice 5Kg"/>
    <s v="Rice 5kg"/>
    <s v="CUST0742"/>
    <s v=" CUST0742 "/>
    <x v="1"/>
    <s v="Meena"/>
    <x v="2"/>
    <s v="UPI"/>
    <n v="10"/>
    <s v="10"/>
    <n v="4559"/>
    <s v="4559"/>
    <n v="45590"/>
    <x v="0"/>
    <x v="2"/>
    <x v="8"/>
    <s v="Medium"/>
    <s v="Online"/>
    <n v="45590"/>
  </r>
  <r>
    <n v="1470"/>
    <d v="2024-03-02T05:00:00"/>
    <s v="2024-03-02 05:00:00"/>
    <s v=" North "/>
    <x v="2"/>
    <s v="Grocery"/>
    <x v="3"/>
    <s v="Rice 5Kg"/>
    <s v="Rice 5kg"/>
    <s v="CUST0673"/>
    <s v=" CUST0673 "/>
    <x v="2"/>
    <s v="Suresh"/>
    <x v="1"/>
    <s v="Debit card "/>
    <n v="6"/>
    <s v="6"/>
    <n v="3956"/>
    <s v="3956"/>
    <n v="23736"/>
    <x v="0"/>
    <x v="2"/>
    <x v="8"/>
    <s v="Medium"/>
    <s v="Online"/>
    <n v="23736"/>
  </r>
  <r>
    <n v="1471"/>
    <d v="2024-03-02T06:00:00"/>
    <s v="2024-03-02 06:00:00"/>
    <s v=" North "/>
    <x v="2"/>
    <s v=" Home Appliances "/>
    <x v="1"/>
    <s v="Mixer Grinder"/>
    <s v="Mixer Grinder"/>
    <s v="CUST0513"/>
    <s v=" CUST0513 "/>
    <x v="2"/>
    <s v="Suresh"/>
    <x v="4"/>
    <s v="Credit Card"/>
    <n v="13"/>
    <s v="13"/>
    <n v="2282"/>
    <s v="2282"/>
    <n v="29666"/>
    <x v="0"/>
    <x v="2"/>
    <x v="8"/>
    <s v="Medium"/>
    <s v="Online"/>
    <n v="29666"/>
  </r>
  <r>
    <n v="1472"/>
    <d v="2024-03-02T07:00:00"/>
    <s v="2024-03-02 07:00:00"/>
    <s v="south"/>
    <x v="3"/>
    <s v="Clothing"/>
    <x v="0"/>
    <s v="Washing Machine"/>
    <s v="Washing Machine"/>
    <s v="CUST0748"/>
    <s v=" CUST0748 "/>
    <x v="2"/>
    <s v="Suresh"/>
    <x v="3"/>
    <s v=" Net Banking "/>
    <n v="1"/>
    <s v="1"/>
    <n v="4569"/>
    <s v="4569"/>
    <n v="4569"/>
    <x v="0"/>
    <x v="2"/>
    <x v="8"/>
    <s v="Low"/>
    <s v="Online"/>
    <n v="4569"/>
  </r>
  <r>
    <n v="1473"/>
    <d v="2024-03-02T08:00:00"/>
    <s v="2024-03-02 08:00:00"/>
    <s v=" North "/>
    <x v="2"/>
    <s v="Electronics"/>
    <x v="2"/>
    <s v="Rice 5Kg"/>
    <s v="Rice 5kg"/>
    <s v="CUST0188"/>
    <s v=" CUST0188 "/>
    <x v="0"/>
    <s v="Rahul"/>
    <x v="0"/>
    <s v=" Cash"/>
    <n v="6"/>
    <s v="6"/>
    <n v="2194"/>
    <s v="2194"/>
    <n v="13164"/>
    <x v="0"/>
    <x v="2"/>
    <x v="8"/>
    <s v="Low"/>
    <s v="Offline"/>
    <n v="13164"/>
  </r>
  <r>
    <n v="1474"/>
    <d v="2024-03-02T09:00:00"/>
    <s v="2024-03-02 09:00:00"/>
    <s v="south"/>
    <x v="3"/>
    <s v=" Home Appliances "/>
    <x v="1"/>
    <s v="Rice 5Kg"/>
    <s v="Rice 5kg"/>
    <s v="CUST0516"/>
    <s v=" CUST0516 "/>
    <x v="0"/>
    <s v="Rahul"/>
    <x v="0"/>
    <s v=" Cash"/>
    <n v="13"/>
    <s v="13"/>
    <n v="4003"/>
    <s v="4003"/>
    <n v="52039"/>
    <x v="0"/>
    <x v="2"/>
    <x v="8"/>
    <s v="High"/>
    <s v="Offline"/>
    <n v="52039"/>
  </r>
  <r>
    <n v="1475"/>
    <d v="2024-03-02T10:00:00"/>
    <s v="2024-03-02 10:00:00"/>
    <s v=" west"/>
    <x v="1"/>
    <s v="Grocery"/>
    <x v="3"/>
    <s v="Men T-Shirt"/>
    <s v="Men T-Shirt"/>
    <s v="CUST0644"/>
    <s v=" CUST0644 "/>
    <x v="4"/>
    <s v="Karthik"/>
    <x v="1"/>
    <s v="Debit card "/>
    <n v="14"/>
    <s v="14"/>
    <n v="3132"/>
    <s v="3132"/>
    <n v="43848"/>
    <x v="0"/>
    <x v="2"/>
    <x v="8"/>
    <s v="Medium"/>
    <s v="Online"/>
    <n v="43848"/>
  </r>
  <r>
    <n v="1476"/>
    <d v="2024-03-02T11:00:00"/>
    <s v="2024-03-02 11:00:00"/>
    <s v=" west"/>
    <x v="1"/>
    <s v="Clothing"/>
    <x v="0"/>
    <s v="Led Tv 42Inch"/>
    <s v="LED TV 42inch"/>
    <s v="CUST0427"/>
    <s v=" CUST0427 "/>
    <x v="0"/>
    <s v="Rahul"/>
    <x v="2"/>
    <s v="UPI"/>
    <n v="3"/>
    <s v="3"/>
    <n v="1648"/>
    <s v="1648"/>
    <n v="4944"/>
    <x v="0"/>
    <x v="2"/>
    <x v="8"/>
    <s v="Low"/>
    <s v="Online"/>
    <n v="4944"/>
  </r>
  <r>
    <n v="1477"/>
    <d v="2024-03-02T12:00:00"/>
    <s v="2024-03-02 12:00:00"/>
    <s v="EAST"/>
    <x v="0"/>
    <s v="Clothing"/>
    <x v="0"/>
    <s v="Mixer Grinder"/>
    <s v="Mixer Grinder"/>
    <s v="CUST0502"/>
    <s v=" CUST0502 "/>
    <x v="0"/>
    <s v="Rahul"/>
    <x v="3"/>
    <s v=" Net Banking "/>
    <n v="11"/>
    <s v="11"/>
    <n v="467"/>
    <s v="467"/>
    <n v="5137"/>
    <x v="0"/>
    <x v="2"/>
    <x v="8"/>
    <s v="Low"/>
    <s v="Online"/>
    <n v="5137"/>
  </r>
  <r>
    <n v="1478"/>
    <d v="2024-03-02T13:00:00"/>
    <s v="2024-03-02 13:00:00"/>
    <s v=" west"/>
    <x v="1"/>
    <s v="Clothing"/>
    <x v="0"/>
    <s v="Mixer Grinder"/>
    <s v="Mixer Grinder"/>
    <s v="CUST0730"/>
    <s v=" CUST0730 "/>
    <x v="0"/>
    <s v="Rahul"/>
    <x v="1"/>
    <s v="Debit card "/>
    <n v="3"/>
    <s v="3"/>
    <n v="164"/>
    <s v="164"/>
    <n v="492"/>
    <x v="0"/>
    <x v="2"/>
    <x v="8"/>
    <s v="Low"/>
    <s v="Online"/>
    <n v="492"/>
  </r>
  <r>
    <n v="1479"/>
    <d v="2024-03-02T14:00:00"/>
    <s v="2024-03-02 14:00:00"/>
    <s v="south"/>
    <x v="3"/>
    <s v=" Home Appliances "/>
    <x v="1"/>
    <s v="Led Tv 42Inch"/>
    <s v="LED TV 42inch"/>
    <s v="CUST0260"/>
    <s v=" CUST0260 "/>
    <x v="1"/>
    <s v="Meena"/>
    <x v="0"/>
    <s v=" Cash"/>
    <n v="3"/>
    <s v="3"/>
    <n v="3399"/>
    <s v="3399"/>
    <n v="10197"/>
    <x v="0"/>
    <x v="2"/>
    <x v="8"/>
    <s v="Low"/>
    <s v="Offline"/>
    <n v="10197"/>
  </r>
  <r>
    <n v="1480"/>
    <d v="2024-03-02T15:00:00"/>
    <s v="2024-03-02 15:00:00"/>
    <s v=" west"/>
    <x v="1"/>
    <s v="Electronics"/>
    <x v="2"/>
    <s v="Rice 5Kg"/>
    <s v="Rice 5kg"/>
    <s v="CUST0513"/>
    <s v=" CUST0513 "/>
    <x v="0"/>
    <s v="Rahul"/>
    <x v="1"/>
    <s v="Debit card "/>
    <n v="10"/>
    <s v="10"/>
    <n v="4949"/>
    <s v="4949"/>
    <n v="49490"/>
    <x v="0"/>
    <x v="2"/>
    <x v="8"/>
    <s v="Medium"/>
    <s v="Online"/>
    <n v="49490"/>
  </r>
  <r>
    <n v="1481"/>
    <d v="2024-03-02T16:00:00"/>
    <s v="2024-03-02 16:00:00"/>
    <s v="EAST"/>
    <x v="0"/>
    <s v="Electronics"/>
    <x v="2"/>
    <s v="Men T-Shirt"/>
    <s v="Men T-Shirt"/>
    <s v="CUST0071"/>
    <s v=" CUST0071 "/>
    <x v="3"/>
    <s v="Anita"/>
    <x v="3"/>
    <s v=" Net Banking "/>
    <n v="11"/>
    <s v="11"/>
    <n v="2135"/>
    <s v="2135"/>
    <n v="23485"/>
    <x v="0"/>
    <x v="2"/>
    <x v="8"/>
    <s v="Medium"/>
    <s v="Online"/>
    <n v="23485"/>
  </r>
  <r>
    <n v="1482"/>
    <d v="2024-03-02T17:00:00"/>
    <s v="2024-03-02 17:00:00"/>
    <s v=" North "/>
    <x v="2"/>
    <s v="Clothing"/>
    <x v="0"/>
    <s v="Men T-Shirt"/>
    <s v="Men T-Shirt"/>
    <s v="CUST0478"/>
    <s v=" CUST0478 "/>
    <x v="3"/>
    <s v="Anita"/>
    <x v="4"/>
    <s v="Credit Card"/>
    <n v="11"/>
    <s v="11"/>
    <n v="2963"/>
    <s v="2963"/>
    <n v="32593"/>
    <x v="0"/>
    <x v="2"/>
    <x v="8"/>
    <s v="Medium"/>
    <s v="Online"/>
    <n v="32593"/>
  </r>
  <r>
    <n v="1483"/>
    <d v="2024-03-02T18:00:00"/>
    <s v="2024-03-02 18:00:00"/>
    <s v="south"/>
    <x v="3"/>
    <s v="Grocery"/>
    <x v="3"/>
    <s v="Mixer Grinder"/>
    <s v="Mixer Grinder"/>
    <s v="CUST0178"/>
    <s v=" CUST0178 "/>
    <x v="4"/>
    <s v="Karthik"/>
    <x v="3"/>
    <s v=" Net Banking "/>
    <n v="10"/>
    <s v="10"/>
    <n v="1976"/>
    <s v="1976"/>
    <n v="19760"/>
    <x v="0"/>
    <x v="2"/>
    <x v="8"/>
    <s v="Low"/>
    <s v="Online"/>
    <n v="19760"/>
  </r>
  <r>
    <n v="1484"/>
    <d v="2024-03-02T19:00:00"/>
    <s v="2024-03-02 19:00:00"/>
    <s v=" North "/>
    <x v="2"/>
    <s v="Grocery"/>
    <x v="3"/>
    <s v="Men T-Shirt"/>
    <s v="Men T-Shirt"/>
    <s v="CUST0457"/>
    <s v=" CUST0457 "/>
    <x v="1"/>
    <s v="Meena"/>
    <x v="4"/>
    <s v="Credit Card"/>
    <n v="11"/>
    <s v="11"/>
    <n v="4951"/>
    <s v="4951"/>
    <n v="54461"/>
    <x v="0"/>
    <x v="2"/>
    <x v="8"/>
    <s v="High"/>
    <s v="Online"/>
    <n v="54461"/>
  </r>
  <r>
    <n v="1485"/>
    <d v="2024-03-02T20:00:00"/>
    <s v="2024-03-02 20:00:00"/>
    <s v="EAST"/>
    <x v="0"/>
    <s v="Electronics"/>
    <x v="2"/>
    <s v="Laptop"/>
    <s v="Laptop"/>
    <s v="CUST0189"/>
    <s v=" CUST0189 "/>
    <x v="3"/>
    <s v="Anita"/>
    <x v="4"/>
    <s v="Credit Card"/>
    <n v="8"/>
    <s v="8"/>
    <n v="2328"/>
    <s v="2328"/>
    <n v="18624"/>
    <x v="0"/>
    <x v="2"/>
    <x v="8"/>
    <s v="Low"/>
    <s v="Online"/>
    <n v="18624"/>
  </r>
  <r>
    <n v="1486"/>
    <d v="2024-03-02T21:00:00"/>
    <s v="2024-03-02 21:00:00"/>
    <s v="EAST"/>
    <x v="0"/>
    <s v="Grocery"/>
    <x v="3"/>
    <s v="Led Tv 42Inch"/>
    <s v="LED TV 42inch"/>
    <s v="CUST0291"/>
    <s v=" CUST0291 "/>
    <x v="1"/>
    <s v="Meena"/>
    <x v="4"/>
    <s v="Credit Card"/>
    <n v="13"/>
    <s v="13"/>
    <n v="696"/>
    <s v="696"/>
    <n v="9048"/>
    <x v="0"/>
    <x v="2"/>
    <x v="8"/>
    <s v="Low"/>
    <s v="Online"/>
    <n v="9048"/>
  </r>
  <r>
    <n v="1487"/>
    <d v="2024-03-02T22:00:00"/>
    <s v="2024-03-02 22:00:00"/>
    <s v="EAST"/>
    <x v="0"/>
    <s v="Electronics"/>
    <x v="2"/>
    <s v="Rice 5Kg"/>
    <s v="Rice 5kg"/>
    <s v="CUST0520"/>
    <s v=" CUST0520 "/>
    <x v="1"/>
    <s v="Meena"/>
    <x v="1"/>
    <s v="Debit card "/>
    <n v="5"/>
    <s v="5"/>
    <n v="3706"/>
    <s v="3706"/>
    <n v="18530"/>
    <x v="0"/>
    <x v="2"/>
    <x v="8"/>
    <s v="Low"/>
    <s v="Online"/>
    <n v="18530"/>
  </r>
  <r>
    <n v="1488"/>
    <d v="2024-03-02T23:00:00"/>
    <s v="2024-03-02 23:00:00"/>
    <s v=" North "/>
    <x v="2"/>
    <s v="Clothing"/>
    <x v="0"/>
    <s v="Laptop"/>
    <s v="Laptop"/>
    <s v="CUST0765"/>
    <s v=" CUST0765 "/>
    <x v="4"/>
    <s v="Karthik"/>
    <x v="0"/>
    <s v=" Cash"/>
    <n v="4"/>
    <s v="4"/>
    <n v="2774"/>
    <s v="2774"/>
    <n v="11096"/>
    <x v="0"/>
    <x v="2"/>
    <x v="8"/>
    <s v="Low"/>
    <s v="Offline"/>
    <n v="11096"/>
  </r>
  <r>
    <n v="1489"/>
    <d v="2024-03-03T00:00:00"/>
    <s v="2024-03-03 00:00:00"/>
    <s v=" North "/>
    <x v="2"/>
    <s v="Electronics"/>
    <x v="2"/>
    <s v="Led Tv 42Inch"/>
    <s v="LED TV 42inch"/>
    <s v="CUST0292"/>
    <s v=" CUST0292 "/>
    <x v="1"/>
    <s v="Meena"/>
    <x v="1"/>
    <s v="Debit card "/>
    <n v="13"/>
    <s v="13"/>
    <n v="3989"/>
    <s v="3989"/>
    <n v="51857"/>
    <x v="0"/>
    <x v="2"/>
    <x v="8"/>
    <s v="High"/>
    <s v="Online"/>
    <n v="51857"/>
  </r>
  <r>
    <n v="1490"/>
    <d v="2024-03-03T01:00:00"/>
    <s v="2024-03-03 01:00:00"/>
    <s v=" North "/>
    <x v="2"/>
    <s v="Electronics"/>
    <x v="2"/>
    <s v="Washing Machine"/>
    <s v="Washing Machine"/>
    <s v="CUST0756"/>
    <s v=" CUST0756 "/>
    <x v="0"/>
    <s v="Rahul"/>
    <x v="0"/>
    <s v=" Cash"/>
    <n v="9"/>
    <s v="9"/>
    <n v="3606"/>
    <s v="3606"/>
    <n v="32454"/>
    <x v="0"/>
    <x v="2"/>
    <x v="8"/>
    <s v="Medium"/>
    <s v="Offline"/>
    <n v="32454"/>
  </r>
  <r>
    <n v="1491"/>
    <d v="2024-03-03T02:00:00"/>
    <s v="2024-03-03 02:00:00"/>
    <s v=" North "/>
    <x v="2"/>
    <s v="Clothing"/>
    <x v="0"/>
    <s v="Mixer Grinder"/>
    <s v="Mixer Grinder"/>
    <s v="CUST0635"/>
    <s v=" CUST0635 "/>
    <x v="1"/>
    <s v="Meena"/>
    <x v="3"/>
    <s v=" Net Banking "/>
    <n v="9"/>
    <s v="9"/>
    <n v="1934"/>
    <s v="1934"/>
    <n v="17406"/>
    <x v="0"/>
    <x v="2"/>
    <x v="8"/>
    <s v="Low"/>
    <s v="Online"/>
    <n v="17406"/>
  </r>
  <r>
    <n v="1492"/>
    <d v="2024-03-03T03:00:00"/>
    <s v="2024-03-03 03:00:00"/>
    <s v="EAST"/>
    <x v="0"/>
    <s v="Grocery"/>
    <x v="3"/>
    <s v="Men T-Shirt"/>
    <s v="Men T-Shirt"/>
    <s v="CUST0283"/>
    <s v=" CUST0283 "/>
    <x v="4"/>
    <s v="Karthik"/>
    <x v="2"/>
    <s v="UPI"/>
    <n v="1"/>
    <s v="1"/>
    <n v="1495"/>
    <s v="1495"/>
    <n v="1495"/>
    <x v="0"/>
    <x v="2"/>
    <x v="8"/>
    <s v="Low"/>
    <s v="Online"/>
    <n v="1495"/>
  </r>
  <r>
    <n v="1493"/>
    <d v="2024-03-03T04:00:00"/>
    <s v="2024-03-03 04:00:00"/>
    <s v="EAST"/>
    <x v="0"/>
    <s v="Electronics"/>
    <x v="2"/>
    <s v="Washing Machine"/>
    <s v="Washing Machine"/>
    <s v="CUST0544"/>
    <s v=" CUST0544 "/>
    <x v="4"/>
    <s v="Karthik"/>
    <x v="3"/>
    <s v=" Net Banking "/>
    <n v="2"/>
    <s v="2"/>
    <n v="1686"/>
    <s v="1686"/>
    <n v="3372"/>
    <x v="0"/>
    <x v="2"/>
    <x v="8"/>
    <s v="Low"/>
    <s v="Online"/>
    <n v="3372"/>
  </r>
  <r>
    <n v="1494"/>
    <d v="2024-03-03T05:00:00"/>
    <s v="2024-03-03 05:00:00"/>
    <s v="south"/>
    <x v="3"/>
    <s v="Electronics"/>
    <x v="2"/>
    <s v="Men T-Shirt"/>
    <s v="Men T-Shirt"/>
    <s v="CUST0377"/>
    <s v=" CUST0377 "/>
    <x v="4"/>
    <s v="Karthik"/>
    <x v="1"/>
    <s v="Debit card "/>
    <n v="8"/>
    <s v="8"/>
    <n v="211"/>
    <s v="211"/>
    <n v="1688"/>
    <x v="0"/>
    <x v="2"/>
    <x v="8"/>
    <s v="Low"/>
    <s v="Online"/>
    <n v="1688"/>
  </r>
  <r>
    <n v="1495"/>
    <d v="2024-03-03T06:00:00"/>
    <s v="2024-03-03 06:00:00"/>
    <s v="south"/>
    <x v="3"/>
    <s v="Clothing"/>
    <x v="0"/>
    <s v="Laptop"/>
    <s v="Laptop"/>
    <s v="CUST0658"/>
    <s v=" CUST0658 "/>
    <x v="3"/>
    <s v="Anita"/>
    <x v="1"/>
    <s v="Debit card "/>
    <n v="5"/>
    <s v="5"/>
    <n v="552"/>
    <s v="552"/>
    <n v="2760"/>
    <x v="0"/>
    <x v="2"/>
    <x v="8"/>
    <s v="Low"/>
    <s v="Online"/>
    <n v="2760"/>
  </r>
  <r>
    <n v="1496"/>
    <d v="2024-03-03T07:00:00"/>
    <s v="2024-03-03 07:00:00"/>
    <s v=" North "/>
    <x v="2"/>
    <s v="Grocery"/>
    <x v="3"/>
    <s v="Rice 5Kg"/>
    <s v="Rice 5kg"/>
    <s v="CUST0156"/>
    <s v=" CUST0156 "/>
    <x v="0"/>
    <s v="Rahul"/>
    <x v="0"/>
    <s v=" Cash"/>
    <n v="7"/>
    <s v="7"/>
    <n v="2903"/>
    <s v="2903"/>
    <n v="20321"/>
    <x v="0"/>
    <x v="2"/>
    <x v="8"/>
    <s v="Medium"/>
    <s v="Offline"/>
    <n v="20321"/>
  </r>
  <r>
    <n v="1497"/>
    <d v="2024-03-03T08:00:00"/>
    <s v="2024-03-03 08:00:00"/>
    <s v=" west"/>
    <x v="1"/>
    <s v="Electronics"/>
    <x v="2"/>
    <s v="Rice 5Kg"/>
    <s v="Rice 5kg"/>
    <s v="CUST0508"/>
    <s v=" CUST0508 "/>
    <x v="3"/>
    <s v="Anita"/>
    <x v="1"/>
    <s v="Debit card "/>
    <n v="1"/>
    <s v="1"/>
    <n v="2731"/>
    <s v="2731"/>
    <n v="2731"/>
    <x v="0"/>
    <x v="2"/>
    <x v="8"/>
    <s v="Low"/>
    <s v="Online"/>
    <n v="2731"/>
  </r>
  <r>
    <n v="1498"/>
    <d v="2024-03-03T09:00:00"/>
    <s v="2024-03-03 09:00:00"/>
    <s v=" west"/>
    <x v="1"/>
    <s v="Clothing"/>
    <x v="0"/>
    <s v="Rice 5Kg"/>
    <s v="Rice 5kg"/>
    <s v="CUST0413"/>
    <s v=" CUST0413 "/>
    <x v="2"/>
    <s v="Suresh"/>
    <x v="4"/>
    <s v="Credit Card"/>
    <n v="12"/>
    <s v="12"/>
    <n v="2286"/>
    <s v="2286"/>
    <n v="27432"/>
    <x v="0"/>
    <x v="2"/>
    <x v="8"/>
    <s v="Medium"/>
    <s v="Online"/>
    <n v="27432"/>
  </r>
  <r>
    <n v="1499"/>
    <d v="2024-03-03T10:00:00"/>
    <s v="2024-03-03 10:00:00"/>
    <s v="EAST"/>
    <x v="0"/>
    <s v="Electronics"/>
    <x v="2"/>
    <s v="Men T-Shirt"/>
    <s v="Men T-Shirt"/>
    <s v="CUST0528"/>
    <s v=" CUST0528 "/>
    <x v="0"/>
    <s v="Rahul"/>
    <x v="1"/>
    <s v="Debit card "/>
    <n v="10"/>
    <s v="10"/>
    <n v="4448"/>
    <s v="4448"/>
    <n v="44480"/>
    <x v="0"/>
    <x v="2"/>
    <x v="8"/>
    <s v="Medium"/>
    <s v="Online"/>
    <n v="44480"/>
  </r>
  <r>
    <n v="1500"/>
    <d v="2024-03-03T11:00:00"/>
    <s v="2024-03-03 11:00:00"/>
    <s v="EAST"/>
    <x v="0"/>
    <s v=" Home Appliances "/>
    <x v="1"/>
    <s v="Washing Machine"/>
    <s v="Washing Machine"/>
    <s v="CUST0355"/>
    <s v=" CUST0355 "/>
    <x v="1"/>
    <s v="Meena"/>
    <x v="0"/>
    <s v=" Cash"/>
    <n v="12"/>
    <s v="12"/>
    <n v="2104"/>
    <s v="2104"/>
    <n v="25248"/>
    <x v="0"/>
    <x v="2"/>
    <x v="8"/>
    <s v="Medium"/>
    <s v="Offline"/>
    <n v="25248"/>
  </r>
  <r>
    <n v="1501"/>
    <d v="2024-03-03T12:00:00"/>
    <s v="2024-03-03 12:00:00"/>
    <s v="EAST"/>
    <x v="0"/>
    <s v="Clothing"/>
    <x v="0"/>
    <s v="Rice 5Kg"/>
    <s v="Rice 5kg"/>
    <s v="CUST0559"/>
    <s v=" CUST0559 "/>
    <x v="4"/>
    <s v="Karthik"/>
    <x v="0"/>
    <s v=" Cash"/>
    <n v="5"/>
    <s v="5"/>
    <n v="1559"/>
    <s v="1559"/>
    <n v="7795"/>
    <x v="0"/>
    <x v="2"/>
    <x v="8"/>
    <s v="Low"/>
    <s v="Offline"/>
    <n v="7795"/>
  </r>
  <r>
    <n v="1502"/>
    <d v="2024-03-03T13:00:00"/>
    <s v="2024-03-03 13:00:00"/>
    <s v="south"/>
    <x v="3"/>
    <s v="Grocery"/>
    <x v="3"/>
    <s v="Washing Machine"/>
    <s v="Washing Machine"/>
    <s v="CUST0763"/>
    <s v=" CUST0763 "/>
    <x v="2"/>
    <s v="Suresh"/>
    <x v="4"/>
    <s v="Credit Card"/>
    <n v="11"/>
    <s v="11"/>
    <n v="2042"/>
    <s v="2042"/>
    <n v="22462"/>
    <x v="0"/>
    <x v="2"/>
    <x v="8"/>
    <s v="Medium"/>
    <s v="Online"/>
    <n v="22462"/>
  </r>
  <r>
    <n v="1503"/>
    <d v="2024-03-03T14:00:00"/>
    <s v="2024-03-03 14:00:00"/>
    <s v="south"/>
    <x v="3"/>
    <s v="Grocery"/>
    <x v="3"/>
    <s v="Men T-Shirt"/>
    <s v="Men T-Shirt"/>
    <s v="CUST0187"/>
    <s v=" CUST0187 "/>
    <x v="0"/>
    <s v="Rahul"/>
    <x v="0"/>
    <s v=" Cash"/>
    <n v="12"/>
    <s v="12"/>
    <n v="3593"/>
    <s v="3593"/>
    <n v="43116"/>
    <x v="0"/>
    <x v="2"/>
    <x v="8"/>
    <s v="Medium"/>
    <s v="Offline"/>
    <n v="43116"/>
  </r>
  <r>
    <n v="1504"/>
    <d v="2024-03-03T15:00:00"/>
    <s v="2024-03-03 15:00:00"/>
    <s v="EAST"/>
    <x v="0"/>
    <s v="Grocery"/>
    <x v="3"/>
    <s v="Laptop"/>
    <s v="Laptop"/>
    <s v="CUST0031"/>
    <s v=" CUST0031 "/>
    <x v="3"/>
    <s v="Anita"/>
    <x v="2"/>
    <s v="UPI"/>
    <n v="3"/>
    <s v="3"/>
    <n v="1957"/>
    <s v="1957"/>
    <n v="5871"/>
    <x v="0"/>
    <x v="2"/>
    <x v="8"/>
    <s v="Low"/>
    <s v="Online"/>
    <n v="5871"/>
  </r>
  <r>
    <n v="1505"/>
    <d v="2024-03-03T16:00:00"/>
    <s v="2024-03-03 16:00:00"/>
    <s v="EAST"/>
    <x v="0"/>
    <s v="Grocery"/>
    <x v="3"/>
    <s v="Washing Machine"/>
    <s v="Washing Machine"/>
    <s v="CUST0260"/>
    <s v=" CUST0260 "/>
    <x v="4"/>
    <s v="Karthik"/>
    <x v="3"/>
    <s v=" Net Banking "/>
    <n v="10"/>
    <s v="10"/>
    <n v="161"/>
    <s v="161"/>
    <n v="1610"/>
    <x v="0"/>
    <x v="2"/>
    <x v="8"/>
    <s v="Low"/>
    <s v="Online"/>
    <n v="1610"/>
  </r>
  <r>
    <n v="1506"/>
    <d v="2024-03-03T17:00:00"/>
    <s v="2024-03-03 17:00:00"/>
    <s v="EAST"/>
    <x v="0"/>
    <s v="Electronics"/>
    <x v="2"/>
    <s v="Laptop"/>
    <s v="Laptop"/>
    <s v="CUST0421"/>
    <s v=" CUST0421 "/>
    <x v="3"/>
    <s v="Anita"/>
    <x v="1"/>
    <s v="Debit card "/>
    <n v="12"/>
    <s v="12"/>
    <n v="1594"/>
    <s v="1594"/>
    <n v="19128"/>
    <x v="0"/>
    <x v="2"/>
    <x v="8"/>
    <s v="Low"/>
    <s v="Online"/>
    <n v="19128"/>
  </r>
  <r>
    <n v="1507"/>
    <d v="2024-03-03T18:00:00"/>
    <s v="2024-03-03 18:00:00"/>
    <s v=" west"/>
    <x v="1"/>
    <s v="Electronics"/>
    <x v="2"/>
    <s v="Men T-Shirt"/>
    <s v="Men T-Shirt"/>
    <s v="CUST0529"/>
    <s v=" CUST0529 "/>
    <x v="0"/>
    <s v="Rahul"/>
    <x v="2"/>
    <s v="UPI"/>
    <n v="12"/>
    <s v="12"/>
    <n v="1280"/>
    <s v="1280"/>
    <n v="15360"/>
    <x v="0"/>
    <x v="2"/>
    <x v="8"/>
    <s v="Low"/>
    <s v="Online"/>
    <n v="15360"/>
  </r>
  <r>
    <n v="1508"/>
    <d v="2024-03-03T19:00:00"/>
    <s v="2024-03-03 19:00:00"/>
    <s v="south"/>
    <x v="3"/>
    <s v="Grocery"/>
    <x v="3"/>
    <s v="Men T-Shirt"/>
    <s v="Men T-Shirt"/>
    <s v="CUST0551"/>
    <s v=" CUST0551 "/>
    <x v="0"/>
    <s v="Rahul"/>
    <x v="1"/>
    <s v="Debit card "/>
    <n v="14"/>
    <s v="14"/>
    <n v="2888"/>
    <s v="2888"/>
    <n v="40432"/>
    <x v="0"/>
    <x v="2"/>
    <x v="8"/>
    <s v="Medium"/>
    <s v="Online"/>
    <n v="40432"/>
  </r>
  <r>
    <n v="1509"/>
    <d v="2024-03-03T20:00:00"/>
    <s v="2024-03-03 20:00:00"/>
    <s v=" west"/>
    <x v="1"/>
    <s v="Grocery"/>
    <x v="3"/>
    <s v="Mixer Grinder"/>
    <s v="Mixer Grinder"/>
    <s v="CUST0304"/>
    <s v=" CUST0304 "/>
    <x v="2"/>
    <s v="Suresh"/>
    <x v="2"/>
    <s v="UPI"/>
    <n v="2"/>
    <s v="2"/>
    <n v="1975"/>
    <s v="1975"/>
    <n v="3950"/>
    <x v="0"/>
    <x v="2"/>
    <x v="8"/>
    <s v="Low"/>
    <s v="Online"/>
    <n v="3950"/>
  </r>
  <r>
    <n v="1510"/>
    <d v="2024-03-03T21:00:00"/>
    <s v="2024-03-03 21:00:00"/>
    <s v=" west"/>
    <x v="1"/>
    <s v="Grocery"/>
    <x v="3"/>
    <s v="Men T-Shirt"/>
    <s v="Men T-Shirt"/>
    <s v="CUST0039"/>
    <s v=" CUST0039 "/>
    <x v="1"/>
    <s v="Meena"/>
    <x v="1"/>
    <s v="Debit card "/>
    <n v="2"/>
    <s v="2"/>
    <n v="2308"/>
    <s v="2308"/>
    <n v="4616"/>
    <x v="0"/>
    <x v="2"/>
    <x v="8"/>
    <s v="Low"/>
    <s v="Online"/>
    <n v="4616"/>
  </r>
  <r>
    <n v="1511"/>
    <d v="2024-03-03T22:00:00"/>
    <s v="2024-03-03 22:00:00"/>
    <s v="EAST"/>
    <x v="0"/>
    <s v="Electronics"/>
    <x v="2"/>
    <s v="Men T-Shirt"/>
    <s v="Men T-Shirt"/>
    <s v="CUST0489"/>
    <s v=" CUST0489 "/>
    <x v="3"/>
    <s v="Anita"/>
    <x v="4"/>
    <s v="Credit Card"/>
    <n v="9"/>
    <s v="9"/>
    <n v="4736"/>
    <s v="4736"/>
    <n v="42624"/>
    <x v="0"/>
    <x v="2"/>
    <x v="8"/>
    <s v="Medium"/>
    <s v="Online"/>
    <n v="42624"/>
  </r>
  <r>
    <n v="1512"/>
    <d v="2024-03-03T23:00:00"/>
    <s v="2024-03-03 23:00:00"/>
    <s v="EAST"/>
    <x v="0"/>
    <s v="Grocery"/>
    <x v="3"/>
    <s v="Led Tv 42Inch"/>
    <s v="LED TV 42inch"/>
    <s v="CUST0644"/>
    <s v=" CUST0644 "/>
    <x v="2"/>
    <s v="Suresh"/>
    <x v="0"/>
    <s v=" Cash"/>
    <n v="13"/>
    <s v="13"/>
    <n v="4821"/>
    <s v="4821"/>
    <n v="62673"/>
    <x v="0"/>
    <x v="2"/>
    <x v="8"/>
    <s v="High"/>
    <s v="Offline"/>
    <n v="62673"/>
  </r>
  <r>
    <n v="1513"/>
    <d v="2024-03-04T00:00:00"/>
    <s v="2024-03-04 00:00:00"/>
    <s v=" North "/>
    <x v="2"/>
    <s v="Grocery"/>
    <x v="3"/>
    <s v="Rice 5Kg"/>
    <s v="Rice 5kg"/>
    <s v="CUST0542"/>
    <s v=" CUST0542 "/>
    <x v="4"/>
    <s v="Karthik"/>
    <x v="0"/>
    <s v=" Cash"/>
    <n v="4"/>
    <s v="4"/>
    <n v="205"/>
    <s v="205"/>
    <n v="820"/>
    <x v="0"/>
    <x v="2"/>
    <x v="9"/>
    <s v="Low"/>
    <s v="Offline"/>
    <n v="820"/>
  </r>
  <r>
    <n v="1514"/>
    <d v="2024-03-04T01:00:00"/>
    <s v="2024-03-04 01:00:00"/>
    <s v=" North "/>
    <x v="2"/>
    <s v=" Home Appliances "/>
    <x v="1"/>
    <s v="Mixer Grinder"/>
    <s v="Mixer Grinder"/>
    <s v="CUST0670"/>
    <s v=" CUST0670 "/>
    <x v="1"/>
    <s v="Meena"/>
    <x v="4"/>
    <s v="Credit Card"/>
    <n v="4"/>
    <s v="4"/>
    <n v="1254"/>
    <s v="1254"/>
    <n v="5016"/>
    <x v="0"/>
    <x v="2"/>
    <x v="9"/>
    <s v="Low"/>
    <s v="Online"/>
    <n v="5016"/>
  </r>
  <r>
    <n v="1515"/>
    <d v="2024-03-04T02:00:00"/>
    <s v="2024-03-04 02:00:00"/>
    <s v=" west"/>
    <x v="1"/>
    <s v=" Home Appliances "/>
    <x v="1"/>
    <s v="Mixer Grinder"/>
    <s v="Mixer Grinder"/>
    <s v="CUST0278"/>
    <s v=" CUST0278 "/>
    <x v="2"/>
    <s v="Suresh"/>
    <x v="2"/>
    <s v="UPI"/>
    <n v="7"/>
    <s v="7"/>
    <n v="3528"/>
    <s v="3528"/>
    <n v="24696"/>
    <x v="0"/>
    <x v="2"/>
    <x v="9"/>
    <s v="Medium"/>
    <s v="Online"/>
    <n v="24696"/>
  </r>
  <r>
    <n v="1516"/>
    <d v="2024-03-04T03:00:00"/>
    <s v="2024-03-04 03:00:00"/>
    <s v="south"/>
    <x v="3"/>
    <s v="Grocery"/>
    <x v="3"/>
    <s v="Mixer Grinder"/>
    <s v="Mixer Grinder"/>
    <s v="CUST0203"/>
    <s v=" CUST0203 "/>
    <x v="3"/>
    <s v="Anita"/>
    <x v="3"/>
    <s v=" Net Banking "/>
    <n v="10"/>
    <s v="10"/>
    <n v="4187"/>
    <s v="4187"/>
    <n v="41870"/>
    <x v="0"/>
    <x v="2"/>
    <x v="9"/>
    <s v="Medium"/>
    <s v="Online"/>
    <n v="41870"/>
  </r>
  <r>
    <n v="1517"/>
    <d v="2024-03-04T04:00:00"/>
    <s v="2024-03-04 04:00:00"/>
    <s v="EAST"/>
    <x v="0"/>
    <s v="Clothing"/>
    <x v="0"/>
    <s v="Led Tv 42Inch"/>
    <s v="LED TV 42inch"/>
    <s v="CUST0066"/>
    <s v=" CUST0066 "/>
    <x v="0"/>
    <s v="Rahul"/>
    <x v="2"/>
    <s v="UPI"/>
    <n v="10"/>
    <s v="10"/>
    <n v="1808"/>
    <s v="1808"/>
    <n v="18080"/>
    <x v="0"/>
    <x v="2"/>
    <x v="9"/>
    <s v="Low"/>
    <s v="Online"/>
    <n v="18080"/>
  </r>
  <r>
    <n v="1518"/>
    <d v="2024-03-04T05:00:00"/>
    <s v="2024-03-04 05:00:00"/>
    <s v="EAST"/>
    <x v="0"/>
    <s v="Grocery"/>
    <x v="3"/>
    <s v="Laptop"/>
    <s v="Laptop"/>
    <s v="CUST0108"/>
    <s v=" CUST0108 "/>
    <x v="4"/>
    <s v="Karthik"/>
    <x v="0"/>
    <s v=" Cash"/>
    <n v="13"/>
    <s v="13"/>
    <n v="2923"/>
    <s v="2923"/>
    <n v="37999"/>
    <x v="0"/>
    <x v="2"/>
    <x v="9"/>
    <s v="Medium"/>
    <s v="Offline"/>
    <n v="37999"/>
  </r>
  <r>
    <n v="1519"/>
    <d v="2024-03-04T06:00:00"/>
    <s v="2024-03-04 06:00:00"/>
    <s v=" west"/>
    <x v="1"/>
    <s v=" Home Appliances "/>
    <x v="1"/>
    <s v="Men T-Shirt"/>
    <s v="Men T-Shirt"/>
    <s v="CUST0268"/>
    <s v=" CUST0268 "/>
    <x v="3"/>
    <s v="Anita"/>
    <x v="3"/>
    <s v=" Net Banking "/>
    <n v="2"/>
    <s v="2"/>
    <n v="4025"/>
    <s v="4025"/>
    <n v="8050"/>
    <x v="0"/>
    <x v="2"/>
    <x v="9"/>
    <s v="Low"/>
    <s v="Online"/>
    <n v="8050"/>
  </r>
  <r>
    <n v="1520"/>
    <d v="2024-03-04T07:00:00"/>
    <s v="2024-03-04 07:00:00"/>
    <s v=" North "/>
    <x v="2"/>
    <s v="Clothing"/>
    <x v="0"/>
    <s v="Rice 5Kg"/>
    <s v="Rice 5kg"/>
    <s v="CUST0222"/>
    <s v=" CUST0222 "/>
    <x v="1"/>
    <s v="Meena"/>
    <x v="1"/>
    <s v="Debit card "/>
    <n v="3"/>
    <s v="3"/>
    <n v="2008"/>
    <s v="2008"/>
    <n v="6024"/>
    <x v="0"/>
    <x v="2"/>
    <x v="9"/>
    <s v="Low"/>
    <s v="Online"/>
    <n v="6024"/>
  </r>
  <r>
    <n v="1521"/>
    <d v="2024-03-04T08:00:00"/>
    <s v="2024-03-04 08:00:00"/>
    <s v="south"/>
    <x v="3"/>
    <s v="Clothing"/>
    <x v="0"/>
    <s v="Washing Machine"/>
    <s v="Washing Machine"/>
    <s v="CUST0530"/>
    <s v=" CUST0530 "/>
    <x v="1"/>
    <s v="Meena"/>
    <x v="3"/>
    <s v=" Net Banking "/>
    <n v="3"/>
    <s v="3"/>
    <n v="2149"/>
    <s v="2149"/>
    <n v="6447"/>
    <x v="0"/>
    <x v="2"/>
    <x v="9"/>
    <s v="Low"/>
    <s v="Online"/>
    <n v="6447"/>
  </r>
  <r>
    <n v="1522"/>
    <d v="2024-03-04T09:00:00"/>
    <s v="2024-03-04 09:00:00"/>
    <s v=" North "/>
    <x v="2"/>
    <s v="Grocery"/>
    <x v="3"/>
    <s v="Laptop"/>
    <s v="Laptop"/>
    <s v="CUST0090"/>
    <s v=" CUST0090 "/>
    <x v="0"/>
    <s v="Rahul"/>
    <x v="2"/>
    <s v="UPI"/>
    <n v="6"/>
    <s v="6"/>
    <n v="4564"/>
    <s v="4564"/>
    <n v="27384"/>
    <x v="0"/>
    <x v="2"/>
    <x v="9"/>
    <s v="Medium"/>
    <s v="Online"/>
    <n v="27384"/>
  </r>
  <r>
    <n v="1523"/>
    <d v="2024-03-04T10:00:00"/>
    <s v="2024-03-04 10:00:00"/>
    <s v=" North "/>
    <x v="2"/>
    <s v=" Home Appliances "/>
    <x v="1"/>
    <s v="Men T-Shirt"/>
    <s v="Men T-Shirt"/>
    <s v="CUST0693"/>
    <s v=" CUST0693 "/>
    <x v="0"/>
    <s v="Rahul"/>
    <x v="4"/>
    <s v="Credit Card"/>
    <n v="3"/>
    <s v="3"/>
    <n v="1374"/>
    <s v="1374"/>
    <n v="4122"/>
    <x v="0"/>
    <x v="2"/>
    <x v="9"/>
    <s v="Low"/>
    <s v="Online"/>
    <n v="4122"/>
  </r>
  <r>
    <n v="1524"/>
    <d v="2024-03-04T11:00:00"/>
    <s v="2024-03-04 11:00:00"/>
    <s v=" North "/>
    <x v="2"/>
    <s v=" Home Appliances "/>
    <x v="1"/>
    <s v="Led Tv 42Inch"/>
    <s v="LED TV 42inch"/>
    <s v="CUST0255"/>
    <s v=" CUST0255 "/>
    <x v="4"/>
    <s v="Karthik"/>
    <x v="1"/>
    <s v="Debit card "/>
    <n v="11"/>
    <s v="11"/>
    <n v="1045"/>
    <s v="1045"/>
    <n v="11495"/>
    <x v="0"/>
    <x v="2"/>
    <x v="9"/>
    <s v="Low"/>
    <s v="Online"/>
    <n v="11495"/>
  </r>
  <r>
    <n v="1525"/>
    <d v="2024-03-04T12:00:00"/>
    <s v="2024-03-04 12:00:00"/>
    <s v=" North "/>
    <x v="2"/>
    <s v="Clothing"/>
    <x v="0"/>
    <s v="Men T-Shirt"/>
    <s v="Men T-Shirt"/>
    <s v="CUST0455"/>
    <s v=" CUST0455 "/>
    <x v="4"/>
    <s v="Karthik"/>
    <x v="2"/>
    <s v="UPI"/>
    <n v="5"/>
    <s v="5"/>
    <n v="4004"/>
    <s v="4004"/>
    <n v="20020"/>
    <x v="0"/>
    <x v="2"/>
    <x v="9"/>
    <s v="Medium"/>
    <s v="Online"/>
    <n v="20020"/>
  </r>
  <r>
    <n v="1526"/>
    <d v="2024-03-04T13:00:00"/>
    <s v="2024-03-04 13:00:00"/>
    <s v="EAST"/>
    <x v="0"/>
    <s v="Grocery"/>
    <x v="3"/>
    <s v="Men T-Shirt"/>
    <s v="Men T-Shirt"/>
    <s v="CUST0253"/>
    <s v=" CUST0253 "/>
    <x v="0"/>
    <s v="Rahul"/>
    <x v="1"/>
    <s v="Debit card "/>
    <n v="4"/>
    <s v="4"/>
    <n v="2327"/>
    <s v="2327"/>
    <n v="9308"/>
    <x v="0"/>
    <x v="2"/>
    <x v="9"/>
    <s v="Low"/>
    <s v="Online"/>
    <n v="9308"/>
  </r>
  <r>
    <n v="1527"/>
    <d v="2024-03-04T14:00:00"/>
    <s v="2024-03-04 14:00:00"/>
    <s v="EAST"/>
    <x v="0"/>
    <s v="Electronics"/>
    <x v="2"/>
    <s v="Led Tv 42Inch"/>
    <s v="LED TV 42inch"/>
    <s v="CUST0257"/>
    <s v=" CUST0257 "/>
    <x v="0"/>
    <s v="Rahul"/>
    <x v="3"/>
    <s v=" Net Banking "/>
    <n v="3"/>
    <s v="3"/>
    <n v="3896"/>
    <s v="3896"/>
    <n v="11688"/>
    <x v="0"/>
    <x v="2"/>
    <x v="9"/>
    <s v="Low"/>
    <s v="Online"/>
    <n v="11688"/>
  </r>
  <r>
    <n v="1528"/>
    <d v="2024-03-04T15:00:00"/>
    <s v="2024-03-04 15:00:00"/>
    <s v=" North "/>
    <x v="2"/>
    <s v="Electronics"/>
    <x v="2"/>
    <s v="Mixer Grinder"/>
    <s v="Mixer Grinder"/>
    <s v="CUST0383"/>
    <s v=" CUST0383 "/>
    <x v="1"/>
    <s v="Meena"/>
    <x v="0"/>
    <s v=" Cash"/>
    <n v="8"/>
    <s v="8"/>
    <n v="392"/>
    <s v="392"/>
    <n v="3136"/>
    <x v="0"/>
    <x v="2"/>
    <x v="9"/>
    <s v="Low"/>
    <s v="Offline"/>
    <n v="3136"/>
  </r>
  <r>
    <n v="1529"/>
    <d v="2024-03-04T16:00:00"/>
    <s v="2024-03-04 16:00:00"/>
    <s v="south"/>
    <x v="3"/>
    <s v=" Home Appliances "/>
    <x v="1"/>
    <s v="Mixer Grinder"/>
    <s v="Mixer Grinder"/>
    <s v="CUST0442"/>
    <s v=" CUST0442 "/>
    <x v="0"/>
    <s v="Rahul"/>
    <x v="2"/>
    <s v="UPI"/>
    <n v="14"/>
    <s v="14"/>
    <n v="4779"/>
    <s v="4779"/>
    <n v="66906"/>
    <x v="0"/>
    <x v="2"/>
    <x v="9"/>
    <s v="High"/>
    <s v="Online"/>
    <n v="66906"/>
  </r>
  <r>
    <n v="1530"/>
    <d v="2024-03-04T17:00:00"/>
    <s v="2024-03-04 17:00:00"/>
    <s v=" west"/>
    <x v="1"/>
    <s v="Electronics"/>
    <x v="2"/>
    <s v="Rice 5Kg"/>
    <s v="Rice 5kg"/>
    <s v="CUST0599"/>
    <s v=" CUST0599 "/>
    <x v="2"/>
    <s v="Suresh"/>
    <x v="4"/>
    <s v="Credit Card"/>
    <n v="10"/>
    <s v="10"/>
    <n v="2322"/>
    <s v="2322"/>
    <n v="23220"/>
    <x v="0"/>
    <x v="2"/>
    <x v="9"/>
    <s v="Medium"/>
    <s v="Online"/>
    <n v="23220"/>
  </r>
  <r>
    <n v="1531"/>
    <d v="2024-03-04T18:00:00"/>
    <s v="2024-03-04 18:00:00"/>
    <s v="south"/>
    <x v="3"/>
    <s v=" Home Appliances "/>
    <x v="1"/>
    <s v="Rice 5Kg"/>
    <s v="Rice 5kg"/>
    <s v="CUST0090"/>
    <s v=" CUST0090 "/>
    <x v="3"/>
    <s v="Anita"/>
    <x v="3"/>
    <s v=" Net Banking "/>
    <n v="3"/>
    <s v="3"/>
    <n v="4073"/>
    <s v="4073"/>
    <n v="12219"/>
    <x v="0"/>
    <x v="2"/>
    <x v="9"/>
    <s v="Low"/>
    <s v="Online"/>
    <n v="12219"/>
  </r>
  <r>
    <n v="1532"/>
    <d v="2024-03-04T19:00:00"/>
    <s v="2024-03-04 19:00:00"/>
    <s v="south"/>
    <x v="3"/>
    <s v=" Home Appliances "/>
    <x v="1"/>
    <s v="Mixer Grinder"/>
    <s v="Mixer Grinder"/>
    <s v="CUST0749"/>
    <s v=" CUST0749 "/>
    <x v="0"/>
    <s v="Rahul"/>
    <x v="2"/>
    <s v="UPI"/>
    <n v="6"/>
    <s v="6"/>
    <n v="2591"/>
    <s v="2591"/>
    <n v="15546"/>
    <x v="0"/>
    <x v="2"/>
    <x v="9"/>
    <s v="Low"/>
    <s v="Online"/>
    <n v="15546"/>
  </r>
  <r>
    <n v="1533"/>
    <d v="2024-03-04T20:00:00"/>
    <s v="2024-03-04 20:00:00"/>
    <s v="south"/>
    <x v="3"/>
    <s v=" Home Appliances "/>
    <x v="1"/>
    <s v="Laptop"/>
    <s v="Laptop"/>
    <s v="CUST0390"/>
    <s v=" CUST0390 "/>
    <x v="4"/>
    <s v="Karthik"/>
    <x v="4"/>
    <s v="Credit Card"/>
    <n v="13"/>
    <s v="13"/>
    <n v="2575"/>
    <s v="2575"/>
    <n v="33475"/>
    <x v="0"/>
    <x v="2"/>
    <x v="9"/>
    <s v="Medium"/>
    <s v="Online"/>
    <n v="33475"/>
  </r>
  <r>
    <n v="1534"/>
    <d v="2024-03-04T21:00:00"/>
    <s v="2024-03-04 21:00:00"/>
    <s v=" North "/>
    <x v="2"/>
    <s v="Electronics"/>
    <x v="2"/>
    <s v="Washing Machine"/>
    <s v="Washing Machine"/>
    <s v="CUST0582"/>
    <s v=" CUST0582 "/>
    <x v="2"/>
    <s v="Suresh"/>
    <x v="2"/>
    <s v="UPI"/>
    <n v="7"/>
    <s v="7"/>
    <n v="4960"/>
    <s v="4960"/>
    <n v="34720"/>
    <x v="0"/>
    <x v="2"/>
    <x v="9"/>
    <s v="Medium"/>
    <s v="Online"/>
    <n v="34720"/>
  </r>
  <r>
    <n v="1535"/>
    <d v="2024-03-04T22:00:00"/>
    <s v="2024-03-04 22:00:00"/>
    <s v="EAST"/>
    <x v="0"/>
    <s v=" Home Appliances "/>
    <x v="1"/>
    <s v="Men T-Shirt"/>
    <s v="Men T-Shirt"/>
    <s v="CUST0044"/>
    <s v=" CUST0044 "/>
    <x v="4"/>
    <s v="Karthik"/>
    <x v="3"/>
    <s v=" Net Banking "/>
    <n v="7"/>
    <s v="7"/>
    <n v="3829"/>
    <s v="3829"/>
    <n v="26803"/>
    <x v="0"/>
    <x v="2"/>
    <x v="9"/>
    <s v="Medium"/>
    <s v="Online"/>
    <n v="26803"/>
  </r>
  <r>
    <n v="1536"/>
    <d v="2024-03-04T23:00:00"/>
    <s v="2024-03-04 23:00:00"/>
    <s v="south"/>
    <x v="3"/>
    <s v="Clothing"/>
    <x v="0"/>
    <s v="Washing Machine"/>
    <s v="Washing Machine"/>
    <s v="CUST0712"/>
    <s v=" CUST0712 "/>
    <x v="2"/>
    <s v="Suresh"/>
    <x v="2"/>
    <s v="UPI"/>
    <n v="2"/>
    <s v="2"/>
    <n v="527"/>
    <s v="527"/>
    <n v="1054"/>
    <x v="0"/>
    <x v="2"/>
    <x v="9"/>
    <s v="Low"/>
    <s v="Online"/>
    <n v="1054"/>
  </r>
  <r>
    <n v="1537"/>
    <d v="2024-03-05T00:00:00"/>
    <s v="2024-03-05 00:00:00"/>
    <s v=" North "/>
    <x v="2"/>
    <s v="Grocery"/>
    <x v="3"/>
    <s v="Men T-Shirt"/>
    <s v="Men T-Shirt"/>
    <s v="CUST0664"/>
    <s v=" CUST0664 "/>
    <x v="0"/>
    <s v="Rahul"/>
    <x v="1"/>
    <s v="Debit card "/>
    <n v="14"/>
    <s v="14"/>
    <n v="3072"/>
    <s v="3072"/>
    <n v="43008"/>
    <x v="0"/>
    <x v="2"/>
    <x v="9"/>
    <s v="Medium"/>
    <s v="Online"/>
    <n v="43008"/>
  </r>
  <r>
    <n v="1538"/>
    <d v="2024-03-05T01:00:00"/>
    <s v="2024-03-05 01:00:00"/>
    <s v="south"/>
    <x v="3"/>
    <s v="Grocery"/>
    <x v="3"/>
    <s v="Mixer Grinder"/>
    <s v="Mixer Grinder"/>
    <s v="CUST0598"/>
    <s v=" CUST0598 "/>
    <x v="3"/>
    <s v="Anita"/>
    <x v="3"/>
    <s v=" Net Banking "/>
    <n v="3"/>
    <s v="3"/>
    <n v="206"/>
    <s v="206"/>
    <n v="618"/>
    <x v="0"/>
    <x v="2"/>
    <x v="9"/>
    <s v="Low"/>
    <s v="Online"/>
    <n v="618"/>
  </r>
  <r>
    <n v="1539"/>
    <d v="2024-03-05T02:00:00"/>
    <s v="2024-03-05 02:00:00"/>
    <s v="south"/>
    <x v="3"/>
    <s v=" Home Appliances "/>
    <x v="1"/>
    <s v="Rice 5Kg"/>
    <s v="Rice 5kg"/>
    <s v="CUST0019"/>
    <s v=" CUST0019 "/>
    <x v="4"/>
    <s v="Karthik"/>
    <x v="2"/>
    <s v="UPI"/>
    <n v="12"/>
    <s v="12"/>
    <n v="3719"/>
    <s v="3719"/>
    <n v="44628"/>
    <x v="0"/>
    <x v="2"/>
    <x v="9"/>
    <s v="Medium"/>
    <s v="Online"/>
    <n v="44628"/>
  </r>
  <r>
    <n v="1540"/>
    <d v="2024-03-05T03:00:00"/>
    <s v="2024-03-05 03:00:00"/>
    <s v=" North "/>
    <x v="2"/>
    <s v="Grocery"/>
    <x v="3"/>
    <s v="Laptop"/>
    <s v="Laptop"/>
    <s v="CUST0101"/>
    <s v=" CUST0101 "/>
    <x v="2"/>
    <s v="Suresh"/>
    <x v="0"/>
    <s v=" Cash"/>
    <n v="10"/>
    <s v="10"/>
    <n v="4854"/>
    <s v="4854"/>
    <n v="48540"/>
    <x v="0"/>
    <x v="2"/>
    <x v="9"/>
    <s v="Medium"/>
    <s v="Offline"/>
    <n v="48540"/>
  </r>
  <r>
    <n v="1541"/>
    <d v="2024-03-05T04:00:00"/>
    <s v="2024-03-05 04:00:00"/>
    <s v="EAST"/>
    <x v="0"/>
    <s v="Electronics"/>
    <x v="2"/>
    <s v="Rice 5Kg"/>
    <s v="Rice 5kg"/>
    <s v="CUST0607"/>
    <s v=" CUST0607 "/>
    <x v="1"/>
    <s v="Meena"/>
    <x v="2"/>
    <s v="UPI"/>
    <n v="10"/>
    <s v="10"/>
    <n v="3433"/>
    <s v="3433"/>
    <n v="34330"/>
    <x v="0"/>
    <x v="2"/>
    <x v="9"/>
    <s v="Medium"/>
    <s v="Online"/>
    <n v="34330"/>
  </r>
  <r>
    <n v="1542"/>
    <d v="2024-03-05T05:00:00"/>
    <s v="2024-03-05 05:00:00"/>
    <s v="EAST"/>
    <x v="0"/>
    <s v="Electronics"/>
    <x v="2"/>
    <s v="Washing Machine"/>
    <s v="Washing Machine"/>
    <s v="CUST0766"/>
    <s v=" CUST0766 "/>
    <x v="0"/>
    <s v="Rahul"/>
    <x v="1"/>
    <s v="Debit card "/>
    <n v="4"/>
    <s v="4"/>
    <n v="4092"/>
    <s v="4092"/>
    <n v="16368"/>
    <x v="0"/>
    <x v="2"/>
    <x v="9"/>
    <s v="Low"/>
    <s v="Online"/>
    <n v="16368"/>
  </r>
  <r>
    <n v="1543"/>
    <d v="2024-03-05T06:00:00"/>
    <s v="2024-03-05 06:00:00"/>
    <s v=" west"/>
    <x v="1"/>
    <s v="Grocery"/>
    <x v="3"/>
    <s v="Rice 5Kg"/>
    <s v="Rice 5kg"/>
    <s v="CUST0357"/>
    <s v=" CUST0357 "/>
    <x v="3"/>
    <s v="Anita"/>
    <x v="4"/>
    <s v="Credit Card"/>
    <n v="7"/>
    <s v="7"/>
    <n v="1325"/>
    <s v="1325"/>
    <n v="9275"/>
    <x v="0"/>
    <x v="2"/>
    <x v="9"/>
    <s v="Low"/>
    <s v="Online"/>
    <n v="9275"/>
  </r>
  <r>
    <n v="1544"/>
    <d v="2024-03-05T07:00:00"/>
    <s v="2024-03-05 07:00:00"/>
    <s v=" North "/>
    <x v="2"/>
    <s v="Electronics"/>
    <x v="2"/>
    <s v="Mixer Grinder"/>
    <s v="Mixer Grinder"/>
    <s v="CUST0542"/>
    <s v=" CUST0542 "/>
    <x v="0"/>
    <s v="Rahul"/>
    <x v="4"/>
    <s v="Credit Card"/>
    <n v="2"/>
    <s v="2"/>
    <n v="4104"/>
    <s v="4104"/>
    <n v="8208"/>
    <x v="0"/>
    <x v="2"/>
    <x v="9"/>
    <s v="Low"/>
    <s v="Online"/>
    <n v="8208"/>
  </r>
  <r>
    <n v="1545"/>
    <d v="2024-03-05T08:00:00"/>
    <s v="2024-03-05 08:00:00"/>
    <s v=" west"/>
    <x v="1"/>
    <s v="Grocery"/>
    <x v="3"/>
    <s v="Laptop"/>
    <s v="Laptop"/>
    <s v="CUST0761"/>
    <s v=" CUST0761 "/>
    <x v="1"/>
    <s v="Meena"/>
    <x v="4"/>
    <s v="Credit Card"/>
    <n v="3"/>
    <s v="3"/>
    <n v="4350"/>
    <s v="4350"/>
    <n v="13050"/>
    <x v="0"/>
    <x v="2"/>
    <x v="9"/>
    <s v="Low"/>
    <s v="Online"/>
    <n v="13050"/>
  </r>
  <r>
    <n v="1546"/>
    <d v="2024-03-05T09:00:00"/>
    <s v="2024-03-05 09:00:00"/>
    <s v=" west"/>
    <x v="1"/>
    <s v="Grocery"/>
    <x v="3"/>
    <s v="Washing Machine"/>
    <s v="Washing Machine"/>
    <s v="CUST0033"/>
    <s v=" CUST0033 "/>
    <x v="3"/>
    <s v="Anita"/>
    <x v="0"/>
    <s v=" Cash"/>
    <n v="7"/>
    <s v="7"/>
    <n v="3468"/>
    <s v="3468"/>
    <n v="24276"/>
    <x v="0"/>
    <x v="2"/>
    <x v="9"/>
    <s v="Medium"/>
    <s v="Offline"/>
    <n v="24276"/>
  </r>
  <r>
    <n v="1547"/>
    <d v="2024-03-05T10:00:00"/>
    <s v="2024-03-05 10:00:00"/>
    <s v=" west"/>
    <x v="1"/>
    <s v="Grocery"/>
    <x v="3"/>
    <s v="Laptop"/>
    <s v="Laptop"/>
    <s v="CUST0229"/>
    <s v=" CUST0229 "/>
    <x v="1"/>
    <s v="Meena"/>
    <x v="1"/>
    <s v="Debit card "/>
    <n v="7"/>
    <s v="7"/>
    <n v="995"/>
    <s v="995"/>
    <n v="6965"/>
    <x v="0"/>
    <x v="2"/>
    <x v="9"/>
    <s v="Low"/>
    <s v="Online"/>
    <n v="6965"/>
  </r>
  <r>
    <n v="1548"/>
    <d v="2024-03-05T11:00:00"/>
    <s v="2024-03-05 11:00:00"/>
    <s v="EAST"/>
    <x v="0"/>
    <s v=" Home Appliances "/>
    <x v="1"/>
    <s v="Men T-Shirt"/>
    <s v="Men T-Shirt"/>
    <s v="CUST0524"/>
    <s v=" CUST0524 "/>
    <x v="0"/>
    <s v="Rahul"/>
    <x v="3"/>
    <s v=" Net Banking "/>
    <n v="10"/>
    <s v="10"/>
    <n v="4005"/>
    <s v="4005"/>
    <n v="40050"/>
    <x v="0"/>
    <x v="2"/>
    <x v="9"/>
    <s v="Medium"/>
    <s v="Online"/>
    <n v="40050"/>
  </r>
  <r>
    <n v="1549"/>
    <d v="2024-03-05T12:00:00"/>
    <s v="2024-03-05 12:00:00"/>
    <s v=" North "/>
    <x v="2"/>
    <s v="Grocery"/>
    <x v="3"/>
    <s v="Rice 5Kg"/>
    <s v="Rice 5kg"/>
    <s v="CUST0630"/>
    <s v=" CUST0630 "/>
    <x v="2"/>
    <s v="Suresh"/>
    <x v="4"/>
    <s v="Credit Card"/>
    <n v="3"/>
    <s v="3"/>
    <n v="1720"/>
    <s v="1720"/>
    <n v="5160"/>
    <x v="0"/>
    <x v="2"/>
    <x v="9"/>
    <s v="Low"/>
    <s v="Online"/>
    <n v="5160"/>
  </r>
  <r>
    <n v="1550"/>
    <d v="2024-03-05T13:00:00"/>
    <s v="2024-03-05 13:00:00"/>
    <s v=" west"/>
    <x v="1"/>
    <s v=" Home Appliances "/>
    <x v="1"/>
    <s v="Laptop"/>
    <s v="Laptop"/>
    <s v="CUST0155"/>
    <s v=" CUST0155 "/>
    <x v="0"/>
    <s v="Rahul"/>
    <x v="1"/>
    <s v="Debit card "/>
    <n v="12"/>
    <s v="12"/>
    <n v="3963"/>
    <s v="3963"/>
    <n v="47556"/>
    <x v="0"/>
    <x v="2"/>
    <x v="9"/>
    <s v="Medium"/>
    <s v="Online"/>
    <n v="47556"/>
  </r>
  <r>
    <n v="1551"/>
    <d v="2024-03-05T14:00:00"/>
    <s v="2024-03-05 14:00:00"/>
    <s v=" North "/>
    <x v="2"/>
    <s v="Grocery"/>
    <x v="3"/>
    <s v="Led Tv 42Inch"/>
    <s v="LED TV 42inch"/>
    <s v="CUST0423"/>
    <s v=" CUST0423 "/>
    <x v="0"/>
    <s v="Rahul"/>
    <x v="2"/>
    <s v="UPI"/>
    <n v="1"/>
    <s v="1"/>
    <n v="2392"/>
    <s v="2392"/>
    <n v="2392"/>
    <x v="0"/>
    <x v="2"/>
    <x v="9"/>
    <s v="Low"/>
    <s v="Online"/>
    <n v="2392"/>
  </r>
  <r>
    <n v="1552"/>
    <d v="2024-03-05T15:00:00"/>
    <s v="2024-03-05 15:00:00"/>
    <s v=" North "/>
    <x v="2"/>
    <s v="Grocery"/>
    <x v="3"/>
    <s v="Rice 5Kg"/>
    <s v="Rice 5kg"/>
    <s v="CUST0246"/>
    <s v=" CUST0246 "/>
    <x v="0"/>
    <s v="Rahul"/>
    <x v="0"/>
    <s v=" Cash"/>
    <n v="12"/>
    <s v="12"/>
    <n v="1485"/>
    <s v="1485"/>
    <n v="17820"/>
    <x v="0"/>
    <x v="2"/>
    <x v="9"/>
    <s v="Low"/>
    <s v="Offline"/>
    <n v="17820"/>
  </r>
  <r>
    <n v="1553"/>
    <d v="2024-03-05T16:00:00"/>
    <s v="2024-03-05 16:00:00"/>
    <s v="EAST"/>
    <x v="0"/>
    <s v="Grocery"/>
    <x v="3"/>
    <s v="Men T-Shirt"/>
    <s v="Men T-Shirt"/>
    <s v="CUST0405"/>
    <s v=" CUST0405 "/>
    <x v="4"/>
    <s v="Karthik"/>
    <x v="1"/>
    <s v="Debit card "/>
    <n v="3"/>
    <s v="3"/>
    <n v="3999"/>
    <s v="3999"/>
    <n v="11997"/>
    <x v="0"/>
    <x v="2"/>
    <x v="9"/>
    <s v="Low"/>
    <s v="Online"/>
    <n v="11997"/>
  </r>
  <r>
    <n v="1554"/>
    <d v="2024-03-05T17:00:00"/>
    <s v="2024-03-05 17:00:00"/>
    <s v=" west"/>
    <x v="1"/>
    <s v="Electronics"/>
    <x v="2"/>
    <s v="Laptop"/>
    <s v="Laptop"/>
    <s v="CUST0759"/>
    <s v=" CUST0759 "/>
    <x v="1"/>
    <s v="Meena"/>
    <x v="1"/>
    <s v="Debit card "/>
    <n v="5"/>
    <s v="5"/>
    <n v="3692"/>
    <s v="3692"/>
    <n v="18460"/>
    <x v="0"/>
    <x v="2"/>
    <x v="9"/>
    <s v="Low"/>
    <s v="Online"/>
    <n v="18460"/>
  </r>
  <r>
    <n v="1555"/>
    <d v="2024-03-05T18:00:00"/>
    <s v="2024-03-05 18:00:00"/>
    <s v=" west"/>
    <x v="1"/>
    <s v=" Home Appliances "/>
    <x v="1"/>
    <s v="Washing Machine"/>
    <s v="Washing Machine"/>
    <s v="CUST0541"/>
    <s v=" CUST0541 "/>
    <x v="1"/>
    <s v="Meena"/>
    <x v="3"/>
    <s v=" Net Banking "/>
    <n v="7"/>
    <s v="7"/>
    <n v="2533"/>
    <s v="2533"/>
    <n v="17731"/>
    <x v="0"/>
    <x v="2"/>
    <x v="9"/>
    <s v="Low"/>
    <s v="Online"/>
    <n v="17731"/>
  </r>
  <r>
    <n v="1556"/>
    <d v="2024-03-05T19:00:00"/>
    <s v="2024-03-05 19:00:00"/>
    <s v=" North "/>
    <x v="2"/>
    <s v=" Home Appliances "/>
    <x v="1"/>
    <s v="Men T-Shirt"/>
    <s v="Men T-Shirt"/>
    <s v="CUST0161"/>
    <s v=" CUST0161 "/>
    <x v="1"/>
    <s v="Meena"/>
    <x v="1"/>
    <s v="Debit card "/>
    <n v="4"/>
    <s v="4"/>
    <n v="2906"/>
    <s v="2906"/>
    <n v="11624"/>
    <x v="0"/>
    <x v="2"/>
    <x v="9"/>
    <s v="Low"/>
    <s v="Online"/>
    <n v="11624"/>
  </r>
  <r>
    <n v="1557"/>
    <d v="2024-03-05T20:00:00"/>
    <s v="2024-03-05 20:00:00"/>
    <s v="south"/>
    <x v="3"/>
    <s v="Grocery"/>
    <x v="3"/>
    <s v="Led Tv 42Inch"/>
    <s v="LED TV 42inch"/>
    <s v="CUST0747"/>
    <s v=" CUST0747 "/>
    <x v="4"/>
    <s v="Karthik"/>
    <x v="3"/>
    <s v=" Net Banking "/>
    <n v="13"/>
    <s v="13"/>
    <n v="3483"/>
    <s v="3483"/>
    <n v="45279"/>
    <x v="0"/>
    <x v="2"/>
    <x v="9"/>
    <s v="Medium"/>
    <s v="Online"/>
    <n v="45279"/>
  </r>
  <r>
    <n v="1558"/>
    <d v="2024-03-05T21:00:00"/>
    <s v="2024-03-05 21:00:00"/>
    <s v="EAST"/>
    <x v="0"/>
    <s v="Grocery"/>
    <x v="3"/>
    <s v="Laptop"/>
    <s v="Laptop"/>
    <s v="CUST0702"/>
    <s v=" CUST0702 "/>
    <x v="2"/>
    <s v="Suresh"/>
    <x v="0"/>
    <s v=" Cash"/>
    <n v="13"/>
    <s v="13"/>
    <n v="1401"/>
    <s v="1401"/>
    <n v="18213"/>
    <x v="0"/>
    <x v="2"/>
    <x v="9"/>
    <s v="Low"/>
    <s v="Offline"/>
    <n v="18213"/>
  </r>
  <r>
    <n v="1559"/>
    <d v="2024-03-05T22:00:00"/>
    <s v="2024-03-05 22:00:00"/>
    <s v="EAST"/>
    <x v="0"/>
    <s v="Electronics"/>
    <x v="2"/>
    <s v="Mixer Grinder"/>
    <s v="Mixer Grinder"/>
    <s v="CUST0117"/>
    <s v=" CUST0117 "/>
    <x v="0"/>
    <s v="Rahul"/>
    <x v="0"/>
    <s v=" Cash"/>
    <n v="11"/>
    <s v="11"/>
    <n v="858"/>
    <s v="858"/>
    <n v="9438"/>
    <x v="0"/>
    <x v="2"/>
    <x v="9"/>
    <s v="Low"/>
    <s v="Offline"/>
    <n v="9438"/>
  </r>
  <r>
    <n v="1560"/>
    <d v="2024-03-05T23:00:00"/>
    <s v="2024-03-05 23:00:00"/>
    <s v="EAST"/>
    <x v="0"/>
    <s v="Electronics"/>
    <x v="2"/>
    <s v="Rice 5Kg"/>
    <s v="Rice 5kg"/>
    <s v="CUST0271"/>
    <s v=" CUST0271 "/>
    <x v="2"/>
    <s v="Suresh"/>
    <x v="2"/>
    <s v="UPI"/>
    <n v="11"/>
    <s v="11"/>
    <n v="846"/>
    <s v="846"/>
    <n v="9306"/>
    <x v="0"/>
    <x v="2"/>
    <x v="9"/>
    <s v="Low"/>
    <s v="Online"/>
    <n v="9306"/>
  </r>
  <r>
    <n v="1561"/>
    <d v="2024-03-06T00:00:00"/>
    <s v="2024-03-06 00:00:00"/>
    <s v="EAST"/>
    <x v="0"/>
    <s v="Electronics"/>
    <x v="2"/>
    <s v="Washing Machine"/>
    <s v="Washing Machine"/>
    <s v="CUST0770"/>
    <s v=" CUST0770 "/>
    <x v="4"/>
    <s v="Karthik"/>
    <x v="3"/>
    <s v=" Net Banking "/>
    <n v="1"/>
    <s v="1"/>
    <n v="692"/>
    <s v="692"/>
    <n v="692"/>
    <x v="0"/>
    <x v="2"/>
    <x v="9"/>
    <s v="Low"/>
    <s v="Online"/>
    <n v="692"/>
  </r>
  <r>
    <n v="1562"/>
    <d v="2024-03-06T01:00:00"/>
    <s v="2024-03-06 01:00:00"/>
    <s v=" west"/>
    <x v="1"/>
    <s v=" Home Appliances "/>
    <x v="1"/>
    <s v="Mixer Grinder"/>
    <s v="Mixer Grinder"/>
    <s v="CUST0692"/>
    <s v=" CUST0692 "/>
    <x v="1"/>
    <s v="Meena"/>
    <x v="3"/>
    <s v=" Net Banking "/>
    <n v="6"/>
    <s v="6"/>
    <n v="2986"/>
    <s v="2986"/>
    <n v="17916"/>
    <x v="0"/>
    <x v="2"/>
    <x v="9"/>
    <s v="Low"/>
    <s v="Online"/>
    <n v="17916"/>
  </r>
  <r>
    <n v="1563"/>
    <d v="2024-03-06T02:00:00"/>
    <s v="2024-03-06 02:00:00"/>
    <s v=" west"/>
    <x v="1"/>
    <s v=" Home Appliances "/>
    <x v="1"/>
    <s v="Laptop"/>
    <s v="Laptop"/>
    <s v="CUST0487"/>
    <s v=" CUST0487 "/>
    <x v="0"/>
    <s v="Rahul"/>
    <x v="4"/>
    <s v="Credit Card"/>
    <n v="2"/>
    <s v="2"/>
    <n v="4211"/>
    <s v="4211"/>
    <n v="8422"/>
    <x v="0"/>
    <x v="2"/>
    <x v="9"/>
    <s v="Low"/>
    <s v="Online"/>
    <n v="8422"/>
  </r>
  <r>
    <n v="1564"/>
    <d v="2024-03-06T03:00:00"/>
    <s v="2024-03-06 03:00:00"/>
    <s v="south"/>
    <x v="3"/>
    <s v=" Home Appliances "/>
    <x v="1"/>
    <s v="Laptop"/>
    <s v="Laptop"/>
    <s v="CUST0172"/>
    <s v=" CUST0172 "/>
    <x v="3"/>
    <s v="Anita"/>
    <x v="4"/>
    <s v="Credit Card"/>
    <n v="12"/>
    <s v="12"/>
    <n v="1168"/>
    <s v="1168"/>
    <n v="14016"/>
    <x v="0"/>
    <x v="2"/>
    <x v="9"/>
    <s v="Low"/>
    <s v="Online"/>
    <n v="14016"/>
  </r>
  <r>
    <n v="1565"/>
    <d v="2024-03-06T04:00:00"/>
    <s v="2024-03-06 04:00:00"/>
    <s v="EAST"/>
    <x v="0"/>
    <s v="Grocery"/>
    <x v="3"/>
    <s v="Men T-Shirt"/>
    <s v="Men T-Shirt"/>
    <s v="CUST0274"/>
    <s v=" CUST0274 "/>
    <x v="3"/>
    <s v="Anita"/>
    <x v="2"/>
    <s v="UPI"/>
    <n v="3"/>
    <s v="3"/>
    <n v="3407"/>
    <s v="3407"/>
    <n v="10221"/>
    <x v="0"/>
    <x v="2"/>
    <x v="9"/>
    <s v="Low"/>
    <s v="Online"/>
    <n v="10221"/>
  </r>
  <r>
    <n v="1566"/>
    <d v="2024-03-06T05:00:00"/>
    <s v="2024-03-06 05:00:00"/>
    <s v="EAST"/>
    <x v="0"/>
    <s v=" Home Appliances "/>
    <x v="1"/>
    <s v="Laptop"/>
    <s v="Laptop"/>
    <s v="CUST0259"/>
    <s v=" CUST0259 "/>
    <x v="2"/>
    <s v="Suresh"/>
    <x v="0"/>
    <s v=" Cash"/>
    <n v="4"/>
    <s v="4"/>
    <n v="802"/>
    <s v="802"/>
    <n v="3208"/>
    <x v="0"/>
    <x v="2"/>
    <x v="9"/>
    <s v="Low"/>
    <s v="Offline"/>
    <n v="3208"/>
  </r>
  <r>
    <n v="1567"/>
    <d v="2024-03-06T06:00:00"/>
    <s v="2024-03-06 06:00:00"/>
    <s v=" North "/>
    <x v="2"/>
    <s v="Clothing"/>
    <x v="0"/>
    <s v="Washing Machine"/>
    <s v="Washing Machine"/>
    <s v="CUST0135"/>
    <s v=" CUST0135 "/>
    <x v="1"/>
    <s v="Meena"/>
    <x v="4"/>
    <s v="Credit Card"/>
    <n v="6"/>
    <s v="6"/>
    <n v="4808"/>
    <s v="4808"/>
    <n v="28848"/>
    <x v="0"/>
    <x v="2"/>
    <x v="9"/>
    <s v="Medium"/>
    <s v="Online"/>
    <n v="28848"/>
  </r>
  <r>
    <n v="1568"/>
    <d v="2024-03-06T07:00:00"/>
    <s v="2024-03-06 07:00:00"/>
    <s v=" west"/>
    <x v="1"/>
    <s v="Clothing"/>
    <x v="0"/>
    <s v="Mixer Grinder"/>
    <s v="Mixer Grinder"/>
    <s v="CUST0683"/>
    <s v=" CUST0683 "/>
    <x v="3"/>
    <s v="Anita"/>
    <x v="1"/>
    <s v="Debit card "/>
    <n v="6"/>
    <s v="6"/>
    <n v="204"/>
    <s v="204"/>
    <n v="1224"/>
    <x v="0"/>
    <x v="2"/>
    <x v="9"/>
    <s v="Low"/>
    <s v="Online"/>
    <n v="1224"/>
  </r>
  <r>
    <n v="1569"/>
    <d v="2024-03-06T08:00:00"/>
    <s v="2024-03-06 08:00:00"/>
    <s v="EAST"/>
    <x v="0"/>
    <s v="Electronics"/>
    <x v="2"/>
    <s v="Washing Machine"/>
    <s v="Washing Machine"/>
    <s v="CUST0722"/>
    <s v=" CUST0722 "/>
    <x v="2"/>
    <s v="Suresh"/>
    <x v="0"/>
    <s v=" Cash"/>
    <n v="7"/>
    <s v="7"/>
    <n v="1597"/>
    <s v="1597"/>
    <n v="11179"/>
    <x v="0"/>
    <x v="2"/>
    <x v="9"/>
    <s v="Low"/>
    <s v="Offline"/>
    <n v="11179"/>
  </r>
  <r>
    <n v="1570"/>
    <d v="2024-03-06T09:00:00"/>
    <s v="2024-03-06 09:00:00"/>
    <s v="south"/>
    <x v="3"/>
    <s v=" Home Appliances "/>
    <x v="1"/>
    <s v="Led Tv 42Inch"/>
    <s v="LED TV 42inch"/>
    <s v="CUST0748"/>
    <s v=" CUST0748 "/>
    <x v="4"/>
    <s v="Karthik"/>
    <x v="1"/>
    <s v="Debit card "/>
    <n v="5"/>
    <s v="5"/>
    <n v="3933"/>
    <s v="3933"/>
    <n v="19665"/>
    <x v="0"/>
    <x v="2"/>
    <x v="9"/>
    <s v="Low"/>
    <s v="Online"/>
    <n v="19665"/>
  </r>
  <r>
    <n v="1571"/>
    <d v="2024-03-06T10:00:00"/>
    <s v="2024-03-06 10:00:00"/>
    <s v="south"/>
    <x v="3"/>
    <s v="Clothing"/>
    <x v="0"/>
    <s v="Led Tv 42Inch"/>
    <s v="LED TV 42inch"/>
    <s v="CUST0422"/>
    <s v=" CUST0422 "/>
    <x v="2"/>
    <s v="Suresh"/>
    <x v="3"/>
    <s v=" Net Banking "/>
    <n v="7"/>
    <s v="7"/>
    <n v="495"/>
    <s v="495"/>
    <n v="3465"/>
    <x v="0"/>
    <x v="2"/>
    <x v="9"/>
    <s v="Low"/>
    <s v="Online"/>
    <n v="3465"/>
  </r>
  <r>
    <n v="1572"/>
    <d v="2024-03-06T11:00:00"/>
    <s v="2024-03-06 11:00:00"/>
    <s v=" west"/>
    <x v="1"/>
    <s v="Electronics"/>
    <x v="2"/>
    <s v="Rice 5Kg"/>
    <s v="Rice 5kg"/>
    <s v="CUST0421"/>
    <s v=" CUST0421 "/>
    <x v="2"/>
    <s v="Suresh"/>
    <x v="0"/>
    <s v=" Cash"/>
    <n v="2"/>
    <s v="2"/>
    <n v="3617"/>
    <s v="3617"/>
    <n v="7234"/>
    <x v="0"/>
    <x v="2"/>
    <x v="9"/>
    <s v="Low"/>
    <s v="Offline"/>
    <n v="7234"/>
  </r>
  <r>
    <n v="1573"/>
    <d v="2024-03-06T12:00:00"/>
    <s v="2024-03-06 12:00:00"/>
    <s v="south"/>
    <x v="3"/>
    <s v=" Home Appliances "/>
    <x v="1"/>
    <s v="Rice 5Kg"/>
    <s v="Rice 5kg"/>
    <s v="CUST0186"/>
    <s v=" CUST0186 "/>
    <x v="2"/>
    <s v="Suresh"/>
    <x v="2"/>
    <s v="UPI"/>
    <n v="1"/>
    <s v="1"/>
    <n v="2753"/>
    <s v="2753"/>
    <n v="2753"/>
    <x v="0"/>
    <x v="2"/>
    <x v="9"/>
    <s v="Low"/>
    <s v="Online"/>
    <n v="2753"/>
  </r>
  <r>
    <n v="1574"/>
    <d v="2024-03-06T13:00:00"/>
    <s v="2024-03-06 13:00:00"/>
    <s v="south"/>
    <x v="3"/>
    <s v="Grocery"/>
    <x v="3"/>
    <s v="Led Tv 42Inch"/>
    <s v="LED TV 42inch"/>
    <s v="CUST0364"/>
    <s v=" CUST0364 "/>
    <x v="0"/>
    <s v="Rahul"/>
    <x v="3"/>
    <s v=" Net Banking "/>
    <n v="12"/>
    <s v="12"/>
    <n v="3391"/>
    <s v="3391"/>
    <n v="40692"/>
    <x v="0"/>
    <x v="2"/>
    <x v="9"/>
    <s v="Medium"/>
    <s v="Online"/>
    <n v="40692"/>
  </r>
  <r>
    <n v="1575"/>
    <d v="2024-03-06T14:00:00"/>
    <s v="2024-03-06 14:00:00"/>
    <s v=" west"/>
    <x v="1"/>
    <s v="Clothing"/>
    <x v="0"/>
    <s v="Laptop"/>
    <s v="Laptop"/>
    <s v="CUST0607"/>
    <s v=" CUST0607 "/>
    <x v="2"/>
    <s v="Suresh"/>
    <x v="3"/>
    <s v=" Net Banking "/>
    <n v="10"/>
    <s v="10"/>
    <n v="2110"/>
    <s v="2110"/>
    <n v="21100"/>
    <x v="0"/>
    <x v="2"/>
    <x v="9"/>
    <s v="Medium"/>
    <s v="Online"/>
    <n v="21100"/>
  </r>
  <r>
    <n v="1576"/>
    <d v="2024-03-06T15:00:00"/>
    <s v="2024-03-06 15:00:00"/>
    <s v="EAST"/>
    <x v="0"/>
    <s v="Grocery"/>
    <x v="3"/>
    <s v="Washing Machine"/>
    <s v="Washing Machine"/>
    <s v="CUST0378"/>
    <s v=" CUST0378 "/>
    <x v="2"/>
    <s v="Suresh"/>
    <x v="1"/>
    <s v="Debit card "/>
    <n v="8"/>
    <s v="8"/>
    <n v="3981"/>
    <s v="3981"/>
    <n v="31848"/>
    <x v="0"/>
    <x v="2"/>
    <x v="9"/>
    <s v="Medium"/>
    <s v="Online"/>
    <n v="31848"/>
  </r>
  <r>
    <n v="1577"/>
    <d v="2024-03-06T16:00:00"/>
    <s v="2024-03-06 16:00:00"/>
    <s v="EAST"/>
    <x v="0"/>
    <s v=" Home Appliances "/>
    <x v="1"/>
    <s v="Led Tv 42Inch"/>
    <s v="LED TV 42inch"/>
    <s v="CUST0523"/>
    <s v=" CUST0523 "/>
    <x v="0"/>
    <s v="Rahul"/>
    <x v="3"/>
    <s v=" Net Banking "/>
    <n v="1"/>
    <s v="1"/>
    <n v="2088"/>
    <s v="2088"/>
    <n v="2088"/>
    <x v="0"/>
    <x v="2"/>
    <x v="9"/>
    <s v="Low"/>
    <s v="Online"/>
    <n v="2088"/>
  </r>
  <r>
    <n v="1578"/>
    <d v="2024-03-06T17:00:00"/>
    <s v="2024-03-06 17:00:00"/>
    <s v="south"/>
    <x v="3"/>
    <s v="Clothing"/>
    <x v="0"/>
    <s v="Rice 5Kg"/>
    <s v="Rice 5kg"/>
    <s v="CUST0580"/>
    <s v=" CUST0580 "/>
    <x v="0"/>
    <s v="Rahul"/>
    <x v="4"/>
    <s v="Credit Card"/>
    <n v="12"/>
    <s v="12"/>
    <n v="4637"/>
    <s v="4637"/>
    <n v="55644"/>
    <x v="0"/>
    <x v="2"/>
    <x v="9"/>
    <s v="High"/>
    <s v="Online"/>
    <n v="55644"/>
  </r>
  <r>
    <n v="1579"/>
    <d v="2024-03-06T18:00:00"/>
    <s v="2024-03-06 18:00:00"/>
    <s v="south"/>
    <x v="3"/>
    <s v=" Home Appliances "/>
    <x v="1"/>
    <s v="Led Tv 42Inch"/>
    <s v="LED TV 42inch"/>
    <s v="CUST0722"/>
    <s v=" CUST0722 "/>
    <x v="4"/>
    <s v="Karthik"/>
    <x v="0"/>
    <s v=" Cash"/>
    <n v="2"/>
    <s v="2"/>
    <n v="1768"/>
    <s v="1768"/>
    <n v="3536"/>
    <x v="0"/>
    <x v="2"/>
    <x v="9"/>
    <s v="Low"/>
    <s v="Offline"/>
    <n v="3536"/>
  </r>
  <r>
    <n v="1580"/>
    <d v="2024-03-06T19:00:00"/>
    <s v="2024-03-06 19:00:00"/>
    <s v="EAST"/>
    <x v="0"/>
    <s v="Grocery"/>
    <x v="3"/>
    <s v="Laptop"/>
    <s v="Laptop"/>
    <s v="CUST0196"/>
    <s v=" CUST0196 "/>
    <x v="1"/>
    <s v="Meena"/>
    <x v="4"/>
    <s v="Credit Card"/>
    <n v="11"/>
    <s v="11"/>
    <n v="4862"/>
    <s v="4862"/>
    <n v="53482"/>
    <x v="0"/>
    <x v="2"/>
    <x v="9"/>
    <s v="High"/>
    <s v="Online"/>
    <n v="53482"/>
  </r>
  <r>
    <n v="1581"/>
    <d v="2024-03-06T20:00:00"/>
    <s v="2024-03-06 20:00:00"/>
    <s v=" west"/>
    <x v="1"/>
    <s v="Clothing"/>
    <x v="0"/>
    <s v="Led Tv 42Inch"/>
    <s v="LED TV 42inch"/>
    <s v="CUST0098"/>
    <s v=" CUST0098 "/>
    <x v="3"/>
    <s v="Anita"/>
    <x v="1"/>
    <s v="Debit card "/>
    <n v="12"/>
    <s v="12"/>
    <n v="1151"/>
    <s v="1151"/>
    <n v="13812"/>
    <x v="0"/>
    <x v="2"/>
    <x v="9"/>
    <s v="Low"/>
    <s v="Online"/>
    <n v="13812"/>
  </r>
  <r>
    <n v="1582"/>
    <d v="2024-03-06T21:00:00"/>
    <s v="2024-03-06 21:00:00"/>
    <s v="south"/>
    <x v="3"/>
    <s v="Grocery"/>
    <x v="3"/>
    <s v="Washing Machine"/>
    <s v="Washing Machine"/>
    <s v="CUST0605"/>
    <s v=" CUST0605 "/>
    <x v="3"/>
    <s v="Anita"/>
    <x v="1"/>
    <s v="Debit card "/>
    <n v="10"/>
    <s v="10"/>
    <n v="2941"/>
    <s v="2941"/>
    <n v="29410"/>
    <x v="0"/>
    <x v="2"/>
    <x v="9"/>
    <s v="Medium"/>
    <s v="Online"/>
    <n v="29410"/>
  </r>
  <r>
    <n v="1583"/>
    <d v="2024-03-06T22:00:00"/>
    <s v="2024-03-06 22:00:00"/>
    <s v=" North "/>
    <x v="2"/>
    <s v=" Home Appliances "/>
    <x v="1"/>
    <s v="Mixer Grinder"/>
    <s v="Mixer Grinder"/>
    <s v="CUST0022"/>
    <s v=" CUST0022 "/>
    <x v="2"/>
    <s v="Suresh"/>
    <x v="0"/>
    <s v=" Cash"/>
    <n v="6"/>
    <s v="6"/>
    <n v="4823"/>
    <s v="4823"/>
    <n v="28938"/>
    <x v="0"/>
    <x v="2"/>
    <x v="9"/>
    <s v="Medium"/>
    <s v="Offline"/>
    <n v="28938"/>
  </r>
  <r>
    <n v="1584"/>
    <d v="2024-03-06T23:00:00"/>
    <s v="2024-03-06 23:00:00"/>
    <s v=" west"/>
    <x v="1"/>
    <s v=" Home Appliances "/>
    <x v="1"/>
    <s v="Laptop"/>
    <s v="Laptop"/>
    <s v="CUST0450"/>
    <s v=" CUST0450 "/>
    <x v="4"/>
    <s v="Karthik"/>
    <x v="3"/>
    <s v=" Net Banking "/>
    <n v="1"/>
    <s v="1"/>
    <n v="3684"/>
    <s v="3684"/>
    <n v="3684"/>
    <x v="0"/>
    <x v="2"/>
    <x v="9"/>
    <s v="Low"/>
    <s v="Online"/>
    <n v="3684"/>
  </r>
  <r>
    <n v="1585"/>
    <d v="2024-03-07T00:00:00"/>
    <s v="2024-03-07 00:00:00"/>
    <s v="south"/>
    <x v="3"/>
    <s v="Grocery"/>
    <x v="3"/>
    <s v="Rice 5Kg"/>
    <s v="Rice 5kg"/>
    <s v="CUST0172"/>
    <s v=" CUST0172 "/>
    <x v="2"/>
    <s v="Suresh"/>
    <x v="2"/>
    <s v="UPI"/>
    <n v="10"/>
    <s v="10"/>
    <n v="447"/>
    <s v="447"/>
    <n v="4470"/>
    <x v="0"/>
    <x v="2"/>
    <x v="9"/>
    <s v="Low"/>
    <s v="Online"/>
    <n v="4470"/>
  </r>
  <r>
    <n v="1586"/>
    <d v="2024-03-07T01:00:00"/>
    <s v="2024-03-07 01:00:00"/>
    <s v="south"/>
    <x v="3"/>
    <s v="Clothing"/>
    <x v="0"/>
    <s v="Washing Machine"/>
    <s v="Washing Machine"/>
    <s v="CUST0383"/>
    <s v=" CUST0383 "/>
    <x v="3"/>
    <s v="Anita"/>
    <x v="1"/>
    <s v="Debit card "/>
    <n v="3"/>
    <s v="3"/>
    <n v="1363"/>
    <s v="1363"/>
    <n v="4089"/>
    <x v="0"/>
    <x v="2"/>
    <x v="9"/>
    <s v="Low"/>
    <s v="Online"/>
    <n v="4089"/>
  </r>
  <r>
    <n v="1587"/>
    <d v="2024-03-07T02:00:00"/>
    <s v="2024-03-07 02:00:00"/>
    <s v=" North "/>
    <x v="2"/>
    <s v="Grocery"/>
    <x v="3"/>
    <s v="Led Tv 42Inch"/>
    <s v="LED TV 42inch"/>
    <s v="CUST0134"/>
    <s v=" CUST0134 "/>
    <x v="0"/>
    <s v="Rahul"/>
    <x v="0"/>
    <s v=" Cash"/>
    <n v="7"/>
    <s v="7"/>
    <n v="4765"/>
    <s v="4765"/>
    <n v="33355"/>
    <x v="0"/>
    <x v="2"/>
    <x v="9"/>
    <s v="Medium"/>
    <s v="Offline"/>
    <n v="33355"/>
  </r>
  <r>
    <n v="1588"/>
    <d v="2024-03-07T03:00:00"/>
    <s v="2024-03-07 03:00:00"/>
    <s v=" North "/>
    <x v="2"/>
    <s v=" Home Appliances "/>
    <x v="1"/>
    <s v="Led Tv 42Inch"/>
    <s v="LED TV 42inch"/>
    <s v="CUST0426"/>
    <s v=" CUST0426 "/>
    <x v="1"/>
    <s v="Meena"/>
    <x v="2"/>
    <s v="UPI"/>
    <n v="12"/>
    <s v="12"/>
    <n v="2842"/>
    <s v="2842"/>
    <n v="34104"/>
    <x v="0"/>
    <x v="2"/>
    <x v="9"/>
    <s v="Medium"/>
    <s v="Online"/>
    <n v="34104"/>
  </r>
  <r>
    <n v="1589"/>
    <d v="2024-03-07T04:00:00"/>
    <s v="2024-03-07 04:00:00"/>
    <s v="EAST"/>
    <x v="0"/>
    <s v="Grocery"/>
    <x v="3"/>
    <s v="Mixer Grinder"/>
    <s v="Mixer Grinder"/>
    <s v="CUST0025"/>
    <s v=" CUST0025 "/>
    <x v="4"/>
    <s v="Karthik"/>
    <x v="3"/>
    <s v=" Net Banking "/>
    <n v="8"/>
    <s v="8"/>
    <n v="2173"/>
    <s v="2173"/>
    <n v="17384"/>
    <x v="0"/>
    <x v="2"/>
    <x v="9"/>
    <s v="Low"/>
    <s v="Online"/>
    <n v="17384"/>
  </r>
  <r>
    <n v="1590"/>
    <d v="2024-03-07T05:00:00"/>
    <s v="2024-03-07 05:00:00"/>
    <s v=" west"/>
    <x v="1"/>
    <s v=" Home Appliances "/>
    <x v="1"/>
    <s v="Rice 5Kg"/>
    <s v="Rice 5kg"/>
    <s v="CUST0503"/>
    <s v=" CUST0503 "/>
    <x v="0"/>
    <s v="Rahul"/>
    <x v="1"/>
    <s v="Debit card "/>
    <n v="4"/>
    <s v="4"/>
    <n v="3248"/>
    <s v="3248"/>
    <n v="12992"/>
    <x v="0"/>
    <x v="2"/>
    <x v="9"/>
    <s v="Low"/>
    <s v="Online"/>
    <n v="12992"/>
  </r>
  <r>
    <n v="1591"/>
    <d v="2024-03-07T06:00:00"/>
    <s v="2024-03-07 06:00:00"/>
    <s v=" west"/>
    <x v="1"/>
    <s v="Grocery"/>
    <x v="3"/>
    <s v="Rice 5Kg"/>
    <s v="Rice 5kg"/>
    <s v="CUST0185"/>
    <s v=" CUST0185 "/>
    <x v="1"/>
    <s v="Meena"/>
    <x v="0"/>
    <s v=" Cash"/>
    <n v="12"/>
    <s v="12"/>
    <n v="1451"/>
    <s v="1451"/>
    <n v="17412"/>
    <x v="0"/>
    <x v="2"/>
    <x v="9"/>
    <s v="Low"/>
    <s v="Offline"/>
    <n v="17412"/>
  </r>
  <r>
    <n v="1592"/>
    <d v="2024-03-07T07:00:00"/>
    <s v="2024-03-07 07:00:00"/>
    <s v="EAST"/>
    <x v="0"/>
    <s v="Clothing"/>
    <x v="0"/>
    <s v="Men T-Shirt"/>
    <s v="Men T-Shirt"/>
    <s v="CUST0085"/>
    <s v=" CUST0085 "/>
    <x v="4"/>
    <s v="Karthik"/>
    <x v="0"/>
    <s v=" Cash"/>
    <n v="3"/>
    <s v="3"/>
    <n v="2921"/>
    <s v="2921"/>
    <n v="8763"/>
    <x v="0"/>
    <x v="2"/>
    <x v="9"/>
    <s v="Low"/>
    <s v="Offline"/>
    <n v="8763"/>
  </r>
  <r>
    <n v="1593"/>
    <d v="2024-03-07T08:00:00"/>
    <s v="2024-03-07 08:00:00"/>
    <s v=" west"/>
    <x v="1"/>
    <s v="Clothing"/>
    <x v="0"/>
    <s v="Rice 5Kg"/>
    <s v="Rice 5kg"/>
    <s v="CUST0567"/>
    <s v=" CUST0567 "/>
    <x v="4"/>
    <s v="Karthik"/>
    <x v="0"/>
    <s v=" Cash"/>
    <n v="1"/>
    <s v="1"/>
    <n v="3927"/>
    <s v="3927"/>
    <n v="3927"/>
    <x v="0"/>
    <x v="2"/>
    <x v="9"/>
    <s v="Low"/>
    <s v="Offline"/>
    <n v="3927"/>
  </r>
  <r>
    <n v="1594"/>
    <d v="2024-03-07T09:00:00"/>
    <s v="2024-03-07 09:00:00"/>
    <s v=" west"/>
    <x v="1"/>
    <s v="Grocery"/>
    <x v="3"/>
    <s v="Mixer Grinder"/>
    <s v="Mixer Grinder"/>
    <s v="CUST0763"/>
    <s v=" CUST0763 "/>
    <x v="3"/>
    <s v="Anita"/>
    <x v="1"/>
    <s v="Debit card "/>
    <n v="12"/>
    <s v="12"/>
    <n v="769"/>
    <s v="769"/>
    <n v="9228"/>
    <x v="0"/>
    <x v="2"/>
    <x v="9"/>
    <s v="Low"/>
    <s v="Online"/>
    <n v="9228"/>
  </r>
  <r>
    <n v="1595"/>
    <d v="2024-03-07T10:00:00"/>
    <s v="2024-03-07 10:00:00"/>
    <s v=" west"/>
    <x v="1"/>
    <s v="Grocery"/>
    <x v="3"/>
    <s v="Men T-Shirt"/>
    <s v="Men T-Shirt"/>
    <s v="CUST0144"/>
    <s v=" CUST0144 "/>
    <x v="0"/>
    <s v="Rahul"/>
    <x v="2"/>
    <s v="UPI"/>
    <n v="9"/>
    <s v="9"/>
    <n v="4913"/>
    <s v="4913"/>
    <n v="44217"/>
    <x v="0"/>
    <x v="2"/>
    <x v="9"/>
    <s v="Medium"/>
    <s v="Online"/>
    <n v="44217"/>
  </r>
  <r>
    <n v="1596"/>
    <d v="2024-03-07T11:00:00"/>
    <s v="2024-03-07 11:00:00"/>
    <s v=" west"/>
    <x v="1"/>
    <s v="Clothing"/>
    <x v="0"/>
    <s v="Men T-Shirt"/>
    <s v="Men T-Shirt"/>
    <s v="CUST0679"/>
    <s v=" CUST0679 "/>
    <x v="4"/>
    <s v="Karthik"/>
    <x v="0"/>
    <s v=" Cash"/>
    <n v="10"/>
    <s v="10"/>
    <n v="2746"/>
    <s v="2746"/>
    <n v="27460"/>
    <x v="0"/>
    <x v="2"/>
    <x v="9"/>
    <s v="Medium"/>
    <s v="Offline"/>
    <n v="27460"/>
  </r>
  <r>
    <n v="1597"/>
    <d v="2024-03-07T12:00:00"/>
    <s v="2024-03-07 12:00:00"/>
    <s v=" west"/>
    <x v="1"/>
    <s v=" Home Appliances "/>
    <x v="1"/>
    <s v="Led Tv 42Inch"/>
    <s v="LED TV 42inch"/>
    <s v="CUST0412"/>
    <s v=" CUST0412 "/>
    <x v="4"/>
    <s v="Karthik"/>
    <x v="3"/>
    <s v=" Net Banking "/>
    <n v="6"/>
    <s v="6"/>
    <n v="366"/>
    <s v="366"/>
    <n v="2196"/>
    <x v="0"/>
    <x v="2"/>
    <x v="9"/>
    <s v="Low"/>
    <s v="Online"/>
    <n v="2196"/>
  </r>
  <r>
    <n v="1598"/>
    <d v="2024-03-07T13:00:00"/>
    <s v="2024-03-07 13:00:00"/>
    <s v=" North "/>
    <x v="2"/>
    <s v="Clothing"/>
    <x v="0"/>
    <s v="Led Tv 42Inch"/>
    <s v="LED TV 42inch"/>
    <s v="CUST0224"/>
    <s v=" CUST0224 "/>
    <x v="1"/>
    <s v="Meena"/>
    <x v="0"/>
    <s v=" Cash"/>
    <n v="6"/>
    <s v="6"/>
    <n v="1538"/>
    <s v="1538"/>
    <n v="9228"/>
    <x v="0"/>
    <x v="2"/>
    <x v="9"/>
    <s v="Low"/>
    <s v="Offline"/>
    <n v="9228"/>
  </r>
  <r>
    <n v="1599"/>
    <d v="2024-03-07T14:00:00"/>
    <s v="2024-03-07 14:00:00"/>
    <s v=" west"/>
    <x v="1"/>
    <s v=" Home Appliances "/>
    <x v="1"/>
    <s v="Rice 5Kg"/>
    <s v="Rice 5kg"/>
    <s v="CUST0220"/>
    <s v=" CUST0220 "/>
    <x v="3"/>
    <s v="Anita"/>
    <x v="2"/>
    <s v="UPI"/>
    <n v="9"/>
    <s v="9"/>
    <n v="2793"/>
    <s v="2793"/>
    <n v="25137"/>
    <x v="0"/>
    <x v="2"/>
    <x v="9"/>
    <s v="Medium"/>
    <s v="Online"/>
    <n v="25137"/>
  </r>
  <r>
    <n v="1600"/>
    <d v="2024-03-07T15:00:00"/>
    <s v="2024-03-07 15:00:00"/>
    <s v=" North "/>
    <x v="2"/>
    <s v="Grocery"/>
    <x v="3"/>
    <s v="Men T-Shirt"/>
    <s v="Men T-Shirt"/>
    <s v="CUST0179"/>
    <s v=" CUST0179 "/>
    <x v="2"/>
    <s v="Suresh"/>
    <x v="1"/>
    <s v="Debit card "/>
    <n v="1"/>
    <s v="1"/>
    <n v="1122"/>
    <s v="1122"/>
    <n v="1122"/>
    <x v="0"/>
    <x v="2"/>
    <x v="9"/>
    <s v="Low"/>
    <s v="Online"/>
    <n v="1122"/>
  </r>
  <r>
    <n v="1601"/>
    <d v="2024-03-07T16:00:00"/>
    <s v="2024-03-07 16:00:00"/>
    <s v=" west"/>
    <x v="1"/>
    <s v="Grocery"/>
    <x v="3"/>
    <s v="Led Tv 42Inch"/>
    <s v="LED TV 42inch"/>
    <s v="CUST0631"/>
    <s v=" CUST0631 "/>
    <x v="3"/>
    <s v="Anita"/>
    <x v="0"/>
    <s v=" Cash"/>
    <n v="6"/>
    <s v="6"/>
    <n v="2137"/>
    <s v="2137"/>
    <n v="12822"/>
    <x v="0"/>
    <x v="2"/>
    <x v="9"/>
    <s v="Low"/>
    <s v="Offline"/>
    <n v="12822"/>
  </r>
  <r>
    <n v="1602"/>
    <d v="2024-03-07T17:00:00"/>
    <s v="2024-03-07 17:00:00"/>
    <s v="EAST"/>
    <x v="0"/>
    <s v=" Home Appliances "/>
    <x v="1"/>
    <s v="Mixer Grinder"/>
    <s v="Mixer Grinder"/>
    <s v="CUST0433"/>
    <s v=" CUST0433 "/>
    <x v="2"/>
    <s v="Suresh"/>
    <x v="0"/>
    <s v=" Cash"/>
    <n v="12"/>
    <s v="12"/>
    <n v="664"/>
    <s v="664"/>
    <n v="7968"/>
    <x v="0"/>
    <x v="2"/>
    <x v="9"/>
    <s v="Low"/>
    <s v="Offline"/>
    <n v="7968"/>
  </r>
  <r>
    <n v="1603"/>
    <d v="2024-03-07T18:00:00"/>
    <s v="2024-03-07 18:00:00"/>
    <s v="south"/>
    <x v="3"/>
    <s v="Grocery"/>
    <x v="3"/>
    <s v="Led Tv 42Inch"/>
    <s v="LED TV 42inch"/>
    <s v="CUST0265"/>
    <s v=" CUST0265 "/>
    <x v="0"/>
    <s v="Rahul"/>
    <x v="3"/>
    <s v=" Net Banking "/>
    <n v="5"/>
    <s v="5"/>
    <n v="1159"/>
    <s v="1159"/>
    <n v="5795"/>
    <x v="0"/>
    <x v="2"/>
    <x v="9"/>
    <s v="Low"/>
    <s v="Online"/>
    <n v="5795"/>
  </r>
  <r>
    <n v="1604"/>
    <d v="2024-03-07T19:00:00"/>
    <s v="2024-03-07 19:00:00"/>
    <s v=" North "/>
    <x v="2"/>
    <s v=" Home Appliances "/>
    <x v="1"/>
    <s v="Laptop"/>
    <s v="Laptop"/>
    <s v="CUST0429"/>
    <s v=" CUST0429 "/>
    <x v="0"/>
    <s v="Rahul"/>
    <x v="3"/>
    <s v=" Net Banking "/>
    <n v="13"/>
    <s v="13"/>
    <n v="1524"/>
    <s v="1524"/>
    <n v="19812"/>
    <x v="0"/>
    <x v="2"/>
    <x v="9"/>
    <s v="Low"/>
    <s v="Online"/>
    <n v="19812"/>
  </r>
  <r>
    <n v="1605"/>
    <d v="2024-03-07T20:00:00"/>
    <s v="2024-03-07 20:00:00"/>
    <s v=" west"/>
    <x v="1"/>
    <s v="Electronics"/>
    <x v="2"/>
    <s v="Laptop"/>
    <s v="Laptop"/>
    <s v="CUST0662"/>
    <s v=" CUST0662 "/>
    <x v="4"/>
    <s v="Karthik"/>
    <x v="0"/>
    <s v=" Cash"/>
    <n v="11"/>
    <s v="11"/>
    <n v="4223"/>
    <s v="4223"/>
    <n v="46453"/>
    <x v="0"/>
    <x v="2"/>
    <x v="9"/>
    <s v="Medium"/>
    <s v="Offline"/>
    <n v="46453"/>
  </r>
  <r>
    <n v="1606"/>
    <d v="2024-03-07T21:00:00"/>
    <s v="2024-03-07 21:00:00"/>
    <s v="EAST"/>
    <x v="0"/>
    <s v="Clothing"/>
    <x v="0"/>
    <s v="Led Tv 42Inch"/>
    <s v="LED TV 42inch"/>
    <s v="CUST0416"/>
    <s v=" CUST0416 "/>
    <x v="0"/>
    <s v="Rahul"/>
    <x v="0"/>
    <s v=" Cash"/>
    <n v="6"/>
    <s v="6"/>
    <n v="319"/>
    <s v="319"/>
    <n v="1914"/>
    <x v="0"/>
    <x v="2"/>
    <x v="9"/>
    <s v="Low"/>
    <s v="Offline"/>
    <n v="1914"/>
  </r>
  <r>
    <n v="1607"/>
    <d v="2024-03-07T22:00:00"/>
    <s v="2024-03-07 22:00:00"/>
    <s v="south"/>
    <x v="3"/>
    <s v="Electronics"/>
    <x v="2"/>
    <s v="Men T-Shirt"/>
    <s v="Men T-Shirt"/>
    <s v="CUST0453"/>
    <s v=" CUST0453 "/>
    <x v="4"/>
    <s v="Karthik"/>
    <x v="3"/>
    <s v=" Net Banking "/>
    <n v="14"/>
    <s v="14"/>
    <n v="505"/>
    <s v="505"/>
    <n v="7070"/>
    <x v="0"/>
    <x v="2"/>
    <x v="9"/>
    <s v="Low"/>
    <s v="Online"/>
    <n v="7070"/>
  </r>
  <r>
    <n v="1608"/>
    <d v="2024-03-07T23:00:00"/>
    <s v="2024-03-07 23:00:00"/>
    <s v=" North "/>
    <x v="2"/>
    <s v=" Home Appliances "/>
    <x v="1"/>
    <s v="Men T-Shirt"/>
    <s v="Men T-Shirt"/>
    <s v="CUST0727"/>
    <s v=" CUST0727 "/>
    <x v="3"/>
    <s v="Anita"/>
    <x v="2"/>
    <s v="UPI"/>
    <n v="11"/>
    <s v="11"/>
    <n v="1737"/>
    <s v="1737"/>
    <n v="19107"/>
    <x v="0"/>
    <x v="2"/>
    <x v="9"/>
    <s v="Low"/>
    <s v="Online"/>
    <n v="19107"/>
  </r>
  <r>
    <n v="1609"/>
    <d v="2024-03-08T00:00:00"/>
    <s v="2024-03-08 00:00:00"/>
    <s v="south"/>
    <x v="3"/>
    <s v="Clothing"/>
    <x v="0"/>
    <s v="Washing Machine"/>
    <s v="Washing Machine"/>
    <s v="CUST0197"/>
    <s v=" CUST0197 "/>
    <x v="0"/>
    <s v="Rahul"/>
    <x v="4"/>
    <s v="Credit Card"/>
    <n v="8"/>
    <s v="8"/>
    <n v="2418"/>
    <s v="2418"/>
    <n v="19344"/>
    <x v="0"/>
    <x v="2"/>
    <x v="9"/>
    <s v="Low"/>
    <s v="Online"/>
    <n v="19344"/>
  </r>
  <r>
    <n v="1610"/>
    <d v="2024-03-08T01:00:00"/>
    <s v="2024-03-08 01:00:00"/>
    <s v="EAST"/>
    <x v="0"/>
    <s v=" Home Appliances "/>
    <x v="1"/>
    <s v="Laptop"/>
    <s v="Laptop"/>
    <s v="CUST0554"/>
    <s v=" CUST0554 "/>
    <x v="3"/>
    <s v="Anita"/>
    <x v="4"/>
    <s v="Credit Card"/>
    <n v="5"/>
    <s v="5"/>
    <n v="1859"/>
    <s v="1859"/>
    <n v="9295"/>
    <x v="0"/>
    <x v="2"/>
    <x v="9"/>
    <s v="Low"/>
    <s v="Online"/>
    <n v="9295"/>
  </r>
  <r>
    <n v="1611"/>
    <d v="2024-03-08T02:00:00"/>
    <s v="2024-03-08 02:00:00"/>
    <s v=" North "/>
    <x v="2"/>
    <s v="Clothing"/>
    <x v="0"/>
    <s v="Mixer Grinder"/>
    <s v="Mixer Grinder"/>
    <s v="CUST0053"/>
    <s v=" CUST0053 "/>
    <x v="3"/>
    <s v="Anita"/>
    <x v="0"/>
    <s v=" Cash"/>
    <n v="2"/>
    <s v="2"/>
    <n v="1774"/>
    <s v="1774"/>
    <n v="3548"/>
    <x v="0"/>
    <x v="2"/>
    <x v="9"/>
    <s v="Low"/>
    <s v="Offline"/>
    <n v="3548"/>
  </r>
  <r>
    <n v="1612"/>
    <d v="2024-03-08T03:00:00"/>
    <s v="2024-03-08 03:00:00"/>
    <s v="south"/>
    <x v="3"/>
    <s v="Clothing"/>
    <x v="0"/>
    <s v="Men T-Shirt"/>
    <s v="Men T-Shirt"/>
    <s v="CUST0480"/>
    <s v=" CUST0480 "/>
    <x v="0"/>
    <s v="Rahul"/>
    <x v="3"/>
    <s v=" Net Banking "/>
    <n v="12"/>
    <s v="12"/>
    <n v="891"/>
    <s v="891"/>
    <n v="10692"/>
    <x v="0"/>
    <x v="2"/>
    <x v="9"/>
    <s v="Low"/>
    <s v="Online"/>
    <n v="10692"/>
  </r>
  <r>
    <n v="1613"/>
    <d v="2024-03-08T04:00:00"/>
    <s v="2024-03-08 04:00:00"/>
    <s v=" west"/>
    <x v="1"/>
    <s v="Clothing"/>
    <x v="0"/>
    <s v="Rice 5Kg"/>
    <s v="Rice 5kg"/>
    <s v="CUST0443"/>
    <s v=" CUST0443 "/>
    <x v="3"/>
    <s v="Anita"/>
    <x v="1"/>
    <s v="Debit card "/>
    <n v="12"/>
    <s v="12"/>
    <n v="3682"/>
    <s v="3682"/>
    <n v="44184"/>
    <x v="0"/>
    <x v="2"/>
    <x v="9"/>
    <s v="Medium"/>
    <s v="Online"/>
    <n v="44184"/>
  </r>
  <r>
    <n v="1614"/>
    <d v="2024-03-08T05:00:00"/>
    <s v="2024-03-08 05:00:00"/>
    <s v=" North "/>
    <x v="2"/>
    <s v="Clothing"/>
    <x v="0"/>
    <s v="Laptop"/>
    <s v="Laptop"/>
    <s v="CUST0330"/>
    <s v=" CUST0330 "/>
    <x v="0"/>
    <s v="Rahul"/>
    <x v="1"/>
    <s v="Debit card "/>
    <n v="2"/>
    <s v="2"/>
    <n v="1409"/>
    <s v="1409"/>
    <n v="2818"/>
    <x v="0"/>
    <x v="2"/>
    <x v="9"/>
    <s v="Low"/>
    <s v="Online"/>
    <n v="2818"/>
  </r>
  <r>
    <n v="1615"/>
    <d v="2024-03-08T06:00:00"/>
    <s v="2024-03-08 06:00:00"/>
    <s v="south"/>
    <x v="3"/>
    <s v=" Home Appliances "/>
    <x v="1"/>
    <s v="Mixer Grinder"/>
    <s v="Mixer Grinder"/>
    <s v="CUST0251"/>
    <s v=" CUST0251 "/>
    <x v="0"/>
    <s v="Rahul"/>
    <x v="4"/>
    <s v="Credit Card"/>
    <n v="10"/>
    <s v="10"/>
    <n v="3933"/>
    <s v="3933"/>
    <n v="39330"/>
    <x v="0"/>
    <x v="2"/>
    <x v="9"/>
    <s v="Medium"/>
    <s v="Online"/>
    <n v="39330"/>
  </r>
  <r>
    <n v="1616"/>
    <d v="2024-03-08T07:00:00"/>
    <s v="2024-03-08 07:00:00"/>
    <s v="EAST"/>
    <x v="0"/>
    <s v="Clothing"/>
    <x v="0"/>
    <s v="Mixer Grinder"/>
    <s v="Mixer Grinder"/>
    <s v="CUST0783"/>
    <s v=" CUST0783 "/>
    <x v="0"/>
    <s v="Rahul"/>
    <x v="2"/>
    <s v="UPI"/>
    <n v="5"/>
    <s v="5"/>
    <n v="4512"/>
    <s v="4512"/>
    <n v="22560"/>
    <x v="0"/>
    <x v="2"/>
    <x v="9"/>
    <s v="Medium"/>
    <s v="Online"/>
    <n v="22560"/>
  </r>
  <r>
    <n v="1617"/>
    <d v="2024-03-08T08:00:00"/>
    <s v="2024-03-08 08:00:00"/>
    <s v="EAST"/>
    <x v="0"/>
    <s v="Clothing"/>
    <x v="0"/>
    <s v="Men T-Shirt"/>
    <s v="Men T-Shirt"/>
    <s v="CUST0123"/>
    <s v=" CUST0123 "/>
    <x v="2"/>
    <s v="Suresh"/>
    <x v="4"/>
    <s v="Credit Card"/>
    <n v="3"/>
    <s v="3"/>
    <n v="1430"/>
    <s v="1430"/>
    <n v="4290"/>
    <x v="0"/>
    <x v="2"/>
    <x v="9"/>
    <s v="Low"/>
    <s v="Online"/>
    <n v="4290"/>
  </r>
  <r>
    <n v="1618"/>
    <d v="2024-03-08T09:00:00"/>
    <s v="2024-03-08 09:00:00"/>
    <s v=" North "/>
    <x v="2"/>
    <s v="Electronics"/>
    <x v="2"/>
    <s v="Mixer Grinder"/>
    <s v="Mixer Grinder"/>
    <s v="CUST0387"/>
    <s v=" CUST0387 "/>
    <x v="3"/>
    <s v="Anita"/>
    <x v="0"/>
    <s v=" Cash"/>
    <n v="10"/>
    <s v="10"/>
    <n v="4546"/>
    <s v="4546"/>
    <n v="45460"/>
    <x v="0"/>
    <x v="2"/>
    <x v="9"/>
    <s v="Medium"/>
    <s v="Offline"/>
    <n v="45460"/>
  </r>
  <r>
    <n v="1619"/>
    <d v="2024-03-08T10:00:00"/>
    <s v="2024-03-08 10:00:00"/>
    <s v="south"/>
    <x v="3"/>
    <s v="Grocery"/>
    <x v="3"/>
    <s v="Men T-Shirt"/>
    <s v="Men T-Shirt"/>
    <s v="CUST0339"/>
    <s v=" CUST0339 "/>
    <x v="1"/>
    <s v="Meena"/>
    <x v="2"/>
    <s v="UPI"/>
    <n v="3"/>
    <s v="3"/>
    <n v="610"/>
    <s v="610"/>
    <n v="1830"/>
    <x v="0"/>
    <x v="2"/>
    <x v="9"/>
    <s v="Low"/>
    <s v="Online"/>
    <n v="1830"/>
  </r>
  <r>
    <n v="1620"/>
    <d v="2024-03-08T11:00:00"/>
    <s v="2024-03-08 11:00:00"/>
    <s v=" North "/>
    <x v="2"/>
    <s v="Grocery"/>
    <x v="3"/>
    <s v="Led Tv 42Inch"/>
    <s v="LED TV 42inch"/>
    <s v="CUST0778"/>
    <s v=" CUST0778 "/>
    <x v="0"/>
    <s v="Rahul"/>
    <x v="1"/>
    <s v="Debit card "/>
    <n v="8"/>
    <s v="8"/>
    <n v="2672"/>
    <s v="2672"/>
    <n v="21376"/>
    <x v="0"/>
    <x v="2"/>
    <x v="9"/>
    <s v="Medium"/>
    <s v="Online"/>
    <n v="21376"/>
  </r>
  <r>
    <n v="1621"/>
    <d v="2024-03-08T12:00:00"/>
    <s v="2024-03-08 12:00:00"/>
    <s v=" North "/>
    <x v="2"/>
    <s v="Electronics"/>
    <x v="2"/>
    <s v="Laptop"/>
    <s v="Laptop"/>
    <s v="CUST0348"/>
    <s v=" CUST0348 "/>
    <x v="3"/>
    <s v="Anita"/>
    <x v="3"/>
    <s v=" Net Banking "/>
    <n v="7"/>
    <s v="7"/>
    <n v="4029"/>
    <s v="4029"/>
    <n v="28203"/>
    <x v="0"/>
    <x v="2"/>
    <x v="9"/>
    <s v="Medium"/>
    <s v="Online"/>
    <n v="28203"/>
  </r>
  <r>
    <n v="1622"/>
    <d v="2024-03-08T13:00:00"/>
    <s v="2024-03-08 13:00:00"/>
    <s v="south"/>
    <x v="3"/>
    <s v="Electronics"/>
    <x v="2"/>
    <s v="Washing Machine"/>
    <s v="Washing Machine"/>
    <s v="CUST0029"/>
    <s v=" CUST0029 "/>
    <x v="4"/>
    <s v="Karthik"/>
    <x v="3"/>
    <s v=" Net Banking "/>
    <n v="1"/>
    <s v="1"/>
    <n v="591"/>
    <s v="591"/>
    <n v="591"/>
    <x v="0"/>
    <x v="2"/>
    <x v="9"/>
    <s v="Low"/>
    <s v="Online"/>
    <n v="591"/>
  </r>
  <r>
    <n v="1623"/>
    <d v="2024-03-08T14:00:00"/>
    <s v="2024-03-08 14:00:00"/>
    <s v="south"/>
    <x v="3"/>
    <s v=" Home Appliances "/>
    <x v="1"/>
    <s v="Led Tv 42Inch"/>
    <s v="LED TV 42inch"/>
    <s v="CUST0035"/>
    <s v=" CUST0035 "/>
    <x v="0"/>
    <s v="Rahul"/>
    <x v="0"/>
    <s v=" Cash"/>
    <n v="12"/>
    <s v="12"/>
    <n v="1717"/>
    <s v="1717"/>
    <n v="20604"/>
    <x v="0"/>
    <x v="2"/>
    <x v="9"/>
    <s v="Medium"/>
    <s v="Offline"/>
    <n v="20604"/>
  </r>
  <r>
    <n v="1624"/>
    <d v="2024-03-08T15:00:00"/>
    <s v="2024-03-08 15:00:00"/>
    <s v=" west"/>
    <x v="1"/>
    <s v=" Home Appliances "/>
    <x v="1"/>
    <s v="Laptop"/>
    <s v="Laptop"/>
    <s v="CUST0518"/>
    <s v=" CUST0518 "/>
    <x v="0"/>
    <s v="Rahul"/>
    <x v="4"/>
    <s v="Credit Card"/>
    <n v="13"/>
    <s v="13"/>
    <n v="2156"/>
    <s v="2156"/>
    <n v="28028"/>
    <x v="0"/>
    <x v="2"/>
    <x v="9"/>
    <s v="Medium"/>
    <s v="Online"/>
    <n v="28028"/>
  </r>
  <r>
    <n v="1625"/>
    <d v="2024-03-08T16:00:00"/>
    <s v="2024-03-08 16:00:00"/>
    <s v="south"/>
    <x v="3"/>
    <s v=" Home Appliances "/>
    <x v="1"/>
    <s v="Men T-Shirt"/>
    <s v="Men T-Shirt"/>
    <s v="CUST0396"/>
    <s v=" CUST0396 "/>
    <x v="1"/>
    <s v="Meena"/>
    <x v="0"/>
    <s v=" Cash"/>
    <n v="12"/>
    <s v="12"/>
    <n v="1620"/>
    <s v="1620"/>
    <n v="19440"/>
    <x v="0"/>
    <x v="2"/>
    <x v="9"/>
    <s v="Low"/>
    <s v="Offline"/>
    <n v="19440"/>
  </r>
  <r>
    <n v="1626"/>
    <d v="2024-03-08T17:00:00"/>
    <s v="2024-03-08 17:00:00"/>
    <s v="EAST"/>
    <x v="0"/>
    <s v="Electronics"/>
    <x v="2"/>
    <s v="Laptop"/>
    <s v="Laptop"/>
    <s v="CUST0623"/>
    <s v=" CUST0623 "/>
    <x v="2"/>
    <s v="Suresh"/>
    <x v="3"/>
    <s v=" Net Banking "/>
    <n v="5"/>
    <s v="5"/>
    <n v="1683"/>
    <s v="1683"/>
    <n v="8415"/>
    <x v="0"/>
    <x v="2"/>
    <x v="9"/>
    <s v="Low"/>
    <s v="Online"/>
    <n v="8415"/>
  </r>
  <r>
    <n v="1627"/>
    <d v="2024-03-08T18:00:00"/>
    <s v="2024-03-08 18:00:00"/>
    <s v=" North "/>
    <x v="2"/>
    <s v="Electronics"/>
    <x v="2"/>
    <s v="Men T-Shirt"/>
    <s v="Men T-Shirt"/>
    <s v="CUST0294"/>
    <s v=" CUST0294 "/>
    <x v="2"/>
    <s v="Suresh"/>
    <x v="1"/>
    <s v="Debit card "/>
    <n v="9"/>
    <s v="9"/>
    <n v="1675"/>
    <s v="1675"/>
    <n v="15075"/>
    <x v="0"/>
    <x v="2"/>
    <x v="9"/>
    <s v="Low"/>
    <s v="Online"/>
    <n v="15075"/>
  </r>
  <r>
    <n v="1628"/>
    <d v="2024-03-08T19:00:00"/>
    <s v="2024-03-08 19:00:00"/>
    <s v=" North "/>
    <x v="2"/>
    <s v="Clothing"/>
    <x v="0"/>
    <s v="Led Tv 42Inch"/>
    <s v="LED TV 42inch"/>
    <s v="CUST0589"/>
    <s v=" CUST0589 "/>
    <x v="0"/>
    <s v="Rahul"/>
    <x v="3"/>
    <s v=" Net Banking "/>
    <n v="4"/>
    <s v="4"/>
    <n v="4046"/>
    <s v="4046"/>
    <n v="16184"/>
    <x v="0"/>
    <x v="2"/>
    <x v="9"/>
    <s v="Low"/>
    <s v="Online"/>
    <n v="16184"/>
  </r>
  <r>
    <n v="1629"/>
    <d v="2024-03-08T20:00:00"/>
    <s v="2024-03-08 20:00:00"/>
    <s v="EAST"/>
    <x v="0"/>
    <s v=" Home Appliances "/>
    <x v="1"/>
    <s v="Rice 5Kg"/>
    <s v="Rice 5kg"/>
    <s v="CUST0349"/>
    <s v=" CUST0349 "/>
    <x v="3"/>
    <s v="Anita"/>
    <x v="2"/>
    <s v="UPI"/>
    <n v="1"/>
    <s v="1"/>
    <n v="1861"/>
    <s v="1861"/>
    <n v="1861"/>
    <x v="0"/>
    <x v="2"/>
    <x v="9"/>
    <s v="Low"/>
    <s v="Online"/>
    <n v="1861"/>
  </r>
  <r>
    <n v="1630"/>
    <d v="2024-03-08T21:00:00"/>
    <s v="2024-03-08 21:00:00"/>
    <s v="south"/>
    <x v="3"/>
    <s v=" Home Appliances "/>
    <x v="1"/>
    <s v="Rice 5Kg"/>
    <s v="Rice 5kg"/>
    <s v="CUST0147"/>
    <s v=" CUST0147 "/>
    <x v="4"/>
    <s v="Karthik"/>
    <x v="3"/>
    <s v=" Net Banking "/>
    <n v="8"/>
    <s v="8"/>
    <n v="2091"/>
    <s v="2091"/>
    <n v="16728"/>
    <x v="0"/>
    <x v="2"/>
    <x v="9"/>
    <s v="Low"/>
    <s v="Online"/>
    <n v="16728"/>
  </r>
  <r>
    <n v="1631"/>
    <d v="2024-03-08T22:00:00"/>
    <s v="2024-03-08 22:00:00"/>
    <s v="EAST"/>
    <x v="0"/>
    <s v=" Home Appliances "/>
    <x v="1"/>
    <s v="Laptop"/>
    <s v="Laptop"/>
    <s v="CUST0067"/>
    <s v=" CUST0067 "/>
    <x v="4"/>
    <s v="Karthik"/>
    <x v="3"/>
    <s v=" Net Banking "/>
    <n v="5"/>
    <s v="5"/>
    <n v="3279"/>
    <s v="3279"/>
    <n v="16395"/>
    <x v="0"/>
    <x v="2"/>
    <x v="9"/>
    <s v="Low"/>
    <s v="Online"/>
    <n v="16395"/>
  </r>
  <r>
    <n v="1632"/>
    <d v="2024-03-08T23:00:00"/>
    <s v="2024-03-08 23:00:00"/>
    <s v="EAST"/>
    <x v="0"/>
    <s v="Grocery"/>
    <x v="3"/>
    <s v="Rice 5Kg"/>
    <s v="Rice 5kg"/>
    <s v="CUST0520"/>
    <s v=" CUST0520 "/>
    <x v="3"/>
    <s v="Anita"/>
    <x v="2"/>
    <s v="UPI"/>
    <n v="2"/>
    <s v="2"/>
    <n v="3426"/>
    <s v="3426"/>
    <n v="6852"/>
    <x v="0"/>
    <x v="2"/>
    <x v="9"/>
    <s v="Low"/>
    <s v="Online"/>
    <n v="6852"/>
  </r>
  <r>
    <n v="1633"/>
    <d v="2024-03-09T00:00:00"/>
    <s v="2024-03-09 00:00:00"/>
    <s v=" west"/>
    <x v="1"/>
    <s v="Clothing"/>
    <x v="0"/>
    <s v="Men T-Shirt"/>
    <s v="Men T-Shirt"/>
    <s v="CUST0122"/>
    <s v=" CUST0122 "/>
    <x v="0"/>
    <s v="Rahul"/>
    <x v="4"/>
    <s v="Credit Card"/>
    <n v="12"/>
    <s v="12"/>
    <n v="1146"/>
    <s v="1146"/>
    <n v="13752"/>
    <x v="0"/>
    <x v="2"/>
    <x v="9"/>
    <s v="Low"/>
    <s v="Online"/>
    <n v="13752"/>
  </r>
  <r>
    <n v="1634"/>
    <d v="2024-03-09T01:00:00"/>
    <s v="2024-03-09 01:00:00"/>
    <s v="EAST"/>
    <x v="0"/>
    <s v=" Home Appliances "/>
    <x v="1"/>
    <s v="Mixer Grinder"/>
    <s v="Mixer Grinder"/>
    <s v="CUST0340"/>
    <s v=" CUST0340 "/>
    <x v="4"/>
    <s v="Karthik"/>
    <x v="3"/>
    <s v=" Net Banking "/>
    <n v="1"/>
    <s v="1"/>
    <n v="2992"/>
    <s v="2992"/>
    <n v="2992"/>
    <x v="0"/>
    <x v="2"/>
    <x v="9"/>
    <s v="Low"/>
    <s v="Online"/>
    <n v="2992"/>
  </r>
  <r>
    <n v="1635"/>
    <d v="2024-03-09T02:00:00"/>
    <s v="2024-03-09 02:00:00"/>
    <s v=" North "/>
    <x v="2"/>
    <s v=" Home Appliances "/>
    <x v="1"/>
    <s v="Men T-Shirt"/>
    <s v="Men T-Shirt"/>
    <s v="CUST0175"/>
    <s v=" CUST0175 "/>
    <x v="2"/>
    <s v="Suresh"/>
    <x v="0"/>
    <s v=" Cash"/>
    <n v="14"/>
    <s v="14"/>
    <n v="2713"/>
    <s v="2713"/>
    <n v="37982"/>
    <x v="0"/>
    <x v="2"/>
    <x v="9"/>
    <s v="Medium"/>
    <s v="Offline"/>
    <n v="37982"/>
  </r>
  <r>
    <n v="1636"/>
    <d v="2024-03-09T03:00:00"/>
    <s v="2024-03-09 03:00:00"/>
    <s v="EAST"/>
    <x v="0"/>
    <s v=" Home Appliances "/>
    <x v="1"/>
    <s v="Mixer Grinder"/>
    <s v="Mixer Grinder"/>
    <s v="CUST0691"/>
    <s v=" CUST0691 "/>
    <x v="3"/>
    <s v="Anita"/>
    <x v="3"/>
    <s v=" Net Banking "/>
    <n v="12"/>
    <s v="12"/>
    <n v="3992"/>
    <s v="3992"/>
    <n v="47904"/>
    <x v="0"/>
    <x v="2"/>
    <x v="9"/>
    <s v="Medium"/>
    <s v="Online"/>
    <n v="47904"/>
  </r>
  <r>
    <n v="1637"/>
    <d v="2024-03-09T04:00:00"/>
    <s v="2024-03-09 04:00:00"/>
    <s v=" North "/>
    <x v="2"/>
    <s v="Grocery"/>
    <x v="3"/>
    <s v="Led Tv 42Inch"/>
    <s v="LED TV 42inch"/>
    <s v="CUST0597"/>
    <s v=" CUST0597 "/>
    <x v="1"/>
    <s v="Meena"/>
    <x v="0"/>
    <s v=" Cash"/>
    <n v="12"/>
    <s v="12"/>
    <n v="4244"/>
    <s v="4244"/>
    <n v="50928"/>
    <x v="0"/>
    <x v="2"/>
    <x v="9"/>
    <s v="High"/>
    <s v="Offline"/>
    <n v="50928"/>
  </r>
  <r>
    <n v="1638"/>
    <d v="2024-03-09T05:00:00"/>
    <s v="2024-03-09 05:00:00"/>
    <s v=" North "/>
    <x v="2"/>
    <s v="Grocery"/>
    <x v="3"/>
    <s v="Washing Machine"/>
    <s v="Washing Machine"/>
    <s v="CUST0451"/>
    <s v=" CUST0451 "/>
    <x v="0"/>
    <s v="Rahul"/>
    <x v="2"/>
    <s v="UPI"/>
    <n v="12"/>
    <s v="12"/>
    <n v="561"/>
    <s v="561"/>
    <n v="6732"/>
    <x v="0"/>
    <x v="2"/>
    <x v="9"/>
    <s v="Low"/>
    <s v="Online"/>
    <n v="6732"/>
  </r>
  <r>
    <n v="1639"/>
    <d v="2024-03-09T06:00:00"/>
    <s v="2024-03-09 06:00:00"/>
    <s v=" North "/>
    <x v="2"/>
    <s v="Electronics"/>
    <x v="2"/>
    <s v="Mixer Grinder"/>
    <s v="Mixer Grinder"/>
    <s v="CUST0557"/>
    <s v=" CUST0557 "/>
    <x v="3"/>
    <s v="Anita"/>
    <x v="3"/>
    <s v=" Net Banking "/>
    <n v="3"/>
    <s v="3"/>
    <n v="4531"/>
    <s v="4531"/>
    <n v="13593"/>
    <x v="0"/>
    <x v="2"/>
    <x v="9"/>
    <s v="Low"/>
    <s v="Online"/>
    <n v="13593"/>
  </r>
  <r>
    <n v="1640"/>
    <d v="2024-03-09T07:00:00"/>
    <s v="2024-03-09 07:00:00"/>
    <s v="south"/>
    <x v="3"/>
    <s v="Clothing"/>
    <x v="0"/>
    <s v="Rice 5Kg"/>
    <s v="Rice 5kg"/>
    <s v="CUST0136"/>
    <s v=" CUST0136 "/>
    <x v="4"/>
    <s v="Karthik"/>
    <x v="2"/>
    <s v="UPI"/>
    <n v="9"/>
    <s v="9"/>
    <n v="1481"/>
    <s v="1481"/>
    <n v="13329"/>
    <x v="0"/>
    <x v="2"/>
    <x v="9"/>
    <s v="Low"/>
    <s v="Online"/>
    <n v="13329"/>
  </r>
  <r>
    <n v="1641"/>
    <d v="2024-03-09T08:00:00"/>
    <s v="2024-03-09 08:00:00"/>
    <s v=" west"/>
    <x v="1"/>
    <s v="Electronics"/>
    <x v="2"/>
    <s v="Men T-Shirt"/>
    <s v="Men T-Shirt"/>
    <s v="CUST0016"/>
    <s v=" CUST0016 "/>
    <x v="0"/>
    <s v="Rahul"/>
    <x v="2"/>
    <s v="UPI"/>
    <n v="1"/>
    <s v="1"/>
    <n v="1245"/>
    <s v="1245"/>
    <n v="1245"/>
    <x v="0"/>
    <x v="2"/>
    <x v="9"/>
    <s v="Low"/>
    <s v="Online"/>
    <n v="1245"/>
  </r>
  <r>
    <n v="1642"/>
    <d v="2024-03-09T09:00:00"/>
    <s v="2024-03-09 09:00:00"/>
    <s v=" North "/>
    <x v="2"/>
    <s v="Clothing"/>
    <x v="0"/>
    <s v="Led Tv 42Inch"/>
    <s v="LED TV 42inch"/>
    <s v="CUST0333"/>
    <s v=" CUST0333 "/>
    <x v="2"/>
    <s v="Suresh"/>
    <x v="4"/>
    <s v="Credit Card"/>
    <n v="4"/>
    <s v="4"/>
    <n v="3615"/>
    <s v="3615"/>
    <n v="14460"/>
    <x v="0"/>
    <x v="2"/>
    <x v="9"/>
    <s v="Low"/>
    <s v="Online"/>
    <n v="14460"/>
  </r>
  <r>
    <n v="1643"/>
    <d v="2024-03-09T10:00:00"/>
    <s v="2024-03-09 10:00:00"/>
    <s v=" North "/>
    <x v="2"/>
    <s v="Grocery"/>
    <x v="3"/>
    <s v="Rice 5Kg"/>
    <s v="Rice 5kg"/>
    <s v="CUST0195"/>
    <s v=" CUST0195 "/>
    <x v="0"/>
    <s v="Rahul"/>
    <x v="3"/>
    <s v=" Net Banking "/>
    <n v="8"/>
    <s v="8"/>
    <n v="4554"/>
    <s v="4554"/>
    <n v="36432"/>
    <x v="0"/>
    <x v="2"/>
    <x v="9"/>
    <s v="Medium"/>
    <s v="Online"/>
    <n v="36432"/>
  </r>
  <r>
    <n v="1644"/>
    <d v="2024-03-09T11:00:00"/>
    <s v="2024-03-09 11:00:00"/>
    <s v="south"/>
    <x v="3"/>
    <s v=" Home Appliances "/>
    <x v="1"/>
    <s v="Led Tv 42Inch"/>
    <s v="LED TV 42inch"/>
    <s v="CUST0496"/>
    <s v=" CUST0496 "/>
    <x v="0"/>
    <s v="Rahul"/>
    <x v="0"/>
    <s v=" Cash"/>
    <n v="8"/>
    <s v="8"/>
    <n v="292"/>
    <s v="292"/>
    <n v="2336"/>
    <x v="0"/>
    <x v="2"/>
    <x v="9"/>
    <s v="Low"/>
    <s v="Offline"/>
    <n v="2336"/>
  </r>
  <r>
    <n v="1645"/>
    <d v="2024-03-09T12:00:00"/>
    <s v="2024-03-09 12:00:00"/>
    <s v=" North "/>
    <x v="2"/>
    <s v="Electronics"/>
    <x v="2"/>
    <s v="Washing Machine"/>
    <s v="Washing Machine"/>
    <s v="CUST0009"/>
    <s v=" CUST0009 "/>
    <x v="2"/>
    <s v="Suresh"/>
    <x v="0"/>
    <s v=" Cash"/>
    <n v="10"/>
    <s v="10"/>
    <n v="3634"/>
    <s v="3634"/>
    <n v="36340"/>
    <x v="0"/>
    <x v="2"/>
    <x v="9"/>
    <s v="Medium"/>
    <s v="Offline"/>
    <n v="36340"/>
  </r>
  <r>
    <n v="1646"/>
    <d v="2024-03-09T13:00:00"/>
    <s v="2024-03-09 13:00:00"/>
    <s v="EAST"/>
    <x v="0"/>
    <s v=" Home Appliances "/>
    <x v="1"/>
    <s v="Men T-Shirt"/>
    <s v="Men T-Shirt"/>
    <s v="CUST0334"/>
    <s v=" CUST0334 "/>
    <x v="2"/>
    <s v="Suresh"/>
    <x v="3"/>
    <s v=" Net Banking "/>
    <n v="12"/>
    <s v="12"/>
    <n v="855"/>
    <s v="855"/>
    <n v="10260"/>
    <x v="0"/>
    <x v="2"/>
    <x v="9"/>
    <s v="Low"/>
    <s v="Online"/>
    <n v="10260"/>
  </r>
  <r>
    <n v="1647"/>
    <d v="2024-03-09T14:00:00"/>
    <s v="2024-03-09 14:00:00"/>
    <s v="EAST"/>
    <x v="0"/>
    <s v="Electronics"/>
    <x v="2"/>
    <s v="Laptop"/>
    <s v="Laptop"/>
    <s v="CUST0333"/>
    <s v=" CUST0333 "/>
    <x v="0"/>
    <s v="Rahul"/>
    <x v="4"/>
    <s v="Credit Card"/>
    <n v="11"/>
    <s v="11"/>
    <n v="1784"/>
    <s v="1784"/>
    <n v="19624"/>
    <x v="0"/>
    <x v="2"/>
    <x v="9"/>
    <s v="Low"/>
    <s v="Online"/>
    <n v="19624"/>
  </r>
  <r>
    <n v="1648"/>
    <d v="2024-03-09T15:00:00"/>
    <s v="2024-03-09 15:00:00"/>
    <s v=" west"/>
    <x v="1"/>
    <s v="Grocery"/>
    <x v="3"/>
    <s v="Men T-Shirt"/>
    <s v="Men T-Shirt"/>
    <s v="CUST0327"/>
    <s v=" CUST0327 "/>
    <x v="2"/>
    <s v="Suresh"/>
    <x v="4"/>
    <s v="Credit Card"/>
    <n v="13"/>
    <s v="13"/>
    <n v="2625"/>
    <s v="2625"/>
    <n v="34125"/>
    <x v="0"/>
    <x v="2"/>
    <x v="9"/>
    <s v="Medium"/>
    <s v="Online"/>
    <n v="34125"/>
  </r>
  <r>
    <n v="1649"/>
    <d v="2024-03-09T16:00:00"/>
    <s v="2024-03-09 16:00:00"/>
    <s v=" North "/>
    <x v="2"/>
    <s v="Grocery"/>
    <x v="3"/>
    <s v="Washing Machine"/>
    <s v="Washing Machine"/>
    <s v="CUST0015"/>
    <s v=" CUST0015 "/>
    <x v="3"/>
    <s v="Anita"/>
    <x v="4"/>
    <s v="Credit Card"/>
    <n v="11"/>
    <s v="11"/>
    <n v="927"/>
    <s v="927"/>
    <n v="10197"/>
    <x v="0"/>
    <x v="2"/>
    <x v="9"/>
    <s v="Low"/>
    <s v="Online"/>
    <n v="10197"/>
  </r>
  <r>
    <n v="1650"/>
    <d v="2024-03-09T17:00:00"/>
    <s v="2024-03-09 17:00:00"/>
    <s v="south"/>
    <x v="3"/>
    <s v="Grocery"/>
    <x v="3"/>
    <s v="Men T-Shirt"/>
    <s v="Men T-Shirt"/>
    <s v="CUST0614"/>
    <s v=" CUST0614 "/>
    <x v="2"/>
    <s v="Suresh"/>
    <x v="0"/>
    <s v=" Cash"/>
    <n v="8"/>
    <s v="8"/>
    <n v="989"/>
    <s v="989"/>
    <n v="7912"/>
    <x v="0"/>
    <x v="2"/>
    <x v="9"/>
    <s v="Low"/>
    <s v="Offline"/>
    <n v="7912"/>
  </r>
  <r>
    <n v="1651"/>
    <d v="2024-03-09T18:00:00"/>
    <s v="2024-03-09 18:00:00"/>
    <s v="EAST"/>
    <x v="0"/>
    <s v="Electronics"/>
    <x v="2"/>
    <s v="Laptop"/>
    <s v="Laptop"/>
    <s v="CUST0226"/>
    <s v=" CUST0226 "/>
    <x v="2"/>
    <s v="Suresh"/>
    <x v="2"/>
    <s v="UPI"/>
    <n v="10"/>
    <s v="10"/>
    <n v="4848"/>
    <s v="4848"/>
    <n v="48480"/>
    <x v="0"/>
    <x v="2"/>
    <x v="9"/>
    <s v="Medium"/>
    <s v="Online"/>
    <n v="48480"/>
  </r>
  <r>
    <n v="1652"/>
    <d v="2024-03-09T19:00:00"/>
    <s v="2024-03-09 19:00:00"/>
    <s v="south"/>
    <x v="3"/>
    <s v="Clothing"/>
    <x v="0"/>
    <s v="Mixer Grinder"/>
    <s v="Mixer Grinder"/>
    <s v="CUST0425"/>
    <s v=" CUST0425 "/>
    <x v="0"/>
    <s v="Rahul"/>
    <x v="4"/>
    <s v="Credit Card"/>
    <n v="8"/>
    <s v="8"/>
    <n v="2555"/>
    <s v="2555"/>
    <n v="20440"/>
    <x v="0"/>
    <x v="2"/>
    <x v="9"/>
    <s v="Medium"/>
    <s v="Online"/>
    <n v="20440"/>
  </r>
  <r>
    <n v="1653"/>
    <d v="2024-03-09T20:00:00"/>
    <s v="2024-03-09 20:00:00"/>
    <s v="south"/>
    <x v="3"/>
    <s v="Electronics"/>
    <x v="2"/>
    <s v="Led Tv 42Inch"/>
    <s v="LED TV 42inch"/>
    <s v="CUST0790"/>
    <s v=" CUST0790 "/>
    <x v="3"/>
    <s v="Anita"/>
    <x v="0"/>
    <s v=" Cash"/>
    <n v="4"/>
    <s v="4"/>
    <n v="2433"/>
    <s v="2433"/>
    <n v="9732"/>
    <x v="0"/>
    <x v="2"/>
    <x v="9"/>
    <s v="Low"/>
    <s v="Offline"/>
    <n v="9732"/>
  </r>
  <r>
    <n v="1654"/>
    <d v="2024-03-09T21:00:00"/>
    <s v="2024-03-09 21:00:00"/>
    <s v="EAST"/>
    <x v="0"/>
    <s v="Clothing"/>
    <x v="0"/>
    <s v="Laptop"/>
    <s v="Laptop"/>
    <s v="CUST0408"/>
    <s v=" CUST0408 "/>
    <x v="1"/>
    <s v="Meena"/>
    <x v="0"/>
    <s v=" Cash"/>
    <n v="8"/>
    <s v="8"/>
    <n v="210"/>
    <s v="210"/>
    <n v="1680"/>
    <x v="0"/>
    <x v="2"/>
    <x v="9"/>
    <s v="Low"/>
    <s v="Offline"/>
    <n v="1680"/>
  </r>
  <r>
    <n v="1655"/>
    <d v="2024-03-09T22:00:00"/>
    <s v="2024-03-09 22:00:00"/>
    <s v="south"/>
    <x v="3"/>
    <s v="Electronics"/>
    <x v="2"/>
    <s v="Rice 5Kg"/>
    <s v="Rice 5kg"/>
    <s v="CUST0113"/>
    <s v=" CUST0113 "/>
    <x v="1"/>
    <s v="Meena"/>
    <x v="2"/>
    <s v="UPI"/>
    <n v="9"/>
    <s v="9"/>
    <n v="4815"/>
    <s v="4815"/>
    <n v="43335"/>
    <x v="0"/>
    <x v="2"/>
    <x v="9"/>
    <s v="Medium"/>
    <s v="Online"/>
    <n v="43335"/>
  </r>
  <r>
    <n v="1656"/>
    <d v="2024-03-09T23:00:00"/>
    <s v="2024-03-09 23:00:00"/>
    <s v="EAST"/>
    <x v="0"/>
    <s v="Electronics"/>
    <x v="2"/>
    <s v="Washing Machine"/>
    <s v="Washing Machine"/>
    <s v="CUST0428"/>
    <s v=" CUST0428 "/>
    <x v="4"/>
    <s v="Karthik"/>
    <x v="3"/>
    <s v=" Net Banking "/>
    <n v="7"/>
    <s v="7"/>
    <n v="892"/>
    <s v="892"/>
    <n v="6244"/>
    <x v="0"/>
    <x v="2"/>
    <x v="9"/>
    <s v="Low"/>
    <s v="Online"/>
    <n v="6244"/>
  </r>
  <r>
    <n v="1657"/>
    <d v="2024-03-10T00:00:00"/>
    <s v="2024-03-10 00:00:00"/>
    <s v="south"/>
    <x v="3"/>
    <s v="Grocery"/>
    <x v="3"/>
    <s v="Mixer Grinder"/>
    <s v="Mixer Grinder"/>
    <s v="CUST0001"/>
    <s v=" CUST0001 "/>
    <x v="2"/>
    <s v="Suresh"/>
    <x v="3"/>
    <s v=" Net Banking "/>
    <n v="14"/>
    <s v="14"/>
    <n v="4783"/>
    <s v="4783"/>
    <n v="66962"/>
    <x v="0"/>
    <x v="2"/>
    <x v="9"/>
    <s v="High"/>
    <s v="Online"/>
    <n v="66962"/>
  </r>
  <r>
    <n v="1658"/>
    <d v="2024-03-10T01:00:00"/>
    <s v="2024-03-10 01:00:00"/>
    <s v="EAST"/>
    <x v="0"/>
    <s v=" Home Appliances "/>
    <x v="1"/>
    <s v="Rice 5Kg"/>
    <s v="Rice 5kg"/>
    <s v="CUST0266"/>
    <s v=" CUST0266 "/>
    <x v="2"/>
    <s v="Suresh"/>
    <x v="4"/>
    <s v="Credit Card"/>
    <n v="12"/>
    <s v="12"/>
    <n v="2743"/>
    <s v="2743"/>
    <n v="32916"/>
    <x v="0"/>
    <x v="2"/>
    <x v="9"/>
    <s v="Medium"/>
    <s v="Online"/>
    <n v="32916"/>
  </r>
  <r>
    <n v="1659"/>
    <d v="2024-03-10T02:00:00"/>
    <s v="2024-03-10 02:00:00"/>
    <s v=" North "/>
    <x v="2"/>
    <s v=" Home Appliances "/>
    <x v="1"/>
    <s v="Rice 5Kg"/>
    <s v="Rice 5kg"/>
    <s v="CUST0491"/>
    <s v=" CUST0491 "/>
    <x v="3"/>
    <s v="Anita"/>
    <x v="4"/>
    <s v="Credit Card"/>
    <n v="2"/>
    <s v="2"/>
    <n v="3514"/>
    <s v="3514"/>
    <n v="7028"/>
    <x v="0"/>
    <x v="2"/>
    <x v="9"/>
    <s v="Low"/>
    <s v="Online"/>
    <n v="7028"/>
  </r>
  <r>
    <n v="1660"/>
    <d v="2024-03-10T03:00:00"/>
    <s v="2024-03-10 03:00:00"/>
    <s v=" west"/>
    <x v="1"/>
    <s v="Clothing"/>
    <x v="0"/>
    <s v="Washing Machine"/>
    <s v="Washing Machine"/>
    <s v="CUST0208"/>
    <s v=" CUST0208 "/>
    <x v="1"/>
    <s v="Meena"/>
    <x v="2"/>
    <s v="UPI"/>
    <n v="9"/>
    <s v="9"/>
    <n v="1409"/>
    <s v="1409"/>
    <n v="12681"/>
    <x v="0"/>
    <x v="2"/>
    <x v="9"/>
    <s v="Low"/>
    <s v="Online"/>
    <n v="12681"/>
  </r>
  <r>
    <n v="1661"/>
    <d v="2024-03-10T04:00:00"/>
    <s v="2024-03-10 04:00:00"/>
    <s v="EAST"/>
    <x v="0"/>
    <s v=" Home Appliances "/>
    <x v="1"/>
    <s v="Mixer Grinder"/>
    <s v="Mixer Grinder"/>
    <s v="CUST0622"/>
    <s v=" CUST0622 "/>
    <x v="4"/>
    <s v="Karthik"/>
    <x v="4"/>
    <s v="Credit Card"/>
    <n v="11"/>
    <s v="11"/>
    <n v="396"/>
    <s v="396"/>
    <n v="4356"/>
    <x v="0"/>
    <x v="2"/>
    <x v="9"/>
    <s v="Low"/>
    <s v="Online"/>
    <n v="4356"/>
  </r>
  <r>
    <n v="1662"/>
    <d v="2024-03-10T05:00:00"/>
    <s v="2024-03-10 05:00:00"/>
    <s v="EAST"/>
    <x v="0"/>
    <s v="Electronics"/>
    <x v="2"/>
    <s v="Rice 5Kg"/>
    <s v="Rice 5kg"/>
    <s v="CUST0712"/>
    <s v=" CUST0712 "/>
    <x v="3"/>
    <s v="Anita"/>
    <x v="2"/>
    <s v="UPI"/>
    <n v="8"/>
    <s v="8"/>
    <n v="1729"/>
    <s v="1729"/>
    <n v="13832"/>
    <x v="0"/>
    <x v="2"/>
    <x v="9"/>
    <s v="Low"/>
    <s v="Online"/>
    <n v="13832"/>
  </r>
  <r>
    <n v="1663"/>
    <d v="2024-03-10T06:00:00"/>
    <s v="2024-03-10 06:00:00"/>
    <s v=" west"/>
    <x v="1"/>
    <s v="Electronics"/>
    <x v="2"/>
    <s v="Rice 5Kg"/>
    <s v="Rice 5kg"/>
    <s v="CUST0369"/>
    <s v=" CUST0369 "/>
    <x v="2"/>
    <s v="Suresh"/>
    <x v="0"/>
    <s v=" Cash"/>
    <n v="13"/>
    <s v="13"/>
    <n v="668"/>
    <s v="668"/>
    <n v="8684"/>
    <x v="0"/>
    <x v="2"/>
    <x v="9"/>
    <s v="Low"/>
    <s v="Offline"/>
    <n v="8684"/>
  </r>
  <r>
    <n v="1664"/>
    <d v="2024-03-10T07:00:00"/>
    <s v="2024-03-10 07:00:00"/>
    <s v="EAST"/>
    <x v="0"/>
    <s v="Grocery"/>
    <x v="3"/>
    <s v="Mixer Grinder"/>
    <s v="Mixer Grinder"/>
    <s v="CUST0306"/>
    <s v=" CUST0306 "/>
    <x v="1"/>
    <s v="Meena"/>
    <x v="4"/>
    <s v="Credit Card"/>
    <n v="5"/>
    <s v="5"/>
    <n v="4805"/>
    <s v="4805"/>
    <n v="24025"/>
    <x v="0"/>
    <x v="2"/>
    <x v="9"/>
    <s v="Medium"/>
    <s v="Online"/>
    <n v="24025"/>
  </r>
  <r>
    <n v="1665"/>
    <d v="2024-03-10T08:00:00"/>
    <s v="2024-03-10 08:00:00"/>
    <s v="EAST"/>
    <x v="0"/>
    <s v="Grocery"/>
    <x v="3"/>
    <s v="Men T-Shirt"/>
    <s v="Men T-Shirt"/>
    <s v="CUST0012"/>
    <s v=" CUST0012 "/>
    <x v="4"/>
    <s v="Karthik"/>
    <x v="0"/>
    <s v=" Cash"/>
    <n v="12"/>
    <s v="12"/>
    <n v="4211"/>
    <s v="4211"/>
    <n v="50532"/>
    <x v="0"/>
    <x v="2"/>
    <x v="9"/>
    <s v="High"/>
    <s v="Offline"/>
    <n v="50532"/>
  </r>
  <r>
    <n v="1666"/>
    <d v="2024-03-10T09:00:00"/>
    <s v="2024-03-10 09:00:00"/>
    <s v="south"/>
    <x v="3"/>
    <s v=" Home Appliances "/>
    <x v="1"/>
    <s v="Rice 5Kg"/>
    <s v="Rice 5kg"/>
    <s v="CUST0345"/>
    <s v=" CUST0345 "/>
    <x v="0"/>
    <s v="Rahul"/>
    <x v="1"/>
    <s v="Debit card "/>
    <n v="3"/>
    <s v="3"/>
    <n v="171"/>
    <s v="171"/>
    <n v="513"/>
    <x v="0"/>
    <x v="2"/>
    <x v="9"/>
    <s v="Low"/>
    <s v="Online"/>
    <n v="513"/>
  </r>
  <r>
    <n v="1667"/>
    <d v="2024-03-10T10:00:00"/>
    <s v="2024-03-10 10:00:00"/>
    <s v=" west"/>
    <x v="1"/>
    <s v="Clothing"/>
    <x v="0"/>
    <s v="Led Tv 42Inch"/>
    <s v="LED TV 42inch"/>
    <s v="CUST0465"/>
    <s v=" CUST0465 "/>
    <x v="1"/>
    <s v="Meena"/>
    <x v="2"/>
    <s v="UPI"/>
    <n v="7"/>
    <s v="7"/>
    <n v="4465"/>
    <s v="4465"/>
    <n v="31255"/>
    <x v="0"/>
    <x v="2"/>
    <x v="9"/>
    <s v="Medium"/>
    <s v="Online"/>
    <n v="31255"/>
  </r>
  <r>
    <n v="1668"/>
    <d v="2024-03-10T11:00:00"/>
    <s v="2024-03-10 11:00:00"/>
    <s v=" North "/>
    <x v="2"/>
    <s v=" Home Appliances "/>
    <x v="1"/>
    <s v="Mixer Grinder"/>
    <s v="Mixer Grinder"/>
    <s v="CUST0700"/>
    <s v=" CUST0700 "/>
    <x v="4"/>
    <s v="Karthik"/>
    <x v="1"/>
    <s v="Debit card "/>
    <n v="14"/>
    <s v="14"/>
    <n v="4482"/>
    <s v="4482"/>
    <n v="62748"/>
    <x v="0"/>
    <x v="2"/>
    <x v="9"/>
    <s v="High"/>
    <s v="Online"/>
    <n v="62748"/>
  </r>
  <r>
    <n v="1669"/>
    <d v="2024-03-10T12:00:00"/>
    <s v="2024-03-10 12:00:00"/>
    <s v="EAST"/>
    <x v="0"/>
    <s v=" Home Appliances "/>
    <x v="1"/>
    <s v="Rice 5Kg"/>
    <s v="Rice 5kg"/>
    <s v="CUST0666"/>
    <s v=" CUST0666 "/>
    <x v="3"/>
    <s v="Anita"/>
    <x v="4"/>
    <s v="Credit Card"/>
    <n v="14"/>
    <s v="14"/>
    <n v="165"/>
    <s v="165"/>
    <n v="2310"/>
    <x v="0"/>
    <x v="2"/>
    <x v="9"/>
    <s v="Low"/>
    <s v="Online"/>
    <n v="2310"/>
  </r>
  <r>
    <n v="1670"/>
    <d v="2024-03-10T13:00:00"/>
    <s v="2024-03-10 13:00:00"/>
    <s v=" west"/>
    <x v="1"/>
    <s v=" Home Appliances "/>
    <x v="1"/>
    <s v="Washing Machine"/>
    <s v="Washing Machine"/>
    <s v="CUST0494"/>
    <s v=" CUST0494 "/>
    <x v="0"/>
    <s v="Rahul"/>
    <x v="0"/>
    <s v=" Cash"/>
    <n v="2"/>
    <s v="2"/>
    <n v="979"/>
    <s v="979"/>
    <n v="1958"/>
    <x v="0"/>
    <x v="2"/>
    <x v="9"/>
    <s v="Low"/>
    <s v="Offline"/>
    <n v="1958"/>
  </r>
  <r>
    <n v="1671"/>
    <d v="2024-03-10T14:00:00"/>
    <s v="2024-03-10 14:00:00"/>
    <s v="south"/>
    <x v="3"/>
    <s v=" Home Appliances "/>
    <x v="1"/>
    <s v="Laptop"/>
    <s v="Laptop"/>
    <s v="CUST0368"/>
    <s v=" CUST0368 "/>
    <x v="4"/>
    <s v="Karthik"/>
    <x v="4"/>
    <s v="Credit Card"/>
    <n v="13"/>
    <s v="13"/>
    <n v="167"/>
    <s v="167"/>
    <n v="2171"/>
    <x v="0"/>
    <x v="2"/>
    <x v="9"/>
    <s v="Low"/>
    <s v="Online"/>
    <n v="2171"/>
  </r>
  <r>
    <n v="1672"/>
    <d v="2024-03-10T15:00:00"/>
    <s v="2024-03-10 15:00:00"/>
    <s v=" North "/>
    <x v="2"/>
    <s v="Electronics"/>
    <x v="2"/>
    <s v="Led Tv 42Inch"/>
    <s v="LED TV 42inch"/>
    <s v="CUST0420"/>
    <s v=" CUST0420 "/>
    <x v="4"/>
    <s v="Karthik"/>
    <x v="1"/>
    <s v="Debit card "/>
    <n v="3"/>
    <s v="3"/>
    <n v="1316"/>
    <s v="1316"/>
    <n v="3948"/>
    <x v="0"/>
    <x v="2"/>
    <x v="9"/>
    <s v="Low"/>
    <s v="Online"/>
    <n v="3948"/>
  </r>
  <r>
    <n v="1673"/>
    <d v="2024-03-10T16:00:00"/>
    <s v="2024-03-10 16:00:00"/>
    <s v=" west"/>
    <x v="1"/>
    <s v="Clothing"/>
    <x v="0"/>
    <s v="Laptop"/>
    <s v="Laptop"/>
    <s v="CUST0791"/>
    <s v=" CUST0791 "/>
    <x v="2"/>
    <s v="Suresh"/>
    <x v="4"/>
    <s v="Credit Card"/>
    <n v="12"/>
    <s v="12"/>
    <n v="3127"/>
    <s v="3127"/>
    <n v="37524"/>
    <x v="0"/>
    <x v="2"/>
    <x v="9"/>
    <s v="Medium"/>
    <s v="Online"/>
    <n v="37524"/>
  </r>
  <r>
    <n v="1674"/>
    <d v="2024-03-10T17:00:00"/>
    <s v="2024-03-10 17:00:00"/>
    <s v=" North "/>
    <x v="2"/>
    <s v="Electronics"/>
    <x v="2"/>
    <s v="Laptop"/>
    <s v="Laptop"/>
    <s v="CUST0171"/>
    <s v=" CUST0171 "/>
    <x v="1"/>
    <s v="Meena"/>
    <x v="3"/>
    <s v=" Net Banking "/>
    <n v="9"/>
    <s v="9"/>
    <n v="3339"/>
    <s v="3339"/>
    <n v="30051"/>
    <x v="0"/>
    <x v="2"/>
    <x v="9"/>
    <s v="Medium"/>
    <s v="Online"/>
    <n v="30051"/>
  </r>
  <r>
    <n v="1675"/>
    <d v="2024-03-10T18:00:00"/>
    <s v="2024-03-10 18:00:00"/>
    <s v=" North "/>
    <x v="2"/>
    <s v="Clothing"/>
    <x v="0"/>
    <s v="Rice 5Kg"/>
    <s v="Rice 5kg"/>
    <s v="CUST0134"/>
    <s v=" CUST0134 "/>
    <x v="2"/>
    <s v="Suresh"/>
    <x v="1"/>
    <s v="Debit card "/>
    <n v="4"/>
    <s v="4"/>
    <n v="3580"/>
    <s v="3580"/>
    <n v="14320"/>
    <x v="0"/>
    <x v="2"/>
    <x v="9"/>
    <s v="Low"/>
    <s v="Online"/>
    <n v="14320"/>
  </r>
  <r>
    <n v="1676"/>
    <d v="2024-03-10T19:00:00"/>
    <s v="2024-03-10 19:00:00"/>
    <s v=" North "/>
    <x v="2"/>
    <s v="Grocery"/>
    <x v="3"/>
    <s v="Led Tv 42Inch"/>
    <s v="LED TV 42inch"/>
    <s v="CUST0427"/>
    <s v=" CUST0427 "/>
    <x v="0"/>
    <s v="Rahul"/>
    <x v="4"/>
    <s v="Credit Card"/>
    <n v="4"/>
    <s v="4"/>
    <n v="607"/>
    <s v="607"/>
    <n v="2428"/>
    <x v="0"/>
    <x v="2"/>
    <x v="9"/>
    <s v="Low"/>
    <s v="Online"/>
    <n v="2428"/>
  </r>
  <r>
    <n v="1677"/>
    <d v="2024-03-10T20:00:00"/>
    <s v="2024-03-10 20:00:00"/>
    <s v="EAST"/>
    <x v="0"/>
    <s v=" Home Appliances "/>
    <x v="1"/>
    <s v="Led Tv 42Inch"/>
    <s v="LED TV 42inch"/>
    <s v="CUST0025"/>
    <s v=" CUST0025 "/>
    <x v="4"/>
    <s v="Karthik"/>
    <x v="0"/>
    <s v=" Cash"/>
    <n v="3"/>
    <s v="3"/>
    <n v="3814"/>
    <s v="3814"/>
    <n v="11442"/>
    <x v="0"/>
    <x v="2"/>
    <x v="9"/>
    <s v="Low"/>
    <s v="Offline"/>
    <n v="11442"/>
  </r>
  <r>
    <n v="1678"/>
    <d v="2024-03-10T21:00:00"/>
    <s v="2024-03-10 21:00:00"/>
    <s v="EAST"/>
    <x v="0"/>
    <s v="Electronics"/>
    <x v="2"/>
    <s v="Men T-Shirt"/>
    <s v="Men T-Shirt"/>
    <s v="CUST0530"/>
    <s v=" CUST0530 "/>
    <x v="2"/>
    <s v="Suresh"/>
    <x v="4"/>
    <s v="Credit Card"/>
    <n v="5"/>
    <s v="5"/>
    <n v="2984"/>
    <s v="2984"/>
    <n v="14920"/>
    <x v="0"/>
    <x v="2"/>
    <x v="9"/>
    <s v="Low"/>
    <s v="Online"/>
    <n v="14920"/>
  </r>
  <r>
    <n v="1679"/>
    <d v="2024-03-10T22:00:00"/>
    <s v="2024-03-10 22:00:00"/>
    <s v="south"/>
    <x v="3"/>
    <s v="Clothing"/>
    <x v="0"/>
    <s v="Laptop"/>
    <s v="Laptop"/>
    <s v="CUST0190"/>
    <s v=" CUST0190 "/>
    <x v="1"/>
    <s v="Meena"/>
    <x v="0"/>
    <s v=" Cash"/>
    <n v="3"/>
    <s v="3"/>
    <n v="1225"/>
    <s v="1225"/>
    <n v="3675"/>
    <x v="0"/>
    <x v="2"/>
    <x v="9"/>
    <s v="Low"/>
    <s v="Offline"/>
    <n v="3675"/>
  </r>
  <r>
    <n v="1680"/>
    <d v="2024-03-10T23:00:00"/>
    <s v="2024-03-10 23:00:00"/>
    <s v="south"/>
    <x v="3"/>
    <s v="Grocery"/>
    <x v="3"/>
    <s v="Led Tv 42Inch"/>
    <s v="LED TV 42inch"/>
    <s v="CUST0141"/>
    <s v=" CUST0141 "/>
    <x v="0"/>
    <s v="Rahul"/>
    <x v="3"/>
    <s v=" Net Banking "/>
    <n v="9"/>
    <s v="9"/>
    <n v="985"/>
    <s v="985"/>
    <n v="8865"/>
    <x v="0"/>
    <x v="2"/>
    <x v="9"/>
    <s v="Low"/>
    <s v="Online"/>
    <n v="8865"/>
  </r>
  <r>
    <n v="1681"/>
    <d v="2024-03-11T00:00:00"/>
    <s v="2024-03-11 00:00:00"/>
    <s v=" west"/>
    <x v="1"/>
    <s v="Grocery"/>
    <x v="3"/>
    <s v="Men T-Shirt"/>
    <s v="Men T-Shirt"/>
    <s v="CUST0555"/>
    <s v=" CUST0555 "/>
    <x v="3"/>
    <s v="Anita"/>
    <x v="4"/>
    <s v="Credit Card"/>
    <n v="3"/>
    <s v="3"/>
    <n v="2941"/>
    <s v="2941"/>
    <n v="8823"/>
    <x v="0"/>
    <x v="2"/>
    <x v="10"/>
    <s v="Low"/>
    <s v="Online"/>
    <n v="8823"/>
  </r>
  <r>
    <n v="1682"/>
    <d v="2024-03-11T01:00:00"/>
    <s v="2024-03-11 01:00:00"/>
    <s v="south"/>
    <x v="3"/>
    <s v=" Home Appliances "/>
    <x v="1"/>
    <s v="Mixer Grinder"/>
    <s v="Mixer Grinder"/>
    <s v="CUST0796"/>
    <s v=" CUST0796 "/>
    <x v="2"/>
    <s v="Suresh"/>
    <x v="3"/>
    <s v=" Net Banking "/>
    <n v="2"/>
    <s v="2"/>
    <n v="3977"/>
    <s v="3977"/>
    <n v="7954"/>
    <x v="0"/>
    <x v="2"/>
    <x v="10"/>
    <s v="Low"/>
    <s v="Online"/>
    <n v="7954"/>
  </r>
  <r>
    <n v="1683"/>
    <d v="2024-03-11T02:00:00"/>
    <s v="2024-03-11 02:00:00"/>
    <s v=" North "/>
    <x v="2"/>
    <s v="Clothing"/>
    <x v="0"/>
    <s v="Men T-Shirt"/>
    <s v="Men T-Shirt"/>
    <s v="CUST0658"/>
    <s v=" CUST0658 "/>
    <x v="0"/>
    <s v="Rahul"/>
    <x v="1"/>
    <s v="Debit card "/>
    <n v="12"/>
    <s v="12"/>
    <n v="4970"/>
    <s v="4970"/>
    <n v="59640"/>
    <x v="0"/>
    <x v="2"/>
    <x v="10"/>
    <s v="High"/>
    <s v="Online"/>
    <n v="59640"/>
  </r>
  <r>
    <n v="1684"/>
    <d v="2024-03-11T03:00:00"/>
    <s v="2024-03-11 03:00:00"/>
    <s v=" North "/>
    <x v="2"/>
    <s v="Electronics"/>
    <x v="2"/>
    <s v="Washing Machine"/>
    <s v="Washing Machine"/>
    <s v="CUST0315"/>
    <s v=" CUST0315 "/>
    <x v="3"/>
    <s v="Anita"/>
    <x v="0"/>
    <s v=" Cash"/>
    <n v="5"/>
    <s v="5"/>
    <n v="2625"/>
    <s v="2625"/>
    <n v="13125"/>
    <x v="0"/>
    <x v="2"/>
    <x v="10"/>
    <s v="Low"/>
    <s v="Offline"/>
    <n v="13125"/>
  </r>
  <r>
    <n v="1685"/>
    <d v="2024-03-11T04:00:00"/>
    <s v="2024-03-11 04:00:00"/>
    <s v="EAST"/>
    <x v="0"/>
    <s v=" Home Appliances "/>
    <x v="1"/>
    <s v="Rice 5Kg"/>
    <s v="Rice 5kg"/>
    <s v="CUST0444"/>
    <s v=" CUST0444 "/>
    <x v="2"/>
    <s v="Suresh"/>
    <x v="1"/>
    <s v="Debit card "/>
    <n v="6"/>
    <s v="6"/>
    <n v="1025"/>
    <s v="1025"/>
    <n v="6150"/>
    <x v="0"/>
    <x v="2"/>
    <x v="10"/>
    <s v="Low"/>
    <s v="Online"/>
    <n v="6150"/>
  </r>
  <r>
    <n v="1686"/>
    <d v="2024-03-11T05:00:00"/>
    <s v="2024-03-11 05:00:00"/>
    <s v=" North "/>
    <x v="2"/>
    <s v="Electronics"/>
    <x v="2"/>
    <s v="Mixer Grinder"/>
    <s v="Mixer Grinder"/>
    <s v="CUST0319"/>
    <s v=" CUST0319 "/>
    <x v="0"/>
    <s v="Rahul"/>
    <x v="0"/>
    <s v=" Cash"/>
    <n v="1"/>
    <s v="1"/>
    <n v="4315"/>
    <s v="4315"/>
    <n v="4315"/>
    <x v="0"/>
    <x v="2"/>
    <x v="10"/>
    <s v="Low"/>
    <s v="Offline"/>
    <n v="4315"/>
  </r>
  <r>
    <n v="1687"/>
    <d v="2024-03-11T06:00:00"/>
    <s v="2024-03-11 06:00:00"/>
    <s v=" west"/>
    <x v="1"/>
    <s v="Grocery"/>
    <x v="3"/>
    <s v="Mixer Grinder"/>
    <s v="Mixer Grinder"/>
    <s v="CUST0441"/>
    <s v=" CUST0441 "/>
    <x v="0"/>
    <s v="Rahul"/>
    <x v="3"/>
    <s v=" Net Banking "/>
    <n v="14"/>
    <s v="14"/>
    <n v="2038"/>
    <s v="2038"/>
    <n v="28532"/>
    <x v="0"/>
    <x v="2"/>
    <x v="10"/>
    <s v="Medium"/>
    <s v="Online"/>
    <n v="28532"/>
  </r>
  <r>
    <n v="1688"/>
    <d v="2024-03-11T07:00:00"/>
    <s v="2024-03-11 07:00:00"/>
    <s v=" North "/>
    <x v="2"/>
    <s v="Electronics"/>
    <x v="2"/>
    <s v="Washing Machine"/>
    <s v="Washing Machine"/>
    <s v="CUST0092"/>
    <s v=" CUST0092 "/>
    <x v="2"/>
    <s v="Suresh"/>
    <x v="2"/>
    <s v="UPI"/>
    <n v="12"/>
    <s v="12"/>
    <n v="3914"/>
    <s v="3914"/>
    <n v="46968"/>
    <x v="0"/>
    <x v="2"/>
    <x v="10"/>
    <s v="Medium"/>
    <s v="Online"/>
    <n v="46968"/>
  </r>
  <r>
    <n v="1689"/>
    <d v="2024-03-11T08:00:00"/>
    <s v="2024-03-11 08:00:00"/>
    <s v=" North "/>
    <x v="2"/>
    <s v="Electronics"/>
    <x v="2"/>
    <s v="Men T-Shirt"/>
    <s v="Men T-Shirt"/>
    <s v="CUST0179"/>
    <s v=" CUST0179 "/>
    <x v="0"/>
    <s v="Rahul"/>
    <x v="4"/>
    <s v="Credit Card"/>
    <n v="11"/>
    <s v="11"/>
    <n v="3462"/>
    <s v="3462"/>
    <n v="38082"/>
    <x v="0"/>
    <x v="2"/>
    <x v="10"/>
    <s v="Medium"/>
    <s v="Online"/>
    <n v="38082"/>
  </r>
  <r>
    <n v="1690"/>
    <d v="2024-03-11T09:00:00"/>
    <s v="2024-03-11 09:00:00"/>
    <s v=" west"/>
    <x v="1"/>
    <s v=" Home Appliances "/>
    <x v="1"/>
    <s v="Rice 5Kg"/>
    <s v="Rice 5kg"/>
    <s v="CUST0056"/>
    <s v=" CUST0056 "/>
    <x v="4"/>
    <s v="Karthik"/>
    <x v="3"/>
    <s v=" Net Banking "/>
    <n v="6"/>
    <s v="6"/>
    <n v="4683"/>
    <s v="4683"/>
    <n v="28098"/>
    <x v="0"/>
    <x v="2"/>
    <x v="10"/>
    <s v="Medium"/>
    <s v="Online"/>
    <n v="28098"/>
  </r>
  <r>
    <n v="1691"/>
    <d v="2024-03-11T10:00:00"/>
    <s v="2024-03-11 10:00:00"/>
    <s v="south"/>
    <x v="3"/>
    <s v="Electronics"/>
    <x v="2"/>
    <s v="Men T-Shirt"/>
    <s v="Men T-Shirt"/>
    <s v="CUST0155"/>
    <s v=" CUST0155 "/>
    <x v="2"/>
    <s v="Suresh"/>
    <x v="0"/>
    <s v=" Cash"/>
    <n v="10"/>
    <s v="10"/>
    <n v="3332"/>
    <s v="3332"/>
    <n v="33320"/>
    <x v="0"/>
    <x v="2"/>
    <x v="10"/>
    <s v="Medium"/>
    <s v="Offline"/>
    <n v="33320"/>
  </r>
  <r>
    <n v="1692"/>
    <d v="2024-03-11T11:00:00"/>
    <s v="2024-03-11 11:00:00"/>
    <s v="south"/>
    <x v="3"/>
    <s v=" Home Appliances "/>
    <x v="1"/>
    <s v="Led Tv 42Inch"/>
    <s v="LED TV 42inch"/>
    <s v="CUST0672"/>
    <s v=" CUST0672 "/>
    <x v="0"/>
    <s v="Rahul"/>
    <x v="0"/>
    <s v=" Cash"/>
    <n v="3"/>
    <s v="3"/>
    <n v="3844"/>
    <s v="3844"/>
    <n v="11532"/>
    <x v="0"/>
    <x v="2"/>
    <x v="10"/>
    <s v="Low"/>
    <s v="Offline"/>
    <n v="11532"/>
  </r>
  <r>
    <n v="1693"/>
    <d v="2024-03-11T12:00:00"/>
    <s v="2024-03-11 12:00:00"/>
    <s v=" west"/>
    <x v="1"/>
    <s v="Grocery"/>
    <x v="3"/>
    <s v="Men T-Shirt"/>
    <s v="Men T-Shirt"/>
    <s v="CUST0111"/>
    <s v=" CUST0111 "/>
    <x v="3"/>
    <s v="Anita"/>
    <x v="0"/>
    <s v=" Cash"/>
    <n v="4"/>
    <s v="4"/>
    <n v="3565"/>
    <s v="3565"/>
    <n v="14260"/>
    <x v="0"/>
    <x v="2"/>
    <x v="10"/>
    <s v="Low"/>
    <s v="Offline"/>
    <n v="14260"/>
  </r>
  <r>
    <n v="1694"/>
    <d v="2024-03-11T13:00:00"/>
    <s v="2024-03-11 13:00:00"/>
    <s v="EAST"/>
    <x v="0"/>
    <s v=" Home Appliances "/>
    <x v="1"/>
    <s v="Mixer Grinder"/>
    <s v="Mixer Grinder"/>
    <s v="CUST0137"/>
    <s v=" CUST0137 "/>
    <x v="3"/>
    <s v="Anita"/>
    <x v="0"/>
    <s v=" Cash"/>
    <n v="6"/>
    <s v="6"/>
    <n v="540"/>
    <s v="540"/>
    <n v="3240"/>
    <x v="0"/>
    <x v="2"/>
    <x v="10"/>
    <s v="Low"/>
    <s v="Offline"/>
    <n v="3240"/>
  </r>
  <r>
    <n v="1695"/>
    <d v="2024-03-11T14:00:00"/>
    <s v="2024-03-11 14:00:00"/>
    <s v=" North "/>
    <x v="2"/>
    <s v=" Home Appliances "/>
    <x v="1"/>
    <s v="Rice 5Kg"/>
    <s v="Rice 5kg"/>
    <s v="CUST0232"/>
    <s v=" CUST0232 "/>
    <x v="4"/>
    <s v="Karthik"/>
    <x v="4"/>
    <s v="Credit Card"/>
    <n v="8"/>
    <s v="8"/>
    <n v="3711"/>
    <s v="3711"/>
    <n v="29688"/>
    <x v="0"/>
    <x v="2"/>
    <x v="10"/>
    <s v="Medium"/>
    <s v="Online"/>
    <n v="29688"/>
  </r>
  <r>
    <n v="1696"/>
    <d v="2024-03-11T15:00:00"/>
    <s v="2024-03-11 15:00:00"/>
    <s v=" west"/>
    <x v="1"/>
    <s v="Clothing"/>
    <x v="0"/>
    <s v="Men T-Shirt"/>
    <s v="Men T-Shirt"/>
    <s v="CUST0468"/>
    <s v=" CUST0468 "/>
    <x v="2"/>
    <s v="Suresh"/>
    <x v="1"/>
    <s v="Debit card "/>
    <n v="9"/>
    <s v="9"/>
    <n v="561"/>
    <s v="561"/>
    <n v="5049"/>
    <x v="0"/>
    <x v="2"/>
    <x v="10"/>
    <s v="Low"/>
    <s v="Online"/>
    <n v="5049"/>
  </r>
  <r>
    <n v="1697"/>
    <d v="2024-03-11T16:00:00"/>
    <s v="2024-03-11 16:00:00"/>
    <s v=" North "/>
    <x v="2"/>
    <s v="Electronics"/>
    <x v="2"/>
    <s v="Rice 5Kg"/>
    <s v="Rice 5kg"/>
    <s v="CUST0732"/>
    <s v=" CUST0732 "/>
    <x v="0"/>
    <s v="Rahul"/>
    <x v="2"/>
    <s v="UPI"/>
    <n v="6"/>
    <s v="6"/>
    <n v="711"/>
    <s v="711"/>
    <n v="4266"/>
    <x v="0"/>
    <x v="2"/>
    <x v="10"/>
    <s v="Low"/>
    <s v="Online"/>
    <n v="4266"/>
  </r>
  <r>
    <n v="1698"/>
    <d v="2024-03-11T17:00:00"/>
    <s v="2024-03-11 17:00:00"/>
    <s v="EAST"/>
    <x v="0"/>
    <s v="Grocery"/>
    <x v="3"/>
    <s v="Rice 5Kg"/>
    <s v="Rice 5kg"/>
    <s v="CUST0481"/>
    <s v=" CUST0481 "/>
    <x v="0"/>
    <s v="Rahul"/>
    <x v="4"/>
    <s v="Credit Card"/>
    <n v="7"/>
    <s v="7"/>
    <n v="3571"/>
    <s v="3571"/>
    <n v="24997"/>
    <x v="0"/>
    <x v="2"/>
    <x v="10"/>
    <s v="Medium"/>
    <s v="Online"/>
    <n v="24997"/>
  </r>
  <r>
    <n v="1699"/>
    <d v="2024-03-11T18:00:00"/>
    <s v="2024-03-11 18:00:00"/>
    <s v=" North "/>
    <x v="2"/>
    <s v=" Home Appliances "/>
    <x v="1"/>
    <s v="Led Tv 42Inch"/>
    <s v="LED TV 42inch"/>
    <s v="CUST0068"/>
    <s v=" CUST0068 "/>
    <x v="3"/>
    <s v="Anita"/>
    <x v="0"/>
    <s v=" Cash"/>
    <n v="14"/>
    <s v="14"/>
    <n v="3263"/>
    <s v="3263"/>
    <n v="45682"/>
    <x v="0"/>
    <x v="2"/>
    <x v="10"/>
    <s v="Medium"/>
    <s v="Offline"/>
    <n v="45682"/>
  </r>
  <r>
    <n v="1700"/>
    <d v="2024-03-11T19:00:00"/>
    <s v="2024-03-11 19:00:00"/>
    <s v=" west"/>
    <x v="1"/>
    <s v="Grocery"/>
    <x v="3"/>
    <s v="Led Tv 42Inch"/>
    <s v="LED TV 42inch"/>
    <s v="CUST0249"/>
    <s v=" CUST0249 "/>
    <x v="4"/>
    <s v="Karthik"/>
    <x v="4"/>
    <s v="Credit Card"/>
    <n v="5"/>
    <s v="5"/>
    <n v="105"/>
    <s v="105"/>
    <n v="525"/>
    <x v="0"/>
    <x v="2"/>
    <x v="10"/>
    <s v="Low"/>
    <s v="Online"/>
    <n v="525"/>
  </r>
  <r>
    <n v="1701"/>
    <d v="2024-03-11T20:00:00"/>
    <s v="2024-03-11 20:00:00"/>
    <s v=" North "/>
    <x v="2"/>
    <s v="Clothing"/>
    <x v="0"/>
    <s v="Mixer Grinder"/>
    <s v="Mixer Grinder"/>
    <s v="CUST0323"/>
    <s v=" CUST0323 "/>
    <x v="3"/>
    <s v="Anita"/>
    <x v="3"/>
    <s v=" Net Banking "/>
    <n v="14"/>
    <s v="14"/>
    <n v="4876"/>
    <s v="4876"/>
    <n v="68264"/>
    <x v="0"/>
    <x v="2"/>
    <x v="10"/>
    <s v="High"/>
    <s v="Online"/>
    <n v="68264"/>
  </r>
  <r>
    <n v="1702"/>
    <d v="2024-03-11T21:00:00"/>
    <s v="2024-03-11 21:00:00"/>
    <s v="south"/>
    <x v="3"/>
    <s v="Electronics"/>
    <x v="2"/>
    <s v="Washing Machine"/>
    <s v="Washing Machine"/>
    <s v="CUST0518"/>
    <s v=" CUST0518 "/>
    <x v="3"/>
    <s v="Anita"/>
    <x v="0"/>
    <s v=" Cash"/>
    <n v="12"/>
    <s v="12"/>
    <n v="4070"/>
    <s v="4070"/>
    <n v="48840"/>
    <x v="0"/>
    <x v="2"/>
    <x v="10"/>
    <s v="Medium"/>
    <s v="Offline"/>
    <n v="48840"/>
  </r>
  <r>
    <n v="1703"/>
    <d v="2024-03-11T22:00:00"/>
    <s v="2024-03-11 22:00:00"/>
    <s v="EAST"/>
    <x v="0"/>
    <s v=" Home Appliances "/>
    <x v="1"/>
    <s v="Rice 5Kg"/>
    <s v="Rice 5kg"/>
    <s v="CUST0792"/>
    <s v=" CUST0792 "/>
    <x v="4"/>
    <s v="Karthik"/>
    <x v="2"/>
    <s v="UPI"/>
    <n v="9"/>
    <s v="9"/>
    <n v="2958"/>
    <s v="2958"/>
    <n v="26622"/>
    <x v="0"/>
    <x v="2"/>
    <x v="10"/>
    <s v="Medium"/>
    <s v="Online"/>
    <n v="26622"/>
  </r>
  <r>
    <n v="1704"/>
    <d v="2024-03-11T23:00:00"/>
    <s v="2024-03-11 23:00:00"/>
    <s v="EAST"/>
    <x v="0"/>
    <s v="Electronics"/>
    <x v="2"/>
    <s v="Washing Machine"/>
    <s v="Washing Machine"/>
    <s v="CUST0432"/>
    <s v=" CUST0432 "/>
    <x v="2"/>
    <s v="Suresh"/>
    <x v="0"/>
    <s v=" Cash"/>
    <n v="4"/>
    <s v="4"/>
    <n v="2706"/>
    <s v="2706"/>
    <n v="10824"/>
    <x v="0"/>
    <x v="2"/>
    <x v="10"/>
    <s v="Low"/>
    <s v="Offline"/>
    <n v="10824"/>
  </r>
  <r>
    <n v="1705"/>
    <d v="2024-03-12T00:00:00"/>
    <s v="2024-03-12 00:00:00"/>
    <s v="EAST"/>
    <x v="0"/>
    <s v="Clothing"/>
    <x v="0"/>
    <s v="Mixer Grinder"/>
    <s v="Mixer Grinder"/>
    <s v="CUST0487"/>
    <s v=" CUST0487 "/>
    <x v="0"/>
    <s v="Rahul"/>
    <x v="2"/>
    <s v="UPI"/>
    <n v="10"/>
    <s v="10"/>
    <n v="198"/>
    <s v="198"/>
    <n v="1980"/>
    <x v="0"/>
    <x v="2"/>
    <x v="10"/>
    <s v="Low"/>
    <s v="Online"/>
    <n v="1980"/>
  </r>
  <r>
    <n v="1706"/>
    <d v="2024-03-12T01:00:00"/>
    <s v="2024-03-12 01:00:00"/>
    <s v=" west"/>
    <x v="1"/>
    <s v="Clothing"/>
    <x v="0"/>
    <s v="Rice 5Kg"/>
    <s v="Rice 5kg"/>
    <s v="CUST0606"/>
    <s v=" CUST0606 "/>
    <x v="2"/>
    <s v="Suresh"/>
    <x v="2"/>
    <s v="UPI"/>
    <n v="11"/>
    <s v="11"/>
    <n v="625"/>
    <s v="625"/>
    <n v="6875"/>
    <x v="0"/>
    <x v="2"/>
    <x v="10"/>
    <s v="Low"/>
    <s v="Online"/>
    <n v="6875"/>
  </r>
  <r>
    <n v="1707"/>
    <d v="2024-03-12T02:00:00"/>
    <s v="2024-03-12 02:00:00"/>
    <s v="EAST"/>
    <x v="0"/>
    <s v="Grocery"/>
    <x v="3"/>
    <s v="Rice 5Kg"/>
    <s v="Rice 5kg"/>
    <s v="CUST0429"/>
    <s v=" CUST0429 "/>
    <x v="1"/>
    <s v="Meena"/>
    <x v="1"/>
    <s v="Debit card "/>
    <n v="6"/>
    <s v="6"/>
    <n v="1280"/>
    <s v="1280"/>
    <n v="7680"/>
    <x v="0"/>
    <x v="2"/>
    <x v="10"/>
    <s v="Low"/>
    <s v="Online"/>
    <n v="7680"/>
  </r>
  <r>
    <n v="1708"/>
    <d v="2024-03-12T03:00:00"/>
    <s v="2024-03-12 03:00:00"/>
    <s v="south"/>
    <x v="3"/>
    <s v=" Home Appliances "/>
    <x v="1"/>
    <s v="Laptop"/>
    <s v="Laptop"/>
    <s v="CUST0269"/>
    <s v=" CUST0269 "/>
    <x v="1"/>
    <s v="Meena"/>
    <x v="1"/>
    <s v="Debit card "/>
    <n v="5"/>
    <s v="5"/>
    <n v="1789"/>
    <s v="1789"/>
    <n v="8945"/>
    <x v="0"/>
    <x v="2"/>
    <x v="10"/>
    <s v="Low"/>
    <s v="Online"/>
    <n v="8945"/>
  </r>
  <r>
    <n v="1709"/>
    <d v="2024-03-12T04:00:00"/>
    <s v="2024-03-12 04:00:00"/>
    <s v=" west"/>
    <x v="1"/>
    <s v="Grocery"/>
    <x v="3"/>
    <s v="Washing Machine"/>
    <s v="Washing Machine"/>
    <s v="CUST0709"/>
    <s v=" CUST0709 "/>
    <x v="1"/>
    <s v="Meena"/>
    <x v="4"/>
    <s v="Credit Card"/>
    <n v="1"/>
    <s v="1"/>
    <n v="1238"/>
    <s v="1238"/>
    <n v="1238"/>
    <x v="0"/>
    <x v="2"/>
    <x v="10"/>
    <s v="Low"/>
    <s v="Online"/>
    <n v="1238"/>
  </r>
  <r>
    <n v="1710"/>
    <d v="2024-03-12T05:00:00"/>
    <s v="2024-03-12 05:00:00"/>
    <s v="south"/>
    <x v="3"/>
    <s v="Clothing"/>
    <x v="0"/>
    <s v="Men T-Shirt"/>
    <s v="Men T-Shirt"/>
    <s v="CUST0537"/>
    <s v=" CUST0537 "/>
    <x v="4"/>
    <s v="Karthik"/>
    <x v="4"/>
    <s v="Credit Card"/>
    <n v="5"/>
    <s v="5"/>
    <n v="4591"/>
    <s v="4591"/>
    <n v="22955"/>
    <x v="0"/>
    <x v="2"/>
    <x v="10"/>
    <s v="Medium"/>
    <s v="Online"/>
    <n v="22955"/>
  </r>
  <r>
    <n v="1711"/>
    <d v="2024-03-12T06:00:00"/>
    <s v="2024-03-12 06:00:00"/>
    <s v=" North "/>
    <x v="2"/>
    <s v="Electronics"/>
    <x v="2"/>
    <s v="Led Tv 42Inch"/>
    <s v="LED TV 42inch"/>
    <s v="CUST0148"/>
    <s v=" CUST0148 "/>
    <x v="3"/>
    <s v="Anita"/>
    <x v="2"/>
    <s v="UPI"/>
    <n v="13"/>
    <s v="13"/>
    <n v="4965"/>
    <s v="4965"/>
    <n v="64545"/>
    <x v="0"/>
    <x v="2"/>
    <x v="10"/>
    <s v="High"/>
    <s v="Online"/>
    <n v="64545"/>
  </r>
  <r>
    <n v="1712"/>
    <d v="2024-03-12T07:00:00"/>
    <s v="2024-03-12 07:00:00"/>
    <s v=" North "/>
    <x v="2"/>
    <s v="Grocery"/>
    <x v="3"/>
    <s v="Men T-Shirt"/>
    <s v="Men T-Shirt"/>
    <s v="CUST0118"/>
    <s v=" CUST0118 "/>
    <x v="2"/>
    <s v="Suresh"/>
    <x v="0"/>
    <s v=" Cash"/>
    <n v="5"/>
    <s v="5"/>
    <n v="3171"/>
    <s v="3171"/>
    <n v="15855"/>
    <x v="0"/>
    <x v="2"/>
    <x v="10"/>
    <s v="Low"/>
    <s v="Offline"/>
    <n v="15855"/>
  </r>
  <r>
    <n v="1713"/>
    <d v="2024-03-12T08:00:00"/>
    <s v="2024-03-12 08:00:00"/>
    <s v=" North "/>
    <x v="2"/>
    <s v="Grocery"/>
    <x v="3"/>
    <s v="Washing Machine"/>
    <s v="Washing Machine"/>
    <s v="CUST0367"/>
    <s v=" CUST0367 "/>
    <x v="0"/>
    <s v="Rahul"/>
    <x v="3"/>
    <s v=" Net Banking "/>
    <n v="14"/>
    <s v="14"/>
    <n v="3027"/>
    <s v="3027"/>
    <n v="42378"/>
    <x v="0"/>
    <x v="2"/>
    <x v="10"/>
    <s v="Medium"/>
    <s v="Online"/>
    <n v="42378"/>
  </r>
  <r>
    <n v="1714"/>
    <d v="2024-03-12T09:00:00"/>
    <s v="2024-03-12 09:00:00"/>
    <s v=" North "/>
    <x v="2"/>
    <s v="Electronics"/>
    <x v="2"/>
    <s v="Led Tv 42Inch"/>
    <s v="LED TV 42inch"/>
    <s v="CUST0066"/>
    <s v=" CUST0066 "/>
    <x v="1"/>
    <s v="Meena"/>
    <x v="3"/>
    <s v=" Net Banking "/>
    <n v="9"/>
    <s v="9"/>
    <n v="2892"/>
    <s v="2892"/>
    <n v="26028"/>
    <x v="0"/>
    <x v="2"/>
    <x v="10"/>
    <s v="Medium"/>
    <s v="Online"/>
    <n v="26028"/>
  </r>
  <r>
    <n v="1715"/>
    <d v="2024-03-12T10:00:00"/>
    <s v="2024-03-12 10:00:00"/>
    <s v="south"/>
    <x v="3"/>
    <s v="Grocery"/>
    <x v="3"/>
    <s v="Men T-Shirt"/>
    <s v="Men T-Shirt"/>
    <s v="CUST0370"/>
    <s v=" CUST0370 "/>
    <x v="2"/>
    <s v="Suresh"/>
    <x v="0"/>
    <s v=" Cash"/>
    <n v="1"/>
    <s v="1"/>
    <n v="4878"/>
    <s v="4878"/>
    <n v="4878"/>
    <x v="0"/>
    <x v="2"/>
    <x v="10"/>
    <s v="Low"/>
    <s v="Offline"/>
    <n v="4878"/>
  </r>
  <r>
    <n v="1716"/>
    <d v="2024-03-12T11:00:00"/>
    <s v="2024-03-12 11:00:00"/>
    <s v=" west"/>
    <x v="1"/>
    <s v="Electronics"/>
    <x v="2"/>
    <s v="Laptop"/>
    <s v="Laptop"/>
    <s v="CUST0175"/>
    <s v=" CUST0175 "/>
    <x v="1"/>
    <s v="Meena"/>
    <x v="0"/>
    <s v=" Cash"/>
    <n v="5"/>
    <s v="5"/>
    <n v="114"/>
    <s v="114"/>
    <n v="570"/>
    <x v="0"/>
    <x v="2"/>
    <x v="10"/>
    <s v="Low"/>
    <s v="Offline"/>
    <n v="570"/>
  </r>
  <r>
    <n v="1717"/>
    <d v="2024-03-12T12:00:00"/>
    <s v="2024-03-12 12:00:00"/>
    <s v=" west"/>
    <x v="1"/>
    <s v=" Home Appliances "/>
    <x v="1"/>
    <s v="Led Tv 42Inch"/>
    <s v="LED TV 42inch"/>
    <s v="CUST0588"/>
    <s v=" CUST0588 "/>
    <x v="1"/>
    <s v="Meena"/>
    <x v="1"/>
    <s v="Debit card "/>
    <n v="7"/>
    <s v="7"/>
    <n v="2515"/>
    <s v="2515"/>
    <n v="17605"/>
    <x v="0"/>
    <x v="2"/>
    <x v="10"/>
    <s v="Low"/>
    <s v="Online"/>
    <n v="17605"/>
  </r>
  <r>
    <n v="1718"/>
    <d v="2024-03-12T13:00:00"/>
    <s v="2024-03-12 13:00:00"/>
    <s v="EAST"/>
    <x v="0"/>
    <s v="Electronics"/>
    <x v="2"/>
    <s v="Rice 5Kg"/>
    <s v="Rice 5kg"/>
    <s v="CUST0495"/>
    <s v=" CUST0495 "/>
    <x v="0"/>
    <s v="Rahul"/>
    <x v="3"/>
    <s v=" Net Banking "/>
    <n v="11"/>
    <s v="11"/>
    <n v="2785"/>
    <s v="2785"/>
    <n v="30635"/>
    <x v="0"/>
    <x v="2"/>
    <x v="10"/>
    <s v="Medium"/>
    <s v="Online"/>
    <n v="30635"/>
  </r>
  <r>
    <n v="1719"/>
    <d v="2024-03-12T14:00:00"/>
    <s v="2024-03-12 14:00:00"/>
    <s v="south"/>
    <x v="3"/>
    <s v=" Home Appliances "/>
    <x v="1"/>
    <s v="Men T-Shirt"/>
    <s v="Men T-Shirt"/>
    <s v="CUST0114"/>
    <s v=" CUST0114 "/>
    <x v="4"/>
    <s v="Karthik"/>
    <x v="2"/>
    <s v="UPI"/>
    <n v="6"/>
    <s v="6"/>
    <n v="3000"/>
    <s v="3000"/>
    <n v="18000"/>
    <x v="0"/>
    <x v="2"/>
    <x v="10"/>
    <s v="Low"/>
    <s v="Online"/>
    <n v="18000"/>
  </r>
  <r>
    <n v="1720"/>
    <d v="2024-03-12T15:00:00"/>
    <s v="2024-03-12 15:00:00"/>
    <s v=" North "/>
    <x v="2"/>
    <s v="Electronics"/>
    <x v="2"/>
    <s v="Led Tv 42Inch"/>
    <s v="LED TV 42inch"/>
    <s v="CUST0111"/>
    <s v=" CUST0111 "/>
    <x v="3"/>
    <s v="Anita"/>
    <x v="4"/>
    <s v="Credit Card"/>
    <n v="6"/>
    <s v="6"/>
    <n v="1336"/>
    <s v="1336"/>
    <n v="8016"/>
    <x v="0"/>
    <x v="2"/>
    <x v="10"/>
    <s v="Low"/>
    <s v="Online"/>
    <n v="8016"/>
  </r>
  <r>
    <n v="1721"/>
    <d v="2024-03-12T16:00:00"/>
    <s v="2024-03-12 16:00:00"/>
    <s v="south"/>
    <x v="3"/>
    <s v="Clothing"/>
    <x v="0"/>
    <s v="Laptop"/>
    <s v="Laptop"/>
    <s v="CUST0761"/>
    <s v=" CUST0761 "/>
    <x v="4"/>
    <s v="Karthik"/>
    <x v="1"/>
    <s v="Debit card "/>
    <n v="12"/>
    <s v="12"/>
    <n v="4200"/>
    <s v="4200"/>
    <n v="50400"/>
    <x v="0"/>
    <x v="2"/>
    <x v="10"/>
    <s v="High"/>
    <s v="Online"/>
    <n v="50400"/>
  </r>
  <r>
    <n v="1722"/>
    <d v="2024-03-12T17:00:00"/>
    <s v="2024-03-12 17:00:00"/>
    <s v="EAST"/>
    <x v="0"/>
    <s v="Clothing"/>
    <x v="0"/>
    <s v="Led Tv 42Inch"/>
    <s v="LED TV 42inch"/>
    <s v="CUST0439"/>
    <s v=" CUST0439 "/>
    <x v="2"/>
    <s v="Suresh"/>
    <x v="3"/>
    <s v=" Net Banking "/>
    <n v="7"/>
    <s v="7"/>
    <n v="3320"/>
    <s v="3320"/>
    <n v="23240"/>
    <x v="0"/>
    <x v="2"/>
    <x v="10"/>
    <s v="Medium"/>
    <s v="Online"/>
    <n v="23240"/>
  </r>
  <r>
    <n v="1723"/>
    <d v="2024-03-12T18:00:00"/>
    <s v="2024-03-12 18:00:00"/>
    <s v="EAST"/>
    <x v="0"/>
    <s v=" Home Appliances "/>
    <x v="1"/>
    <s v="Led Tv 42Inch"/>
    <s v="LED TV 42inch"/>
    <s v="CUST0715"/>
    <s v=" CUST0715 "/>
    <x v="4"/>
    <s v="Karthik"/>
    <x v="0"/>
    <s v=" Cash"/>
    <n v="6"/>
    <s v="6"/>
    <n v="1707"/>
    <s v="1707"/>
    <n v="10242"/>
    <x v="0"/>
    <x v="2"/>
    <x v="10"/>
    <s v="Low"/>
    <s v="Offline"/>
    <n v="10242"/>
  </r>
  <r>
    <n v="1724"/>
    <d v="2024-03-12T19:00:00"/>
    <s v="2024-03-12 19:00:00"/>
    <s v="south"/>
    <x v="3"/>
    <s v=" Home Appliances "/>
    <x v="1"/>
    <s v="Laptop"/>
    <s v="Laptop"/>
    <s v="CUST0147"/>
    <s v=" CUST0147 "/>
    <x v="2"/>
    <s v="Suresh"/>
    <x v="3"/>
    <s v=" Net Banking "/>
    <n v="5"/>
    <s v="5"/>
    <n v="3663"/>
    <s v="3663"/>
    <n v="18315"/>
    <x v="0"/>
    <x v="2"/>
    <x v="10"/>
    <s v="Low"/>
    <s v="Online"/>
    <n v="18315"/>
  </r>
  <r>
    <n v="1725"/>
    <d v="2024-03-12T20:00:00"/>
    <s v="2024-03-12 20:00:00"/>
    <s v="south"/>
    <x v="3"/>
    <s v="Clothing"/>
    <x v="0"/>
    <s v="Men T-Shirt"/>
    <s v="Men T-Shirt"/>
    <s v="CUST0035"/>
    <s v=" CUST0035 "/>
    <x v="2"/>
    <s v="Suresh"/>
    <x v="2"/>
    <s v="UPI"/>
    <n v="10"/>
    <s v="10"/>
    <n v="3397"/>
    <s v="3397"/>
    <n v="33970"/>
    <x v="0"/>
    <x v="2"/>
    <x v="10"/>
    <s v="Medium"/>
    <s v="Online"/>
    <n v="33970"/>
  </r>
  <r>
    <n v="1726"/>
    <d v="2024-03-12T21:00:00"/>
    <s v="2024-03-12 21:00:00"/>
    <s v="south"/>
    <x v="3"/>
    <s v=" Home Appliances "/>
    <x v="1"/>
    <s v="Mixer Grinder"/>
    <s v="Mixer Grinder"/>
    <s v="CUST0309"/>
    <s v=" CUST0309 "/>
    <x v="3"/>
    <s v="Anita"/>
    <x v="1"/>
    <s v="Debit card "/>
    <n v="5"/>
    <s v="5"/>
    <n v="2733"/>
    <s v="2733"/>
    <n v="13665"/>
    <x v="0"/>
    <x v="2"/>
    <x v="10"/>
    <s v="Low"/>
    <s v="Online"/>
    <n v="13665"/>
  </r>
  <r>
    <n v="1727"/>
    <d v="2024-03-12T22:00:00"/>
    <s v="2024-03-12 22:00:00"/>
    <s v=" west"/>
    <x v="1"/>
    <s v="Electronics"/>
    <x v="2"/>
    <s v="Men T-Shirt"/>
    <s v="Men T-Shirt"/>
    <s v="CUST0538"/>
    <s v=" CUST0538 "/>
    <x v="0"/>
    <s v="Rahul"/>
    <x v="0"/>
    <s v=" Cash"/>
    <n v="9"/>
    <s v="9"/>
    <n v="3990"/>
    <s v="3990"/>
    <n v="35910"/>
    <x v="0"/>
    <x v="2"/>
    <x v="10"/>
    <s v="Medium"/>
    <s v="Offline"/>
    <n v="35910"/>
  </r>
  <r>
    <n v="1728"/>
    <d v="2024-03-12T23:00:00"/>
    <s v="2024-03-12 23:00:00"/>
    <s v=" North "/>
    <x v="2"/>
    <s v="Electronics"/>
    <x v="2"/>
    <s v="Washing Machine"/>
    <s v="Washing Machine"/>
    <s v="CUST0750"/>
    <s v=" CUST0750 "/>
    <x v="3"/>
    <s v="Anita"/>
    <x v="2"/>
    <s v="UPI"/>
    <n v="14"/>
    <s v="14"/>
    <n v="4364"/>
    <s v="4364"/>
    <n v="61096"/>
    <x v="0"/>
    <x v="2"/>
    <x v="10"/>
    <s v="High"/>
    <s v="Online"/>
    <n v="61096"/>
  </r>
  <r>
    <n v="1729"/>
    <d v="2024-03-13T00:00:00"/>
    <s v="2024-03-13 00:00:00"/>
    <s v="south"/>
    <x v="3"/>
    <s v="Clothing"/>
    <x v="0"/>
    <s v="Laptop"/>
    <s v="Laptop"/>
    <s v="CUST0014"/>
    <s v=" CUST0014 "/>
    <x v="4"/>
    <s v="Karthik"/>
    <x v="4"/>
    <s v="Credit Card"/>
    <n v="8"/>
    <s v="8"/>
    <n v="2908"/>
    <s v="2908"/>
    <n v="23264"/>
    <x v="0"/>
    <x v="2"/>
    <x v="10"/>
    <s v="Medium"/>
    <s v="Online"/>
    <n v="23264"/>
  </r>
  <r>
    <n v="1730"/>
    <d v="2024-03-13T01:00:00"/>
    <s v="2024-03-13 01:00:00"/>
    <s v="south"/>
    <x v="3"/>
    <s v="Grocery"/>
    <x v="3"/>
    <s v="Men T-Shirt"/>
    <s v="Men T-Shirt"/>
    <s v="CUST0374"/>
    <s v=" CUST0374 "/>
    <x v="2"/>
    <s v="Suresh"/>
    <x v="1"/>
    <s v="Debit card "/>
    <n v="14"/>
    <s v="14"/>
    <n v="891"/>
    <s v="891"/>
    <n v="12474"/>
    <x v="0"/>
    <x v="2"/>
    <x v="10"/>
    <s v="Low"/>
    <s v="Online"/>
    <n v="12474"/>
  </r>
  <r>
    <n v="1731"/>
    <d v="2024-03-13T02:00:00"/>
    <s v="2024-03-13 02:00:00"/>
    <s v="south"/>
    <x v="3"/>
    <s v="Electronics"/>
    <x v="2"/>
    <s v="Led Tv 42Inch"/>
    <s v="LED TV 42inch"/>
    <s v="CUST0557"/>
    <s v=" CUST0557 "/>
    <x v="1"/>
    <s v="Meena"/>
    <x v="2"/>
    <s v="UPI"/>
    <n v="12"/>
    <s v="12"/>
    <n v="1099"/>
    <s v="1099"/>
    <n v="13188"/>
    <x v="0"/>
    <x v="2"/>
    <x v="10"/>
    <s v="Low"/>
    <s v="Online"/>
    <n v="13188"/>
  </r>
  <r>
    <n v="1732"/>
    <d v="2024-03-13T03:00:00"/>
    <s v="2024-03-13 03:00:00"/>
    <s v="EAST"/>
    <x v="0"/>
    <s v=" Home Appliances "/>
    <x v="1"/>
    <s v="Laptop"/>
    <s v="Laptop"/>
    <s v="CUST0428"/>
    <s v=" CUST0428 "/>
    <x v="1"/>
    <s v="Meena"/>
    <x v="2"/>
    <s v="UPI"/>
    <n v="10"/>
    <s v="10"/>
    <n v="251"/>
    <s v="251"/>
    <n v="2510"/>
    <x v="0"/>
    <x v="2"/>
    <x v="10"/>
    <s v="Low"/>
    <s v="Online"/>
    <n v="2510"/>
  </r>
  <r>
    <n v="1733"/>
    <d v="2024-03-13T04:00:00"/>
    <s v="2024-03-13 04:00:00"/>
    <s v="EAST"/>
    <x v="0"/>
    <s v="Grocery"/>
    <x v="3"/>
    <s v="Rice 5Kg"/>
    <s v="Rice 5kg"/>
    <s v="CUST0728"/>
    <s v=" CUST0728 "/>
    <x v="2"/>
    <s v="Suresh"/>
    <x v="0"/>
    <s v=" Cash"/>
    <n v="14"/>
    <s v="14"/>
    <n v="3163"/>
    <s v="3163"/>
    <n v="44282"/>
    <x v="0"/>
    <x v="2"/>
    <x v="10"/>
    <s v="Medium"/>
    <s v="Offline"/>
    <n v="44282"/>
  </r>
  <r>
    <n v="1734"/>
    <d v="2024-03-13T05:00:00"/>
    <s v="2024-03-13 05:00:00"/>
    <s v=" west"/>
    <x v="1"/>
    <s v="Grocery"/>
    <x v="3"/>
    <s v="Men T-Shirt"/>
    <s v="Men T-Shirt"/>
    <s v="CUST0233"/>
    <s v=" CUST0233 "/>
    <x v="3"/>
    <s v="Anita"/>
    <x v="4"/>
    <s v="Credit Card"/>
    <n v="4"/>
    <s v="4"/>
    <n v="4699"/>
    <s v="4699"/>
    <n v="18796"/>
    <x v="0"/>
    <x v="2"/>
    <x v="10"/>
    <s v="Low"/>
    <s v="Online"/>
    <n v="18796"/>
  </r>
  <r>
    <n v="1735"/>
    <d v="2024-03-13T06:00:00"/>
    <s v="2024-03-13 06:00:00"/>
    <s v=" North "/>
    <x v="2"/>
    <s v="Electronics"/>
    <x v="2"/>
    <s v="Laptop"/>
    <s v="Laptop"/>
    <s v="CUST0705"/>
    <s v=" CUST0705 "/>
    <x v="0"/>
    <s v="Rahul"/>
    <x v="2"/>
    <s v="UPI"/>
    <n v="4"/>
    <s v="4"/>
    <n v="2191"/>
    <s v="2191"/>
    <n v="8764"/>
    <x v="0"/>
    <x v="2"/>
    <x v="10"/>
    <s v="Low"/>
    <s v="Online"/>
    <n v="8764"/>
  </r>
  <r>
    <n v="1736"/>
    <d v="2024-03-13T07:00:00"/>
    <s v="2024-03-13 07:00:00"/>
    <s v=" west"/>
    <x v="1"/>
    <s v="Electronics"/>
    <x v="2"/>
    <s v="Men T-Shirt"/>
    <s v="Men T-Shirt"/>
    <s v="CUST0563"/>
    <s v=" CUST0563 "/>
    <x v="3"/>
    <s v="Anita"/>
    <x v="1"/>
    <s v="Debit card "/>
    <n v="10"/>
    <s v="10"/>
    <n v="4699"/>
    <s v="4699"/>
    <n v="46990"/>
    <x v="0"/>
    <x v="2"/>
    <x v="10"/>
    <s v="Medium"/>
    <s v="Online"/>
    <n v="46990"/>
  </r>
  <r>
    <n v="1737"/>
    <d v="2024-03-13T08:00:00"/>
    <s v="2024-03-13 08:00:00"/>
    <s v=" North "/>
    <x v="2"/>
    <s v="Grocery"/>
    <x v="3"/>
    <s v="Laptop"/>
    <s v="Laptop"/>
    <s v="CUST0726"/>
    <s v=" CUST0726 "/>
    <x v="2"/>
    <s v="Suresh"/>
    <x v="2"/>
    <s v="UPI"/>
    <n v="5"/>
    <s v="5"/>
    <n v="4182"/>
    <s v="4182"/>
    <n v="20910"/>
    <x v="0"/>
    <x v="2"/>
    <x v="10"/>
    <s v="Medium"/>
    <s v="Online"/>
    <n v="20910"/>
  </r>
  <r>
    <n v="1738"/>
    <d v="2024-03-13T09:00:00"/>
    <s v="2024-03-13 09:00:00"/>
    <s v="EAST"/>
    <x v="0"/>
    <s v="Grocery"/>
    <x v="3"/>
    <s v="Led Tv 42Inch"/>
    <s v="LED TV 42inch"/>
    <s v="CUST0663"/>
    <s v=" CUST0663 "/>
    <x v="2"/>
    <s v="Suresh"/>
    <x v="3"/>
    <s v=" Net Banking "/>
    <n v="13"/>
    <s v="13"/>
    <n v="4126"/>
    <s v="4126"/>
    <n v="53638"/>
    <x v="0"/>
    <x v="2"/>
    <x v="10"/>
    <s v="High"/>
    <s v="Online"/>
    <n v="53638"/>
  </r>
  <r>
    <n v="1739"/>
    <d v="2024-03-13T10:00:00"/>
    <s v="2024-03-13 10:00:00"/>
    <s v="EAST"/>
    <x v="0"/>
    <s v="Clothing"/>
    <x v="0"/>
    <s v="Rice 5Kg"/>
    <s v="Rice 5kg"/>
    <s v="CUST0440"/>
    <s v=" CUST0440 "/>
    <x v="0"/>
    <s v="Rahul"/>
    <x v="1"/>
    <s v="Debit card "/>
    <n v="13"/>
    <s v="13"/>
    <n v="3077"/>
    <s v="3077"/>
    <n v="40001"/>
    <x v="0"/>
    <x v="2"/>
    <x v="10"/>
    <s v="Medium"/>
    <s v="Online"/>
    <n v="40001"/>
  </r>
  <r>
    <n v="1740"/>
    <d v="2024-03-13T11:00:00"/>
    <s v="2024-03-13 11:00:00"/>
    <s v="EAST"/>
    <x v="0"/>
    <s v=" Home Appliances "/>
    <x v="1"/>
    <s v="Rice 5Kg"/>
    <s v="Rice 5kg"/>
    <s v="CUST0502"/>
    <s v=" CUST0502 "/>
    <x v="4"/>
    <s v="Karthik"/>
    <x v="1"/>
    <s v="Debit card "/>
    <n v="3"/>
    <s v="3"/>
    <n v="942"/>
    <s v="942"/>
    <n v="2826"/>
    <x v="0"/>
    <x v="2"/>
    <x v="10"/>
    <s v="Low"/>
    <s v="Online"/>
    <n v="2826"/>
  </r>
  <r>
    <n v="1741"/>
    <d v="2024-03-13T12:00:00"/>
    <s v="2024-03-13 12:00:00"/>
    <s v=" west"/>
    <x v="1"/>
    <s v="Clothing"/>
    <x v="0"/>
    <s v="Washing Machine"/>
    <s v="Washing Machine"/>
    <s v="CUST0275"/>
    <s v=" CUST0275 "/>
    <x v="4"/>
    <s v="Karthik"/>
    <x v="2"/>
    <s v="UPI"/>
    <n v="8"/>
    <s v="8"/>
    <n v="4546"/>
    <s v="4546"/>
    <n v="36368"/>
    <x v="0"/>
    <x v="2"/>
    <x v="10"/>
    <s v="Medium"/>
    <s v="Online"/>
    <n v="36368"/>
  </r>
  <r>
    <n v="1742"/>
    <d v="2024-03-13T13:00:00"/>
    <s v="2024-03-13 13:00:00"/>
    <s v="south"/>
    <x v="3"/>
    <s v="Electronics"/>
    <x v="2"/>
    <s v="Laptop"/>
    <s v="Laptop"/>
    <s v="CUST0076"/>
    <s v=" CUST0076 "/>
    <x v="0"/>
    <s v="Rahul"/>
    <x v="0"/>
    <s v=" Cash"/>
    <n v="7"/>
    <s v="7"/>
    <n v="3893"/>
    <s v="3893"/>
    <n v="27251"/>
    <x v="0"/>
    <x v="2"/>
    <x v="10"/>
    <s v="Medium"/>
    <s v="Offline"/>
    <n v="27251"/>
  </r>
  <r>
    <n v="1743"/>
    <d v="2024-03-13T14:00:00"/>
    <s v="2024-03-13 14:00:00"/>
    <s v="south"/>
    <x v="3"/>
    <s v="Clothing"/>
    <x v="0"/>
    <s v="Men T-Shirt"/>
    <s v="Men T-Shirt"/>
    <s v="CUST0439"/>
    <s v=" CUST0439 "/>
    <x v="4"/>
    <s v="Karthik"/>
    <x v="1"/>
    <s v="Debit card "/>
    <n v="5"/>
    <s v="5"/>
    <n v="2170"/>
    <s v="2170"/>
    <n v="10850"/>
    <x v="0"/>
    <x v="2"/>
    <x v="10"/>
    <s v="Low"/>
    <s v="Online"/>
    <n v="10850"/>
  </r>
  <r>
    <n v="1744"/>
    <d v="2024-03-13T15:00:00"/>
    <s v="2024-03-13 15:00:00"/>
    <s v="EAST"/>
    <x v="0"/>
    <s v="Clothing"/>
    <x v="0"/>
    <s v="Rice 5Kg"/>
    <s v="Rice 5kg"/>
    <s v="CUST0732"/>
    <s v=" CUST0732 "/>
    <x v="1"/>
    <s v="Meena"/>
    <x v="3"/>
    <s v=" Net Banking "/>
    <n v="10"/>
    <s v="10"/>
    <n v="1759"/>
    <s v="1759"/>
    <n v="17590"/>
    <x v="0"/>
    <x v="2"/>
    <x v="10"/>
    <s v="Low"/>
    <s v="Online"/>
    <n v="17590"/>
  </r>
  <r>
    <n v="1745"/>
    <d v="2024-03-13T16:00:00"/>
    <s v="2024-03-13 16:00:00"/>
    <s v="south"/>
    <x v="3"/>
    <s v="Clothing"/>
    <x v="0"/>
    <s v="Rice 5Kg"/>
    <s v="Rice 5kg"/>
    <s v="CUST0699"/>
    <s v=" CUST0699 "/>
    <x v="4"/>
    <s v="Karthik"/>
    <x v="0"/>
    <s v=" Cash"/>
    <n v="3"/>
    <s v="3"/>
    <n v="697"/>
    <s v="697"/>
    <n v="2091"/>
    <x v="0"/>
    <x v="2"/>
    <x v="10"/>
    <s v="Low"/>
    <s v="Offline"/>
    <n v="2091"/>
  </r>
  <r>
    <n v="1746"/>
    <d v="2024-03-13T17:00:00"/>
    <s v="2024-03-13 17:00:00"/>
    <s v="south"/>
    <x v="3"/>
    <s v="Clothing"/>
    <x v="0"/>
    <s v="Mixer Grinder"/>
    <s v="Mixer Grinder"/>
    <s v="CUST0289"/>
    <s v=" CUST0289 "/>
    <x v="4"/>
    <s v="Karthik"/>
    <x v="0"/>
    <s v=" Cash"/>
    <n v="5"/>
    <s v="5"/>
    <n v="2613"/>
    <s v="2613"/>
    <n v="13065"/>
    <x v="0"/>
    <x v="2"/>
    <x v="10"/>
    <s v="Low"/>
    <s v="Offline"/>
    <n v="13065"/>
  </r>
  <r>
    <n v="1747"/>
    <d v="2024-03-13T18:00:00"/>
    <s v="2024-03-13 18:00:00"/>
    <s v=" west"/>
    <x v="1"/>
    <s v=" Home Appliances "/>
    <x v="1"/>
    <s v="Mixer Grinder"/>
    <s v="Mixer Grinder"/>
    <s v="CUST0540"/>
    <s v=" CUST0540 "/>
    <x v="4"/>
    <s v="Karthik"/>
    <x v="0"/>
    <s v=" Cash"/>
    <n v="3"/>
    <s v="3"/>
    <n v="4235"/>
    <s v="4235"/>
    <n v="12705"/>
    <x v="0"/>
    <x v="2"/>
    <x v="10"/>
    <s v="Low"/>
    <s v="Offline"/>
    <n v="12705"/>
  </r>
  <r>
    <n v="1748"/>
    <d v="2024-03-13T19:00:00"/>
    <s v="2024-03-13 19:00:00"/>
    <s v=" North "/>
    <x v="2"/>
    <s v=" Home Appliances "/>
    <x v="1"/>
    <s v="Rice 5Kg"/>
    <s v="Rice 5kg"/>
    <s v="CUST0692"/>
    <s v=" CUST0692 "/>
    <x v="1"/>
    <s v="Meena"/>
    <x v="1"/>
    <s v="Debit card "/>
    <n v="10"/>
    <s v="10"/>
    <n v="4370"/>
    <s v="4370"/>
    <n v="43700"/>
    <x v="0"/>
    <x v="2"/>
    <x v="10"/>
    <s v="Medium"/>
    <s v="Online"/>
    <n v="43700"/>
  </r>
  <r>
    <n v="1749"/>
    <d v="2024-03-13T20:00:00"/>
    <s v="2024-03-13 20:00:00"/>
    <s v="EAST"/>
    <x v="0"/>
    <s v="Grocery"/>
    <x v="3"/>
    <s v="Laptop"/>
    <s v="Laptop"/>
    <s v="CUST0253"/>
    <s v=" CUST0253 "/>
    <x v="4"/>
    <s v="Karthik"/>
    <x v="0"/>
    <s v=" Cash"/>
    <n v="5"/>
    <s v="5"/>
    <n v="3703"/>
    <s v="3703"/>
    <n v="18515"/>
    <x v="0"/>
    <x v="2"/>
    <x v="10"/>
    <s v="Low"/>
    <s v="Offline"/>
    <n v="18515"/>
  </r>
  <r>
    <n v="1750"/>
    <d v="2024-03-13T21:00:00"/>
    <s v="2024-03-13 21:00:00"/>
    <s v="EAST"/>
    <x v="0"/>
    <s v="Electronics"/>
    <x v="2"/>
    <s v="Washing Machine"/>
    <s v="Washing Machine"/>
    <s v="CUST0126"/>
    <s v=" CUST0126 "/>
    <x v="1"/>
    <s v="Meena"/>
    <x v="2"/>
    <s v="UPI"/>
    <n v="1"/>
    <s v="1"/>
    <n v="1316"/>
    <s v="1316"/>
    <n v="1316"/>
    <x v="0"/>
    <x v="2"/>
    <x v="10"/>
    <s v="Low"/>
    <s v="Online"/>
    <n v="1316"/>
  </r>
  <r>
    <n v="1751"/>
    <d v="2024-03-13T22:00:00"/>
    <s v="2024-03-13 22:00:00"/>
    <s v=" west"/>
    <x v="1"/>
    <s v="Clothing"/>
    <x v="0"/>
    <s v="Rice 5Kg"/>
    <s v="Rice 5kg"/>
    <s v="CUST0177"/>
    <s v=" CUST0177 "/>
    <x v="0"/>
    <s v="Rahul"/>
    <x v="0"/>
    <s v=" Cash"/>
    <n v="6"/>
    <s v="6"/>
    <n v="2391"/>
    <s v="2391"/>
    <n v="14346"/>
    <x v="0"/>
    <x v="2"/>
    <x v="10"/>
    <s v="Low"/>
    <s v="Offline"/>
    <n v="14346"/>
  </r>
  <r>
    <n v="1752"/>
    <d v="2024-03-13T23:00:00"/>
    <s v="2024-03-13 23:00:00"/>
    <s v=" west"/>
    <x v="1"/>
    <s v="Grocery"/>
    <x v="3"/>
    <s v="Led Tv 42Inch"/>
    <s v="LED TV 42inch"/>
    <s v="CUST0037"/>
    <s v=" CUST0037 "/>
    <x v="3"/>
    <s v="Anita"/>
    <x v="3"/>
    <s v=" Net Banking "/>
    <n v="10"/>
    <s v="10"/>
    <n v="3911"/>
    <s v="3911"/>
    <n v="39110"/>
    <x v="0"/>
    <x v="2"/>
    <x v="10"/>
    <s v="Medium"/>
    <s v="Online"/>
    <n v="39110"/>
  </r>
  <r>
    <n v="1753"/>
    <d v="2024-03-14T00:00:00"/>
    <s v="2024-03-14 00:00:00"/>
    <s v="south"/>
    <x v="3"/>
    <s v="Grocery"/>
    <x v="3"/>
    <s v="Men T-Shirt"/>
    <s v="Men T-Shirt"/>
    <s v="CUST0410"/>
    <s v=" CUST0410 "/>
    <x v="0"/>
    <s v="Rahul"/>
    <x v="4"/>
    <s v="Credit Card"/>
    <n v="4"/>
    <s v="4"/>
    <n v="1031"/>
    <s v="1031"/>
    <n v="4124"/>
    <x v="0"/>
    <x v="2"/>
    <x v="10"/>
    <s v="Low"/>
    <s v="Online"/>
    <n v="4124"/>
  </r>
  <r>
    <n v="1754"/>
    <d v="2024-03-14T01:00:00"/>
    <s v="2024-03-14 01:00:00"/>
    <s v="EAST"/>
    <x v="0"/>
    <s v="Grocery"/>
    <x v="3"/>
    <s v="Washing Machine"/>
    <s v="Washing Machine"/>
    <s v="CUST0611"/>
    <s v=" CUST0611 "/>
    <x v="3"/>
    <s v="Anita"/>
    <x v="3"/>
    <s v=" Net Banking "/>
    <n v="4"/>
    <s v="4"/>
    <n v="2238"/>
    <s v="2238"/>
    <n v="8952"/>
    <x v="0"/>
    <x v="2"/>
    <x v="10"/>
    <s v="Low"/>
    <s v="Online"/>
    <n v="8952"/>
  </r>
  <r>
    <n v="1755"/>
    <d v="2024-03-14T02:00:00"/>
    <s v="2024-03-14 02:00:00"/>
    <s v=" North "/>
    <x v="2"/>
    <s v=" Home Appliances "/>
    <x v="1"/>
    <s v="Led Tv 42Inch"/>
    <s v="LED TV 42inch"/>
    <s v="CUST0610"/>
    <s v=" CUST0610 "/>
    <x v="0"/>
    <s v="Rahul"/>
    <x v="1"/>
    <s v="Debit card "/>
    <n v="8"/>
    <s v="8"/>
    <n v="4102"/>
    <s v="4102"/>
    <n v="32816"/>
    <x v="0"/>
    <x v="2"/>
    <x v="10"/>
    <s v="Medium"/>
    <s v="Online"/>
    <n v="32816"/>
  </r>
  <r>
    <n v="1756"/>
    <d v="2024-03-14T03:00:00"/>
    <s v="2024-03-14 03:00:00"/>
    <s v=" west"/>
    <x v="1"/>
    <s v="Clothing"/>
    <x v="0"/>
    <s v="Washing Machine"/>
    <s v="Washing Machine"/>
    <s v="CUST0127"/>
    <s v=" CUST0127 "/>
    <x v="3"/>
    <s v="Anita"/>
    <x v="0"/>
    <s v=" Cash"/>
    <n v="2"/>
    <s v="2"/>
    <n v="3078"/>
    <s v="3078"/>
    <n v="6156"/>
    <x v="0"/>
    <x v="2"/>
    <x v="10"/>
    <s v="Low"/>
    <s v="Offline"/>
    <n v="6156"/>
  </r>
  <r>
    <n v="1757"/>
    <d v="2024-03-14T04:00:00"/>
    <s v="2024-03-14 04:00:00"/>
    <s v=" North "/>
    <x v="2"/>
    <s v="Clothing"/>
    <x v="0"/>
    <s v="Led Tv 42Inch"/>
    <s v="LED TV 42inch"/>
    <s v="CUST0483"/>
    <s v=" CUST0483 "/>
    <x v="3"/>
    <s v="Anita"/>
    <x v="0"/>
    <s v=" Cash"/>
    <n v="4"/>
    <s v="4"/>
    <n v="3992"/>
    <s v="3992"/>
    <n v="15968"/>
    <x v="0"/>
    <x v="2"/>
    <x v="10"/>
    <s v="Low"/>
    <s v="Offline"/>
    <n v="15968"/>
  </r>
  <r>
    <n v="1758"/>
    <d v="2024-03-14T05:00:00"/>
    <s v="2024-03-14 05:00:00"/>
    <s v=" North "/>
    <x v="2"/>
    <s v="Electronics"/>
    <x v="2"/>
    <s v="Men T-Shirt"/>
    <s v="Men T-Shirt"/>
    <s v="CUST0168"/>
    <s v=" CUST0168 "/>
    <x v="2"/>
    <s v="Suresh"/>
    <x v="2"/>
    <s v="UPI"/>
    <n v="2"/>
    <s v="2"/>
    <n v="4695"/>
    <s v="4695"/>
    <n v="9390"/>
    <x v="0"/>
    <x v="2"/>
    <x v="10"/>
    <s v="Low"/>
    <s v="Online"/>
    <n v="9390"/>
  </r>
  <r>
    <n v="1759"/>
    <d v="2024-03-14T06:00:00"/>
    <s v="2024-03-14 06:00:00"/>
    <s v="EAST"/>
    <x v="0"/>
    <s v="Clothing"/>
    <x v="0"/>
    <s v="Men T-Shirt"/>
    <s v="Men T-Shirt"/>
    <s v="CUST0592"/>
    <s v=" CUST0592 "/>
    <x v="3"/>
    <s v="Anita"/>
    <x v="0"/>
    <s v=" Cash"/>
    <n v="1"/>
    <s v="1"/>
    <n v="3018"/>
    <s v="3018"/>
    <n v="3018"/>
    <x v="0"/>
    <x v="2"/>
    <x v="10"/>
    <s v="Low"/>
    <s v="Offline"/>
    <n v="3018"/>
  </r>
  <r>
    <n v="1760"/>
    <d v="2024-03-14T07:00:00"/>
    <s v="2024-03-14 07:00:00"/>
    <s v="EAST"/>
    <x v="0"/>
    <s v="Clothing"/>
    <x v="0"/>
    <s v="Mixer Grinder"/>
    <s v="Mixer Grinder"/>
    <s v="CUST0294"/>
    <s v=" CUST0294 "/>
    <x v="3"/>
    <s v="Anita"/>
    <x v="3"/>
    <s v=" Net Banking "/>
    <n v="10"/>
    <s v="10"/>
    <n v="2664"/>
    <s v="2664"/>
    <n v="26640"/>
    <x v="0"/>
    <x v="2"/>
    <x v="10"/>
    <s v="Medium"/>
    <s v="Online"/>
    <n v="26640"/>
  </r>
  <r>
    <n v="1761"/>
    <d v="2024-03-14T08:00:00"/>
    <s v="2024-03-14 08:00:00"/>
    <s v=" west"/>
    <x v="1"/>
    <s v="Grocery"/>
    <x v="3"/>
    <s v="Laptop"/>
    <s v="Laptop"/>
    <s v="CUST0638"/>
    <s v=" CUST0638 "/>
    <x v="2"/>
    <s v="Suresh"/>
    <x v="1"/>
    <s v="Debit card "/>
    <n v="13"/>
    <s v="13"/>
    <n v="1863"/>
    <s v="1863"/>
    <n v="24219"/>
    <x v="0"/>
    <x v="2"/>
    <x v="10"/>
    <s v="Medium"/>
    <s v="Online"/>
    <n v="24219"/>
  </r>
  <r>
    <n v="1762"/>
    <d v="2024-03-14T09:00:00"/>
    <s v="2024-03-14 09:00:00"/>
    <s v="EAST"/>
    <x v="0"/>
    <s v="Electronics"/>
    <x v="2"/>
    <s v="Led Tv 42Inch"/>
    <s v="LED TV 42inch"/>
    <s v="CUST0343"/>
    <s v=" CUST0343 "/>
    <x v="4"/>
    <s v="Karthik"/>
    <x v="4"/>
    <s v="Credit Card"/>
    <n v="13"/>
    <s v="13"/>
    <n v="2270"/>
    <s v="2270"/>
    <n v="29510"/>
    <x v="0"/>
    <x v="2"/>
    <x v="10"/>
    <s v="Medium"/>
    <s v="Online"/>
    <n v="29510"/>
  </r>
  <r>
    <n v="1763"/>
    <d v="2024-03-14T10:00:00"/>
    <s v="2024-03-14 10:00:00"/>
    <s v="EAST"/>
    <x v="0"/>
    <s v="Clothing"/>
    <x v="0"/>
    <s v="Mixer Grinder"/>
    <s v="Mixer Grinder"/>
    <s v="CUST0310"/>
    <s v=" CUST0310 "/>
    <x v="4"/>
    <s v="Karthik"/>
    <x v="0"/>
    <s v=" Cash"/>
    <n v="3"/>
    <s v="3"/>
    <n v="435"/>
    <s v="435"/>
    <n v="1305"/>
    <x v="0"/>
    <x v="2"/>
    <x v="10"/>
    <s v="Low"/>
    <s v="Offline"/>
    <n v="1305"/>
  </r>
  <r>
    <n v="1764"/>
    <d v="2024-03-14T11:00:00"/>
    <s v="2024-03-14 11:00:00"/>
    <s v="EAST"/>
    <x v="0"/>
    <s v=" Home Appliances "/>
    <x v="1"/>
    <s v="Led Tv 42Inch"/>
    <s v="LED TV 42inch"/>
    <s v="CUST0662"/>
    <s v=" CUST0662 "/>
    <x v="2"/>
    <s v="Suresh"/>
    <x v="4"/>
    <s v="Credit Card"/>
    <n v="12"/>
    <s v="12"/>
    <n v="1276"/>
    <s v="1276"/>
    <n v="15312"/>
    <x v="0"/>
    <x v="2"/>
    <x v="10"/>
    <s v="Low"/>
    <s v="Online"/>
    <n v="15312"/>
  </r>
  <r>
    <n v="1765"/>
    <d v="2024-03-14T12:00:00"/>
    <s v="2024-03-14 12:00:00"/>
    <s v=" North "/>
    <x v="2"/>
    <s v="Clothing"/>
    <x v="0"/>
    <s v="Mixer Grinder"/>
    <s v="Mixer Grinder"/>
    <s v="CUST0528"/>
    <s v=" CUST0528 "/>
    <x v="1"/>
    <s v="Meena"/>
    <x v="0"/>
    <s v=" Cash"/>
    <n v="8"/>
    <s v="8"/>
    <n v="3121"/>
    <s v="3121"/>
    <n v="24968"/>
    <x v="0"/>
    <x v="2"/>
    <x v="10"/>
    <s v="Medium"/>
    <s v="Offline"/>
    <n v="24968"/>
  </r>
  <r>
    <n v="1766"/>
    <d v="2024-03-14T13:00:00"/>
    <s v="2024-03-14 13:00:00"/>
    <s v=" west"/>
    <x v="1"/>
    <s v="Grocery"/>
    <x v="3"/>
    <s v="Men T-Shirt"/>
    <s v="Men T-Shirt"/>
    <s v="CUST0540"/>
    <s v=" CUST0540 "/>
    <x v="3"/>
    <s v="Anita"/>
    <x v="1"/>
    <s v="Debit card "/>
    <n v="6"/>
    <s v="6"/>
    <n v="878"/>
    <s v="878"/>
    <n v="5268"/>
    <x v="0"/>
    <x v="2"/>
    <x v="10"/>
    <s v="Low"/>
    <s v="Online"/>
    <n v="5268"/>
  </r>
  <r>
    <n v="1767"/>
    <d v="2024-03-14T14:00:00"/>
    <s v="2024-03-14 14:00:00"/>
    <s v="south"/>
    <x v="3"/>
    <s v=" Home Appliances "/>
    <x v="1"/>
    <s v="Washing Machine"/>
    <s v="Washing Machine"/>
    <s v="CUST0419"/>
    <s v=" CUST0419 "/>
    <x v="3"/>
    <s v="Anita"/>
    <x v="3"/>
    <s v=" Net Banking "/>
    <n v="12"/>
    <s v="12"/>
    <n v="1285"/>
    <s v="1285"/>
    <n v="15420"/>
    <x v="0"/>
    <x v="2"/>
    <x v="10"/>
    <s v="Low"/>
    <s v="Online"/>
    <n v="15420"/>
  </r>
  <r>
    <n v="1768"/>
    <d v="2024-03-14T15:00:00"/>
    <s v="2024-03-14 15:00:00"/>
    <s v=" North "/>
    <x v="2"/>
    <s v="Grocery"/>
    <x v="3"/>
    <s v="Mixer Grinder"/>
    <s v="Mixer Grinder"/>
    <s v="CUST0444"/>
    <s v=" CUST0444 "/>
    <x v="2"/>
    <s v="Suresh"/>
    <x v="1"/>
    <s v="Debit card "/>
    <n v="7"/>
    <s v="7"/>
    <n v="3385"/>
    <s v="3385"/>
    <n v="23695"/>
    <x v="0"/>
    <x v="2"/>
    <x v="10"/>
    <s v="Medium"/>
    <s v="Online"/>
    <n v="23695"/>
  </r>
  <r>
    <n v="1769"/>
    <d v="2024-03-14T16:00:00"/>
    <s v="2024-03-14 16:00:00"/>
    <s v="EAST"/>
    <x v="0"/>
    <s v="Clothing"/>
    <x v="0"/>
    <s v="Led Tv 42Inch"/>
    <s v="LED TV 42inch"/>
    <s v="CUST0685"/>
    <s v=" CUST0685 "/>
    <x v="2"/>
    <s v="Suresh"/>
    <x v="4"/>
    <s v="Credit Card"/>
    <n v="2"/>
    <s v="2"/>
    <n v="3547"/>
    <s v="3547"/>
    <n v="7094"/>
    <x v="0"/>
    <x v="2"/>
    <x v="10"/>
    <s v="Low"/>
    <s v="Online"/>
    <n v="7094"/>
  </r>
  <r>
    <n v="1770"/>
    <d v="2024-03-14T17:00:00"/>
    <s v="2024-03-14 17:00:00"/>
    <s v=" North "/>
    <x v="2"/>
    <s v=" Home Appliances "/>
    <x v="1"/>
    <s v="Led Tv 42Inch"/>
    <s v="LED TV 42inch"/>
    <s v="CUST0558"/>
    <s v=" CUST0558 "/>
    <x v="1"/>
    <s v="Meena"/>
    <x v="0"/>
    <s v=" Cash"/>
    <n v="6"/>
    <s v="6"/>
    <n v="4091"/>
    <s v="4091"/>
    <n v="24546"/>
    <x v="0"/>
    <x v="2"/>
    <x v="10"/>
    <s v="Medium"/>
    <s v="Offline"/>
    <n v="24546"/>
  </r>
  <r>
    <n v="1771"/>
    <d v="2024-03-14T18:00:00"/>
    <s v="2024-03-14 18:00:00"/>
    <s v="EAST"/>
    <x v="0"/>
    <s v="Electronics"/>
    <x v="2"/>
    <s v="Laptop"/>
    <s v="Laptop"/>
    <s v="CUST0236"/>
    <s v=" CUST0236 "/>
    <x v="4"/>
    <s v="Karthik"/>
    <x v="4"/>
    <s v="Credit Card"/>
    <n v="14"/>
    <s v="14"/>
    <n v="2570"/>
    <s v="2570"/>
    <n v="35980"/>
    <x v="0"/>
    <x v="2"/>
    <x v="10"/>
    <s v="Medium"/>
    <s v="Online"/>
    <n v="35980"/>
  </r>
  <r>
    <n v="1772"/>
    <d v="2024-03-14T19:00:00"/>
    <s v="2024-03-14 19:00:00"/>
    <s v="EAST"/>
    <x v="0"/>
    <s v="Electronics"/>
    <x v="2"/>
    <s v="Men T-Shirt"/>
    <s v="Men T-Shirt"/>
    <s v="CUST0439"/>
    <s v=" CUST0439 "/>
    <x v="0"/>
    <s v="Rahul"/>
    <x v="3"/>
    <s v=" Net Banking "/>
    <n v="8"/>
    <s v="8"/>
    <n v="1038"/>
    <s v="1038"/>
    <n v="8304"/>
    <x v="0"/>
    <x v="2"/>
    <x v="10"/>
    <s v="Low"/>
    <s v="Online"/>
    <n v="8304"/>
  </r>
  <r>
    <n v="1773"/>
    <d v="2024-03-14T20:00:00"/>
    <s v="2024-03-14 20:00:00"/>
    <s v=" North "/>
    <x v="2"/>
    <s v=" Home Appliances "/>
    <x v="1"/>
    <s v="Led Tv 42Inch"/>
    <s v="LED TV 42inch"/>
    <s v="CUST0214"/>
    <s v=" CUST0214 "/>
    <x v="4"/>
    <s v="Karthik"/>
    <x v="1"/>
    <s v="Debit card "/>
    <n v="8"/>
    <s v="8"/>
    <n v="4999"/>
    <s v="4999"/>
    <n v="39992"/>
    <x v="0"/>
    <x v="2"/>
    <x v="10"/>
    <s v="Medium"/>
    <s v="Online"/>
    <n v="39992"/>
  </r>
  <r>
    <n v="1774"/>
    <d v="2024-03-14T21:00:00"/>
    <s v="2024-03-14 21:00:00"/>
    <s v=" west"/>
    <x v="1"/>
    <s v=" Home Appliances "/>
    <x v="1"/>
    <s v="Rice 5Kg"/>
    <s v="Rice 5kg"/>
    <s v="CUST0085"/>
    <s v=" CUST0085 "/>
    <x v="3"/>
    <s v="Anita"/>
    <x v="4"/>
    <s v="Credit Card"/>
    <n v="4"/>
    <s v="4"/>
    <n v="4106"/>
    <s v="4106"/>
    <n v="16424"/>
    <x v="0"/>
    <x v="2"/>
    <x v="10"/>
    <s v="Low"/>
    <s v="Online"/>
    <n v="16424"/>
  </r>
  <r>
    <n v="1775"/>
    <d v="2024-03-14T22:00:00"/>
    <s v="2024-03-14 22:00:00"/>
    <s v="EAST"/>
    <x v="0"/>
    <s v="Grocery"/>
    <x v="3"/>
    <s v="Washing Machine"/>
    <s v="Washing Machine"/>
    <s v="CUST0794"/>
    <s v=" CUST0794 "/>
    <x v="2"/>
    <s v="Suresh"/>
    <x v="4"/>
    <s v="Credit Card"/>
    <n v="6"/>
    <s v="6"/>
    <n v="2035"/>
    <s v="2035"/>
    <n v="12210"/>
    <x v="0"/>
    <x v="2"/>
    <x v="10"/>
    <s v="Low"/>
    <s v="Online"/>
    <n v="12210"/>
  </r>
  <r>
    <n v="1776"/>
    <d v="2024-03-14T23:00:00"/>
    <s v="2024-03-14 23:00:00"/>
    <s v=" west"/>
    <x v="1"/>
    <s v=" Home Appliances "/>
    <x v="1"/>
    <s v="Mixer Grinder"/>
    <s v="Mixer Grinder"/>
    <s v="CUST0744"/>
    <s v=" CUST0744 "/>
    <x v="1"/>
    <s v="Meena"/>
    <x v="3"/>
    <s v=" Net Banking "/>
    <n v="14"/>
    <s v="14"/>
    <n v="733"/>
    <s v="733"/>
    <n v="10262"/>
    <x v="0"/>
    <x v="2"/>
    <x v="10"/>
    <s v="Low"/>
    <s v="Online"/>
    <n v="10262"/>
  </r>
  <r>
    <n v="1777"/>
    <d v="2024-03-15T00:00:00"/>
    <s v="2024-03-15 00:00:00"/>
    <s v="south"/>
    <x v="3"/>
    <s v="Grocery"/>
    <x v="3"/>
    <s v="Laptop"/>
    <s v="Laptop"/>
    <s v="CUST0085"/>
    <s v=" CUST0085 "/>
    <x v="4"/>
    <s v="Karthik"/>
    <x v="0"/>
    <s v=" Cash"/>
    <n v="5"/>
    <s v="5"/>
    <n v="1353"/>
    <s v="1353"/>
    <n v="6765"/>
    <x v="0"/>
    <x v="2"/>
    <x v="10"/>
    <s v="Low"/>
    <s v="Offline"/>
    <n v="6765"/>
  </r>
  <r>
    <n v="1778"/>
    <d v="2024-03-15T01:00:00"/>
    <s v="2024-03-15 01:00:00"/>
    <s v="EAST"/>
    <x v="0"/>
    <s v="Clothing"/>
    <x v="0"/>
    <s v="Washing Machine"/>
    <s v="Washing Machine"/>
    <s v="CUST0489"/>
    <s v=" CUST0489 "/>
    <x v="1"/>
    <s v="Meena"/>
    <x v="4"/>
    <s v="Credit Card"/>
    <n v="9"/>
    <s v="9"/>
    <n v="1182"/>
    <s v="1182"/>
    <n v="10638"/>
    <x v="0"/>
    <x v="2"/>
    <x v="10"/>
    <s v="Low"/>
    <s v="Online"/>
    <n v="10638"/>
  </r>
  <r>
    <n v="1779"/>
    <d v="2024-03-15T02:00:00"/>
    <s v="2024-03-15 02:00:00"/>
    <s v=" west"/>
    <x v="1"/>
    <s v="Grocery"/>
    <x v="3"/>
    <s v="Men T-Shirt"/>
    <s v="Men T-Shirt"/>
    <s v="CUST0065"/>
    <s v=" CUST0065 "/>
    <x v="4"/>
    <s v="Karthik"/>
    <x v="3"/>
    <s v=" Net Banking "/>
    <n v="8"/>
    <s v="8"/>
    <n v="2243"/>
    <s v="2243"/>
    <n v="17944"/>
    <x v="0"/>
    <x v="2"/>
    <x v="10"/>
    <s v="Low"/>
    <s v="Online"/>
    <n v="17944"/>
  </r>
  <r>
    <n v="1780"/>
    <d v="2024-03-15T03:00:00"/>
    <s v="2024-03-15 03:00:00"/>
    <s v=" west"/>
    <x v="1"/>
    <s v=" Home Appliances "/>
    <x v="1"/>
    <s v="Laptop"/>
    <s v="Laptop"/>
    <s v="CUST0646"/>
    <s v=" CUST0646 "/>
    <x v="3"/>
    <s v="Anita"/>
    <x v="0"/>
    <s v=" Cash"/>
    <n v="2"/>
    <s v="2"/>
    <n v="1385"/>
    <s v="1385"/>
    <n v="2770"/>
    <x v="0"/>
    <x v="2"/>
    <x v="10"/>
    <s v="Low"/>
    <s v="Offline"/>
    <n v="2770"/>
  </r>
  <r>
    <n v="1781"/>
    <d v="2024-03-15T04:00:00"/>
    <s v="2024-03-15 04:00:00"/>
    <s v="south"/>
    <x v="3"/>
    <s v=" Home Appliances "/>
    <x v="1"/>
    <s v="Mixer Grinder"/>
    <s v="Mixer Grinder"/>
    <s v="CUST0663"/>
    <s v=" CUST0663 "/>
    <x v="0"/>
    <s v="Rahul"/>
    <x v="0"/>
    <s v=" Cash"/>
    <n v="12"/>
    <s v="12"/>
    <n v="453"/>
    <s v="453"/>
    <n v="5436"/>
    <x v="0"/>
    <x v="2"/>
    <x v="10"/>
    <s v="Low"/>
    <s v="Offline"/>
    <n v="5436"/>
  </r>
  <r>
    <n v="1782"/>
    <d v="2024-03-15T05:00:00"/>
    <s v="2024-03-15 05:00:00"/>
    <s v=" west"/>
    <x v="1"/>
    <s v="Clothing"/>
    <x v="0"/>
    <s v="Mixer Grinder"/>
    <s v="Mixer Grinder"/>
    <s v="CUST0627"/>
    <s v=" CUST0627 "/>
    <x v="1"/>
    <s v="Meena"/>
    <x v="1"/>
    <s v="Debit card "/>
    <n v="13"/>
    <s v="13"/>
    <n v="1985"/>
    <s v="1985"/>
    <n v="25805"/>
    <x v="0"/>
    <x v="2"/>
    <x v="10"/>
    <s v="Medium"/>
    <s v="Online"/>
    <n v="25805"/>
  </r>
  <r>
    <n v="1783"/>
    <d v="2024-03-15T06:00:00"/>
    <s v="2024-03-15 06:00:00"/>
    <s v=" west"/>
    <x v="1"/>
    <s v=" Home Appliances "/>
    <x v="1"/>
    <s v="Rice 5Kg"/>
    <s v="Rice 5kg"/>
    <s v="CUST0064"/>
    <s v=" CUST0064 "/>
    <x v="1"/>
    <s v="Meena"/>
    <x v="3"/>
    <s v=" Net Banking "/>
    <n v="7"/>
    <s v="7"/>
    <n v="1918"/>
    <s v="1918"/>
    <n v="13426"/>
    <x v="0"/>
    <x v="2"/>
    <x v="10"/>
    <s v="Low"/>
    <s v="Online"/>
    <n v="13426"/>
  </r>
  <r>
    <n v="1784"/>
    <d v="2024-03-15T07:00:00"/>
    <s v="2024-03-15 07:00:00"/>
    <s v="south"/>
    <x v="3"/>
    <s v=" Home Appliances "/>
    <x v="1"/>
    <s v="Men T-Shirt"/>
    <s v="Men T-Shirt"/>
    <s v="CUST0343"/>
    <s v=" CUST0343 "/>
    <x v="0"/>
    <s v="Rahul"/>
    <x v="0"/>
    <s v=" Cash"/>
    <n v="7"/>
    <s v="7"/>
    <n v="2620"/>
    <s v="2620"/>
    <n v="18340"/>
    <x v="0"/>
    <x v="2"/>
    <x v="10"/>
    <s v="Low"/>
    <s v="Offline"/>
    <n v="18340"/>
  </r>
  <r>
    <n v="1785"/>
    <d v="2024-03-15T08:00:00"/>
    <s v="2024-03-15 08:00:00"/>
    <s v="EAST"/>
    <x v="0"/>
    <s v="Electronics"/>
    <x v="2"/>
    <s v="Laptop"/>
    <s v="Laptop"/>
    <s v="CUST0352"/>
    <s v=" CUST0352 "/>
    <x v="1"/>
    <s v="Meena"/>
    <x v="1"/>
    <s v="Debit card "/>
    <n v="11"/>
    <s v="11"/>
    <n v="4108"/>
    <s v="4108"/>
    <n v="45188"/>
    <x v="0"/>
    <x v="2"/>
    <x v="10"/>
    <s v="Medium"/>
    <s v="Online"/>
    <n v="45188"/>
  </r>
  <r>
    <n v="1786"/>
    <d v="2024-03-15T09:00:00"/>
    <s v="2024-03-15 09:00:00"/>
    <s v=" west"/>
    <x v="1"/>
    <s v="Electronics"/>
    <x v="2"/>
    <s v="Laptop"/>
    <s v="Laptop"/>
    <s v="CUST0158"/>
    <s v=" CUST0158 "/>
    <x v="1"/>
    <s v="Meena"/>
    <x v="2"/>
    <s v="UPI"/>
    <n v="14"/>
    <s v="14"/>
    <n v="3122"/>
    <s v="3122"/>
    <n v="43708"/>
    <x v="0"/>
    <x v="2"/>
    <x v="10"/>
    <s v="Medium"/>
    <s v="Online"/>
    <n v="43708"/>
  </r>
  <r>
    <n v="1787"/>
    <d v="2024-03-15T10:00:00"/>
    <s v="2024-03-15 10:00:00"/>
    <s v=" west"/>
    <x v="1"/>
    <s v="Clothing"/>
    <x v="0"/>
    <s v="Led Tv 42Inch"/>
    <s v="LED TV 42inch"/>
    <s v="CUST0589"/>
    <s v=" CUST0589 "/>
    <x v="4"/>
    <s v="Karthik"/>
    <x v="3"/>
    <s v=" Net Banking "/>
    <n v="14"/>
    <s v="14"/>
    <n v="2684"/>
    <s v="2684"/>
    <n v="37576"/>
    <x v="0"/>
    <x v="2"/>
    <x v="10"/>
    <s v="Medium"/>
    <s v="Online"/>
    <n v="37576"/>
  </r>
  <r>
    <n v="1788"/>
    <d v="2024-03-15T11:00:00"/>
    <s v="2024-03-15 11:00:00"/>
    <s v=" west"/>
    <x v="1"/>
    <s v="Grocery"/>
    <x v="3"/>
    <s v="Rice 5Kg"/>
    <s v="Rice 5kg"/>
    <s v="CUST0491"/>
    <s v=" CUST0491 "/>
    <x v="4"/>
    <s v="Karthik"/>
    <x v="2"/>
    <s v="UPI"/>
    <n v="12"/>
    <s v="12"/>
    <n v="1647"/>
    <s v="1647"/>
    <n v="19764"/>
    <x v="0"/>
    <x v="2"/>
    <x v="10"/>
    <s v="Low"/>
    <s v="Online"/>
    <n v="19764"/>
  </r>
  <r>
    <n v="1789"/>
    <d v="2024-03-15T12:00:00"/>
    <s v="2024-03-15 12:00:00"/>
    <s v=" North "/>
    <x v="2"/>
    <s v="Electronics"/>
    <x v="2"/>
    <s v="Rice 5Kg"/>
    <s v="Rice 5kg"/>
    <s v="CUST0658"/>
    <s v=" CUST0658 "/>
    <x v="0"/>
    <s v="Rahul"/>
    <x v="0"/>
    <s v=" Cash"/>
    <n v="1"/>
    <s v="1"/>
    <n v="4118"/>
    <s v="4118"/>
    <n v="4118"/>
    <x v="0"/>
    <x v="2"/>
    <x v="10"/>
    <s v="Low"/>
    <s v="Offline"/>
    <n v="4118"/>
  </r>
  <r>
    <n v="1790"/>
    <d v="2024-03-15T13:00:00"/>
    <s v="2024-03-15 13:00:00"/>
    <s v="south"/>
    <x v="3"/>
    <s v="Grocery"/>
    <x v="3"/>
    <s v="Laptop"/>
    <s v="Laptop"/>
    <s v="CUST0463"/>
    <s v=" CUST0463 "/>
    <x v="3"/>
    <s v="Anita"/>
    <x v="3"/>
    <s v=" Net Banking "/>
    <n v="1"/>
    <s v="1"/>
    <n v="4304"/>
    <s v="4304"/>
    <n v="4304"/>
    <x v="0"/>
    <x v="2"/>
    <x v="10"/>
    <s v="Low"/>
    <s v="Online"/>
    <n v="4304"/>
  </r>
  <r>
    <n v="1791"/>
    <d v="2024-03-15T14:00:00"/>
    <s v="2024-03-15 14:00:00"/>
    <s v=" North "/>
    <x v="2"/>
    <s v=" Home Appliances "/>
    <x v="1"/>
    <s v="Laptop"/>
    <s v="Laptop"/>
    <s v="CUST0225"/>
    <s v=" CUST0225 "/>
    <x v="1"/>
    <s v="Meena"/>
    <x v="1"/>
    <s v="Debit card "/>
    <n v="12"/>
    <s v="12"/>
    <n v="1468"/>
    <s v="1468"/>
    <n v="17616"/>
    <x v="0"/>
    <x v="2"/>
    <x v="10"/>
    <s v="Low"/>
    <s v="Online"/>
    <n v="17616"/>
  </r>
  <r>
    <n v="1792"/>
    <d v="2024-03-15T15:00:00"/>
    <s v="2024-03-15 15:00:00"/>
    <s v="south"/>
    <x v="3"/>
    <s v="Electronics"/>
    <x v="2"/>
    <s v="Washing Machine"/>
    <s v="Washing Machine"/>
    <s v="CUST0313"/>
    <s v=" CUST0313 "/>
    <x v="3"/>
    <s v="Anita"/>
    <x v="0"/>
    <s v=" Cash"/>
    <n v="4"/>
    <s v="4"/>
    <n v="3437"/>
    <s v="3437"/>
    <n v="13748"/>
    <x v="0"/>
    <x v="2"/>
    <x v="10"/>
    <s v="Low"/>
    <s v="Offline"/>
    <n v="13748"/>
  </r>
  <r>
    <n v="1793"/>
    <d v="2024-03-15T16:00:00"/>
    <s v="2024-03-15 16:00:00"/>
    <s v="EAST"/>
    <x v="0"/>
    <s v="Clothing"/>
    <x v="0"/>
    <s v="Washing Machine"/>
    <s v="Washing Machine"/>
    <s v="CUST0615"/>
    <s v=" CUST0615 "/>
    <x v="0"/>
    <s v="Rahul"/>
    <x v="3"/>
    <s v=" Net Banking "/>
    <n v="5"/>
    <s v="5"/>
    <n v="1857"/>
    <s v="1857"/>
    <n v="9285"/>
    <x v="0"/>
    <x v="2"/>
    <x v="10"/>
    <s v="Low"/>
    <s v="Online"/>
    <n v="9285"/>
  </r>
  <r>
    <n v="1794"/>
    <d v="2024-03-15T17:00:00"/>
    <s v="2024-03-15 17:00:00"/>
    <s v="EAST"/>
    <x v="0"/>
    <s v="Clothing"/>
    <x v="0"/>
    <s v="Washing Machine"/>
    <s v="Washing Machine"/>
    <s v="CUST0466"/>
    <s v=" CUST0466 "/>
    <x v="0"/>
    <s v="Rahul"/>
    <x v="3"/>
    <s v=" Net Banking "/>
    <n v="4"/>
    <s v="4"/>
    <n v="1617"/>
    <s v="1617"/>
    <n v="6468"/>
    <x v="0"/>
    <x v="2"/>
    <x v="10"/>
    <s v="Low"/>
    <s v="Online"/>
    <n v="6468"/>
  </r>
  <r>
    <n v="1795"/>
    <d v="2024-03-15T18:00:00"/>
    <s v="2024-03-15 18:00:00"/>
    <s v=" west"/>
    <x v="1"/>
    <s v="Clothing"/>
    <x v="0"/>
    <s v="Rice 5Kg"/>
    <s v="Rice 5kg"/>
    <s v="CUST0088"/>
    <s v=" CUST0088 "/>
    <x v="4"/>
    <s v="Karthik"/>
    <x v="2"/>
    <s v="UPI"/>
    <n v="7"/>
    <s v="7"/>
    <n v="3584"/>
    <s v="3584"/>
    <n v="25088"/>
    <x v="0"/>
    <x v="2"/>
    <x v="10"/>
    <s v="Medium"/>
    <s v="Online"/>
    <n v="25088"/>
  </r>
  <r>
    <n v="1796"/>
    <d v="2024-03-15T19:00:00"/>
    <s v="2024-03-15 19:00:00"/>
    <s v="south"/>
    <x v="3"/>
    <s v="Electronics"/>
    <x v="2"/>
    <s v="Led Tv 42Inch"/>
    <s v="LED TV 42inch"/>
    <s v="CUST0303"/>
    <s v=" CUST0303 "/>
    <x v="1"/>
    <s v="Meena"/>
    <x v="0"/>
    <s v=" Cash"/>
    <n v="3"/>
    <s v="3"/>
    <n v="3785"/>
    <s v="3785"/>
    <n v="11355"/>
    <x v="0"/>
    <x v="2"/>
    <x v="10"/>
    <s v="Low"/>
    <s v="Offline"/>
    <n v="11355"/>
  </r>
  <r>
    <n v="1797"/>
    <d v="2024-03-15T20:00:00"/>
    <s v="2024-03-15 20:00:00"/>
    <s v="EAST"/>
    <x v="0"/>
    <s v="Grocery"/>
    <x v="3"/>
    <s v="Mixer Grinder"/>
    <s v="Mixer Grinder"/>
    <s v="CUST0680"/>
    <s v=" CUST0680 "/>
    <x v="2"/>
    <s v="Suresh"/>
    <x v="1"/>
    <s v="Debit card "/>
    <n v="7"/>
    <s v="7"/>
    <n v="3152"/>
    <s v="3152"/>
    <n v="22064"/>
    <x v="0"/>
    <x v="2"/>
    <x v="10"/>
    <s v="Medium"/>
    <s v="Online"/>
    <n v="22064"/>
  </r>
  <r>
    <n v="1798"/>
    <d v="2024-03-15T21:00:00"/>
    <s v="2024-03-15 21:00:00"/>
    <s v="south"/>
    <x v="3"/>
    <s v=" Home Appliances "/>
    <x v="1"/>
    <s v="Washing Machine"/>
    <s v="Washing Machine"/>
    <s v="CUST0435"/>
    <s v=" CUST0435 "/>
    <x v="0"/>
    <s v="Rahul"/>
    <x v="1"/>
    <s v="Debit card "/>
    <n v="13"/>
    <s v="13"/>
    <n v="2796"/>
    <s v="2796"/>
    <n v="36348"/>
    <x v="0"/>
    <x v="2"/>
    <x v="10"/>
    <s v="Medium"/>
    <s v="Online"/>
    <n v="36348"/>
  </r>
  <r>
    <n v="1799"/>
    <d v="2024-03-15T22:00:00"/>
    <s v="2024-03-15 22:00:00"/>
    <s v="EAST"/>
    <x v="0"/>
    <s v="Grocery"/>
    <x v="3"/>
    <s v="Led Tv 42Inch"/>
    <s v="LED TV 42inch"/>
    <s v="CUST0682"/>
    <s v=" CUST0682 "/>
    <x v="1"/>
    <s v="Meena"/>
    <x v="0"/>
    <s v=" Cash"/>
    <n v="8"/>
    <s v="8"/>
    <n v="290"/>
    <s v="290"/>
    <n v="2320"/>
    <x v="0"/>
    <x v="2"/>
    <x v="10"/>
    <s v="Low"/>
    <s v="Offline"/>
    <n v="2320"/>
  </r>
  <r>
    <n v="1800"/>
    <d v="2024-03-15T23:00:00"/>
    <s v="2024-03-15 23:00:00"/>
    <s v=" North "/>
    <x v="2"/>
    <s v="Grocery"/>
    <x v="3"/>
    <s v="Men T-Shirt"/>
    <s v="Men T-Shirt"/>
    <s v="CUST0135"/>
    <s v=" CUST0135 "/>
    <x v="3"/>
    <s v="Anita"/>
    <x v="0"/>
    <s v=" Cash"/>
    <n v="6"/>
    <s v="6"/>
    <n v="1032"/>
    <s v="1032"/>
    <n v="6192"/>
    <x v="0"/>
    <x v="2"/>
    <x v="10"/>
    <s v="Low"/>
    <s v="Offline"/>
    <n v="6192"/>
  </r>
  <r>
    <n v="1801"/>
    <d v="2024-03-16T00:00:00"/>
    <s v="2024-03-16 00:00:00"/>
    <s v="EAST"/>
    <x v="0"/>
    <s v=" Home Appliances "/>
    <x v="1"/>
    <s v="Washing Machine"/>
    <s v="Washing Machine"/>
    <s v="CUST0050"/>
    <s v=" CUST0050 "/>
    <x v="4"/>
    <s v="Karthik"/>
    <x v="4"/>
    <s v="Credit Card"/>
    <n v="6"/>
    <s v="6"/>
    <n v="4337"/>
    <s v="4337"/>
    <n v="26022"/>
    <x v="0"/>
    <x v="2"/>
    <x v="10"/>
    <s v="Medium"/>
    <s v="Online"/>
    <n v="26022"/>
  </r>
  <r>
    <n v="1802"/>
    <d v="2024-03-16T01:00:00"/>
    <s v="2024-03-16 01:00:00"/>
    <s v=" North "/>
    <x v="2"/>
    <s v=" Home Appliances "/>
    <x v="1"/>
    <s v="Mixer Grinder"/>
    <s v="Mixer Grinder"/>
    <s v="CUST0432"/>
    <s v=" CUST0432 "/>
    <x v="3"/>
    <s v="Anita"/>
    <x v="2"/>
    <s v="UPI"/>
    <n v="8"/>
    <s v="8"/>
    <n v="3338"/>
    <s v="3338"/>
    <n v="26704"/>
    <x v="0"/>
    <x v="2"/>
    <x v="10"/>
    <s v="Medium"/>
    <s v="Online"/>
    <n v="26704"/>
  </r>
  <r>
    <n v="1803"/>
    <d v="2024-03-16T02:00:00"/>
    <s v="2024-03-16 02:00:00"/>
    <s v="EAST"/>
    <x v="0"/>
    <s v="Electronics"/>
    <x v="2"/>
    <s v="Men T-Shirt"/>
    <s v="Men T-Shirt"/>
    <s v="CUST0340"/>
    <s v=" CUST0340 "/>
    <x v="0"/>
    <s v="Rahul"/>
    <x v="0"/>
    <s v=" Cash"/>
    <n v="8"/>
    <s v="8"/>
    <n v="2315"/>
    <s v="2315"/>
    <n v="18520"/>
    <x v="0"/>
    <x v="2"/>
    <x v="10"/>
    <s v="Low"/>
    <s v="Offline"/>
    <n v="18520"/>
  </r>
  <r>
    <n v="1804"/>
    <d v="2024-03-16T03:00:00"/>
    <s v="2024-03-16 03:00:00"/>
    <s v=" west"/>
    <x v="1"/>
    <s v="Electronics"/>
    <x v="2"/>
    <s v="Men T-Shirt"/>
    <s v="Men T-Shirt"/>
    <s v="CUST0347"/>
    <s v=" CUST0347 "/>
    <x v="0"/>
    <s v="Rahul"/>
    <x v="0"/>
    <s v=" Cash"/>
    <n v="7"/>
    <s v="7"/>
    <n v="665"/>
    <s v="665"/>
    <n v="4655"/>
    <x v="0"/>
    <x v="2"/>
    <x v="10"/>
    <s v="Low"/>
    <s v="Offline"/>
    <n v="4655"/>
  </r>
  <r>
    <n v="1805"/>
    <d v="2024-03-16T04:00:00"/>
    <s v="2024-03-16 04:00:00"/>
    <s v=" North "/>
    <x v="2"/>
    <s v="Electronics"/>
    <x v="2"/>
    <s v="Mixer Grinder"/>
    <s v="Mixer Grinder"/>
    <s v="CUST0646"/>
    <s v=" CUST0646 "/>
    <x v="3"/>
    <s v="Anita"/>
    <x v="4"/>
    <s v="Credit Card"/>
    <n v="6"/>
    <s v="6"/>
    <n v="1234"/>
    <s v="1234"/>
    <n v="7404"/>
    <x v="0"/>
    <x v="2"/>
    <x v="10"/>
    <s v="Low"/>
    <s v="Online"/>
    <n v="7404"/>
  </r>
  <r>
    <n v="1806"/>
    <d v="2024-03-16T05:00:00"/>
    <s v="2024-03-16 05:00:00"/>
    <s v="EAST"/>
    <x v="0"/>
    <s v="Electronics"/>
    <x v="2"/>
    <s v="Washing Machine"/>
    <s v="Washing Machine"/>
    <s v="CUST0347"/>
    <s v=" CUST0347 "/>
    <x v="0"/>
    <s v="Rahul"/>
    <x v="4"/>
    <s v="Credit Card"/>
    <n v="6"/>
    <s v="6"/>
    <n v="843"/>
    <s v="843"/>
    <n v="5058"/>
    <x v="0"/>
    <x v="2"/>
    <x v="10"/>
    <s v="Low"/>
    <s v="Online"/>
    <n v="5058"/>
  </r>
  <r>
    <n v="1807"/>
    <d v="2024-03-16T06:00:00"/>
    <s v="2024-03-16 06:00:00"/>
    <s v=" west"/>
    <x v="1"/>
    <s v="Electronics"/>
    <x v="2"/>
    <s v="Rice 5Kg"/>
    <s v="Rice 5kg"/>
    <s v="CUST0649"/>
    <s v=" CUST0649 "/>
    <x v="1"/>
    <s v="Meena"/>
    <x v="3"/>
    <s v=" Net Banking "/>
    <n v="10"/>
    <s v="10"/>
    <n v="772"/>
    <s v="772"/>
    <n v="7720"/>
    <x v="0"/>
    <x v="2"/>
    <x v="10"/>
    <s v="Low"/>
    <s v="Online"/>
    <n v="7720"/>
  </r>
  <r>
    <n v="1808"/>
    <d v="2024-03-16T07:00:00"/>
    <s v="2024-03-16 07:00:00"/>
    <s v=" North "/>
    <x v="2"/>
    <s v=" Home Appliances "/>
    <x v="1"/>
    <s v="Mixer Grinder"/>
    <s v="Mixer Grinder"/>
    <s v="CUST0245"/>
    <s v=" CUST0245 "/>
    <x v="0"/>
    <s v="Rahul"/>
    <x v="1"/>
    <s v="Debit card "/>
    <n v="11"/>
    <s v="11"/>
    <n v="3011"/>
    <s v="3011"/>
    <n v="33121"/>
    <x v="0"/>
    <x v="2"/>
    <x v="10"/>
    <s v="Medium"/>
    <s v="Online"/>
    <n v="33121"/>
  </r>
  <r>
    <n v="1809"/>
    <d v="2024-03-16T08:00:00"/>
    <s v="2024-03-16 08:00:00"/>
    <s v=" west"/>
    <x v="1"/>
    <s v="Grocery"/>
    <x v="3"/>
    <s v="Mixer Grinder"/>
    <s v="Mixer Grinder"/>
    <s v="CUST0109"/>
    <s v=" CUST0109 "/>
    <x v="4"/>
    <s v="Karthik"/>
    <x v="2"/>
    <s v="UPI"/>
    <n v="13"/>
    <s v="13"/>
    <n v="630"/>
    <s v="630"/>
    <n v="8190"/>
    <x v="0"/>
    <x v="2"/>
    <x v="10"/>
    <s v="Low"/>
    <s v="Online"/>
    <n v="8190"/>
  </r>
  <r>
    <n v="1810"/>
    <d v="2024-03-16T09:00:00"/>
    <s v="2024-03-16 09:00:00"/>
    <s v="south"/>
    <x v="3"/>
    <s v="Electronics"/>
    <x v="2"/>
    <s v="Mixer Grinder"/>
    <s v="Mixer Grinder"/>
    <s v="CUST0799"/>
    <s v=" CUST0799 "/>
    <x v="1"/>
    <s v="Meena"/>
    <x v="3"/>
    <s v=" Net Banking "/>
    <n v="13"/>
    <s v="13"/>
    <n v="3121"/>
    <s v="3121"/>
    <n v="40573"/>
    <x v="0"/>
    <x v="2"/>
    <x v="10"/>
    <s v="Medium"/>
    <s v="Online"/>
    <n v="40573"/>
  </r>
  <r>
    <n v="1811"/>
    <d v="2024-03-16T10:00:00"/>
    <s v="2024-03-16 10:00:00"/>
    <s v="south"/>
    <x v="3"/>
    <s v="Electronics"/>
    <x v="2"/>
    <s v="Men T-Shirt"/>
    <s v="Men T-Shirt"/>
    <s v="CUST0533"/>
    <s v=" CUST0533 "/>
    <x v="2"/>
    <s v="Suresh"/>
    <x v="0"/>
    <s v=" Cash"/>
    <n v="6"/>
    <s v="6"/>
    <n v="661"/>
    <s v="661"/>
    <n v="3966"/>
    <x v="0"/>
    <x v="2"/>
    <x v="10"/>
    <s v="Low"/>
    <s v="Offline"/>
    <n v="3966"/>
  </r>
  <r>
    <n v="1812"/>
    <d v="2024-03-16T11:00:00"/>
    <s v="2024-03-16 11:00:00"/>
    <s v=" North "/>
    <x v="2"/>
    <s v="Grocery"/>
    <x v="3"/>
    <s v="Led Tv 42Inch"/>
    <s v="LED TV 42inch"/>
    <s v="CUST0090"/>
    <s v=" CUST0090 "/>
    <x v="0"/>
    <s v="Rahul"/>
    <x v="4"/>
    <s v="Credit Card"/>
    <n v="8"/>
    <s v="8"/>
    <n v="401"/>
    <s v="401"/>
    <n v="3208"/>
    <x v="0"/>
    <x v="2"/>
    <x v="10"/>
    <s v="Low"/>
    <s v="Online"/>
    <n v="3208"/>
  </r>
  <r>
    <n v="1813"/>
    <d v="2024-03-16T12:00:00"/>
    <s v="2024-03-16 12:00:00"/>
    <s v="EAST"/>
    <x v="0"/>
    <s v="Electronics"/>
    <x v="2"/>
    <s v="Rice 5Kg"/>
    <s v="Rice 5kg"/>
    <s v="CUST0296"/>
    <s v=" CUST0296 "/>
    <x v="0"/>
    <s v="Rahul"/>
    <x v="1"/>
    <s v="Debit card "/>
    <n v="1"/>
    <s v="1"/>
    <n v="3867"/>
    <s v="3867"/>
    <n v="3867"/>
    <x v="0"/>
    <x v="2"/>
    <x v="10"/>
    <s v="Low"/>
    <s v="Online"/>
    <n v="3867"/>
  </r>
  <r>
    <n v="1814"/>
    <d v="2024-03-16T13:00:00"/>
    <s v="2024-03-16 13:00:00"/>
    <s v=" North "/>
    <x v="2"/>
    <s v="Grocery"/>
    <x v="3"/>
    <s v="Washing Machine"/>
    <s v="Washing Machine"/>
    <s v="CUST0112"/>
    <s v=" CUST0112 "/>
    <x v="4"/>
    <s v="Karthik"/>
    <x v="3"/>
    <s v=" Net Banking "/>
    <n v="5"/>
    <s v="5"/>
    <n v="4380"/>
    <s v="4380"/>
    <n v="21900"/>
    <x v="0"/>
    <x v="2"/>
    <x v="10"/>
    <s v="Medium"/>
    <s v="Online"/>
    <n v="21900"/>
  </r>
  <r>
    <n v="1815"/>
    <d v="2024-03-16T14:00:00"/>
    <s v="2024-03-16 14:00:00"/>
    <s v=" west"/>
    <x v="1"/>
    <s v="Grocery"/>
    <x v="3"/>
    <s v="Washing Machine"/>
    <s v="Washing Machine"/>
    <s v="CUST0589"/>
    <s v=" CUST0589 "/>
    <x v="4"/>
    <s v="Karthik"/>
    <x v="1"/>
    <s v="Debit card "/>
    <n v="3"/>
    <s v="3"/>
    <n v="609"/>
    <s v="609"/>
    <n v="1827"/>
    <x v="0"/>
    <x v="2"/>
    <x v="10"/>
    <s v="Low"/>
    <s v="Online"/>
    <n v="1827"/>
  </r>
  <r>
    <n v="1816"/>
    <d v="2024-03-16T15:00:00"/>
    <s v="2024-03-16 15:00:00"/>
    <s v="EAST"/>
    <x v="0"/>
    <s v=" Home Appliances "/>
    <x v="1"/>
    <s v="Led Tv 42Inch"/>
    <s v="LED TV 42inch"/>
    <s v="CUST0177"/>
    <s v=" CUST0177 "/>
    <x v="3"/>
    <s v="Anita"/>
    <x v="4"/>
    <s v="Credit Card"/>
    <n v="12"/>
    <s v="12"/>
    <n v="3545"/>
    <s v="3545"/>
    <n v="42540"/>
    <x v="0"/>
    <x v="2"/>
    <x v="10"/>
    <s v="Medium"/>
    <s v="Online"/>
    <n v="42540"/>
  </r>
  <r>
    <n v="1817"/>
    <d v="2024-03-16T16:00:00"/>
    <s v="2024-03-16 16:00:00"/>
    <s v="south"/>
    <x v="3"/>
    <s v="Clothing"/>
    <x v="0"/>
    <s v="Mixer Grinder"/>
    <s v="Mixer Grinder"/>
    <s v="CUST0343"/>
    <s v=" CUST0343 "/>
    <x v="3"/>
    <s v="Anita"/>
    <x v="3"/>
    <s v=" Net Banking "/>
    <n v="8"/>
    <s v="8"/>
    <n v="2303"/>
    <s v="2303"/>
    <n v="18424"/>
    <x v="0"/>
    <x v="2"/>
    <x v="10"/>
    <s v="Low"/>
    <s v="Online"/>
    <n v="18424"/>
  </r>
  <r>
    <n v="1818"/>
    <d v="2024-03-16T17:00:00"/>
    <s v="2024-03-16 17:00:00"/>
    <s v="EAST"/>
    <x v="0"/>
    <s v=" Home Appliances "/>
    <x v="1"/>
    <s v="Rice 5Kg"/>
    <s v="Rice 5kg"/>
    <s v="CUST0660"/>
    <s v=" CUST0660 "/>
    <x v="3"/>
    <s v="Anita"/>
    <x v="3"/>
    <s v=" Net Banking "/>
    <n v="11"/>
    <s v="11"/>
    <n v="2934"/>
    <s v="2934"/>
    <n v="32274"/>
    <x v="0"/>
    <x v="2"/>
    <x v="10"/>
    <s v="Medium"/>
    <s v="Online"/>
    <n v="32274"/>
  </r>
  <r>
    <n v="1819"/>
    <d v="2024-03-16T18:00:00"/>
    <s v="2024-03-16 18:00:00"/>
    <s v="south"/>
    <x v="3"/>
    <s v="Clothing"/>
    <x v="0"/>
    <s v="Washing Machine"/>
    <s v="Washing Machine"/>
    <s v="CUST0101"/>
    <s v=" CUST0101 "/>
    <x v="4"/>
    <s v="Karthik"/>
    <x v="1"/>
    <s v="Debit card "/>
    <n v="6"/>
    <s v="6"/>
    <n v="894"/>
    <s v="894"/>
    <n v="5364"/>
    <x v="0"/>
    <x v="2"/>
    <x v="10"/>
    <s v="Low"/>
    <s v="Online"/>
    <n v="5364"/>
  </r>
  <r>
    <n v="1820"/>
    <d v="2024-03-16T19:00:00"/>
    <s v="2024-03-16 19:00:00"/>
    <s v="EAST"/>
    <x v="0"/>
    <s v="Clothing"/>
    <x v="0"/>
    <s v="Laptop"/>
    <s v="Laptop"/>
    <s v="CUST0758"/>
    <s v=" CUST0758 "/>
    <x v="3"/>
    <s v="Anita"/>
    <x v="4"/>
    <s v="Credit Card"/>
    <n v="14"/>
    <s v="14"/>
    <n v="2579"/>
    <s v="2579"/>
    <n v="36106"/>
    <x v="0"/>
    <x v="2"/>
    <x v="10"/>
    <s v="Medium"/>
    <s v="Online"/>
    <n v="36106"/>
  </r>
  <r>
    <n v="1821"/>
    <d v="2024-03-16T20:00:00"/>
    <s v="2024-03-16 20:00:00"/>
    <s v="EAST"/>
    <x v="0"/>
    <s v="Clothing"/>
    <x v="0"/>
    <s v="Washing Machine"/>
    <s v="Washing Machine"/>
    <s v="CUST0629"/>
    <s v=" CUST0629 "/>
    <x v="3"/>
    <s v="Anita"/>
    <x v="0"/>
    <s v=" Cash"/>
    <n v="2"/>
    <s v="2"/>
    <n v="1623"/>
    <s v="1623"/>
    <n v="3246"/>
    <x v="0"/>
    <x v="2"/>
    <x v="10"/>
    <s v="Low"/>
    <s v="Offline"/>
    <n v="3246"/>
  </r>
  <r>
    <n v="1822"/>
    <d v="2024-03-16T21:00:00"/>
    <s v="2024-03-16 21:00:00"/>
    <s v="EAST"/>
    <x v="0"/>
    <s v="Electronics"/>
    <x v="2"/>
    <s v="Mixer Grinder"/>
    <s v="Mixer Grinder"/>
    <s v="CUST0604"/>
    <s v=" CUST0604 "/>
    <x v="2"/>
    <s v="Suresh"/>
    <x v="3"/>
    <s v=" Net Banking "/>
    <n v="13"/>
    <s v="13"/>
    <n v="4956"/>
    <s v="4956"/>
    <n v="64428"/>
    <x v="0"/>
    <x v="2"/>
    <x v="10"/>
    <s v="High"/>
    <s v="Online"/>
    <n v="64428"/>
  </r>
  <r>
    <n v="1823"/>
    <d v="2024-03-16T22:00:00"/>
    <s v="2024-03-16 22:00:00"/>
    <s v=" west"/>
    <x v="1"/>
    <s v=" Home Appliances "/>
    <x v="1"/>
    <s v="Laptop"/>
    <s v="Laptop"/>
    <s v="CUST0401"/>
    <s v=" CUST0401 "/>
    <x v="3"/>
    <s v="Anita"/>
    <x v="0"/>
    <s v=" Cash"/>
    <n v="7"/>
    <s v="7"/>
    <n v="2294"/>
    <s v="2294"/>
    <n v="16058"/>
    <x v="0"/>
    <x v="2"/>
    <x v="10"/>
    <s v="Low"/>
    <s v="Offline"/>
    <n v="16058"/>
  </r>
  <r>
    <n v="1824"/>
    <d v="2024-03-16T23:00:00"/>
    <s v="2024-03-16 23:00:00"/>
    <s v=" west"/>
    <x v="1"/>
    <s v="Clothing"/>
    <x v="0"/>
    <s v="Led Tv 42Inch"/>
    <s v="LED TV 42inch"/>
    <s v="CUST0028"/>
    <s v=" CUST0028 "/>
    <x v="0"/>
    <s v="Rahul"/>
    <x v="4"/>
    <s v="Credit Card"/>
    <n v="7"/>
    <s v="7"/>
    <n v="2628"/>
    <s v="2628"/>
    <n v="18396"/>
    <x v="0"/>
    <x v="2"/>
    <x v="10"/>
    <s v="Low"/>
    <s v="Online"/>
    <n v="18396"/>
  </r>
  <r>
    <n v="1825"/>
    <d v="2024-03-17T00:00:00"/>
    <s v="2024-03-17 00:00:00"/>
    <s v=" North "/>
    <x v="2"/>
    <s v="Grocery"/>
    <x v="3"/>
    <s v="Rice 5Kg"/>
    <s v="Rice 5kg"/>
    <s v="CUST0537"/>
    <s v=" CUST0537 "/>
    <x v="4"/>
    <s v="Karthik"/>
    <x v="3"/>
    <s v=" Net Banking "/>
    <n v="13"/>
    <s v="13"/>
    <n v="534"/>
    <s v="534"/>
    <n v="6942"/>
    <x v="0"/>
    <x v="2"/>
    <x v="10"/>
    <s v="Low"/>
    <s v="Online"/>
    <n v="6942"/>
  </r>
  <r>
    <n v="1826"/>
    <d v="2024-03-17T01:00:00"/>
    <s v="2024-03-17 01:00:00"/>
    <s v=" North "/>
    <x v="2"/>
    <s v="Electronics"/>
    <x v="2"/>
    <s v="Led Tv 42Inch"/>
    <s v="LED TV 42inch"/>
    <s v="CUST0058"/>
    <s v=" CUST0058 "/>
    <x v="1"/>
    <s v="Meena"/>
    <x v="3"/>
    <s v=" Net Banking "/>
    <n v="5"/>
    <s v="5"/>
    <n v="2138"/>
    <s v="2138"/>
    <n v="10690"/>
    <x v="0"/>
    <x v="2"/>
    <x v="10"/>
    <s v="Low"/>
    <s v="Online"/>
    <n v="10690"/>
  </r>
  <r>
    <n v="1827"/>
    <d v="2024-03-17T02:00:00"/>
    <s v="2024-03-17 02:00:00"/>
    <s v="south"/>
    <x v="3"/>
    <s v=" Home Appliances "/>
    <x v="1"/>
    <s v="Led Tv 42Inch"/>
    <s v="LED TV 42inch"/>
    <s v="CUST0498"/>
    <s v=" CUST0498 "/>
    <x v="2"/>
    <s v="Suresh"/>
    <x v="0"/>
    <s v=" Cash"/>
    <n v="8"/>
    <s v="8"/>
    <n v="1806"/>
    <s v="1806"/>
    <n v="14448"/>
    <x v="0"/>
    <x v="2"/>
    <x v="10"/>
    <s v="Low"/>
    <s v="Offline"/>
    <n v="14448"/>
  </r>
  <r>
    <n v="1828"/>
    <d v="2024-03-17T03:00:00"/>
    <s v="2024-03-17 03:00:00"/>
    <s v=" west"/>
    <x v="1"/>
    <s v="Clothing"/>
    <x v="0"/>
    <s v="Rice 5Kg"/>
    <s v="Rice 5kg"/>
    <s v="CUST0297"/>
    <s v=" CUST0297 "/>
    <x v="4"/>
    <s v="Karthik"/>
    <x v="2"/>
    <s v="UPI"/>
    <n v="14"/>
    <s v="14"/>
    <n v="168"/>
    <s v="168"/>
    <n v="2352"/>
    <x v="0"/>
    <x v="2"/>
    <x v="10"/>
    <s v="Low"/>
    <s v="Online"/>
    <n v="2352"/>
  </r>
  <r>
    <n v="1829"/>
    <d v="2024-03-17T04:00:00"/>
    <s v="2024-03-17 04:00:00"/>
    <s v="south"/>
    <x v="3"/>
    <s v="Grocery"/>
    <x v="3"/>
    <s v="Rice 5Kg"/>
    <s v="Rice 5kg"/>
    <s v="CUST0134"/>
    <s v=" CUST0134 "/>
    <x v="4"/>
    <s v="Karthik"/>
    <x v="0"/>
    <s v=" Cash"/>
    <n v="5"/>
    <s v="5"/>
    <n v="2004"/>
    <s v="2004"/>
    <n v="10020"/>
    <x v="0"/>
    <x v="2"/>
    <x v="10"/>
    <s v="Low"/>
    <s v="Offline"/>
    <n v="10020"/>
  </r>
  <r>
    <n v="1830"/>
    <d v="2024-03-17T05:00:00"/>
    <s v="2024-03-17 05:00:00"/>
    <s v=" North "/>
    <x v="2"/>
    <s v=" Home Appliances "/>
    <x v="1"/>
    <s v="Washing Machine"/>
    <s v="Washing Machine"/>
    <s v="CUST0331"/>
    <s v=" CUST0331 "/>
    <x v="0"/>
    <s v="Rahul"/>
    <x v="0"/>
    <s v=" Cash"/>
    <n v="1"/>
    <s v="1"/>
    <n v="4059"/>
    <s v="4059"/>
    <n v="4059"/>
    <x v="0"/>
    <x v="2"/>
    <x v="10"/>
    <s v="Low"/>
    <s v="Offline"/>
    <n v="4059"/>
  </r>
  <r>
    <n v="1831"/>
    <d v="2024-03-17T06:00:00"/>
    <s v="2024-03-17 06:00:00"/>
    <s v="south"/>
    <x v="3"/>
    <s v=" Home Appliances "/>
    <x v="1"/>
    <s v="Washing Machine"/>
    <s v="Washing Machine"/>
    <s v="CUST0249"/>
    <s v=" CUST0249 "/>
    <x v="3"/>
    <s v="Anita"/>
    <x v="2"/>
    <s v="UPI"/>
    <n v="9"/>
    <s v="9"/>
    <n v="3051"/>
    <s v="3051"/>
    <n v="27459"/>
    <x v="0"/>
    <x v="2"/>
    <x v="10"/>
    <s v="Medium"/>
    <s v="Online"/>
    <n v="27459"/>
  </r>
  <r>
    <n v="1832"/>
    <d v="2024-03-17T07:00:00"/>
    <s v="2024-03-17 07:00:00"/>
    <s v=" North "/>
    <x v="2"/>
    <s v="Electronics"/>
    <x v="2"/>
    <s v="Rice 5Kg"/>
    <s v="Rice 5kg"/>
    <s v="CUST0550"/>
    <s v=" CUST0550 "/>
    <x v="0"/>
    <s v="Rahul"/>
    <x v="4"/>
    <s v="Credit Card"/>
    <n v="4"/>
    <s v="4"/>
    <n v="4749"/>
    <s v="4749"/>
    <n v="18996"/>
    <x v="0"/>
    <x v="2"/>
    <x v="10"/>
    <s v="Low"/>
    <s v="Online"/>
    <n v="18996"/>
  </r>
  <r>
    <n v="1833"/>
    <d v="2024-03-17T08:00:00"/>
    <s v="2024-03-17 08:00:00"/>
    <s v=" west"/>
    <x v="1"/>
    <s v=" Home Appliances "/>
    <x v="1"/>
    <s v="Laptop"/>
    <s v="Laptop"/>
    <s v="CUST0075"/>
    <s v=" CUST0075 "/>
    <x v="3"/>
    <s v="Anita"/>
    <x v="4"/>
    <s v="Credit Card"/>
    <n v="13"/>
    <s v="13"/>
    <n v="2813"/>
    <s v="2813"/>
    <n v="36569"/>
    <x v="0"/>
    <x v="2"/>
    <x v="10"/>
    <s v="Medium"/>
    <s v="Online"/>
    <n v="36569"/>
  </r>
  <r>
    <n v="1834"/>
    <d v="2024-03-17T09:00:00"/>
    <s v="2024-03-17 09:00:00"/>
    <s v="EAST"/>
    <x v="0"/>
    <s v="Electronics"/>
    <x v="2"/>
    <s v="Men T-Shirt"/>
    <s v="Men T-Shirt"/>
    <s v="CUST0654"/>
    <s v=" CUST0654 "/>
    <x v="3"/>
    <s v="Anita"/>
    <x v="3"/>
    <s v=" Net Banking "/>
    <n v="2"/>
    <s v="2"/>
    <n v="3469"/>
    <s v="3469"/>
    <n v="6938"/>
    <x v="0"/>
    <x v="2"/>
    <x v="10"/>
    <s v="Low"/>
    <s v="Online"/>
    <n v="6938"/>
  </r>
  <r>
    <n v="1835"/>
    <d v="2024-03-17T10:00:00"/>
    <s v="2024-03-17 10:00:00"/>
    <s v=" west"/>
    <x v="1"/>
    <s v="Clothing"/>
    <x v="0"/>
    <s v="Washing Machine"/>
    <s v="Washing Machine"/>
    <s v="CUST0168"/>
    <s v=" CUST0168 "/>
    <x v="4"/>
    <s v="Karthik"/>
    <x v="1"/>
    <s v="Debit card "/>
    <n v="4"/>
    <s v="4"/>
    <n v="4695"/>
    <s v="4695"/>
    <n v="18780"/>
    <x v="0"/>
    <x v="2"/>
    <x v="10"/>
    <s v="Low"/>
    <s v="Online"/>
    <n v="18780"/>
  </r>
  <r>
    <n v="1836"/>
    <d v="2024-03-17T11:00:00"/>
    <s v="2024-03-17 11:00:00"/>
    <s v="south"/>
    <x v="3"/>
    <s v="Electronics"/>
    <x v="2"/>
    <s v="Men T-Shirt"/>
    <s v="Men T-Shirt"/>
    <s v="CUST0771"/>
    <s v=" CUST0771 "/>
    <x v="3"/>
    <s v="Anita"/>
    <x v="1"/>
    <s v="Debit card "/>
    <n v="14"/>
    <s v="14"/>
    <n v="3827"/>
    <s v="3827"/>
    <n v="53578"/>
    <x v="0"/>
    <x v="2"/>
    <x v="10"/>
    <s v="High"/>
    <s v="Online"/>
    <n v="53578"/>
  </r>
  <r>
    <n v="1837"/>
    <d v="2024-03-17T12:00:00"/>
    <s v="2024-03-17 12:00:00"/>
    <s v="south"/>
    <x v="3"/>
    <s v="Grocery"/>
    <x v="3"/>
    <s v="Laptop"/>
    <s v="Laptop"/>
    <s v="CUST0503"/>
    <s v=" CUST0503 "/>
    <x v="2"/>
    <s v="Suresh"/>
    <x v="3"/>
    <s v=" Net Banking "/>
    <n v="13"/>
    <s v="13"/>
    <n v="2504"/>
    <s v="2504"/>
    <n v="32552"/>
    <x v="0"/>
    <x v="2"/>
    <x v="10"/>
    <s v="Medium"/>
    <s v="Online"/>
    <n v="32552"/>
  </r>
  <r>
    <n v="1838"/>
    <d v="2024-03-17T13:00:00"/>
    <s v="2024-03-17 13:00:00"/>
    <s v=" west"/>
    <x v="1"/>
    <s v="Electronics"/>
    <x v="2"/>
    <s v="Rice 5Kg"/>
    <s v="Rice 5kg"/>
    <s v="CUST0355"/>
    <s v=" CUST0355 "/>
    <x v="2"/>
    <s v="Suresh"/>
    <x v="1"/>
    <s v="Debit card "/>
    <n v="9"/>
    <s v="9"/>
    <n v="3425"/>
    <s v="3425"/>
    <n v="30825"/>
    <x v="0"/>
    <x v="2"/>
    <x v="10"/>
    <s v="Medium"/>
    <s v="Online"/>
    <n v="30825"/>
  </r>
  <r>
    <n v="1839"/>
    <d v="2024-03-17T14:00:00"/>
    <s v="2024-03-17 14:00:00"/>
    <s v=" west"/>
    <x v="1"/>
    <s v="Grocery"/>
    <x v="3"/>
    <s v="Laptop"/>
    <s v="Laptop"/>
    <s v="CUST0225"/>
    <s v=" CUST0225 "/>
    <x v="2"/>
    <s v="Suresh"/>
    <x v="0"/>
    <s v=" Cash"/>
    <n v="2"/>
    <s v="2"/>
    <n v="3646"/>
    <s v="3646"/>
    <n v="7292"/>
    <x v="0"/>
    <x v="2"/>
    <x v="10"/>
    <s v="Low"/>
    <s v="Offline"/>
    <n v="7292"/>
  </r>
  <r>
    <n v="1840"/>
    <d v="2024-03-17T15:00:00"/>
    <s v="2024-03-17 15:00:00"/>
    <s v=" North "/>
    <x v="2"/>
    <s v="Electronics"/>
    <x v="2"/>
    <s v="Washing Machine"/>
    <s v="Washing Machine"/>
    <s v="CUST0664"/>
    <s v=" CUST0664 "/>
    <x v="4"/>
    <s v="Karthik"/>
    <x v="0"/>
    <s v=" Cash"/>
    <n v="4"/>
    <s v="4"/>
    <n v="2403"/>
    <s v="2403"/>
    <n v="9612"/>
    <x v="0"/>
    <x v="2"/>
    <x v="10"/>
    <s v="Low"/>
    <s v="Offline"/>
    <n v="9612"/>
  </r>
  <r>
    <n v="1841"/>
    <d v="2024-03-17T16:00:00"/>
    <s v="2024-03-17 16:00:00"/>
    <s v="south"/>
    <x v="3"/>
    <s v=" Home Appliances "/>
    <x v="1"/>
    <s v="Led Tv 42Inch"/>
    <s v="LED TV 42inch"/>
    <s v="CUST0531"/>
    <s v=" CUST0531 "/>
    <x v="0"/>
    <s v="Rahul"/>
    <x v="2"/>
    <s v="UPI"/>
    <n v="2"/>
    <s v="2"/>
    <n v="3781"/>
    <s v="3781"/>
    <n v="7562"/>
    <x v="0"/>
    <x v="2"/>
    <x v="10"/>
    <s v="Low"/>
    <s v="Online"/>
    <n v="7562"/>
  </r>
  <r>
    <n v="1842"/>
    <d v="2024-03-17T17:00:00"/>
    <s v="2024-03-17 17:00:00"/>
    <s v="south"/>
    <x v="3"/>
    <s v="Clothing"/>
    <x v="0"/>
    <s v="Rice 5Kg"/>
    <s v="Rice 5kg"/>
    <s v="CUST0146"/>
    <s v=" CUST0146 "/>
    <x v="1"/>
    <s v="Meena"/>
    <x v="2"/>
    <s v="UPI"/>
    <n v="5"/>
    <s v="5"/>
    <n v="3321"/>
    <s v="3321"/>
    <n v="16605"/>
    <x v="0"/>
    <x v="2"/>
    <x v="10"/>
    <s v="Low"/>
    <s v="Online"/>
    <n v="16605"/>
  </r>
  <r>
    <n v="1843"/>
    <d v="2024-03-17T18:00:00"/>
    <s v="2024-03-17 18:00:00"/>
    <s v=" west"/>
    <x v="1"/>
    <s v="Grocery"/>
    <x v="3"/>
    <s v="Mixer Grinder"/>
    <s v="Mixer Grinder"/>
    <s v="CUST0241"/>
    <s v=" CUST0241 "/>
    <x v="3"/>
    <s v="Anita"/>
    <x v="3"/>
    <s v=" Net Banking "/>
    <n v="3"/>
    <s v="3"/>
    <n v="4474"/>
    <s v="4474"/>
    <n v="13422"/>
    <x v="0"/>
    <x v="2"/>
    <x v="10"/>
    <s v="Low"/>
    <s v="Online"/>
    <n v="13422"/>
  </r>
  <r>
    <n v="1844"/>
    <d v="2024-03-17T19:00:00"/>
    <s v="2024-03-17 19:00:00"/>
    <s v="EAST"/>
    <x v="0"/>
    <s v="Electronics"/>
    <x v="2"/>
    <s v="Men T-Shirt"/>
    <s v="Men T-Shirt"/>
    <s v="CUST0344"/>
    <s v=" CUST0344 "/>
    <x v="1"/>
    <s v="Meena"/>
    <x v="3"/>
    <s v=" Net Banking "/>
    <n v="10"/>
    <s v="10"/>
    <n v="1182"/>
    <s v="1182"/>
    <n v="11820"/>
    <x v="0"/>
    <x v="2"/>
    <x v="10"/>
    <s v="Low"/>
    <s v="Online"/>
    <n v="11820"/>
  </r>
  <r>
    <n v="1845"/>
    <d v="2024-03-17T20:00:00"/>
    <s v="2024-03-17 20:00:00"/>
    <s v="south"/>
    <x v="3"/>
    <s v="Electronics"/>
    <x v="2"/>
    <s v="Laptop"/>
    <s v="Laptop"/>
    <s v="CUST0749"/>
    <s v=" CUST0749 "/>
    <x v="0"/>
    <s v="Rahul"/>
    <x v="3"/>
    <s v=" Net Banking "/>
    <n v="2"/>
    <s v="2"/>
    <n v="545"/>
    <s v="545"/>
    <n v="1090"/>
    <x v="0"/>
    <x v="2"/>
    <x v="10"/>
    <s v="Low"/>
    <s v="Online"/>
    <n v="1090"/>
  </r>
  <r>
    <n v="1846"/>
    <d v="2024-03-17T21:00:00"/>
    <s v="2024-03-17 21:00:00"/>
    <s v="EAST"/>
    <x v="0"/>
    <s v="Electronics"/>
    <x v="2"/>
    <s v="Rice 5Kg"/>
    <s v="Rice 5kg"/>
    <s v="CUST0035"/>
    <s v=" CUST0035 "/>
    <x v="0"/>
    <s v="Rahul"/>
    <x v="0"/>
    <s v=" Cash"/>
    <n v="14"/>
    <s v="14"/>
    <n v="4950"/>
    <s v="4950"/>
    <n v="69300"/>
    <x v="0"/>
    <x v="2"/>
    <x v="10"/>
    <s v="High"/>
    <s v="Offline"/>
    <n v="69300"/>
  </r>
  <r>
    <n v="1847"/>
    <d v="2024-03-17T22:00:00"/>
    <s v="2024-03-17 22:00:00"/>
    <s v=" west"/>
    <x v="1"/>
    <s v=" Home Appliances "/>
    <x v="1"/>
    <s v="Laptop"/>
    <s v="Laptop"/>
    <s v="CUST0702"/>
    <s v=" CUST0702 "/>
    <x v="4"/>
    <s v="Karthik"/>
    <x v="1"/>
    <s v="Debit card "/>
    <n v="9"/>
    <s v="9"/>
    <n v="1692"/>
    <s v="1692"/>
    <n v="15228"/>
    <x v="0"/>
    <x v="2"/>
    <x v="10"/>
    <s v="Low"/>
    <s v="Online"/>
    <n v="15228"/>
  </r>
  <r>
    <n v="1848"/>
    <d v="2024-03-17T23:00:00"/>
    <s v="2024-03-17 23:00:00"/>
    <s v=" west"/>
    <x v="1"/>
    <s v=" Home Appliances "/>
    <x v="1"/>
    <s v="Rice 5Kg"/>
    <s v="Rice 5kg"/>
    <s v="CUST0001"/>
    <s v=" CUST0001 "/>
    <x v="2"/>
    <s v="Suresh"/>
    <x v="3"/>
    <s v=" Net Banking "/>
    <n v="5"/>
    <s v="5"/>
    <n v="2875"/>
    <s v="2875"/>
    <n v="14375"/>
    <x v="0"/>
    <x v="2"/>
    <x v="10"/>
    <s v="Low"/>
    <s v="Online"/>
    <n v="14375"/>
  </r>
  <r>
    <n v="1849"/>
    <d v="2024-03-18T00:00:00"/>
    <s v="2024-03-18 00:00:00"/>
    <s v=" North "/>
    <x v="2"/>
    <s v="Grocery"/>
    <x v="3"/>
    <s v="Washing Machine"/>
    <s v="Washing Machine"/>
    <s v="CUST0153"/>
    <s v=" CUST0153 "/>
    <x v="2"/>
    <s v="Suresh"/>
    <x v="3"/>
    <s v=" Net Banking "/>
    <n v="10"/>
    <s v="10"/>
    <n v="3916"/>
    <s v="3916"/>
    <n v="39160"/>
    <x v="0"/>
    <x v="2"/>
    <x v="11"/>
    <s v="Medium"/>
    <s v="Online"/>
    <n v="39160"/>
  </r>
  <r>
    <n v="1850"/>
    <d v="2024-03-18T01:00:00"/>
    <s v="2024-03-18 01:00:00"/>
    <s v="south"/>
    <x v="3"/>
    <s v="Grocery"/>
    <x v="3"/>
    <s v="Washing Machine"/>
    <s v="Washing Machine"/>
    <s v="CUST0429"/>
    <s v=" CUST0429 "/>
    <x v="0"/>
    <s v="Rahul"/>
    <x v="0"/>
    <s v=" Cash"/>
    <n v="5"/>
    <s v="5"/>
    <n v="3153"/>
    <s v="3153"/>
    <n v="15765"/>
    <x v="0"/>
    <x v="2"/>
    <x v="11"/>
    <s v="Low"/>
    <s v="Offline"/>
    <n v="15765"/>
  </r>
  <r>
    <n v="1851"/>
    <d v="2024-03-18T02:00:00"/>
    <s v="2024-03-18 02:00:00"/>
    <s v="EAST"/>
    <x v="0"/>
    <s v=" Home Appliances "/>
    <x v="1"/>
    <s v="Washing Machine"/>
    <s v="Washing Machine"/>
    <s v="CUST0508"/>
    <s v=" CUST0508 "/>
    <x v="4"/>
    <s v="Karthik"/>
    <x v="0"/>
    <s v=" Cash"/>
    <n v="1"/>
    <s v="1"/>
    <n v="1690"/>
    <s v="1690"/>
    <n v="1690"/>
    <x v="0"/>
    <x v="2"/>
    <x v="11"/>
    <s v="Low"/>
    <s v="Offline"/>
    <n v="1690"/>
  </r>
  <r>
    <n v="1852"/>
    <d v="2024-03-18T03:00:00"/>
    <s v="2024-03-18 03:00:00"/>
    <s v=" North "/>
    <x v="2"/>
    <s v="Grocery"/>
    <x v="3"/>
    <s v="Laptop"/>
    <s v="Laptop"/>
    <s v="CUST0126"/>
    <s v=" CUST0126 "/>
    <x v="4"/>
    <s v="Karthik"/>
    <x v="0"/>
    <s v=" Cash"/>
    <n v="6"/>
    <s v="6"/>
    <n v="2331"/>
    <s v="2331"/>
    <n v="13986"/>
    <x v="0"/>
    <x v="2"/>
    <x v="11"/>
    <s v="Low"/>
    <s v="Offline"/>
    <n v="13986"/>
  </r>
  <r>
    <n v="1853"/>
    <d v="2024-03-18T04:00:00"/>
    <s v="2024-03-18 04:00:00"/>
    <s v="south"/>
    <x v="3"/>
    <s v="Clothing"/>
    <x v="0"/>
    <s v="Mixer Grinder"/>
    <s v="Mixer Grinder"/>
    <s v="CUST0491"/>
    <s v=" CUST0491 "/>
    <x v="3"/>
    <s v="Anita"/>
    <x v="1"/>
    <s v="Debit card "/>
    <n v="13"/>
    <s v="13"/>
    <n v="1661"/>
    <s v="1661"/>
    <n v="21593"/>
    <x v="0"/>
    <x v="2"/>
    <x v="11"/>
    <s v="Medium"/>
    <s v="Online"/>
    <n v="21593"/>
  </r>
  <r>
    <n v="1854"/>
    <d v="2024-03-18T05:00:00"/>
    <s v="2024-03-18 05:00:00"/>
    <s v=" North "/>
    <x v="2"/>
    <s v="Clothing"/>
    <x v="0"/>
    <s v="Washing Machine"/>
    <s v="Washing Machine"/>
    <s v="CUST0482"/>
    <s v=" CUST0482 "/>
    <x v="2"/>
    <s v="Suresh"/>
    <x v="3"/>
    <s v=" Net Banking "/>
    <n v="7"/>
    <s v="7"/>
    <n v="4372"/>
    <s v="4372"/>
    <n v="30604"/>
    <x v="0"/>
    <x v="2"/>
    <x v="11"/>
    <s v="Medium"/>
    <s v="Online"/>
    <n v="30604"/>
  </r>
  <r>
    <n v="1855"/>
    <d v="2024-03-18T06:00:00"/>
    <s v="2024-03-18 06:00:00"/>
    <s v=" west"/>
    <x v="1"/>
    <s v=" Home Appliances "/>
    <x v="1"/>
    <s v="Rice 5Kg"/>
    <s v="Rice 5kg"/>
    <s v="CUST0345"/>
    <s v=" CUST0345 "/>
    <x v="0"/>
    <s v="Rahul"/>
    <x v="4"/>
    <s v="Credit Card"/>
    <n v="1"/>
    <s v="1"/>
    <n v="3746"/>
    <s v="3746"/>
    <n v="3746"/>
    <x v="0"/>
    <x v="2"/>
    <x v="11"/>
    <s v="Low"/>
    <s v="Online"/>
    <n v="3746"/>
  </r>
  <r>
    <n v="1856"/>
    <d v="2024-03-18T07:00:00"/>
    <s v="2024-03-18 07:00:00"/>
    <s v="south"/>
    <x v="3"/>
    <s v="Grocery"/>
    <x v="3"/>
    <s v="Washing Machine"/>
    <s v="Washing Machine"/>
    <s v="CUST0738"/>
    <s v=" CUST0738 "/>
    <x v="1"/>
    <s v="Meena"/>
    <x v="4"/>
    <s v="Credit Card"/>
    <n v="9"/>
    <s v="9"/>
    <n v="3338"/>
    <s v="3338"/>
    <n v="30042"/>
    <x v="0"/>
    <x v="2"/>
    <x v="11"/>
    <s v="Medium"/>
    <s v="Online"/>
    <n v="30042"/>
  </r>
  <r>
    <n v="1857"/>
    <d v="2024-03-18T08:00:00"/>
    <s v="2024-03-18 08:00:00"/>
    <s v=" North "/>
    <x v="2"/>
    <s v="Electronics"/>
    <x v="2"/>
    <s v="Led Tv 42Inch"/>
    <s v="LED TV 42inch"/>
    <s v="CUST0221"/>
    <s v=" CUST0221 "/>
    <x v="2"/>
    <s v="Suresh"/>
    <x v="3"/>
    <s v=" Net Banking "/>
    <n v="8"/>
    <s v="8"/>
    <n v="1700"/>
    <s v="1700"/>
    <n v="13600"/>
    <x v="0"/>
    <x v="2"/>
    <x v="11"/>
    <s v="Low"/>
    <s v="Online"/>
    <n v="13600"/>
  </r>
  <r>
    <n v="1858"/>
    <d v="2024-03-18T09:00:00"/>
    <s v="2024-03-18 09:00:00"/>
    <s v=" North "/>
    <x v="2"/>
    <s v="Clothing"/>
    <x v="0"/>
    <s v="Washing Machine"/>
    <s v="Washing Machine"/>
    <s v="CUST0723"/>
    <s v=" CUST0723 "/>
    <x v="3"/>
    <s v="Anita"/>
    <x v="3"/>
    <s v=" Net Banking "/>
    <n v="12"/>
    <s v="12"/>
    <n v="2156"/>
    <s v="2156"/>
    <n v="25872"/>
    <x v="0"/>
    <x v="2"/>
    <x v="11"/>
    <s v="Medium"/>
    <s v="Online"/>
    <n v="25872"/>
  </r>
  <r>
    <n v="1859"/>
    <d v="2024-03-18T10:00:00"/>
    <s v="2024-03-18 10:00:00"/>
    <s v="EAST"/>
    <x v="0"/>
    <s v=" Home Appliances "/>
    <x v="1"/>
    <s v="Laptop"/>
    <s v="Laptop"/>
    <s v="CUST0025"/>
    <s v=" CUST0025 "/>
    <x v="4"/>
    <s v="Karthik"/>
    <x v="3"/>
    <s v=" Net Banking "/>
    <n v="14"/>
    <s v="14"/>
    <n v="4431"/>
    <s v="4431"/>
    <n v="62034"/>
    <x v="0"/>
    <x v="2"/>
    <x v="11"/>
    <s v="High"/>
    <s v="Online"/>
    <n v="62034"/>
  </r>
  <r>
    <n v="1860"/>
    <d v="2024-03-18T11:00:00"/>
    <s v="2024-03-18 11:00:00"/>
    <s v=" North "/>
    <x v="2"/>
    <s v="Grocery"/>
    <x v="3"/>
    <s v="Mixer Grinder"/>
    <s v="Mixer Grinder"/>
    <s v="CUST0528"/>
    <s v=" CUST0528 "/>
    <x v="0"/>
    <s v="Rahul"/>
    <x v="3"/>
    <s v=" Net Banking "/>
    <n v="14"/>
    <s v="14"/>
    <n v="809"/>
    <s v="809"/>
    <n v="11326"/>
    <x v="0"/>
    <x v="2"/>
    <x v="11"/>
    <s v="Low"/>
    <s v="Online"/>
    <n v="11326"/>
  </r>
  <r>
    <n v="1861"/>
    <d v="2024-03-18T12:00:00"/>
    <s v="2024-03-18 12:00:00"/>
    <s v="south"/>
    <x v="3"/>
    <s v=" Home Appliances "/>
    <x v="1"/>
    <s v="Led Tv 42Inch"/>
    <s v="LED TV 42inch"/>
    <s v="CUST0182"/>
    <s v=" CUST0182 "/>
    <x v="2"/>
    <s v="Suresh"/>
    <x v="1"/>
    <s v="Debit card "/>
    <n v="8"/>
    <s v="8"/>
    <n v="3071"/>
    <s v="3071"/>
    <n v="24568"/>
    <x v="0"/>
    <x v="2"/>
    <x v="11"/>
    <s v="Medium"/>
    <s v="Online"/>
    <n v="24568"/>
  </r>
  <r>
    <n v="1862"/>
    <d v="2024-03-18T13:00:00"/>
    <s v="2024-03-18 13:00:00"/>
    <s v="south"/>
    <x v="3"/>
    <s v="Electronics"/>
    <x v="2"/>
    <s v="Laptop"/>
    <s v="Laptop"/>
    <s v="CUST0499"/>
    <s v=" CUST0499 "/>
    <x v="1"/>
    <s v="Meena"/>
    <x v="4"/>
    <s v="Credit Card"/>
    <n v="7"/>
    <s v="7"/>
    <n v="2832"/>
    <s v="2832"/>
    <n v="19824"/>
    <x v="0"/>
    <x v="2"/>
    <x v="11"/>
    <s v="Low"/>
    <s v="Online"/>
    <n v="19824"/>
  </r>
  <r>
    <n v="1863"/>
    <d v="2024-03-18T14:00:00"/>
    <s v="2024-03-18 14:00:00"/>
    <s v="EAST"/>
    <x v="0"/>
    <s v="Clothing"/>
    <x v="0"/>
    <s v="Laptop"/>
    <s v="Laptop"/>
    <s v="CUST0641"/>
    <s v=" CUST0641 "/>
    <x v="3"/>
    <s v="Anita"/>
    <x v="2"/>
    <s v="UPI"/>
    <n v="5"/>
    <s v="5"/>
    <n v="893"/>
    <s v="893"/>
    <n v="4465"/>
    <x v="0"/>
    <x v="2"/>
    <x v="11"/>
    <s v="Low"/>
    <s v="Online"/>
    <n v="4465"/>
  </r>
  <r>
    <n v="1864"/>
    <d v="2024-03-18T15:00:00"/>
    <s v="2024-03-18 15:00:00"/>
    <s v="south"/>
    <x v="3"/>
    <s v=" Home Appliances "/>
    <x v="1"/>
    <s v="Laptop"/>
    <s v="Laptop"/>
    <s v="CUST0042"/>
    <s v=" CUST0042 "/>
    <x v="3"/>
    <s v="Anita"/>
    <x v="4"/>
    <s v="Credit Card"/>
    <n v="3"/>
    <s v="3"/>
    <n v="3199"/>
    <s v="3199"/>
    <n v="9597"/>
    <x v="0"/>
    <x v="2"/>
    <x v="11"/>
    <s v="Low"/>
    <s v="Online"/>
    <n v="9597"/>
  </r>
  <r>
    <n v="1865"/>
    <d v="2024-03-18T16:00:00"/>
    <s v="2024-03-18 16:00:00"/>
    <s v=" west"/>
    <x v="1"/>
    <s v=" Home Appliances "/>
    <x v="1"/>
    <s v="Rice 5Kg"/>
    <s v="Rice 5kg"/>
    <s v="CUST0481"/>
    <s v=" CUST0481 "/>
    <x v="2"/>
    <s v="Suresh"/>
    <x v="4"/>
    <s v="Credit Card"/>
    <n v="12"/>
    <s v="12"/>
    <n v="2955"/>
    <s v="2955"/>
    <n v="35460"/>
    <x v="0"/>
    <x v="2"/>
    <x v="11"/>
    <s v="Medium"/>
    <s v="Online"/>
    <n v="35460"/>
  </r>
  <r>
    <n v="1866"/>
    <d v="2024-03-18T17:00:00"/>
    <s v="2024-03-18 17:00:00"/>
    <s v="south"/>
    <x v="3"/>
    <s v=" Home Appliances "/>
    <x v="1"/>
    <s v="Laptop"/>
    <s v="Laptop"/>
    <s v="CUST0748"/>
    <s v=" CUST0748 "/>
    <x v="1"/>
    <s v="Meena"/>
    <x v="0"/>
    <s v=" Cash"/>
    <n v="14"/>
    <s v="14"/>
    <n v="126"/>
    <s v="126"/>
    <n v="1764"/>
    <x v="0"/>
    <x v="2"/>
    <x v="11"/>
    <s v="Low"/>
    <s v="Offline"/>
    <n v="1764"/>
  </r>
  <r>
    <n v="1867"/>
    <d v="2024-03-18T18:00:00"/>
    <s v="2024-03-18 18:00:00"/>
    <s v="south"/>
    <x v="3"/>
    <s v="Electronics"/>
    <x v="2"/>
    <s v="Rice 5Kg"/>
    <s v="Rice 5kg"/>
    <s v="CUST0439"/>
    <s v=" CUST0439 "/>
    <x v="3"/>
    <s v="Anita"/>
    <x v="3"/>
    <s v=" Net Banking "/>
    <n v="9"/>
    <s v="9"/>
    <n v="3367"/>
    <s v="3367"/>
    <n v="30303"/>
    <x v="0"/>
    <x v="2"/>
    <x v="11"/>
    <s v="Medium"/>
    <s v="Online"/>
    <n v="30303"/>
  </r>
  <r>
    <n v="1868"/>
    <d v="2024-03-18T19:00:00"/>
    <s v="2024-03-18 19:00:00"/>
    <s v=" North "/>
    <x v="2"/>
    <s v=" Home Appliances "/>
    <x v="1"/>
    <s v="Laptop"/>
    <s v="Laptop"/>
    <s v="CUST0402"/>
    <s v=" CUST0402 "/>
    <x v="0"/>
    <s v="Rahul"/>
    <x v="3"/>
    <s v=" Net Banking "/>
    <n v="14"/>
    <s v="14"/>
    <n v="184"/>
    <s v="184"/>
    <n v="2576"/>
    <x v="0"/>
    <x v="2"/>
    <x v="11"/>
    <s v="Low"/>
    <s v="Online"/>
    <n v="2576"/>
  </r>
  <r>
    <n v="1869"/>
    <d v="2024-03-18T20:00:00"/>
    <s v="2024-03-18 20:00:00"/>
    <s v=" North "/>
    <x v="2"/>
    <s v="Electronics"/>
    <x v="2"/>
    <s v="Men T-Shirt"/>
    <s v="Men T-Shirt"/>
    <s v="CUST0546"/>
    <s v=" CUST0546 "/>
    <x v="3"/>
    <s v="Anita"/>
    <x v="3"/>
    <s v=" Net Banking "/>
    <n v="7"/>
    <s v="7"/>
    <n v="3201"/>
    <s v="3201"/>
    <n v="22407"/>
    <x v="0"/>
    <x v="2"/>
    <x v="11"/>
    <s v="Medium"/>
    <s v="Online"/>
    <n v="22407"/>
  </r>
  <r>
    <n v="1870"/>
    <d v="2024-03-18T21:00:00"/>
    <s v="2024-03-18 21:00:00"/>
    <s v="south"/>
    <x v="3"/>
    <s v="Electronics"/>
    <x v="2"/>
    <s v="Led Tv 42Inch"/>
    <s v="LED TV 42inch"/>
    <s v="CUST0345"/>
    <s v=" CUST0345 "/>
    <x v="1"/>
    <s v="Meena"/>
    <x v="0"/>
    <s v=" Cash"/>
    <n v="11"/>
    <s v="11"/>
    <n v="1222"/>
    <s v="1222"/>
    <n v="13442"/>
    <x v="0"/>
    <x v="2"/>
    <x v="11"/>
    <s v="Low"/>
    <s v="Offline"/>
    <n v="13442"/>
  </r>
  <r>
    <n v="1871"/>
    <d v="2024-03-18T22:00:00"/>
    <s v="2024-03-18 22:00:00"/>
    <s v="EAST"/>
    <x v="0"/>
    <s v="Electronics"/>
    <x v="2"/>
    <s v="Men T-Shirt"/>
    <s v="Men T-Shirt"/>
    <s v="CUST0045"/>
    <s v=" CUST0045 "/>
    <x v="4"/>
    <s v="Karthik"/>
    <x v="1"/>
    <s v="Debit card "/>
    <n v="10"/>
    <s v="10"/>
    <n v="111"/>
    <s v="111"/>
    <n v="1110"/>
    <x v="0"/>
    <x v="2"/>
    <x v="11"/>
    <s v="Low"/>
    <s v="Online"/>
    <n v="1110"/>
  </r>
  <r>
    <n v="1872"/>
    <d v="2024-03-18T23:00:00"/>
    <s v="2024-03-18 23:00:00"/>
    <s v=" North "/>
    <x v="2"/>
    <s v="Clothing"/>
    <x v="0"/>
    <s v="Laptop"/>
    <s v="Laptop"/>
    <s v="CUST0646"/>
    <s v=" CUST0646 "/>
    <x v="4"/>
    <s v="Karthik"/>
    <x v="1"/>
    <s v="Debit card "/>
    <n v="10"/>
    <s v="10"/>
    <n v="1848"/>
    <s v="1848"/>
    <n v="18480"/>
    <x v="0"/>
    <x v="2"/>
    <x v="11"/>
    <s v="Low"/>
    <s v="Online"/>
    <n v="18480"/>
  </r>
  <r>
    <n v="1873"/>
    <d v="2024-03-19T00:00:00"/>
    <s v="2024-03-19 00:00:00"/>
    <s v="EAST"/>
    <x v="0"/>
    <s v="Clothing"/>
    <x v="0"/>
    <s v="Led Tv 42Inch"/>
    <s v="LED TV 42inch"/>
    <s v="CUST0021"/>
    <s v=" CUST0021 "/>
    <x v="2"/>
    <s v="Suresh"/>
    <x v="2"/>
    <s v="UPI"/>
    <n v="8"/>
    <s v="8"/>
    <n v="3209"/>
    <s v="3209"/>
    <n v="25672"/>
    <x v="0"/>
    <x v="2"/>
    <x v="11"/>
    <s v="Medium"/>
    <s v="Online"/>
    <n v="25672"/>
  </r>
  <r>
    <n v="1874"/>
    <d v="2024-03-19T01:00:00"/>
    <s v="2024-03-19 01:00:00"/>
    <s v="south"/>
    <x v="3"/>
    <s v=" Home Appliances "/>
    <x v="1"/>
    <s v="Led Tv 42Inch"/>
    <s v="LED TV 42inch"/>
    <s v="CUST0634"/>
    <s v=" CUST0634 "/>
    <x v="1"/>
    <s v="Meena"/>
    <x v="1"/>
    <s v="Debit card "/>
    <n v="14"/>
    <s v="14"/>
    <n v="1976"/>
    <s v="1976"/>
    <n v="27664"/>
    <x v="0"/>
    <x v="2"/>
    <x v="11"/>
    <s v="Medium"/>
    <s v="Online"/>
    <n v="27664"/>
  </r>
  <r>
    <n v="1875"/>
    <d v="2024-03-19T02:00:00"/>
    <s v="2024-03-19 02:00:00"/>
    <s v="south"/>
    <x v="3"/>
    <s v=" Home Appliances "/>
    <x v="1"/>
    <s v="Mixer Grinder"/>
    <s v="Mixer Grinder"/>
    <s v="CUST0070"/>
    <s v=" CUST0070 "/>
    <x v="3"/>
    <s v="Anita"/>
    <x v="1"/>
    <s v="Debit card "/>
    <n v="6"/>
    <s v="6"/>
    <n v="2719"/>
    <s v="2719"/>
    <n v="16314"/>
    <x v="0"/>
    <x v="2"/>
    <x v="11"/>
    <s v="Low"/>
    <s v="Online"/>
    <n v="16314"/>
  </r>
  <r>
    <n v="1876"/>
    <d v="2024-03-19T03:00:00"/>
    <s v="2024-03-19 03:00:00"/>
    <s v=" west"/>
    <x v="1"/>
    <s v="Clothing"/>
    <x v="0"/>
    <s v="Men T-Shirt"/>
    <s v="Men T-Shirt"/>
    <s v="CUST0048"/>
    <s v=" CUST0048 "/>
    <x v="3"/>
    <s v="Anita"/>
    <x v="3"/>
    <s v=" Net Banking "/>
    <n v="12"/>
    <s v="12"/>
    <n v="279"/>
    <s v="279"/>
    <n v="3348"/>
    <x v="0"/>
    <x v="2"/>
    <x v="11"/>
    <s v="Low"/>
    <s v="Online"/>
    <n v="3348"/>
  </r>
  <r>
    <n v="1877"/>
    <d v="2024-03-19T04:00:00"/>
    <s v="2024-03-19 04:00:00"/>
    <s v=" North "/>
    <x v="2"/>
    <s v="Grocery"/>
    <x v="3"/>
    <s v="Mixer Grinder"/>
    <s v="Mixer Grinder"/>
    <s v="CUST0491"/>
    <s v=" CUST0491 "/>
    <x v="4"/>
    <s v="Karthik"/>
    <x v="4"/>
    <s v="Credit Card"/>
    <n v="14"/>
    <s v="14"/>
    <n v="896"/>
    <s v="896"/>
    <n v="12544"/>
    <x v="0"/>
    <x v="2"/>
    <x v="11"/>
    <s v="Low"/>
    <s v="Online"/>
    <n v="12544"/>
  </r>
  <r>
    <n v="1878"/>
    <d v="2024-03-19T05:00:00"/>
    <s v="2024-03-19 05:00:00"/>
    <s v="south"/>
    <x v="3"/>
    <s v="Clothing"/>
    <x v="0"/>
    <s v="Led Tv 42Inch"/>
    <s v="LED TV 42inch"/>
    <s v="CUST0551"/>
    <s v=" CUST0551 "/>
    <x v="4"/>
    <s v="Karthik"/>
    <x v="1"/>
    <s v="Debit card "/>
    <n v="11"/>
    <s v="11"/>
    <n v="3913"/>
    <s v="3913"/>
    <n v="43043"/>
    <x v="0"/>
    <x v="2"/>
    <x v="11"/>
    <s v="Medium"/>
    <s v="Online"/>
    <n v="43043"/>
  </r>
  <r>
    <n v="1879"/>
    <d v="2024-03-19T06:00:00"/>
    <s v="2024-03-19 06:00:00"/>
    <s v=" west"/>
    <x v="1"/>
    <s v="Electronics"/>
    <x v="2"/>
    <s v="Rice 5Kg"/>
    <s v="Rice 5kg"/>
    <s v="CUST0287"/>
    <s v=" CUST0287 "/>
    <x v="0"/>
    <s v="Rahul"/>
    <x v="1"/>
    <s v="Debit card "/>
    <n v="14"/>
    <s v="14"/>
    <n v="2124"/>
    <s v="2124"/>
    <n v="29736"/>
    <x v="0"/>
    <x v="2"/>
    <x v="11"/>
    <s v="Medium"/>
    <s v="Online"/>
    <n v="29736"/>
  </r>
  <r>
    <n v="1880"/>
    <d v="2024-03-19T07:00:00"/>
    <s v="2024-03-19 07:00:00"/>
    <s v=" North "/>
    <x v="2"/>
    <s v="Clothing"/>
    <x v="0"/>
    <s v="Led Tv 42Inch"/>
    <s v="LED TV 42inch"/>
    <s v="CUST0010"/>
    <s v=" CUST0010 "/>
    <x v="4"/>
    <s v="Karthik"/>
    <x v="0"/>
    <s v=" Cash"/>
    <n v="5"/>
    <s v="5"/>
    <n v="3317"/>
    <s v="3317"/>
    <n v="16585"/>
    <x v="0"/>
    <x v="2"/>
    <x v="11"/>
    <s v="Low"/>
    <s v="Offline"/>
    <n v="16585"/>
  </r>
  <r>
    <n v="1881"/>
    <d v="2024-03-19T08:00:00"/>
    <s v="2024-03-19 08:00:00"/>
    <s v="south"/>
    <x v="3"/>
    <s v="Electronics"/>
    <x v="2"/>
    <s v="Mixer Grinder"/>
    <s v="Mixer Grinder"/>
    <s v="CUST0542"/>
    <s v=" CUST0542 "/>
    <x v="0"/>
    <s v="Rahul"/>
    <x v="2"/>
    <s v="UPI"/>
    <n v="8"/>
    <s v="8"/>
    <n v="986"/>
    <s v="986"/>
    <n v="7888"/>
    <x v="0"/>
    <x v="2"/>
    <x v="11"/>
    <s v="Low"/>
    <s v="Online"/>
    <n v="7888"/>
  </r>
  <r>
    <n v="1882"/>
    <d v="2024-03-19T09:00:00"/>
    <s v="2024-03-19 09:00:00"/>
    <s v="south"/>
    <x v="3"/>
    <s v=" Home Appliances "/>
    <x v="1"/>
    <s v="Men T-Shirt"/>
    <s v="Men T-Shirt"/>
    <s v="CUST0756"/>
    <s v=" CUST0756 "/>
    <x v="3"/>
    <s v="Anita"/>
    <x v="0"/>
    <s v=" Cash"/>
    <n v="3"/>
    <s v="3"/>
    <n v="2568"/>
    <s v="2568"/>
    <n v="7704"/>
    <x v="0"/>
    <x v="2"/>
    <x v="11"/>
    <s v="Low"/>
    <s v="Offline"/>
    <n v="7704"/>
  </r>
  <r>
    <n v="1883"/>
    <d v="2024-03-19T10:00:00"/>
    <s v="2024-03-19 10:00:00"/>
    <s v=" North "/>
    <x v="2"/>
    <s v="Grocery"/>
    <x v="3"/>
    <s v="Laptop"/>
    <s v="Laptop"/>
    <s v="CUST0274"/>
    <s v=" CUST0274 "/>
    <x v="0"/>
    <s v="Rahul"/>
    <x v="3"/>
    <s v=" Net Banking "/>
    <n v="12"/>
    <s v="12"/>
    <n v="3487"/>
    <s v="3487"/>
    <n v="41844"/>
    <x v="0"/>
    <x v="2"/>
    <x v="11"/>
    <s v="Medium"/>
    <s v="Online"/>
    <n v="41844"/>
  </r>
  <r>
    <n v="1884"/>
    <d v="2024-03-19T11:00:00"/>
    <s v="2024-03-19 11:00:00"/>
    <s v=" North "/>
    <x v="2"/>
    <s v=" Home Appliances "/>
    <x v="1"/>
    <s v="Laptop"/>
    <s v="Laptop"/>
    <s v="CUST0600"/>
    <s v=" CUST0600 "/>
    <x v="0"/>
    <s v="Rahul"/>
    <x v="4"/>
    <s v="Credit Card"/>
    <n v="13"/>
    <s v="13"/>
    <n v="1619"/>
    <s v="1619"/>
    <n v="21047"/>
    <x v="0"/>
    <x v="2"/>
    <x v="11"/>
    <s v="Medium"/>
    <s v="Online"/>
    <n v="21047"/>
  </r>
  <r>
    <n v="1885"/>
    <d v="2024-03-19T12:00:00"/>
    <s v="2024-03-19 12:00:00"/>
    <s v=" North "/>
    <x v="2"/>
    <s v="Electronics"/>
    <x v="2"/>
    <s v="Men T-Shirt"/>
    <s v="Men T-Shirt"/>
    <s v="CUST0756"/>
    <s v=" CUST0756 "/>
    <x v="2"/>
    <s v="Suresh"/>
    <x v="2"/>
    <s v="UPI"/>
    <n v="13"/>
    <s v="13"/>
    <n v="2532"/>
    <s v="2532"/>
    <n v="32916"/>
    <x v="0"/>
    <x v="2"/>
    <x v="11"/>
    <s v="Medium"/>
    <s v="Online"/>
    <n v="32916"/>
  </r>
  <r>
    <n v="1886"/>
    <d v="2024-03-19T13:00:00"/>
    <s v="2024-03-19 13:00:00"/>
    <s v="south"/>
    <x v="3"/>
    <s v="Electronics"/>
    <x v="2"/>
    <s v="Laptop"/>
    <s v="Laptop"/>
    <s v="CUST0381"/>
    <s v=" CUST0381 "/>
    <x v="4"/>
    <s v="Karthik"/>
    <x v="0"/>
    <s v=" Cash"/>
    <n v="7"/>
    <s v="7"/>
    <n v="4966"/>
    <s v="4966"/>
    <n v="34762"/>
    <x v="0"/>
    <x v="2"/>
    <x v="11"/>
    <s v="Medium"/>
    <s v="Offline"/>
    <n v="34762"/>
  </r>
  <r>
    <n v="1887"/>
    <d v="2024-03-19T14:00:00"/>
    <s v="2024-03-19 14:00:00"/>
    <s v="south"/>
    <x v="3"/>
    <s v="Electronics"/>
    <x v="2"/>
    <s v="Laptop"/>
    <s v="Laptop"/>
    <s v="CUST0329"/>
    <s v=" CUST0329 "/>
    <x v="0"/>
    <s v="Rahul"/>
    <x v="1"/>
    <s v="Debit card "/>
    <n v="2"/>
    <s v="2"/>
    <n v="1016"/>
    <s v="1016"/>
    <n v="2032"/>
    <x v="0"/>
    <x v="2"/>
    <x v="11"/>
    <s v="Low"/>
    <s v="Online"/>
    <n v="2032"/>
  </r>
  <r>
    <n v="1888"/>
    <d v="2024-03-19T15:00:00"/>
    <s v="2024-03-19 15:00:00"/>
    <s v=" west"/>
    <x v="1"/>
    <s v="Grocery"/>
    <x v="3"/>
    <s v="Mixer Grinder"/>
    <s v="Mixer Grinder"/>
    <s v="CUST0479"/>
    <s v=" CUST0479 "/>
    <x v="3"/>
    <s v="Anita"/>
    <x v="1"/>
    <s v="Debit card "/>
    <n v="3"/>
    <s v="3"/>
    <n v="2170"/>
    <s v="2170"/>
    <n v="6510"/>
    <x v="0"/>
    <x v="2"/>
    <x v="11"/>
    <s v="Low"/>
    <s v="Online"/>
    <n v="6510"/>
  </r>
  <r>
    <n v="1889"/>
    <d v="2024-03-19T16:00:00"/>
    <s v="2024-03-19 16:00:00"/>
    <s v="EAST"/>
    <x v="0"/>
    <s v="Clothing"/>
    <x v="0"/>
    <s v="Men T-Shirt"/>
    <s v="Men T-Shirt"/>
    <s v="CUST0015"/>
    <s v=" CUST0015 "/>
    <x v="1"/>
    <s v="Meena"/>
    <x v="2"/>
    <s v="UPI"/>
    <n v="13"/>
    <s v="13"/>
    <n v="4076"/>
    <s v="4076"/>
    <n v="52988"/>
    <x v="0"/>
    <x v="2"/>
    <x v="11"/>
    <s v="High"/>
    <s v="Online"/>
    <n v="52988"/>
  </r>
  <r>
    <n v="1890"/>
    <d v="2024-03-19T17:00:00"/>
    <s v="2024-03-19 17:00:00"/>
    <s v=" North "/>
    <x v="2"/>
    <s v=" Home Appliances "/>
    <x v="1"/>
    <s v="Washing Machine"/>
    <s v="Washing Machine"/>
    <s v="CUST0516"/>
    <s v=" CUST0516 "/>
    <x v="0"/>
    <s v="Rahul"/>
    <x v="1"/>
    <s v="Debit card "/>
    <n v="12"/>
    <s v="12"/>
    <n v="1881"/>
    <s v="1881"/>
    <n v="22572"/>
    <x v="0"/>
    <x v="2"/>
    <x v="11"/>
    <s v="Medium"/>
    <s v="Online"/>
    <n v="22572"/>
  </r>
  <r>
    <n v="1891"/>
    <d v="2024-03-19T18:00:00"/>
    <s v="2024-03-19 18:00:00"/>
    <s v="south"/>
    <x v="3"/>
    <s v=" Home Appliances "/>
    <x v="1"/>
    <s v="Rice 5Kg"/>
    <s v="Rice 5kg"/>
    <s v="CUST0191"/>
    <s v=" CUST0191 "/>
    <x v="4"/>
    <s v="Karthik"/>
    <x v="0"/>
    <s v=" Cash"/>
    <n v="2"/>
    <s v="2"/>
    <n v="438"/>
    <s v="438"/>
    <n v="876"/>
    <x v="0"/>
    <x v="2"/>
    <x v="11"/>
    <s v="Low"/>
    <s v="Offline"/>
    <n v="876"/>
  </r>
  <r>
    <n v="1892"/>
    <d v="2024-03-19T19:00:00"/>
    <s v="2024-03-19 19:00:00"/>
    <s v="south"/>
    <x v="3"/>
    <s v="Clothing"/>
    <x v="0"/>
    <s v="Rice 5Kg"/>
    <s v="Rice 5kg"/>
    <s v="CUST0168"/>
    <s v=" CUST0168 "/>
    <x v="2"/>
    <s v="Suresh"/>
    <x v="0"/>
    <s v=" Cash"/>
    <n v="5"/>
    <s v="5"/>
    <n v="1616"/>
    <s v="1616"/>
    <n v="8080"/>
    <x v="0"/>
    <x v="2"/>
    <x v="11"/>
    <s v="Low"/>
    <s v="Offline"/>
    <n v="8080"/>
  </r>
  <r>
    <n v="1893"/>
    <d v="2024-03-19T20:00:00"/>
    <s v="2024-03-19 20:00:00"/>
    <s v=" North "/>
    <x v="2"/>
    <s v=" Home Appliances "/>
    <x v="1"/>
    <s v="Laptop"/>
    <s v="Laptop"/>
    <s v="CUST0521"/>
    <s v=" CUST0521 "/>
    <x v="3"/>
    <s v="Anita"/>
    <x v="1"/>
    <s v="Debit card "/>
    <n v="7"/>
    <s v="7"/>
    <n v="2970"/>
    <s v="2970"/>
    <n v="20790"/>
    <x v="0"/>
    <x v="2"/>
    <x v="11"/>
    <s v="Medium"/>
    <s v="Online"/>
    <n v="20790"/>
  </r>
  <r>
    <n v="1894"/>
    <d v="2024-03-19T21:00:00"/>
    <s v="2024-03-19 21:00:00"/>
    <s v="EAST"/>
    <x v="0"/>
    <s v="Grocery"/>
    <x v="3"/>
    <s v="Rice 5Kg"/>
    <s v="Rice 5kg"/>
    <s v="CUST0621"/>
    <s v=" CUST0621 "/>
    <x v="2"/>
    <s v="Suresh"/>
    <x v="1"/>
    <s v="Debit card "/>
    <n v="11"/>
    <s v="11"/>
    <n v="3682"/>
    <s v="3682"/>
    <n v="40502"/>
    <x v="0"/>
    <x v="2"/>
    <x v="11"/>
    <s v="Medium"/>
    <s v="Online"/>
    <n v="40502"/>
  </r>
  <r>
    <n v="1895"/>
    <d v="2024-03-19T22:00:00"/>
    <s v="2024-03-19 22:00:00"/>
    <s v=" North "/>
    <x v="2"/>
    <s v=" Home Appliances "/>
    <x v="1"/>
    <s v="Men T-Shirt"/>
    <s v="Men T-Shirt"/>
    <s v="CUST0137"/>
    <s v=" CUST0137 "/>
    <x v="1"/>
    <s v="Meena"/>
    <x v="3"/>
    <s v=" Net Banking "/>
    <n v="10"/>
    <s v="10"/>
    <n v="1014"/>
    <s v="1014"/>
    <n v="10140"/>
    <x v="0"/>
    <x v="2"/>
    <x v="11"/>
    <s v="Low"/>
    <s v="Online"/>
    <n v="10140"/>
  </r>
  <r>
    <n v="1896"/>
    <d v="2024-03-19T23:00:00"/>
    <s v="2024-03-19 23:00:00"/>
    <s v="EAST"/>
    <x v="0"/>
    <s v="Electronics"/>
    <x v="2"/>
    <s v="Men T-Shirt"/>
    <s v="Men T-Shirt"/>
    <s v="CUST0154"/>
    <s v=" CUST0154 "/>
    <x v="0"/>
    <s v="Rahul"/>
    <x v="4"/>
    <s v="Credit Card"/>
    <n v="11"/>
    <s v="11"/>
    <n v="3390"/>
    <s v="3390"/>
    <n v="37290"/>
    <x v="0"/>
    <x v="2"/>
    <x v="11"/>
    <s v="Medium"/>
    <s v="Online"/>
    <n v="37290"/>
  </r>
  <r>
    <n v="1897"/>
    <d v="2024-03-20T00:00:00"/>
    <s v="2024-03-20 00:00:00"/>
    <s v="south"/>
    <x v="3"/>
    <s v="Clothing"/>
    <x v="0"/>
    <s v="Led Tv 42Inch"/>
    <s v="LED TV 42inch"/>
    <s v="CUST0388"/>
    <s v=" CUST0388 "/>
    <x v="0"/>
    <s v="Rahul"/>
    <x v="2"/>
    <s v="UPI"/>
    <n v="11"/>
    <s v="11"/>
    <n v="4670"/>
    <s v="4670"/>
    <n v="51370"/>
    <x v="0"/>
    <x v="2"/>
    <x v="11"/>
    <s v="High"/>
    <s v="Online"/>
    <n v="51370"/>
  </r>
  <r>
    <n v="1898"/>
    <d v="2024-03-20T01:00:00"/>
    <s v="2024-03-20 01:00:00"/>
    <s v="EAST"/>
    <x v="0"/>
    <s v="Grocery"/>
    <x v="3"/>
    <s v="Led Tv 42Inch"/>
    <s v="LED TV 42inch"/>
    <s v="CUST0209"/>
    <s v=" CUST0209 "/>
    <x v="4"/>
    <s v="Karthik"/>
    <x v="0"/>
    <s v=" Cash"/>
    <n v="11"/>
    <s v="11"/>
    <n v="1546"/>
    <s v="1546"/>
    <n v="17006"/>
    <x v="0"/>
    <x v="2"/>
    <x v="11"/>
    <s v="Low"/>
    <s v="Offline"/>
    <n v="17006"/>
  </r>
  <r>
    <n v="1899"/>
    <d v="2024-03-20T02:00:00"/>
    <s v="2024-03-20 02:00:00"/>
    <s v=" west"/>
    <x v="1"/>
    <s v="Clothing"/>
    <x v="0"/>
    <s v="Rice 5Kg"/>
    <s v="Rice 5kg"/>
    <s v="CUST0272"/>
    <s v=" CUST0272 "/>
    <x v="0"/>
    <s v="Rahul"/>
    <x v="2"/>
    <s v="UPI"/>
    <n v="10"/>
    <s v="10"/>
    <n v="1479"/>
    <s v="1479"/>
    <n v="14790"/>
    <x v="0"/>
    <x v="2"/>
    <x v="11"/>
    <s v="Low"/>
    <s v="Online"/>
    <n v="14790"/>
  </r>
  <r>
    <n v="1900"/>
    <d v="2024-03-20T03:00:00"/>
    <s v="2024-03-20 03:00:00"/>
    <s v="south"/>
    <x v="3"/>
    <s v="Grocery"/>
    <x v="3"/>
    <s v="Washing Machine"/>
    <s v="Washing Machine"/>
    <s v="CUST0143"/>
    <s v=" CUST0143 "/>
    <x v="3"/>
    <s v="Anita"/>
    <x v="3"/>
    <s v=" Net Banking "/>
    <n v="13"/>
    <s v="13"/>
    <n v="1583"/>
    <s v="1583"/>
    <n v="20579"/>
    <x v="0"/>
    <x v="2"/>
    <x v="11"/>
    <s v="Medium"/>
    <s v="Online"/>
    <n v="20579"/>
  </r>
  <r>
    <n v="1901"/>
    <d v="2024-03-20T04:00:00"/>
    <s v="2024-03-20 04:00:00"/>
    <s v=" west"/>
    <x v="1"/>
    <s v="Electronics"/>
    <x v="2"/>
    <s v="Led Tv 42Inch"/>
    <s v="LED TV 42inch"/>
    <s v="CUST0611"/>
    <s v=" CUST0611 "/>
    <x v="1"/>
    <s v="Meena"/>
    <x v="0"/>
    <s v=" Cash"/>
    <n v="14"/>
    <s v="14"/>
    <n v="2174"/>
    <s v="2174"/>
    <n v="30436"/>
    <x v="0"/>
    <x v="2"/>
    <x v="11"/>
    <s v="Medium"/>
    <s v="Offline"/>
    <n v="30436"/>
  </r>
  <r>
    <n v="1902"/>
    <d v="2024-03-20T05:00:00"/>
    <s v="2024-03-20 05:00:00"/>
    <s v=" North "/>
    <x v="2"/>
    <s v="Clothing"/>
    <x v="0"/>
    <s v="Led Tv 42Inch"/>
    <s v="LED TV 42inch"/>
    <s v="CUST0069"/>
    <s v=" CUST0069 "/>
    <x v="2"/>
    <s v="Suresh"/>
    <x v="3"/>
    <s v=" Net Banking "/>
    <n v="1"/>
    <s v="1"/>
    <n v="900"/>
    <s v="900"/>
    <n v="900"/>
    <x v="0"/>
    <x v="2"/>
    <x v="11"/>
    <s v="Low"/>
    <s v="Online"/>
    <n v="900"/>
  </r>
  <r>
    <n v="1903"/>
    <d v="2024-03-20T06:00:00"/>
    <s v="2024-03-20 06:00:00"/>
    <s v=" North "/>
    <x v="2"/>
    <s v=" Home Appliances "/>
    <x v="1"/>
    <s v="Men T-Shirt"/>
    <s v="Men T-Shirt"/>
    <s v="CUST0247"/>
    <s v=" CUST0247 "/>
    <x v="1"/>
    <s v="Meena"/>
    <x v="3"/>
    <s v=" Net Banking "/>
    <n v="13"/>
    <s v="13"/>
    <n v="1346"/>
    <s v="1346"/>
    <n v="17498"/>
    <x v="0"/>
    <x v="2"/>
    <x v="11"/>
    <s v="Low"/>
    <s v="Online"/>
    <n v="17498"/>
  </r>
  <r>
    <n v="1904"/>
    <d v="2024-03-20T07:00:00"/>
    <s v="2024-03-20 07:00:00"/>
    <s v=" North "/>
    <x v="2"/>
    <s v="Grocery"/>
    <x v="3"/>
    <s v="Washing Machine"/>
    <s v="Washing Machine"/>
    <s v="CUST0261"/>
    <s v=" CUST0261 "/>
    <x v="0"/>
    <s v="Rahul"/>
    <x v="1"/>
    <s v="Debit card "/>
    <n v="10"/>
    <s v="10"/>
    <n v="2837"/>
    <s v="2837"/>
    <n v="28370"/>
    <x v="0"/>
    <x v="2"/>
    <x v="11"/>
    <s v="Medium"/>
    <s v="Online"/>
    <n v="28370"/>
  </r>
  <r>
    <n v="1905"/>
    <d v="2024-03-20T08:00:00"/>
    <s v="2024-03-20 08:00:00"/>
    <s v="EAST"/>
    <x v="0"/>
    <s v="Clothing"/>
    <x v="0"/>
    <s v="Laptop"/>
    <s v="Laptop"/>
    <s v="CUST0788"/>
    <s v=" CUST0788 "/>
    <x v="2"/>
    <s v="Suresh"/>
    <x v="2"/>
    <s v="UPI"/>
    <n v="9"/>
    <s v="9"/>
    <n v="3595"/>
    <s v="3595"/>
    <n v="32355"/>
    <x v="0"/>
    <x v="2"/>
    <x v="11"/>
    <s v="Medium"/>
    <s v="Online"/>
    <n v="32355"/>
  </r>
  <r>
    <n v="1906"/>
    <d v="2024-03-20T09:00:00"/>
    <s v="2024-03-20 09:00:00"/>
    <s v="south"/>
    <x v="3"/>
    <s v=" Home Appliances "/>
    <x v="1"/>
    <s v="Rice 5Kg"/>
    <s v="Rice 5kg"/>
    <s v="CUST0079"/>
    <s v=" CUST0079 "/>
    <x v="4"/>
    <s v="Karthik"/>
    <x v="2"/>
    <s v="UPI"/>
    <n v="1"/>
    <s v="1"/>
    <n v="4934"/>
    <s v="4934"/>
    <n v="4934"/>
    <x v="0"/>
    <x v="2"/>
    <x v="11"/>
    <s v="Low"/>
    <s v="Online"/>
    <n v="4934"/>
  </r>
  <r>
    <n v="1907"/>
    <d v="2024-03-20T10:00:00"/>
    <s v="2024-03-20 10:00:00"/>
    <s v=" North "/>
    <x v="2"/>
    <s v="Clothing"/>
    <x v="0"/>
    <s v="Led Tv 42Inch"/>
    <s v="LED TV 42inch"/>
    <s v="CUST0658"/>
    <s v=" CUST0658 "/>
    <x v="1"/>
    <s v="Meena"/>
    <x v="1"/>
    <s v="Debit card "/>
    <n v="1"/>
    <s v="1"/>
    <n v="3357"/>
    <s v="3357"/>
    <n v="3357"/>
    <x v="0"/>
    <x v="2"/>
    <x v="11"/>
    <s v="Low"/>
    <s v="Online"/>
    <n v="3357"/>
  </r>
  <r>
    <n v="1908"/>
    <d v="2024-03-20T11:00:00"/>
    <s v="2024-03-20 11:00:00"/>
    <s v=" North "/>
    <x v="2"/>
    <s v="Clothing"/>
    <x v="0"/>
    <s v="Washing Machine"/>
    <s v="Washing Machine"/>
    <s v="CUST0623"/>
    <s v=" CUST0623 "/>
    <x v="2"/>
    <s v="Suresh"/>
    <x v="2"/>
    <s v="UPI"/>
    <n v="14"/>
    <s v="14"/>
    <n v="3977"/>
    <s v="3977"/>
    <n v="55678"/>
    <x v="0"/>
    <x v="2"/>
    <x v="11"/>
    <s v="High"/>
    <s v="Online"/>
    <n v="55678"/>
  </r>
  <r>
    <n v="1909"/>
    <d v="2024-03-20T12:00:00"/>
    <s v="2024-03-20 12:00:00"/>
    <s v="south"/>
    <x v="3"/>
    <s v="Clothing"/>
    <x v="0"/>
    <s v="Washing Machine"/>
    <s v="Washing Machine"/>
    <s v="CUST0770"/>
    <s v=" CUST0770 "/>
    <x v="2"/>
    <s v="Suresh"/>
    <x v="1"/>
    <s v="Debit card "/>
    <n v="12"/>
    <s v="12"/>
    <n v="1081"/>
    <s v="1081"/>
    <n v="12972"/>
    <x v="0"/>
    <x v="2"/>
    <x v="11"/>
    <s v="Low"/>
    <s v="Online"/>
    <n v="12972"/>
  </r>
  <r>
    <n v="1910"/>
    <d v="2024-03-20T13:00:00"/>
    <s v="2024-03-20 13:00:00"/>
    <s v=" North "/>
    <x v="2"/>
    <s v="Grocery"/>
    <x v="3"/>
    <s v="Rice 5Kg"/>
    <s v="Rice 5kg"/>
    <s v="CUST0605"/>
    <s v=" CUST0605 "/>
    <x v="2"/>
    <s v="Suresh"/>
    <x v="0"/>
    <s v=" Cash"/>
    <n v="10"/>
    <s v="10"/>
    <n v="2576"/>
    <s v="2576"/>
    <n v="25760"/>
    <x v="0"/>
    <x v="2"/>
    <x v="11"/>
    <s v="Medium"/>
    <s v="Offline"/>
    <n v="25760"/>
  </r>
  <r>
    <n v="1911"/>
    <d v="2024-03-20T14:00:00"/>
    <s v="2024-03-20 14:00:00"/>
    <s v=" west"/>
    <x v="1"/>
    <s v=" Home Appliances "/>
    <x v="1"/>
    <s v="Washing Machine"/>
    <s v="Washing Machine"/>
    <s v="CUST0525"/>
    <s v=" CUST0525 "/>
    <x v="3"/>
    <s v="Anita"/>
    <x v="3"/>
    <s v=" Net Banking "/>
    <n v="8"/>
    <s v="8"/>
    <n v="2188"/>
    <s v="2188"/>
    <n v="17504"/>
    <x v="0"/>
    <x v="2"/>
    <x v="11"/>
    <s v="Low"/>
    <s v="Online"/>
    <n v="17504"/>
  </r>
  <r>
    <n v="1912"/>
    <d v="2024-03-20T15:00:00"/>
    <s v="2024-03-20 15:00:00"/>
    <s v="south"/>
    <x v="3"/>
    <s v="Electronics"/>
    <x v="2"/>
    <s v="Washing Machine"/>
    <s v="Washing Machine"/>
    <s v="CUST0772"/>
    <s v=" CUST0772 "/>
    <x v="1"/>
    <s v="Meena"/>
    <x v="3"/>
    <s v=" Net Banking "/>
    <n v="6"/>
    <s v="6"/>
    <n v="3052"/>
    <s v="3052"/>
    <n v="18312"/>
    <x v="0"/>
    <x v="2"/>
    <x v="11"/>
    <s v="Low"/>
    <s v="Online"/>
    <n v="18312"/>
  </r>
  <r>
    <n v="1913"/>
    <d v="2024-03-20T16:00:00"/>
    <s v="2024-03-20 16:00:00"/>
    <s v="south"/>
    <x v="3"/>
    <s v="Grocery"/>
    <x v="3"/>
    <s v="Washing Machine"/>
    <s v="Washing Machine"/>
    <s v="CUST0621"/>
    <s v=" CUST0621 "/>
    <x v="2"/>
    <s v="Suresh"/>
    <x v="2"/>
    <s v="UPI"/>
    <n v="6"/>
    <s v="6"/>
    <n v="1111"/>
    <s v="1111"/>
    <n v="6666"/>
    <x v="0"/>
    <x v="2"/>
    <x v="11"/>
    <s v="Low"/>
    <s v="Online"/>
    <n v="6666"/>
  </r>
  <r>
    <n v="1914"/>
    <d v="2024-03-20T17:00:00"/>
    <s v="2024-03-20 17:00:00"/>
    <s v="south"/>
    <x v="3"/>
    <s v="Grocery"/>
    <x v="3"/>
    <s v="Led Tv 42Inch"/>
    <s v="LED TV 42inch"/>
    <s v="CUST0330"/>
    <s v=" CUST0330 "/>
    <x v="1"/>
    <s v="Meena"/>
    <x v="4"/>
    <s v="Credit Card"/>
    <n v="12"/>
    <s v="12"/>
    <n v="3564"/>
    <s v="3564"/>
    <n v="42768"/>
    <x v="0"/>
    <x v="2"/>
    <x v="11"/>
    <s v="Medium"/>
    <s v="Online"/>
    <n v="42768"/>
  </r>
  <r>
    <n v="1915"/>
    <d v="2024-03-20T18:00:00"/>
    <s v="2024-03-20 18:00:00"/>
    <s v=" west"/>
    <x v="1"/>
    <s v="Grocery"/>
    <x v="3"/>
    <s v="Rice 5Kg"/>
    <s v="Rice 5kg"/>
    <s v="CUST0189"/>
    <s v=" CUST0189 "/>
    <x v="2"/>
    <s v="Suresh"/>
    <x v="3"/>
    <s v=" Net Banking "/>
    <n v="9"/>
    <s v="9"/>
    <n v="2850"/>
    <s v="2850"/>
    <n v="25650"/>
    <x v="0"/>
    <x v="2"/>
    <x v="11"/>
    <s v="Medium"/>
    <s v="Online"/>
    <n v="25650"/>
  </r>
  <r>
    <n v="1916"/>
    <d v="2024-03-20T19:00:00"/>
    <s v="2024-03-20 19:00:00"/>
    <s v="south"/>
    <x v="3"/>
    <s v="Electronics"/>
    <x v="2"/>
    <s v="Washing Machine"/>
    <s v="Washing Machine"/>
    <s v="CUST0095"/>
    <s v=" CUST0095 "/>
    <x v="4"/>
    <s v="Karthik"/>
    <x v="1"/>
    <s v="Debit card "/>
    <n v="4"/>
    <s v="4"/>
    <n v="2226"/>
    <s v="2226"/>
    <n v="8904"/>
    <x v="0"/>
    <x v="2"/>
    <x v="11"/>
    <s v="Low"/>
    <s v="Online"/>
    <n v="8904"/>
  </r>
  <r>
    <n v="1917"/>
    <d v="2024-03-20T20:00:00"/>
    <s v="2024-03-20 20:00:00"/>
    <s v=" west"/>
    <x v="1"/>
    <s v=" Home Appliances "/>
    <x v="1"/>
    <s v="Washing Machine"/>
    <s v="Washing Machine"/>
    <s v="CUST0617"/>
    <s v=" CUST0617 "/>
    <x v="4"/>
    <s v="Karthik"/>
    <x v="4"/>
    <s v="Credit Card"/>
    <n v="8"/>
    <s v="8"/>
    <n v="4912"/>
    <s v="4912"/>
    <n v="39296"/>
    <x v="0"/>
    <x v="2"/>
    <x v="11"/>
    <s v="Medium"/>
    <s v="Online"/>
    <n v="39296"/>
  </r>
  <r>
    <n v="1918"/>
    <d v="2024-03-20T21:00:00"/>
    <s v="2024-03-20 21:00:00"/>
    <s v="south"/>
    <x v="3"/>
    <s v=" Home Appliances "/>
    <x v="1"/>
    <s v="Led Tv 42Inch"/>
    <s v="LED TV 42inch"/>
    <s v="CUST0008"/>
    <s v=" CUST0008 "/>
    <x v="4"/>
    <s v="Karthik"/>
    <x v="4"/>
    <s v="Credit Card"/>
    <n v="4"/>
    <s v="4"/>
    <n v="3961"/>
    <s v="3961"/>
    <n v="15844"/>
    <x v="0"/>
    <x v="2"/>
    <x v="11"/>
    <s v="Low"/>
    <s v="Online"/>
    <n v="15844"/>
  </r>
  <r>
    <n v="1919"/>
    <d v="2024-03-20T22:00:00"/>
    <s v="2024-03-20 22:00:00"/>
    <s v="EAST"/>
    <x v="0"/>
    <s v=" Home Appliances "/>
    <x v="1"/>
    <s v="Rice 5Kg"/>
    <s v="Rice 5kg"/>
    <s v="CUST0067"/>
    <s v=" CUST0067 "/>
    <x v="0"/>
    <s v="Rahul"/>
    <x v="3"/>
    <s v=" Net Banking "/>
    <n v="14"/>
    <s v="14"/>
    <n v="2691"/>
    <s v="2691"/>
    <n v="37674"/>
    <x v="0"/>
    <x v="2"/>
    <x v="11"/>
    <s v="Medium"/>
    <s v="Online"/>
    <n v="37674"/>
  </r>
  <r>
    <n v="1920"/>
    <d v="2024-03-20T23:00:00"/>
    <s v="2024-03-20 23:00:00"/>
    <s v=" North "/>
    <x v="2"/>
    <s v="Clothing"/>
    <x v="0"/>
    <s v="Men T-Shirt"/>
    <s v="Men T-Shirt"/>
    <s v="CUST0496"/>
    <s v=" CUST0496 "/>
    <x v="2"/>
    <s v="Suresh"/>
    <x v="3"/>
    <s v=" Net Banking "/>
    <n v="2"/>
    <s v="2"/>
    <n v="1573"/>
    <s v="1573"/>
    <n v="3146"/>
    <x v="0"/>
    <x v="2"/>
    <x v="11"/>
    <s v="Low"/>
    <s v="Online"/>
    <n v="3146"/>
  </r>
  <r>
    <n v="1921"/>
    <d v="2024-03-21T00:00:00"/>
    <s v="2024-03-21 00:00:00"/>
    <s v="EAST"/>
    <x v="0"/>
    <s v="Clothing"/>
    <x v="0"/>
    <s v="Led Tv 42Inch"/>
    <s v="LED TV 42inch"/>
    <s v="CUST0191"/>
    <s v=" CUST0191 "/>
    <x v="0"/>
    <s v="Rahul"/>
    <x v="3"/>
    <s v=" Net Banking "/>
    <n v="11"/>
    <s v="11"/>
    <n v="2621"/>
    <s v="2621"/>
    <n v="28831"/>
    <x v="0"/>
    <x v="2"/>
    <x v="11"/>
    <s v="Medium"/>
    <s v="Online"/>
    <n v="28831"/>
  </r>
  <r>
    <n v="1922"/>
    <d v="2024-03-21T01:00:00"/>
    <s v="2024-03-21 01:00:00"/>
    <s v=" North "/>
    <x v="2"/>
    <s v="Clothing"/>
    <x v="0"/>
    <s v="Rice 5Kg"/>
    <s v="Rice 5kg"/>
    <s v="CUST0366"/>
    <s v=" CUST0366 "/>
    <x v="1"/>
    <s v="Meena"/>
    <x v="1"/>
    <s v="Debit card "/>
    <n v="8"/>
    <s v="8"/>
    <n v="1265"/>
    <s v="1265"/>
    <n v="10120"/>
    <x v="0"/>
    <x v="2"/>
    <x v="11"/>
    <s v="Low"/>
    <s v="Online"/>
    <n v="10120"/>
  </r>
  <r>
    <n v="1923"/>
    <d v="2024-03-21T02:00:00"/>
    <s v="2024-03-21 02:00:00"/>
    <s v=" west"/>
    <x v="1"/>
    <s v="Electronics"/>
    <x v="2"/>
    <s v="Washing Machine"/>
    <s v="Washing Machine"/>
    <s v="CUST0768"/>
    <s v=" CUST0768 "/>
    <x v="0"/>
    <s v="Rahul"/>
    <x v="4"/>
    <s v="Credit Card"/>
    <n v="12"/>
    <s v="12"/>
    <n v="3422"/>
    <s v="3422"/>
    <n v="41064"/>
    <x v="0"/>
    <x v="2"/>
    <x v="11"/>
    <s v="Medium"/>
    <s v="Online"/>
    <n v="41064"/>
  </r>
  <r>
    <n v="1924"/>
    <d v="2024-03-21T03:00:00"/>
    <s v="2024-03-21 03:00:00"/>
    <s v="EAST"/>
    <x v="0"/>
    <s v="Clothing"/>
    <x v="0"/>
    <s v="Rice 5Kg"/>
    <s v="Rice 5kg"/>
    <s v="CUST0521"/>
    <s v=" CUST0521 "/>
    <x v="1"/>
    <s v="Meena"/>
    <x v="2"/>
    <s v="UPI"/>
    <n v="7"/>
    <s v="7"/>
    <n v="709"/>
    <s v="709"/>
    <n v="4963"/>
    <x v="0"/>
    <x v="2"/>
    <x v="11"/>
    <s v="Low"/>
    <s v="Online"/>
    <n v="4963"/>
  </r>
  <r>
    <n v="1925"/>
    <d v="2024-03-21T04:00:00"/>
    <s v="2024-03-21 04:00:00"/>
    <s v="south"/>
    <x v="3"/>
    <s v="Electronics"/>
    <x v="2"/>
    <s v="Rice 5Kg"/>
    <s v="Rice 5kg"/>
    <s v="CUST0117"/>
    <s v=" CUST0117 "/>
    <x v="1"/>
    <s v="Meena"/>
    <x v="1"/>
    <s v="Debit card "/>
    <n v="4"/>
    <s v="4"/>
    <n v="2283"/>
    <s v="2283"/>
    <n v="9132"/>
    <x v="0"/>
    <x v="2"/>
    <x v="11"/>
    <s v="Low"/>
    <s v="Online"/>
    <n v="9132"/>
  </r>
  <r>
    <n v="1926"/>
    <d v="2024-03-21T05:00:00"/>
    <s v="2024-03-21 05:00:00"/>
    <s v=" North "/>
    <x v="2"/>
    <s v=" Home Appliances "/>
    <x v="1"/>
    <s v="Laptop"/>
    <s v="Laptop"/>
    <s v="CUST0267"/>
    <s v=" CUST0267 "/>
    <x v="1"/>
    <s v="Meena"/>
    <x v="0"/>
    <s v=" Cash"/>
    <n v="9"/>
    <s v="9"/>
    <n v="2631"/>
    <s v="2631"/>
    <n v="23679"/>
    <x v="0"/>
    <x v="2"/>
    <x v="11"/>
    <s v="Medium"/>
    <s v="Offline"/>
    <n v="23679"/>
  </r>
  <r>
    <n v="1927"/>
    <d v="2024-03-21T06:00:00"/>
    <s v="2024-03-21 06:00:00"/>
    <s v=" North "/>
    <x v="2"/>
    <s v="Clothing"/>
    <x v="0"/>
    <s v="Rice 5Kg"/>
    <s v="Rice 5kg"/>
    <s v="CUST0611"/>
    <s v=" CUST0611 "/>
    <x v="0"/>
    <s v="Rahul"/>
    <x v="3"/>
    <s v=" Net Banking "/>
    <n v="9"/>
    <s v="9"/>
    <n v="2961"/>
    <s v="2961"/>
    <n v="26649"/>
    <x v="0"/>
    <x v="2"/>
    <x v="11"/>
    <s v="Medium"/>
    <s v="Online"/>
    <n v="26649"/>
  </r>
  <r>
    <n v="1928"/>
    <d v="2024-03-21T07:00:00"/>
    <s v="2024-03-21 07:00:00"/>
    <s v="EAST"/>
    <x v="0"/>
    <s v="Clothing"/>
    <x v="0"/>
    <s v="Men T-Shirt"/>
    <s v="Men T-Shirt"/>
    <s v="CUST0485"/>
    <s v=" CUST0485 "/>
    <x v="2"/>
    <s v="Suresh"/>
    <x v="4"/>
    <s v="Credit Card"/>
    <n v="8"/>
    <s v="8"/>
    <n v="4750"/>
    <s v="4750"/>
    <n v="38000"/>
    <x v="0"/>
    <x v="2"/>
    <x v="11"/>
    <s v="Medium"/>
    <s v="Online"/>
    <n v="38000"/>
  </r>
  <r>
    <n v="1929"/>
    <d v="2024-03-21T08:00:00"/>
    <s v="2024-03-21 08:00:00"/>
    <s v=" west"/>
    <x v="1"/>
    <s v="Grocery"/>
    <x v="3"/>
    <s v="Rice 5Kg"/>
    <s v="Rice 5kg"/>
    <s v="CUST0509"/>
    <s v=" CUST0509 "/>
    <x v="0"/>
    <s v="Rahul"/>
    <x v="1"/>
    <s v="Debit card "/>
    <n v="14"/>
    <s v="14"/>
    <n v="1755"/>
    <s v="1755"/>
    <n v="24570"/>
    <x v="0"/>
    <x v="2"/>
    <x v="11"/>
    <s v="Medium"/>
    <s v="Online"/>
    <n v="24570"/>
  </r>
  <r>
    <n v="1930"/>
    <d v="2024-03-21T09:00:00"/>
    <s v="2024-03-21 09:00:00"/>
    <s v="EAST"/>
    <x v="0"/>
    <s v="Electronics"/>
    <x v="2"/>
    <s v="Men T-Shirt"/>
    <s v="Men T-Shirt"/>
    <s v="CUST0298"/>
    <s v=" CUST0298 "/>
    <x v="2"/>
    <s v="Suresh"/>
    <x v="0"/>
    <s v=" Cash"/>
    <n v="1"/>
    <s v="1"/>
    <n v="1855"/>
    <s v="1855"/>
    <n v="1855"/>
    <x v="0"/>
    <x v="2"/>
    <x v="11"/>
    <s v="Low"/>
    <s v="Offline"/>
    <n v="1855"/>
  </r>
  <r>
    <n v="1931"/>
    <d v="2024-03-21T10:00:00"/>
    <s v="2024-03-21 10:00:00"/>
    <s v=" west"/>
    <x v="1"/>
    <s v=" Home Appliances "/>
    <x v="1"/>
    <s v="Washing Machine"/>
    <s v="Washing Machine"/>
    <s v="CUST0164"/>
    <s v=" CUST0164 "/>
    <x v="2"/>
    <s v="Suresh"/>
    <x v="1"/>
    <s v="Debit card "/>
    <n v="7"/>
    <s v="7"/>
    <n v="145"/>
    <s v="145"/>
    <n v="1015"/>
    <x v="0"/>
    <x v="2"/>
    <x v="11"/>
    <s v="Low"/>
    <s v="Online"/>
    <n v="1015"/>
  </r>
  <r>
    <n v="1932"/>
    <d v="2024-03-21T11:00:00"/>
    <s v="2024-03-21 11:00:00"/>
    <s v=" west"/>
    <x v="1"/>
    <s v="Grocery"/>
    <x v="3"/>
    <s v="Men T-Shirt"/>
    <s v="Men T-Shirt"/>
    <s v="CUST0376"/>
    <s v=" CUST0376 "/>
    <x v="1"/>
    <s v="Meena"/>
    <x v="1"/>
    <s v="Debit card "/>
    <n v="5"/>
    <s v="5"/>
    <n v="1359"/>
    <s v="1359"/>
    <n v="6795"/>
    <x v="0"/>
    <x v="2"/>
    <x v="11"/>
    <s v="Low"/>
    <s v="Online"/>
    <n v="6795"/>
  </r>
  <r>
    <n v="1933"/>
    <d v="2024-03-21T12:00:00"/>
    <s v="2024-03-21 12:00:00"/>
    <s v=" North "/>
    <x v="2"/>
    <s v="Grocery"/>
    <x v="3"/>
    <s v="Washing Machine"/>
    <s v="Washing Machine"/>
    <s v="CUST0653"/>
    <s v=" CUST0653 "/>
    <x v="0"/>
    <s v="Rahul"/>
    <x v="2"/>
    <s v="UPI"/>
    <n v="7"/>
    <s v="7"/>
    <n v="4738"/>
    <s v="4738"/>
    <n v="33166"/>
    <x v="0"/>
    <x v="2"/>
    <x v="11"/>
    <s v="Medium"/>
    <s v="Online"/>
    <n v="33166"/>
  </r>
  <r>
    <n v="1934"/>
    <d v="2024-03-21T13:00:00"/>
    <s v="2024-03-21 13:00:00"/>
    <s v="EAST"/>
    <x v="0"/>
    <s v=" Home Appliances "/>
    <x v="1"/>
    <s v="Washing Machine"/>
    <s v="Washing Machine"/>
    <s v="CUST0268"/>
    <s v=" CUST0268 "/>
    <x v="2"/>
    <s v="Suresh"/>
    <x v="2"/>
    <s v="UPI"/>
    <n v="12"/>
    <s v="12"/>
    <n v="3332"/>
    <s v="3332"/>
    <n v="39984"/>
    <x v="0"/>
    <x v="2"/>
    <x v="11"/>
    <s v="Medium"/>
    <s v="Online"/>
    <n v="39984"/>
  </r>
  <r>
    <n v="1935"/>
    <d v="2024-03-21T14:00:00"/>
    <s v="2024-03-21 14:00:00"/>
    <s v="EAST"/>
    <x v="0"/>
    <s v="Grocery"/>
    <x v="3"/>
    <s v="Men T-Shirt"/>
    <s v="Men T-Shirt"/>
    <s v="CUST0549"/>
    <s v=" CUST0549 "/>
    <x v="4"/>
    <s v="Karthik"/>
    <x v="1"/>
    <s v="Debit card "/>
    <n v="9"/>
    <s v="9"/>
    <n v="1551"/>
    <s v="1551"/>
    <n v="13959"/>
    <x v="0"/>
    <x v="2"/>
    <x v="11"/>
    <s v="Low"/>
    <s v="Online"/>
    <n v="13959"/>
  </r>
  <r>
    <n v="1936"/>
    <d v="2024-03-21T15:00:00"/>
    <s v="2024-03-21 15:00:00"/>
    <s v=" west"/>
    <x v="1"/>
    <s v="Electronics"/>
    <x v="2"/>
    <s v="Led Tv 42Inch"/>
    <s v="LED TV 42inch"/>
    <s v="CUST0074"/>
    <s v=" CUST0074 "/>
    <x v="2"/>
    <s v="Suresh"/>
    <x v="0"/>
    <s v=" Cash"/>
    <n v="2"/>
    <s v="2"/>
    <n v="2218"/>
    <s v="2218"/>
    <n v="4436"/>
    <x v="0"/>
    <x v="2"/>
    <x v="11"/>
    <s v="Low"/>
    <s v="Offline"/>
    <n v="4436"/>
  </r>
  <r>
    <n v="1937"/>
    <d v="2024-03-21T16:00:00"/>
    <s v="2024-03-21 16:00:00"/>
    <s v="EAST"/>
    <x v="0"/>
    <s v="Electronics"/>
    <x v="2"/>
    <s v="Mixer Grinder"/>
    <s v="Mixer Grinder"/>
    <s v="CUST0508"/>
    <s v=" CUST0508 "/>
    <x v="4"/>
    <s v="Karthik"/>
    <x v="4"/>
    <s v="Credit Card"/>
    <n v="13"/>
    <s v="13"/>
    <n v="2667"/>
    <s v="2667"/>
    <n v="34671"/>
    <x v="0"/>
    <x v="2"/>
    <x v="11"/>
    <s v="Medium"/>
    <s v="Online"/>
    <n v="34671"/>
  </r>
  <r>
    <n v="1938"/>
    <d v="2024-03-21T17:00:00"/>
    <s v="2024-03-21 17:00:00"/>
    <s v="south"/>
    <x v="3"/>
    <s v="Clothing"/>
    <x v="0"/>
    <s v="Rice 5Kg"/>
    <s v="Rice 5kg"/>
    <s v="CUST0073"/>
    <s v=" CUST0073 "/>
    <x v="0"/>
    <s v="Rahul"/>
    <x v="4"/>
    <s v="Credit Card"/>
    <n v="14"/>
    <s v="14"/>
    <n v="2092"/>
    <s v="2092"/>
    <n v="29288"/>
    <x v="0"/>
    <x v="2"/>
    <x v="11"/>
    <s v="Medium"/>
    <s v="Online"/>
    <n v="29288"/>
  </r>
  <r>
    <n v="1939"/>
    <d v="2024-03-21T18:00:00"/>
    <s v="2024-03-21 18:00:00"/>
    <s v="south"/>
    <x v="3"/>
    <s v="Grocery"/>
    <x v="3"/>
    <s v="Laptop"/>
    <s v="Laptop"/>
    <s v="CUST0308"/>
    <s v=" CUST0308 "/>
    <x v="0"/>
    <s v="Rahul"/>
    <x v="3"/>
    <s v=" Net Banking "/>
    <n v="11"/>
    <s v="11"/>
    <n v="3223"/>
    <s v="3223"/>
    <n v="35453"/>
    <x v="0"/>
    <x v="2"/>
    <x v="11"/>
    <s v="Medium"/>
    <s v="Online"/>
    <n v="35453"/>
  </r>
  <r>
    <n v="1940"/>
    <d v="2024-03-21T19:00:00"/>
    <s v="2024-03-21 19:00:00"/>
    <s v="EAST"/>
    <x v="0"/>
    <s v="Clothing"/>
    <x v="0"/>
    <s v="Mixer Grinder"/>
    <s v="Mixer Grinder"/>
    <s v="CUST0199"/>
    <s v=" CUST0199 "/>
    <x v="0"/>
    <s v="Rahul"/>
    <x v="3"/>
    <s v=" Net Banking "/>
    <n v="4"/>
    <s v="4"/>
    <n v="2440"/>
    <s v="2440"/>
    <n v="9760"/>
    <x v="0"/>
    <x v="2"/>
    <x v="11"/>
    <s v="Low"/>
    <s v="Online"/>
    <n v="9760"/>
  </r>
  <r>
    <n v="1941"/>
    <d v="2024-03-21T20:00:00"/>
    <s v="2024-03-21 20:00:00"/>
    <s v="EAST"/>
    <x v="0"/>
    <s v="Grocery"/>
    <x v="3"/>
    <s v="Rice 5Kg"/>
    <s v="Rice 5kg"/>
    <s v="CUST0130"/>
    <s v=" CUST0130 "/>
    <x v="2"/>
    <s v="Suresh"/>
    <x v="4"/>
    <s v="Credit Card"/>
    <n v="4"/>
    <s v="4"/>
    <n v="1588"/>
    <s v="1588"/>
    <n v="6352"/>
    <x v="0"/>
    <x v="2"/>
    <x v="11"/>
    <s v="Low"/>
    <s v="Online"/>
    <n v="6352"/>
  </r>
  <r>
    <n v="1942"/>
    <d v="2024-03-21T21:00:00"/>
    <s v="2024-03-21 21:00:00"/>
    <s v=" west"/>
    <x v="1"/>
    <s v="Electronics"/>
    <x v="2"/>
    <s v="Rice 5Kg"/>
    <s v="Rice 5kg"/>
    <s v="CUST0758"/>
    <s v=" CUST0758 "/>
    <x v="3"/>
    <s v="Anita"/>
    <x v="1"/>
    <s v="Debit card "/>
    <n v="2"/>
    <s v="2"/>
    <n v="1673"/>
    <s v="1673"/>
    <n v="3346"/>
    <x v="0"/>
    <x v="2"/>
    <x v="11"/>
    <s v="Low"/>
    <s v="Online"/>
    <n v="3346"/>
  </r>
  <r>
    <n v="1943"/>
    <d v="2024-03-21T22:00:00"/>
    <s v="2024-03-21 22:00:00"/>
    <s v="south"/>
    <x v="3"/>
    <s v="Electronics"/>
    <x v="2"/>
    <s v="Washing Machine"/>
    <s v="Washing Machine"/>
    <s v="CUST0572"/>
    <s v=" CUST0572 "/>
    <x v="2"/>
    <s v="Suresh"/>
    <x v="1"/>
    <s v="Debit card "/>
    <n v="3"/>
    <s v="3"/>
    <n v="2527"/>
    <s v="2527"/>
    <n v="7581"/>
    <x v="0"/>
    <x v="2"/>
    <x v="11"/>
    <s v="Low"/>
    <s v="Online"/>
    <n v="7581"/>
  </r>
  <r>
    <n v="1944"/>
    <d v="2024-03-21T23:00:00"/>
    <s v="2024-03-21 23:00:00"/>
    <s v="south"/>
    <x v="3"/>
    <s v="Electronics"/>
    <x v="2"/>
    <s v="Rice 5Kg"/>
    <s v="Rice 5kg"/>
    <s v="CUST0791"/>
    <s v=" CUST0791 "/>
    <x v="2"/>
    <s v="Suresh"/>
    <x v="2"/>
    <s v="UPI"/>
    <n v="11"/>
    <s v="11"/>
    <n v="1866"/>
    <s v="1866"/>
    <n v="20526"/>
    <x v="0"/>
    <x v="2"/>
    <x v="11"/>
    <s v="Medium"/>
    <s v="Online"/>
    <n v="20526"/>
  </r>
  <r>
    <n v="1945"/>
    <d v="2024-03-22T00:00:00"/>
    <s v="2024-03-22 00:00:00"/>
    <s v=" North "/>
    <x v="2"/>
    <s v="Grocery"/>
    <x v="3"/>
    <s v="Laptop"/>
    <s v="Laptop"/>
    <s v="CUST0615"/>
    <s v=" CUST0615 "/>
    <x v="1"/>
    <s v="Meena"/>
    <x v="2"/>
    <s v="UPI"/>
    <n v="14"/>
    <s v="14"/>
    <n v="3649"/>
    <s v="3649"/>
    <n v="51086"/>
    <x v="0"/>
    <x v="2"/>
    <x v="11"/>
    <s v="High"/>
    <s v="Online"/>
    <n v="51086"/>
  </r>
  <r>
    <n v="1946"/>
    <d v="2024-03-22T01:00:00"/>
    <s v="2024-03-22 01:00:00"/>
    <s v=" west"/>
    <x v="1"/>
    <s v="Electronics"/>
    <x v="2"/>
    <s v="Rice 5Kg"/>
    <s v="Rice 5kg"/>
    <s v="CUST0487"/>
    <s v=" CUST0487 "/>
    <x v="1"/>
    <s v="Meena"/>
    <x v="3"/>
    <s v=" Net Banking "/>
    <n v="14"/>
    <s v="14"/>
    <n v="2409"/>
    <s v="2409"/>
    <n v="33726"/>
    <x v="0"/>
    <x v="2"/>
    <x v="11"/>
    <s v="Medium"/>
    <s v="Online"/>
    <n v="33726"/>
  </r>
  <r>
    <n v="1947"/>
    <d v="2024-03-22T02:00:00"/>
    <s v="2024-03-22 02:00:00"/>
    <s v=" North "/>
    <x v="2"/>
    <s v="Grocery"/>
    <x v="3"/>
    <s v="Men T-Shirt"/>
    <s v="Men T-Shirt"/>
    <s v="CUST0151"/>
    <s v=" CUST0151 "/>
    <x v="2"/>
    <s v="Suresh"/>
    <x v="4"/>
    <s v="Credit Card"/>
    <n v="13"/>
    <s v="13"/>
    <n v="4775"/>
    <s v="4775"/>
    <n v="62075"/>
    <x v="0"/>
    <x v="2"/>
    <x v="11"/>
    <s v="High"/>
    <s v="Online"/>
    <n v="62075"/>
  </r>
  <r>
    <n v="1948"/>
    <d v="2024-03-22T03:00:00"/>
    <s v="2024-03-22 03:00:00"/>
    <s v="south"/>
    <x v="3"/>
    <s v="Clothing"/>
    <x v="0"/>
    <s v="Mixer Grinder"/>
    <s v="Mixer Grinder"/>
    <s v="CUST0669"/>
    <s v=" CUST0669 "/>
    <x v="4"/>
    <s v="Karthik"/>
    <x v="1"/>
    <s v="Debit card "/>
    <n v="8"/>
    <s v="8"/>
    <n v="2504"/>
    <s v="2504"/>
    <n v="20032"/>
    <x v="0"/>
    <x v="2"/>
    <x v="11"/>
    <s v="Medium"/>
    <s v="Online"/>
    <n v="20032"/>
  </r>
  <r>
    <n v="1949"/>
    <d v="2024-03-22T04:00:00"/>
    <s v="2024-03-22 04:00:00"/>
    <s v=" west"/>
    <x v="1"/>
    <s v="Grocery"/>
    <x v="3"/>
    <s v="Men T-Shirt"/>
    <s v="Men T-Shirt"/>
    <s v="CUST0206"/>
    <s v=" CUST0206 "/>
    <x v="1"/>
    <s v="Meena"/>
    <x v="4"/>
    <s v="Credit Card"/>
    <n v="12"/>
    <s v="12"/>
    <n v="1542"/>
    <s v="1542"/>
    <n v="18504"/>
    <x v="0"/>
    <x v="2"/>
    <x v="11"/>
    <s v="Low"/>
    <s v="Online"/>
    <n v="18504"/>
  </r>
  <r>
    <n v="1950"/>
    <d v="2024-03-22T05:00:00"/>
    <s v="2024-03-22 05:00:00"/>
    <s v="EAST"/>
    <x v="0"/>
    <s v="Clothing"/>
    <x v="0"/>
    <s v="Laptop"/>
    <s v="Laptop"/>
    <s v="CUST0179"/>
    <s v=" CUST0179 "/>
    <x v="2"/>
    <s v="Suresh"/>
    <x v="0"/>
    <s v=" Cash"/>
    <n v="9"/>
    <s v="9"/>
    <n v="4893"/>
    <s v="4893"/>
    <n v="44037"/>
    <x v="0"/>
    <x v="2"/>
    <x v="11"/>
    <s v="Medium"/>
    <s v="Offline"/>
    <n v="44037"/>
  </r>
  <r>
    <n v="1951"/>
    <d v="2024-03-22T06:00:00"/>
    <s v="2024-03-22 06:00:00"/>
    <s v=" west"/>
    <x v="1"/>
    <s v="Grocery"/>
    <x v="3"/>
    <s v="Rice 5Kg"/>
    <s v="Rice 5kg"/>
    <s v="CUST0197"/>
    <s v=" CUST0197 "/>
    <x v="3"/>
    <s v="Anita"/>
    <x v="4"/>
    <s v="Credit Card"/>
    <n v="6"/>
    <s v="6"/>
    <n v="2076"/>
    <s v="2076"/>
    <n v="12456"/>
    <x v="0"/>
    <x v="2"/>
    <x v="11"/>
    <s v="Low"/>
    <s v="Online"/>
    <n v="12456"/>
  </r>
  <r>
    <n v="1952"/>
    <d v="2024-03-22T07:00:00"/>
    <s v="2024-03-22 07:00:00"/>
    <s v="EAST"/>
    <x v="0"/>
    <s v="Clothing"/>
    <x v="0"/>
    <s v="Laptop"/>
    <s v="Laptop"/>
    <s v="CUST0735"/>
    <s v=" CUST0735 "/>
    <x v="4"/>
    <s v="Karthik"/>
    <x v="0"/>
    <s v=" Cash"/>
    <n v="10"/>
    <s v="10"/>
    <n v="4073"/>
    <s v="4073"/>
    <n v="40730"/>
    <x v="0"/>
    <x v="2"/>
    <x v="11"/>
    <s v="Medium"/>
    <s v="Offline"/>
    <n v="40730"/>
  </r>
  <r>
    <n v="1953"/>
    <d v="2024-03-22T08:00:00"/>
    <s v="2024-03-22 08:00:00"/>
    <s v="EAST"/>
    <x v="0"/>
    <s v="Electronics"/>
    <x v="2"/>
    <s v="Washing Machine"/>
    <s v="Washing Machine"/>
    <s v="CUST0089"/>
    <s v=" CUST0089 "/>
    <x v="0"/>
    <s v="Rahul"/>
    <x v="2"/>
    <s v="UPI"/>
    <n v="2"/>
    <s v="2"/>
    <n v="2590"/>
    <s v="2590"/>
    <n v="5180"/>
    <x v="0"/>
    <x v="2"/>
    <x v="11"/>
    <s v="Low"/>
    <s v="Online"/>
    <n v="5180"/>
  </r>
  <r>
    <n v="1954"/>
    <d v="2024-03-22T09:00:00"/>
    <s v="2024-03-22 09:00:00"/>
    <s v=" west"/>
    <x v="1"/>
    <s v="Clothing"/>
    <x v="0"/>
    <s v="Men T-Shirt"/>
    <s v="Men T-Shirt"/>
    <s v="CUST0799"/>
    <s v=" CUST0799 "/>
    <x v="2"/>
    <s v="Suresh"/>
    <x v="2"/>
    <s v="UPI"/>
    <n v="2"/>
    <s v="2"/>
    <n v="825"/>
    <s v="825"/>
    <n v="1650"/>
    <x v="0"/>
    <x v="2"/>
    <x v="11"/>
    <s v="Low"/>
    <s v="Online"/>
    <n v="1650"/>
  </r>
  <r>
    <n v="1955"/>
    <d v="2024-03-22T10:00:00"/>
    <s v="2024-03-22 10:00:00"/>
    <s v="EAST"/>
    <x v="0"/>
    <s v="Electronics"/>
    <x v="2"/>
    <s v="Men T-Shirt"/>
    <s v="Men T-Shirt"/>
    <s v="CUST0434"/>
    <s v=" CUST0434 "/>
    <x v="2"/>
    <s v="Suresh"/>
    <x v="3"/>
    <s v=" Net Banking "/>
    <n v="7"/>
    <s v="7"/>
    <n v="3903"/>
    <s v="3903"/>
    <n v="27321"/>
    <x v="0"/>
    <x v="2"/>
    <x v="11"/>
    <s v="Medium"/>
    <s v="Online"/>
    <n v="27321"/>
  </r>
  <r>
    <n v="1956"/>
    <d v="2024-03-22T11:00:00"/>
    <s v="2024-03-22 11:00:00"/>
    <s v=" North "/>
    <x v="2"/>
    <s v="Electronics"/>
    <x v="2"/>
    <s v="Led Tv 42Inch"/>
    <s v="LED TV 42inch"/>
    <s v="CUST0788"/>
    <s v=" CUST0788 "/>
    <x v="4"/>
    <s v="Karthik"/>
    <x v="4"/>
    <s v="Credit Card"/>
    <n v="8"/>
    <s v="8"/>
    <n v="4481"/>
    <s v="4481"/>
    <n v="35848"/>
    <x v="0"/>
    <x v="2"/>
    <x v="11"/>
    <s v="Medium"/>
    <s v="Online"/>
    <n v="35848"/>
  </r>
  <r>
    <n v="1957"/>
    <d v="2024-03-22T12:00:00"/>
    <s v="2024-03-22 12:00:00"/>
    <s v="south"/>
    <x v="3"/>
    <s v="Clothing"/>
    <x v="0"/>
    <s v="Rice 5Kg"/>
    <s v="Rice 5kg"/>
    <s v="CUST0748"/>
    <s v=" CUST0748 "/>
    <x v="1"/>
    <s v="Meena"/>
    <x v="4"/>
    <s v="Credit Card"/>
    <n v="8"/>
    <s v="8"/>
    <n v="3927"/>
    <s v="3927"/>
    <n v="31416"/>
    <x v="0"/>
    <x v="2"/>
    <x v="11"/>
    <s v="Medium"/>
    <s v="Online"/>
    <n v="31416"/>
  </r>
  <r>
    <n v="1958"/>
    <d v="2024-03-22T13:00:00"/>
    <s v="2024-03-22 13:00:00"/>
    <s v="EAST"/>
    <x v="0"/>
    <s v="Grocery"/>
    <x v="3"/>
    <s v="Washing Machine"/>
    <s v="Washing Machine"/>
    <s v="CUST0183"/>
    <s v=" CUST0183 "/>
    <x v="1"/>
    <s v="Meena"/>
    <x v="0"/>
    <s v=" Cash"/>
    <n v="14"/>
    <s v="14"/>
    <n v="4765"/>
    <s v="4765"/>
    <n v="66710"/>
    <x v="0"/>
    <x v="2"/>
    <x v="11"/>
    <s v="High"/>
    <s v="Offline"/>
    <n v="66710"/>
  </r>
  <r>
    <n v="1959"/>
    <d v="2024-03-22T14:00:00"/>
    <s v="2024-03-22 14:00:00"/>
    <s v=" North "/>
    <x v="2"/>
    <s v="Grocery"/>
    <x v="3"/>
    <s v="Men T-Shirt"/>
    <s v="Men T-Shirt"/>
    <s v="CUST0209"/>
    <s v=" CUST0209 "/>
    <x v="1"/>
    <s v="Meena"/>
    <x v="2"/>
    <s v="UPI"/>
    <n v="6"/>
    <s v="6"/>
    <n v="3719"/>
    <s v="3719"/>
    <n v="22314"/>
    <x v="0"/>
    <x v="2"/>
    <x v="11"/>
    <s v="Medium"/>
    <s v="Online"/>
    <n v="22314"/>
  </r>
  <r>
    <n v="1960"/>
    <d v="2024-03-22T15:00:00"/>
    <s v="2024-03-22 15:00:00"/>
    <s v="EAST"/>
    <x v="0"/>
    <s v=" Home Appliances "/>
    <x v="1"/>
    <s v="Men T-Shirt"/>
    <s v="Men T-Shirt"/>
    <s v="CUST0493"/>
    <s v=" CUST0493 "/>
    <x v="0"/>
    <s v="Rahul"/>
    <x v="0"/>
    <s v=" Cash"/>
    <n v="10"/>
    <s v="10"/>
    <n v="2987"/>
    <s v="2987"/>
    <n v="29870"/>
    <x v="0"/>
    <x v="2"/>
    <x v="11"/>
    <s v="Medium"/>
    <s v="Offline"/>
    <n v="29870"/>
  </r>
  <r>
    <n v="1961"/>
    <d v="2024-03-22T16:00:00"/>
    <s v="2024-03-22 16:00:00"/>
    <s v="south"/>
    <x v="3"/>
    <s v="Grocery"/>
    <x v="3"/>
    <s v="Washing Machine"/>
    <s v="Washing Machine"/>
    <s v="CUST0130"/>
    <s v=" CUST0130 "/>
    <x v="4"/>
    <s v="Karthik"/>
    <x v="2"/>
    <s v="UPI"/>
    <n v="8"/>
    <s v="8"/>
    <n v="597"/>
    <s v="597"/>
    <n v="4776"/>
    <x v="0"/>
    <x v="2"/>
    <x v="11"/>
    <s v="Low"/>
    <s v="Online"/>
    <n v="4776"/>
  </r>
  <r>
    <n v="1962"/>
    <d v="2024-03-22T17:00:00"/>
    <s v="2024-03-22 17:00:00"/>
    <s v=" North "/>
    <x v="2"/>
    <s v=" Home Appliances "/>
    <x v="1"/>
    <s v="Laptop"/>
    <s v="Laptop"/>
    <s v="CUST0665"/>
    <s v=" CUST0665 "/>
    <x v="4"/>
    <s v="Karthik"/>
    <x v="0"/>
    <s v=" Cash"/>
    <n v="14"/>
    <s v="14"/>
    <n v="4076"/>
    <s v="4076"/>
    <n v="57064"/>
    <x v="0"/>
    <x v="2"/>
    <x v="11"/>
    <s v="High"/>
    <s v="Offline"/>
    <n v="57064"/>
  </r>
  <r>
    <n v="1963"/>
    <d v="2024-03-22T18:00:00"/>
    <s v="2024-03-22 18:00:00"/>
    <s v="south"/>
    <x v="3"/>
    <s v="Grocery"/>
    <x v="3"/>
    <s v="Laptop"/>
    <s v="Laptop"/>
    <s v="CUST0013"/>
    <s v=" CUST0013 "/>
    <x v="1"/>
    <s v="Meena"/>
    <x v="2"/>
    <s v="UPI"/>
    <n v="1"/>
    <s v="1"/>
    <n v="804"/>
    <s v="804"/>
    <n v="804"/>
    <x v="0"/>
    <x v="2"/>
    <x v="11"/>
    <s v="Low"/>
    <s v="Online"/>
    <n v="804"/>
  </r>
  <r>
    <n v="1964"/>
    <d v="2024-03-22T19:00:00"/>
    <s v="2024-03-22 19:00:00"/>
    <s v="south"/>
    <x v="3"/>
    <s v="Grocery"/>
    <x v="3"/>
    <s v="Rice 5Kg"/>
    <s v="Rice 5kg"/>
    <s v="CUST0634"/>
    <s v=" CUST0634 "/>
    <x v="1"/>
    <s v="Meena"/>
    <x v="0"/>
    <s v=" Cash"/>
    <n v="9"/>
    <s v="9"/>
    <n v="4757"/>
    <s v="4757"/>
    <n v="42813"/>
    <x v="0"/>
    <x v="2"/>
    <x v="11"/>
    <s v="Medium"/>
    <s v="Offline"/>
    <n v="42813"/>
  </r>
  <r>
    <n v="1965"/>
    <d v="2024-03-22T20:00:00"/>
    <s v="2024-03-22 20:00:00"/>
    <s v=" North "/>
    <x v="2"/>
    <s v="Electronics"/>
    <x v="2"/>
    <s v="Led Tv 42Inch"/>
    <s v="LED TV 42inch"/>
    <s v="CUST0732"/>
    <s v=" CUST0732 "/>
    <x v="3"/>
    <s v="Anita"/>
    <x v="2"/>
    <s v="UPI"/>
    <n v="13"/>
    <s v="13"/>
    <n v="4227"/>
    <s v="4227"/>
    <n v="54951"/>
    <x v="0"/>
    <x v="2"/>
    <x v="11"/>
    <s v="High"/>
    <s v="Online"/>
    <n v="54951"/>
  </r>
  <r>
    <n v="1966"/>
    <d v="2024-03-22T21:00:00"/>
    <s v="2024-03-22 21:00:00"/>
    <s v=" North "/>
    <x v="2"/>
    <s v=" Home Appliances "/>
    <x v="1"/>
    <s v="Men T-Shirt"/>
    <s v="Men T-Shirt"/>
    <s v="CUST0106"/>
    <s v=" CUST0106 "/>
    <x v="3"/>
    <s v="Anita"/>
    <x v="0"/>
    <s v=" Cash"/>
    <n v="12"/>
    <s v="12"/>
    <n v="3781"/>
    <s v="3781"/>
    <n v="45372"/>
    <x v="0"/>
    <x v="2"/>
    <x v="11"/>
    <s v="Medium"/>
    <s v="Offline"/>
    <n v="45372"/>
  </r>
  <r>
    <n v="1967"/>
    <d v="2024-03-22T22:00:00"/>
    <s v="2024-03-22 22:00:00"/>
    <s v=" North "/>
    <x v="2"/>
    <s v="Grocery"/>
    <x v="3"/>
    <s v="Led Tv 42Inch"/>
    <s v="LED TV 42inch"/>
    <s v="CUST0375"/>
    <s v=" CUST0375 "/>
    <x v="2"/>
    <s v="Suresh"/>
    <x v="4"/>
    <s v="Credit Card"/>
    <n v="1"/>
    <s v="1"/>
    <n v="4238"/>
    <s v="4238"/>
    <n v="4238"/>
    <x v="0"/>
    <x v="2"/>
    <x v="11"/>
    <s v="Low"/>
    <s v="Online"/>
    <n v="4238"/>
  </r>
  <r>
    <n v="1968"/>
    <d v="2024-03-22T23:00:00"/>
    <s v="2024-03-22 23:00:00"/>
    <s v=" west"/>
    <x v="1"/>
    <s v=" Home Appliances "/>
    <x v="1"/>
    <s v="Laptop"/>
    <s v="Laptop"/>
    <s v="CUST0582"/>
    <s v=" CUST0582 "/>
    <x v="2"/>
    <s v="Suresh"/>
    <x v="3"/>
    <s v=" Net Banking "/>
    <n v="13"/>
    <s v="13"/>
    <n v="2016"/>
    <s v="2016"/>
    <n v="26208"/>
    <x v="0"/>
    <x v="2"/>
    <x v="11"/>
    <s v="Medium"/>
    <s v="Online"/>
    <n v="26208"/>
  </r>
  <r>
    <n v="1969"/>
    <d v="2024-03-23T00:00:00"/>
    <s v="2024-03-23 00:00:00"/>
    <s v=" North "/>
    <x v="2"/>
    <s v="Electronics"/>
    <x v="2"/>
    <s v="Laptop"/>
    <s v="Laptop"/>
    <s v="CUST0707"/>
    <s v=" CUST0707 "/>
    <x v="4"/>
    <s v="Karthik"/>
    <x v="0"/>
    <s v=" Cash"/>
    <n v="3"/>
    <s v="3"/>
    <n v="1474"/>
    <s v="1474"/>
    <n v="4422"/>
    <x v="0"/>
    <x v="2"/>
    <x v="11"/>
    <s v="Low"/>
    <s v="Offline"/>
    <n v="4422"/>
  </r>
  <r>
    <n v="1970"/>
    <d v="2024-03-23T01:00:00"/>
    <s v="2024-03-23 01:00:00"/>
    <s v=" North "/>
    <x v="2"/>
    <s v="Electronics"/>
    <x v="2"/>
    <s v="Mixer Grinder"/>
    <s v="Mixer Grinder"/>
    <s v="CUST0698"/>
    <s v=" CUST0698 "/>
    <x v="4"/>
    <s v="Karthik"/>
    <x v="3"/>
    <s v=" Net Banking "/>
    <n v="12"/>
    <s v="12"/>
    <n v="1945"/>
    <s v="1945"/>
    <n v="23340"/>
    <x v="0"/>
    <x v="2"/>
    <x v="11"/>
    <s v="Medium"/>
    <s v="Online"/>
    <n v="23340"/>
  </r>
  <r>
    <n v="1971"/>
    <d v="2024-03-23T02:00:00"/>
    <s v="2024-03-23 02:00:00"/>
    <s v=" North "/>
    <x v="2"/>
    <s v=" Home Appliances "/>
    <x v="1"/>
    <s v="Rice 5Kg"/>
    <s v="Rice 5kg"/>
    <s v="CUST0099"/>
    <s v=" CUST0099 "/>
    <x v="0"/>
    <s v="Rahul"/>
    <x v="4"/>
    <s v="Credit Card"/>
    <n v="9"/>
    <s v="9"/>
    <n v="4754"/>
    <s v="4754"/>
    <n v="42786"/>
    <x v="0"/>
    <x v="2"/>
    <x v="11"/>
    <s v="Medium"/>
    <s v="Online"/>
    <n v="42786"/>
  </r>
  <r>
    <n v="1972"/>
    <d v="2024-03-23T03:00:00"/>
    <s v="2024-03-23 03:00:00"/>
    <s v=" North "/>
    <x v="2"/>
    <s v="Electronics"/>
    <x v="2"/>
    <s v="Mixer Grinder"/>
    <s v="Mixer Grinder"/>
    <s v="CUST0594"/>
    <s v=" CUST0594 "/>
    <x v="0"/>
    <s v="Rahul"/>
    <x v="4"/>
    <s v="Credit Card"/>
    <n v="11"/>
    <s v="11"/>
    <n v="1536"/>
    <s v="1536"/>
    <n v="16896"/>
    <x v="0"/>
    <x v="2"/>
    <x v="11"/>
    <s v="Low"/>
    <s v="Online"/>
    <n v="16896"/>
  </r>
  <r>
    <n v="1973"/>
    <d v="2024-03-23T04:00:00"/>
    <s v="2024-03-23 04:00:00"/>
    <s v="EAST"/>
    <x v="0"/>
    <s v="Clothing"/>
    <x v="0"/>
    <s v="Mixer Grinder"/>
    <s v="Mixer Grinder"/>
    <s v="CUST0587"/>
    <s v=" CUST0587 "/>
    <x v="3"/>
    <s v="Anita"/>
    <x v="2"/>
    <s v="UPI"/>
    <n v="5"/>
    <s v="5"/>
    <n v="3190"/>
    <s v="3190"/>
    <n v="15950"/>
    <x v="0"/>
    <x v="2"/>
    <x v="11"/>
    <s v="Low"/>
    <s v="Online"/>
    <n v="15950"/>
  </r>
  <r>
    <n v="1974"/>
    <d v="2024-03-23T05:00:00"/>
    <s v="2024-03-23 05:00:00"/>
    <s v=" west"/>
    <x v="1"/>
    <s v="Clothing"/>
    <x v="0"/>
    <s v="Mixer Grinder"/>
    <s v="Mixer Grinder"/>
    <s v="CUST0192"/>
    <s v=" CUST0192 "/>
    <x v="2"/>
    <s v="Suresh"/>
    <x v="3"/>
    <s v=" Net Banking "/>
    <n v="9"/>
    <s v="9"/>
    <n v="1470"/>
    <s v="1470"/>
    <n v="13230"/>
    <x v="0"/>
    <x v="2"/>
    <x v="11"/>
    <s v="Low"/>
    <s v="Online"/>
    <n v="13230"/>
  </r>
  <r>
    <n v="1975"/>
    <d v="2024-03-23T06:00:00"/>
    <s v="2024-03-23 06:00:00"/>
    <s v="south"/>
    <x v="3"/>
    <s v="Electronics"/>
    <x v="2"/>
    <s v="Rice 5Kg"/>
    <s v="Rice 5kg"/>
    <s v="CUST0325"/>
    <s v=" CUST0325 "/>
    <x v="3"/>
    <s v="Anita"/>
    <x v="1"/>
    <s v="Debit card "/>
    <n v="9"/>
    <s v="9"/>
    <n v="2028"/>
    <s v="2028"/>
    <n v="18252"/>
    <x v="0"/>
    <x v="2"/>
    <x v="11"/>
    <s v="Low"/>
    <s v="Online"/>
    <n v="18252"/>
  </r>
  <r>
    <n v="1976"/>
    <d v="2024-03-23T07:00:00"/>
    <s v="2024-03-23 07:00:00"/>
    <s v=" North "/>
    <x v="2"/>
    <s v="Clothing"/>
    <x v="0"/>
    <s v="Rice 5Kg"/>
    <s v="Rice 5kg"/>
    <s v="CUST0726"/>
    <s v=" CUST0726 "/>
    <x v="3"/>
    <s v="Anita"/>
    <x v="2"/>
    <s v="UPI"/>
    <n v="6"/>
    <s v="6"/>
    <n v="1736"/>
    <s v="1736"/>
    <n v="10416"/>
    <x v="0"/>
    <x v="2"/>
    <x v="11"/>
    <s v="Low"/>
    <s v="Online"/>
    <n v="10416"/>
  </r>
  <r>
    <n v="1977"/>
    <d v="2024-03-23T08:00:00"/>
    <s v="2024-03-23 08:00:00"/>
    <s v="EAST"/>
    <x v="0"/>
    <s v="Grocery"/>
    <x v="3"/>
    <s v="Washing Machine"/>
    <s v="Washing Machine"/>
    <s v="CUST0467"/>
    <s v=" CUST0467 "/>
    <x v="2"/>
    <s v="Suresh"/>
    <x v="3"/>
    <s v=" Net Banking "/>
    <n v="11"/>
    <s v="11"/>
    <n v="191"/>
    <s v="191"/>
    <n v="2101"/>
    <x v="0"/>
    <x v="2"/>
    <x v="11"/>
    <s v="Low"/>
    <s v="Online"/>
    <n v="2101"/>
  </r>
  <r>
    <n v="1978"/>
    <d v="2024-03-23T09:00:00"/>
    <s v="2024-03-23 09:00:00"/>
    <s v="EAST"/>
    <x v="0"/>
    <s v=" Home Appliances "/>
    <x v="1"/>
    <s v="Led Tv 42Inch"/>
    <s v="LED TV 42inch"/>
    <s v="CUST0367"/>
    <s v=" CUST0367 "/>
    <x v="0"/>
    <s v="Rahul"/>
    <x v="0"/>
    <s v=" Cash"/>
    <n v="1"/>
    <s v="1"/>
    <n v="1943"/>
    <s v="1943"/>
    <n v="1943"/>
    <x v="0"/>
    <x v="2"/>
    <x v="11"/>
    <s v="Low"/>
    <s v="Offline"/>
    <n v="1943"/>
  </r>
  <r>
    <n v="1979"/>
    <d v="2024-03-23T10:00:00"/>
    <s v="2024-03-23 10:00:00"/>
    <s v="EAST"/>
    <x v="0"/>
    <s v="Grocery"/>
    <x v="3"/>
    <s v="Led Tv 42Inch"/>
    <s v="LED TV 42inch"/>
    <s v="CUST0318"/>
    <s v=" CUST0318 "/>
    <x v="2"/>
    <s v="Suresh"/>
    <x v="0"/>
    <s v=" Cash"/>
    <n v="10"/>
    <s v="10"/>
    <n v="284"/>
    <s v="284"/>
    <n v="2840"/>
    <x v="0"/>
    <x v="2"/>
    <x v="11"/>
    <s v="Low"/>
    <s v="Offline"/>
    <n v="2840"/>
  </r>
  <r>
    <n v="1980"/>
    <d v="2024-03-23T11:00:00"/>
    <s v="2024-03-23 11:00:00"/>
    <s v="south"/>
    <x v="3"/>
    <s v=" Home Appliances "/>
    <x v="1"/>
    <s v="Washing Machine"/>
    <s v="Washing Machine"/>
    <s v="CUST0144"/>
    <s v=" CUST0144 "/>
    <x v="1"/>
    <s v="Meena"/>
    <x v="4"/>
    <s v="Credit Card"/>
    <n v="7"/>
    <s v="7"/>
    <n v="4923"/>
    <s v="4923"/>
    <n v="34461"/>
    <x v="0"/>
    <x v="2"/>
    <x v="11"/>
    <s v="Medium"/>
    <s v="Online"/>
    <n v="34461"/>
  </r>
  <r>
    <n v="1981"/>
    <d v="2024-03-23T12:00:00"/>
    <s v="2024-03-23 12:00:00"/>
    <s v=" North "/>
    <x v="2"/>
    <s v="Electronics"/>
    <x v="2"/>
    <s v="Washing Machine"/>
    <s v="Washing Machine"/>
    <s v="CUST0384"/>
    <s v=" CUST0384 "/>
    <x v="1"/>
    <s v="Meena"/>
    <x v="1"/>
    <s v="Debit card "/>
    <n v="14"/>
    <s v="14"/>
    <n v="1671"/>
    <s v="1671"/>
    <n v="23394"/>
    <x v="0"/>
    <x v="2"/>
    <x v="11"/>
    <s v="Medium"/>
    <s v="Online"/>
    <n v="23394"/>
  </r>
  <r>
    <n v="1982"/>
    <d v="2024-03-23T13:00:00"/>
    <s v="2024-03-23 13:00:00"/>
    <s v=" west"/>
    <x v="1"/>
    <s v="Grocery"/>
    <x v="3"/>
    <s v="Laptop"/>
    <s v="Laptop"/>
    <s v="CUST0216"/>
    <s v=" CUST0216 "/>
    <x v="1"/>
    <s v="Meena"/>
    <x v="0"/>
    <s v=" Cash"/>
    <n v="6"/>
    <s v="6"/>
    <n v="931"/>
    <s v="931"/>
    <n v="5586"/>
    <x v="0"/>
    <x v="2"/>
    <x v="11"/>
    <s v="Low"/>
    <s v="Offline"/>
    <n v="5586"/>
  </r>
  <r>
    <n v="1983"/>
    <d v="2024-03-23T14:00:00"/>
    <s v="2024-03-23 14:00:00"/>
    <s v=" west"/>
    <x v="1"/>
    <s v="Electronics"/>
    <x v="2"/>
    <s v="Mixer Grinder"/>
    <s v="Mixer Grinder"/>
    <s v="CUST0361"/>
    <s v=" CUST0361 "/>
    <x v="4"/>
    <s v="Karthik"/>
    <x v="3"/>
    <s v=" Net Banking "/>
    <n v="9"/>
    <s v="9"/>
    <n v="4540"/>
    <s v="4540"/>
    <n v="40860"/>
    <x v="0"/>
    <x v="2"/>
    <x v="11"/>
    <s v="Medium"/>
    <s v="Online"/>
    <n v="40860"/>
  </r>
  <r>
    <n v="1984"/>
    <d v="2024-03-23T15:00:00"/>
    <s v="2024-03-23 15:00:00"/>
    <s v="EAST"/>
    <x v="0"/>
    <s v="Electronics"/>
    <x v="2"/>
    <s v="Washing Machine"/>
    <s v="Washing Machine"/>
    <s v="CUST0324"/>
    <s v=" CUST0324 "/>
    <x v="0"/>
    <s v="Rahul"/>
    <x v="3"/>
    <s v=" Net Banking "/>
    <n v="7"/>
    <s v="7"/>
    <n v="2225"/>
    <s v="2225"/>
    <n v="15575"/>
    <x v="0"/>
    <x v="2"/>
    <x v="11"/>
    <s v="Low"/>
    <s v="Online"/>
    <n v="15575"/>
  </r>
  <r>
    <n v="1985"/>
    <d v="2024-03-23T16:00:00"/>
    <s v="2024-03-23 16:00:00"/>
    <s v="south"/>
    <x v="3"/>
    <s v=" Home Appliances "/>
    <x v="1"/>
    <s v="Men T-Shirt"/>
    <s v="Men T-Shirt"/>
    <s v="CUST0015"/>
    <s v=" CUST0015 "/>
    <x v="0"/>
    <s v="Rahul"/>
    <x v="0"/>
    <s v=" Cash"/>
    <n v="14"/>
    <s v="14"/>
    <n v="4362"/>
    <s v="4362"/>
    <n v="61068"/>
    <x v="0"/>
    <x v="2"/>
    <x v="11"/>
    <s v="High"/>
    <s v="Offline"/>
    <n v="61068"/>
  </r>
  <r>
    <n v="1986"/>
    <d v="2024-03-23T17:00:00"/>
    <s v="2024-03-23 17:00:00"/>
    <s v="south"/>
    <x v="3"/>
    <s v=" Home Appliances "/>
    <x v="1"/>
    <s v="Led Tv 42Inch"/>
    <s v="LED TV 42inch"/>
    <s v="CUST0217"/>
    <s v=" CUST0217 "/>
    <x v="4"/>
    <s v="Karthik"/>
    <x v="3"/>
    <s v=" Net Banking "/>
    <n v="12"/>
    <s v="12"/>
    <n v="363"/>
    <s v="363"/>
    <n v="4356"/>
    <x v="0"/>
    <x v="2"/>
    <x v="11"/>
    <s v="Low"/>
    <s v="Online"/>
    <n v="4356"/>
  </r>
  <r>
    <n v="1987"/>
    <d v="2024-03-23T18:00:00"/>
    <s v="2024-03-23 18:00:00"/>
    <s v="south"/>
    <x v="3"/>
    <s v=" Home Appliances "/>
    <x v="1"/>
    <s v="Washing Machine"/>
    <s v="Washing Machine"/>
    <s v="CUST0492"/>
    <s v=" CUST0492 "/>
    <x v="3"/>
    <s v="Anita"/>
    <x v="3"/>
    <s v=" Net Banking "/>
    <n v="11"/>
    <s v="11"/>
    <n v="1386"/>
    <s v="1386"/>
    <n v="15246"/>
    <x v="0"/>
    <x v="2"/>
    <x v="11"/>
    <s v="Low"/>
    <s v="Online"/>
    <n v="15246"/>
  </r>
  <r>
    <n v="1988"/>
    <d v="2024-03-23T19:00:00"/>
    <s v="2024-03-23 19:00:00"/>
    <s v=" west"/>
    <x v="1"/>
    <s v="Grocery"/>
    <x v="3"/>
    <s v="Men T-Shirt"/>
    <s v="Men T-Shirt"/>
    <s v="CUST0547"/>
    <s v=" CUST0547 "/>
    <x v="1"/>
    <s v="Meena"/>
    <x v="4"/>
    <s v="Credit Card"/>
    <n v="12"/>
    <s v="12"/>
    <n v="1629"/>
    <s v="1629"/>
    <n v="19548"/>
    <x v="0"/>
    <x v="2"/>
    <x v="11"/>
    <s v="Low"/>
    <s v="Online"/>
    <n v="19548"/>
  </r>
  <r>
    <n v="1989"/>
    <d v="2024-03-23T20:00:00"/>
    <s v="2024-03-23 20:00:00"/>
    <s v="EAST"/>
    <x v="0"/>
    <s v="Clothing"/>
    <x v="0"/>
    <s v="Men T-Shirt"/>
    <s v="Men T-Shirt"/>
    <s v="CUST0183"/>
    <s v=" CUST0183 "/>
    <x v="1"/>
    <s v="Meena"/>
    <x v="1"/>
    <s v="Debit card "/>
    <n v="13"/>
    <s v="13"/>
    <n v="1908"/>
    <s v="1908"/>
    <n v="24804"/>
    <x v="0"/>
    <x v="2"/>
    <x v="11"/>
    <s v="Medium"/>
    <s v="Online"/>
    <n v="24804"/>
  </r>
  <r>
    <n v="1990"/>
    <d v="2024-03-23T21:00:00"/>
    <s v="2024-03-23 21:00:00"/>
    <s v=" North "/>
    <x v="2"/>
    <s v=" Home Appliances "/>
    <x v="1"/>
    <s v="Men T-Shirt"/>
    <s v="Men T-Shirt"/>
    <s v="CUST0270"/>
    <s v=" CUST0270 "/>
    <x v="3"/>
    <s v="Anita"/>
    <x v="4"/>
    <s v="Credit Card"/>
    <n v="4"/>
    <s v="4"/>
    <n v="1977"/>
    <s v="1977"/>
    <n v="7908"/>
    <x v="0"/>
    <x v="2"/>
    <x v="11"/>
    <s v="Low"/>
    <s v="Online"/>
    <n v="7908"/>
  </r>
  <r>
    <n v="1991"/>
    <d v="2024-03-23T22:00:00"/>
    <s v="2024-03-23 22:00:00"/>
    <s v=" west"/>
    <x v="1"/>
    <s v=" Home Appliances "/>
    <x v="1"/>
    <s v="Laptop"/>
    <s v="Laptop"/>
    <s v="CUST0467"/>
    <s v=" CUST0467 "/>
    <x v="2"/>
    <s v="Suresh"/>
    <x v="1"/>
    <s v="Debit card "/>
    <n v="7"/>
    <s v="7"/>
    <n v="1849"/>
    <s v="1849"/>
    <n v="12943"/>
    <x v="0"/>
    <x v="2"/>
    <x v="11"/>
    <s v="Low"/>
    <s v="Online"/>
    <n v="12943"/>
  </r>
  <r>
    <n v="1992"/>
    <d v="2024-03-23T23:00:00"/>
    <s v="2024-03-23 23:00:00"/>
    <s v="EAST"/>
    <x v="0"/>
    <s v="Grocery"/>
    <x v="3"/>
    <s v="Laptop"/>
    <s v="Laptop"/>
    <s v="CUST0612"/>
    <s v=" CUST0612 "/>
    <x v="2"/>
    <s v="Suresh"/>
    <x v="3"/>
    <s v=" Net Banking "/>
    <n v="2"/>
    <s v="2"/>
    <n v="2009"/>
    <s v="2009"/>
    <n v="4018"/>
    <x v="0"/>
    <x v="2"/>
    <x v="11"/>
    <s v="Low"/>
    <s v="Online"/>
    <n v="4018"/>
  </r>
  <r>
    <n v="1993"/>
    <d v="2024-03-24T00:00:00"/>
    <s v="2024-03-24 00:00:00"/>
    <s v="EAST"/>
    <x v="0"/>
    <s v=" Home Appliances "/>
    <x v="1"/>
    <s v="Men T-Shirt"/>
    <s v="Men T-Shirt"/>
    <s v="CUST0519"/>
    <s v=" CUST0519 "/>
    <x v="0"/>
    <s v="Rahul"/>
    <x v="1"/>
    <s v="Debit card "/>
    <n v="6"/>
    <s v="6"/>
    <n v="2723"/>
    <s v="2723"/>
    <n v="16338"/>
    <x v="0"/>
    <x v="2"/>
    <x v="11"/>
    <s v="Low"/>
    <s v="Online"/>
    <n v="16338"/>
  </r>
  <r>
    <n v="1994"/>
    <d v="2024-03-24T01:00:00"/>
    <s v="2024-03-24 01:00:00"/>
    <s v=" North "/>
    <x v="2"/>
    <s v="Grocery"/>
    <x v="3"/>
    <s v="Laptop"/>
    <s v="Laptop"/>
    <s v="CUST0542"/>
    <s v=" CUST0542 "/>
    <x v="4"/>
    <s v="Karthik"/>
    <x v="3"/>
    <s v=" Net Banking "/>
    <n v="6"/>
    <s v="6"/>
    <n v="1297"/>
    <s v="1297"/>
    <n v="7782"/>
    <x v="0"/>
    <x v="2"/>
    <x v="11"/>
    <s v="Low"/>
    <s v="Online"/>
    <n v="7782"/>
  </r>
  <r>
    <n v="1995"/>
    <d v="2024-03-24T02:00:00"/>
    <s v="2024-03-24 02:00:00"/>
    <s v=" North "/>
    <x v="2"/>
    <s v="Electronics"/>
    <x v="2"/>
    <s v="Mixer Grinder"/>
    <s v="Mixer Grinder"/>
    <s v="CUST0467"/>
    <s v=" CUST0467 "/>
    <x v="0"/>
    <s v="Rahul"/>
    <x v="3"/>
    <s v=" Net Banking "/>
    <n v="2"/>
    <s v="2"/>
    <n v="2578"/>
    <s v="2578"/>
    <n v="5156"/>
    <x v="0"/>
    <x v="2"/>
    <x v="11"/>
    <s v="Low"/>
    <s v="Online"/>
    <n v="5156"/>
  </r>
  <r>
    <n v="1996"/>
    <d v="2024-03-24T03:00:00"/>
    <s v="2024-03-24 03:00:00"/>
    <s v=" North "/>
    <x v="2"/>
    <s v=" Home Appliances "/>
    <x v="1"/>
    <s v="Men T-Shirt"/>
    <s v="Men T-Shirt"/>
    <s v="CUST0305"/>
    <s v=" CUST0305 "/>
    <x v="2"/>
    <s v="Suresh"/>
    <x v="4"/>
    <s v="Credit Card"/>
    <n v="14"/>
    <s v="14"/>
    <n v="4963"/>
    <s v="4963"/>
    <n v="69482"/>
    <x v="0"/>
    <x v="2"/>
    <x v="11"/>
    <s v="High"/>
    <s v="Online"/>
    <n v="69482"/>
  </r>
  <r>
    <n v="1997"/>
    <d v="2024-03-24T04:00:00"/>
    <s v="2024-03-24 04:00:00"/>
    <s v="south"/>
    <x v="3"/>
    <s v=" Home Appliances "/>
    <x v="1"/>
    <s v="Mixer Grinder"/>
    <s v="Mixer Grinder"/>
    <s v="CUST0144"/>
    <s v=" CUST0144 "/>
    <x v="3"/>
    <s v="Anita"/>
    <x v="4"/>
    <s v="Credit Card"/>
    <n v="4"/>
    <s v="4"/>
    <n v="2610"/>
    <s v="2610"/>
    <n v="10440"/>
    <x v="0"/>
    <x v="2"/>
    <x v="11"/>
    <s v="Low"/>
    <s v="Online"/>
    <n v="10440"/>
  </r>
  <r>
    <n v="1998"/>
    <d v="2024-03-24T05:00:00"/>
    <s v="2024-03-24 05:00:00"/>
    <s v=" North "/>
    <x v="2"/>
    <s v="Electronics"/>
    <x v="2"/>
    <s v="Mixer Grinder"/>
    <s v="Mixer Grinder"/>
    <s v="CUST0111"/>
    <s v=" CUST0111 "/>
    <x v="0"/>
    <s v="Rahul"/>
    <x v="2"/>
    <s v="UPI"/>
    <n v="8"/>
    <s v="8"/>
    <n v="200"/>
    <s v="200"/>
    <n v="1600"/>
    <x v="0"/>
    <x v="2"/>
    <x v="11"/>
    <s v="Low"/>
    <s v="Online"/>
    <n v="1600"/>
  </r>
  <r>
    <n v="1999"/>
    <d v="2024-03-24T06:00:00"/>
    <s v="2024-03-24 06:00:00"/>
    <s v="EAST"/>
    <x v="0"/>
    <s v="Electronics"/>
    <x v="2"/>
    <s v="Men T-Shirt"/>
    <s v="Men T-Shirt"/>
    <s v="CUST0232"/>
    <s v=" CUST0232 "/>
    <x v="1"/>
    <s v="Meena"/>
    <x v="0"/>
    <s v=" Cash"/>
    <n v="8"/>
    <s v="8"/>
    <n v="3187"/>
    <s v="3187"/>
    <n v="25496"/>
    <x v="0"/>
    <x v="2"/>
    <x v="11"/>
    <s v="Medium"/>
    <s v="Offline"/>
    <n v="25496"/>
  </r>
  <r>
    <n v="2000"/>
    <d v="2024-03-24T07:00:00"/>
    <s v="2024-03-24 07:00:00"/>
    <s v=" North "/>
    <x v="2"/>
    <s v="Electronics"/>
    <x v="2"/>
    <s v="Led Tv 42Inch"/>
    <s v="LED TV 42inch"/>
    <s v="CUST0691"/>
    <s v=" CUST0691 "/>
    <x v="1"/>
    <s v="Meena"/>
    <x v="2"/>
    <s v="UPI"/>
    <n v="13"/>
    <s v="13"/>
    <n v="2019"/>
    <s v="2019"/>
    <n v="26247"/>
    <x v="0"/>
    <x v="2"/>
    <x v="11"/>
    <s v="Medium"/>
    <s v="Online"/>
    <n v="262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8B2185-470D-4AAB-A2D5-5542723C10EB}"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6">
    <pivotField showAll="0"/>
    <pivotField numFmtId="22" showAll="0"/>
    <pivotField showAll="0"/>
    <pivotField showAll="0"/>
    <pivotField axis="axisRow" showAll="0">
      <items count="5">
        <item x="0"/>
        <item x="2"/>
        <item x="3"/>
        <item x="1"/>
        <item t="default"/>
      </items>
    </pivotField>
    <pivotField showAll="0"/>
    <pivotField showAll="0">
      <items count="5">
        <item x="0"/>
        <item x="2"/>
        <item x="3"/>
        <item x="1"/>
        <item t="default"/>
      </items>
    </pivotField>
    <pivotField showAll="0"/>
    <pivotField showAll="0"/>
    <pivotField showAll="0"/>
    <pivotField showAll="0"/>
    <pivotField showAll="0">
      <items count="6">
        <item x="3"/>
        <item x="4"/>
        <item x="1"/>
        <item x="0"/>
        <item x="2"/>
        <item t="default"/>
      </items>
    </pivotField>
    <pivotField showAll="0"/>
    <pivotField showAll="0">
      <items count="6">
        <item x="0"/>
        <item x="4"/>
        <item x="1"/>
        <item x="3"/>
        <item x="2"/>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dataField="1" showAll="0"/>
  </pivotFields>
  <rowFields count="1">
    <field x="4"/>
  </rowFields>
  <rowItems count="5">
    <i>
      <x/>
    </i>
    <i>
      <x v="1"/>
    </i>
    <i>
      <x v="2"/>
    </i>
    <i>
      <x v="3"/>
    </i>
    <i t="grand">
      <x/>
    </i>
  </rowItems>
  <colItems count="1">
    <i/>
  </colItems>
  <dataFields count="1">
    <dataField name="Sum of Revenue_Final" fld="25" baseField="0" baseItem="0"/>
  </dataFields>
  <formats count="6">
    <format dxfId="123">
      <pivotArea dataOnly="0" labelOnly="1" outline="0" axis="axisValues" fieldPosition="0"/>
    </format>
    <format dxfId="122">
      <pivotArea collapsedLevelsAreSubtotals="1" fieldPosition="0">
        <references count="1">
          <reference field="4" count="1">
            <x v="0"/>
          </reference>
        </references>
      </pivotArea>
    </format>
    <format dxfId="121">
      <pivotArea collapsedLevelsAreSubtotals="1" fieldPosition="0">
        <references count="1">
          <reference field="4" count="1">
            <x v="1"/>
          </reference>
        </references>
      </pivotArea>
    </format>
    <format dxfId="120">
      <pivotArea collapsedLevelsAreSubtotals="1" fieldPosition="0">
        <references count="1">
          <reference field="4" count="1">
            <x v="2"/>
          </reference>
        </references>
      </pivotArea>
    </format>
    <format dxfId="119">
      <pivotArea collapsedLevelsAreSubtotals="1" fieldPosition="0">
        <references count="1">
          <reference field="4" count="1">
            <x v="3"/>
          </reference>
        </references>
      </pivotArea>
    </format>
    <format dxfId="118">
      <pivotArea grandRow="1"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E7D9B5-F142-4669-A553-E2F217C2D2D7}"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6">
    <pivotField showAll="0"/>
    <pivotField numFmtId="22" showAll="0"/>
    <pivotField showAll="0"/>
    <pivotField showAll="0"/>
    <pivotField showAll="0">
      <items count="5">
        <item x="0"/>
        <item x="2"/>
        <item x="3"/>
        <item x="1"/>
        <item t="default"/>
      </items>
    </pivotField>
    <pivotField showAll="0"/>
    <pivotField axis="axisRow" showAll="0">
      <items count="5">
        <item x="0"/>
        <item x="2"/>
        <item x="3"/>
        <item x="1"/>
        <item t="default"/>
      </items>
    </pivotField>
    <pivotField showAll="0"/>
    <pivotField showAll="0"/>
    <pivotField showAll="0"/>
    <pivotField showAll="0"/>
    <pivotField showAll="0">
      <items count="6">
        <item x="3"/>
        <item x="4"/>
        <item x="1"/>
        <item x="0"/>
        <item x="2"/>
        <item t="default"/>
      </items>
    </pivotField>
    <pivotField showAll="0"/>
    <pivotField showAll="0">
      <items count="6">
        <item x="0"/>
        <item x="4"/>
        <item x="1"/>
        <item x="3"/>
        <item x="2"/>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dataField="1" showAll="0"/>
  </pivotFields>
  <rowFields count="1">
    <field x="6"/>
  </rowFields>
  <rowItems count="5">
    <i>
      <x/>
    </i>
    <i>
      <x v="1"/>
    </i>
    <i>
      <x v="2"/>
    </i>
    <i>
      <x v="3"/>
    </i>
    <i t="grand">
      <x/>
    </i>
  </rowItems>
  <colItems count="1">
    <i/>
  </colItems>
  <dataFields count="1">
    <dataField name="Sum of Revenue_Final" fld="25" baseField="0" baseItem="0"/>
  </dataFields>
  <formats count="5">
    <format dxfId="117">
      <pivotArea collapsedLevelsAreSubtotals="1" fieldPosition="0">
        <references count="1">
          <reference field="6" count="1">
            <x v="0"/>
          </reference>
        </references>
      </pivotArea>
    </format>
    <format dxfId="116">
      <pivotArea collapsedLevelsAreSubtotals="1" fieldPosition="0">
        <references count="1">
          <reference field="6" count="1">
            <x v="1"/>
          </reference>
        </references>
      </pivotArea>
    </format>
    <format dxfId="115">
      <pivotArea collapsedLevelsAreSubtotals="1" fieldPosition="0">
        <references count="1">
          <reference field="6" count="1">
            <x v="3"/>
          </reference>
        </references>
      </pivotArea>
    </format>
    <format dxfId="114">
      <pivotArea collapsedLevelsAreSubtotals="1" fieldPosition="0">
        <references count="1">
          <reference field="6" count="1">
            <x v="2"/>
          </reference>
        </references>
      </pivotArea>
    </format>
    <format dxfId="113">
      <pivotArea grandRow="1"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832A9D-8343-44E9-A112-E2537B79313D}"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rowPageCount="1" colPageCount="1"/>
  <pivotFields count="26">
    <pivotField showAll="0"/>
    <pivotField numFmtId="22" showAll="0"/>
    <pivotField showAll="0"/>
    <pivotField showAll="0"/>
    <pivotField showAll="0">
      <items count="5">
        <item x="0"/>
        <item x="2"/>
        <item x="3"/>
        <item x="1"/>
        <item t="default"/>
      </items>
    </pivotField>
    <pivotField showAll="0"/>
    <pivotField showAll="0">
      <items count="5">
        <item x="0"/>
        <item x="2"/>
        <item x="3"/>
        <item x="1"/>
        <item t="default"/>
      </items>
    </pivotField>
    <pivotField showAll="0"/>
    <pivotField showAll="0"/>
    <pivotField showAll="0"/>
    <pivotField showAll="0"/>
    <pivotField showAll="0">
      <items count="6">
        <item x="3"/>
        <item x="4"/>
        <item x="1"/>
        <item x="0"/>
        <item x="2"/>
        <item t="default"/>
      </items>
    </pivotField>
    <pivotField showAll="0"/>
    <pivotField showAll="0">
      <items count="6">
        <item x="0"/>
        <item x="4"/>
        <item x="1"/>
        <item x="3"/>
        <item x="2"/>
        <item t="default"/>
      </items>
    </pivotField>
    <pivotField showAll="0"/>
    <pivotField showAll="0"/>
    <pivotField showAll="0"/>
    <pivotField showAll="0"/>
    <pivotField showAll="0"/>
    <pivotField showAll="0"/>
    <pivotField axis="axisPage" multipleItemSelectionAllowed="1" showAll="0">
      <items count="2">
        <item x="0"/>
        <item t="default"/>
      </items>
    </pivotField>
    <pivotField showAll="0">
      <items count="4">
        <item x="0"/>
        <item x="1"/>
        <item x="2"/>
        <item t="default"/>
      </items>
    </pivotField>
    <pivotField axis="axisRow" showAll="0">
      <items count="13">
        <item x="0"/>
        <item x="1"/>
        <item x="2"/>
        <item x="3"/>
        <item x="4"/>
        <item x="5"/>
        <item x="6"/>
        <item x="7"/>
        <item x="8"/>
        <item x="9"/>
        <item x="10"/>
        <item x="11"/>
        <item t="default"/>
      </items>
    </pivotField>
    <pivotField showAll="0"/>
    <pivotField showAll="0"/>
    <pivotField dataField="1" showAll="0"/>
  </pivotFields>
  <rowFields count="1">
    <field x="22"/>
  </rowFields>
  <rowItems count="13">
    <i>
      <x/>
    </i>
    <i>
      <x v="1"/>
    </i>
    <i>
      <x v="2"/>
    </i>
    <i>
      <x v="3"/>
    </i>
    <i>
      <x v="4"/>
    </i>
    <i>
      <x v="5"/>
    </i>
    <i>
      <x v="6"/>
    </i>
    <i>
      <x v="7"/>
    </i>
    <i>
      <x v="8"/>
    </i>
    <i>
      <x v="9"/>
    </i>
    <i>
      <x v="10"/>
    </i>
    <i>
      <x v="11"/>
    </i>
    <i t="grand">
      <x/>
    </i>
  </rowItems>
  <colItems count="1">
    <i/>
  </colItems>
  <pageFields count="1">
    <pageField fld="20" hier="-1"/>
  </pageFields>
  <dataFields count="1">
    <dataField name="Sum of Revenue_Final" fld="25" baseField="0" baseItem="0"/>
  </dataFields>
  <formats count="13">
    <format dxfId="112">
      <pivotArea collapsedLevelsAreSubtotals="1" fieldPosition="0">
        <references count="1">
          <reference field="22" count="1">
            <x v="0"/>
          </reference>
        </references>
      </pivotArea>
    </format>
    <format dxfId="111">
      <pivotArea collapsedLevelsAreSubtotals="1" fieldPosition="0">
        <references count="1">
          <reference field="22" count="1">
            <x v="1"/>
          </reference>
        </references>
      </pivotArea>
    </format>
    <format dxfId="110">
      <pivotArea collapsedLevelsAreSubtotals="1" fieldPosition="0">
        <references count="1">
          <reference field="22" count="1">
            <x v="2"/>
          </reference>
        </references>
      </pivotArea>
    </format>
    <format dxfId="109">
      <pivotArea collapsedLevelsAreSubtotals="1" fieldPosition="0">
        <references count="1">
          <reference field="22" count="1">
            <x v="3"/>
          </reference>
        </references>
      </pivotArea>
    </format>
    <format dxfId="108">
      <pivotArea collapsedLevelsAreSubtotals="1" fieldPosition="0">
        <references count="1">
          <reference field="22" count="1">
            <x v="4"/>
          </reference>
        </references>
      </pivotArea>
    </format>
    <format dxfId="107">
      <pivotArea collapsedLevelsAreSubtotals="1" fieldPosition="0">
        <references count="1">
          <reference field="22" count="1">
            <x v="5"/>
          </reference>
        </references>
      </pivotArea>
    </format>
    <format dxfId="106">
      <pivotArea collapsedLevelsAreSubtotals="1" fieldPosition="0">
        <references count="1">
          <reference field="22" count="1">
            <x v="6"/>
          </reference>
        </references>
      </pivotArea>
    </format>
    <format dxfId="105">
      <pivotArea collapsedLevelsAreSubtotals="1" fieldPosition="0">
        <references count="1">
          <reference field="22" count="1">
            <x v="7"/>
          </reference>
        </references>
      </pivotArea>
    </format>
    <format dxfId="104">
      <pivotArea collapsedLevelsAreSubtotals="1" fieldPosition="0">
        <references count="1">
          <reference field="22" count="1">
            <x v="9"/>
          </reference>
        </references>
      </pivotArea>
    </format>
    <format dxfId="103">
      <pivotArea collapsedLevelsAreSubtotals="1" fieldPosition="0">
        <references count="1">
          <reference field="22" count="1">
            <x v="8"/>
          </reference>
        </references>
      </pivotArea>
    </format>
    <format dxfId="102">
      <pivotArea collapsedLevelsAreSubtotals="1" fieldPosition="0">
        <references count="1">
          <reference field="22" count="1">
            <x v="10"/>
          </reference>
        </references>
      </pivotArea>
    </format>
    <format dxfId="101">
      <pivotArea collapsedLevelsAreSubtotals="1" fieldPosition="0">
        <references count="1">
          <reference field="22" count="1">
            <x v="11"/>
          </reference>
        </references>
      </pivotArea>
    </format>
    <format dxfId="100">
      <pivotArea grandRow="1"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E48D36-2C64-445A-B0BB-669D7334519F}"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9" firstHeaderRow="0" firstDataRow="1" firstDataCol="1"/>
  <pivotFields count="26">
    <pivotField dataField="1" showAll="0"/>
    <pivotField numFmtId="22" showAll="0"/>
    <pivotField showAll="0"/>
    <pivotField showAll="0"/>
    <pivotField showAll="0">
      <items count="5">
        <item x="0"/>
        <item x="2"/>
        <item x="3"/>
        <item x="1"/>
        <item t="default"/>
      </items>
    </pivotField>
    <pivotField showAll="0"/>
    <pivotField showAll="0">
      <items count="5">
        <item x="0"/>
        <item x="2"/>
        <item x="3"/>
        <item x="1"/>
        <item t="default"/>
      </items>
    </pivotField>
    <pivotField showAll="0"/>
    <pivotField showAll="0"/>
    <pivotField showAll="0"/>
    <pivotField showAll="0"/>
    <pivotField showAll="0">
      <items count="6">
        <item x="3"/>
        <item x="4"/>
        <item x="1"/>
        <item x="0"/>
        <item x="2"/>
        <item t="default"/>
      </items>
    </pivotField>
    <pivotField showAll="0"/>
    <pivotField axis="axisRow" showAll="0">
      <items count="6">
        <item x="0"/>
        <item x="4"/>
        <item x="1"/>
        <item x="3"/>
        <item x="2"/>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dataField="1" showAll="0"/>
  </pivotFields>
  <rowFields count="1">
    <field x="13"/>
  </rowFields>
  <rowItems count="6">
    <i>
      <x/>
    </i>
    <i>
      <x v="1"/>
    </i>
    <i>
      <x v="2"/>
    </i>
    <i>
      <x v="3"/>
    </i>
    <i>
      <x v="4"/>
    </i>
    <i t="grand">
      <x/>
    </i>
  </rowItems>
  <colFields count="1">
    <field x="-2"/>
  </colFields>
  <colItems count="2">
    <i>
      <x/>
    </i>
    <i i="1">
      <x v="1"/>
    </i>
  </colItems>
  <dataFields count="2">
    <dataField name="Sum of Revenue_Final" fld="25" baseField="0" baseItem="0"/>
    <dataField name="Count of Sale ID" fld="0" subtotal="count" baseField="13" baseItem="0"/>
  </dataFields>
  <formats count="6">
    <format dxfId="99">
      <pivotArea collapsedLevelsAreSubtotals="1" fieldPosition="0">
        <references count="2">
          <reference field="4294967294" count="1" selected="0">
            <x v="0"/>
          </reference>
          <reference field="13" count="1">
            <x v="0"/>
          </reference>
        </references>
      </pivotArea>
    </format>
    <format dxfId="98">
      <pivotArea collapsedLevelsAreSubtotals="1" fieldPosition="0">
        <references count="2">
          <reference field="4294967294" count="1" selected="0">
            <x v="0"/>
          </reference>
          <reference field="13" count="1">
            <x v="1"/>
          </reference>
        </references>
      </pivotArea>
    </format>
    <format dxfId="97">
      <pivotArea collapsedLevelsAreSubtotals="1" fieldPosition="0">
        <references count="2">
          <reference field="4294967294" count="1" selected="0">
            <x v="0"/>
          </reference>
          <reference field="13" count="1">
            <x v="2"/>
          </reference>
        </references>
      </pivotArea>
    </format>
    <format dxfId="96">
      <pivotArea collapsedLevelsAreSubtotals="1" fieldPosition="0">
        <references count="2">
          <reference field="4294967294" count="1" selected="0">
            <x v="0"/>
          </reference>
          <reference field="13" count="1">
            <x v="3"/>
          </reference>
        </references>
      </pivotArea>
    </format>
    <format dxfId="95">
      <pivotArea collapsedLevelsAreSubtotals="1" fieldPosition="0">
        <references count="2">
          <reference field="4294967294" count="1" selected="0">
            <x v="0"/>
          </reference>
          <reference field="13" count="1">
            <x v="4"/>
          </reference>
        </references>
      </pivotArea>
    </format>
    <format dxfId="94">
      <pivotArea field="13" grandRow="1" outline="0" collapsedLevelsAreSubtotals="1" axis="axisRow" fieldPosition="0">
        <references count="1">
          <reference field="4294967294" count="1" selected="0">
            <x v="0"/>
          </reference>
        </references>
      </pivotArea>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_clean" xr10:uid="{09581A32-317D-4232-96A7-8EE98259B780}" sourceName="Payment Method_clean">
  <pivotTables>
    <pivotTable tabId="8" name="PivotTable6"/>
    <pivotTable tabId="6" name="PivotTable4"/>
    <pivotTable tabId="2" name="PivotTable3"/>
    <pivotTable tabId="7" name="PivotTable5"/>
  </pivotTables>
  <data>
    <tabular pivotCacheId="1627465409">
      <items count="5">
        <i x="0" s="1"/>
        <i x="4"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clean" xr10:uid="{C2261AF6-B360-4C3F-A832-A2E397B2FF2C}" sourceName="Region_clean">
  <pivotTables>
    <pivotTable tabId="8" name="PivotTable6"/>
    <pivotTable tabId="6" name="PivotTable4"/>
    <pivotTable tabId="2" name="PivotTable3"/>
    <pivotTable tabId="7" name="PivotTable5"/>
  </pivotTables>
  <data>
    <tabular pivotCacheId="1627465409">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_clean" xr10:uid="{EF2AC8D3-7D30-4E1F-828E-6215114BDEC8}" sourceName=" Product Category_clean">
  <pivotTables>
    <pivotTable tabId="8" name="PivotTable6"/>
    <pivotTable tabId="6" name="PivotTable4"/>
    <pivotTable tabId="2" name="PivotTable3"/>
    <pivotTable tabId="7" name="PivotTable5"/>
  </pivotTables>
  <data>
    <tabular pivotCacheId="1627465409">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50AD79C-0071-4F01-BDC9-560EBB4A955B}" sourceName="Month">
  <pivotTables>
    <pivotTable tabId="8" name="PivotTable6"/>
    <pivotTable tabId="6" name="PivotTable4"/>
    <pivotTable tabId="2" name="PivotTable3"/>
    <pivotTable tabId="7" name="PivotTable5"/>
  </pivotTables>
  <data>
    <tabular pivotCacheId="1627465409">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_clean" xr10:uid="{9EB6E107-9E16-45A8-8980-728422EFE2C5}" sourceName="Salesperson_clean">
  <pivotTables>
    <pivotTable tabId="8" name="PivotTable6"/>
    <pivotTable tabId="6" name="PivotTable4"/>
    <pivotTable tabId="2" name="PivotTable3"/>
    <pivotTable tabId="7" name="PivotTable5"/>
  </pivotTables>
  <data>
    <tabular pivotCacheId="1627465409">
      <items count="5">
        <i x="3" s="1"/>
        <i x="4"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_clean" xr10:uid="{6AB59DD5-FC36-474B-8147-1337B92F5CAE}" cache="Slicer_Region_clean" caption="Region_clean" rowHeight="234950"/>
  <slicer name="Salesperson_clean" xr10:uid="{6DE3CEFB-6012-4628-AFA2-1590515842F6}" cache="Slicer_Salesperson_clean" caption="Salesperson_clea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Product Category_clean" xr10:uid="{E9ECFA7E-3BCF-4FFD-B258-75638BF5C10F}" cache="Slicer_Product_Category_clean" caption=" Product Category_clea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5146E4C-663D-40CA-A5B5-3F66F7272D4C}" cache="Slicer_Month" caption="Month"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_clean" xr10:uid="{1A172396-62FE-4C1A-A5D6-913F6649CDAB}" cache="Slicer_Payment_Method_clean" caption="Payment Method_clean"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_clean 1" xr10:uid="{0D9488C6-5E86-478C-8C58-AD5EDADFFDE5}" cache="Slicer_Payment_Method_clean" caption="Payment Method_clean" columnCount="5" rowHeight="234950"/>
  <slicer name="Region_clean 1" xr10:uid="{98E1724C-91D9-4D11-BEEF-F7B9742BD3AB}" cache="Slicer_Region_clean" caption="Region_clean" columnCount="4" rowHeight="288000"/>
  <slicer name=" Product Category_clean 1" xr10:uid="{6CE53933-99FD-4DE0-B552-26C270BB54D3}" cache="Slicer_Product_Category_clean" caption=" Product Category_clean" columnCount="4" rowHeight="216000"/>
  <slicer name="Month 1" xr10:uid="{406CC64B-516E-4BE9-AD1F-5B1DA24F268E}" cache="Slicer_Month" caption="Month" columnCount="3" rowHeight="234950"/>
  <slicer name="Salesperson_clean 1" xr10:uid="{904C1C53-A62D-49F7-9750-FF3FF55A657B}" cache="Slicer_Salesperson_clean" caption="Salesperson_clean" columnCoun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8C951D-A86E-4F66-A2AE-88E7DA69265F}" name="Sales_Table" displayName="Sales_Table" ref="A1:Z2001" totalsRowShown="0" headerRowDxfId="93" headerRowBorderDxfId="92" tableBorderDxfId="91">
  <autoFilter ref="A1:Z2001" xr:uid="{11E70FE3-5531-4F83-A164-8C3595A5073A}"/>
  <tableColumns count="26">
    <tableColumn id="1" xr3:uid="{9403E215-DB7F-42AE-B034-3FA02D67B004}" name="Sale ID"/>
    <tableColumn id="2" xr3:uid="{E6396EDF-1CF2-4B96-BF2B-A121FE549C00}" name="Date_clean" dataDxfId="90">
      <calculatedColumnFormula>DATEVALUE(LEFT(C2,10))+TIMEVALUE(MID(C2,12,8))</calculatedColumnFormula>
    </tableColumn>
    <tableColumn id="3" xr3:uid="{185D9EAF-F95F-4BEE-8D4D-B0C58D74809A}" name="Date"/>
    <tableColumn id="4" xr3:uid="{C6F86C95-5C33-4D59-9122-859819F93813}" name="Region"/>
    <tableColumn id="5" xr3:uid="{549E8EF8-4CAB-49E0-AAB5-1A9F0C2DACF2}" name="Region_clean">
      <calculatedColumnFormula>PROPER(TRIM(CLEAN(Sales_Table[[#This Row],[Region]])))</calculatedColumnFormula>
    </tableColumn>
    <tableColumn id="6" xr3:uid="{292E7587-0F8B-4C53-9267-E5A3999C0870}" name="Product Category"/>
    <tableColumn id="7" xr3:uid="{D5A76FB9-5555-413E-8B8D-893D6D441306}" name=" Product Category_clean">
      <calculatedColumnFormula>PROPER(TRIM(CLEAN(F2)))</calculatedColumnFormula>
    </tableColumn>
    <tableColumn id="20" xr3:uid="{4674FF61-5913-492D-862F-CF30805474F1}" name="Product Name_clean">
      <calculatedColumnFormula>PROPER(TRIM(CLEAN(Sales_Table[[#This Row],[Product Name]])))</calculatedColumnFormula>
    </tableColumn>
    <tableColumn id="8" xr3:uid="{9F0DB6D3-5543-4D04-8471-58FD456E2FA0}" name="Product Name"/>
    <tableColumn id="9" xr3:uid="{7442A97A-D17B-453F-B442-FF9657633E3C}" name="Customer Id_clean">
      <calculatedColumnFormula>TRIM(K2)</calculatedColumnFormula>
    </tableColumn>
    <tableColumn id="10" xr3:uid="{E24D505D-1BAA-4147-BDF0-AC711BB91D4B}" name="Customer ID"/>
    <tableColumn id="19" xr3:uid="{D3642F5D-EAC7-4E11-AAB4-9808D8FC1522}" name="Salesperson_clean">
      <calculatedColumnFormula>PROPER(TRIM(CLEAN(Sales_Table[[#This Row],[Salesperson]])))</calculatedColumnFormula>
    </tableColumn>
    <tableColumn id="11" xr3:uid="{DEE69C3B-0A31-450F-82F6-3037C3A6ECEF}" name="Salesperson"/>
    <tableColumn id="12" xr3:uid="{377754B7-A5E6-42FB-814F-9003ED2B063B}" name="Payment Method_clean">
      <calculatedColumnFormula>PROPER(TRIM(O2))</calculatedColumnFormula>
    </tableColumn>
    <tableColumn id="13" xr3:uid="{88FBB89C-896C-4FE8-8195-C346F9F36858}" name="Payment Method"/>
    <tableColumn id="14" xr3:uid="{AEF42CC6-5697-4CCD-BE9E-CCFC14B16EC0}" name="Quantity_num">
      <calculatedColumnFormula>VALUE(Q2)</calculatedColumnFormula>
    </tableColumn>
    <tableColumn id="15" xr3:uid="{78899B78-A472-446E-9915-F373774FA082}" name="Quantity"/>
    <tableColumn id="16" xr3:uid="{717094CB-6597-48E3-B6C6-E89CCE31EA9A}" name="Unit Price_num">
      <calculatedColumnFormula>VALUE(S2)</calculatedColumnFormula>
    </tableColumn>
    <tableColumn id="17" xr3:uid="{C14F0510-A4BB-4D9E-B8D8-21DE7F6CA0A1}" name="Unit Price"/>
    <tableColumn id="18" xr3:uid="{0AF23A20-C9E9-468A-9E56-BFA595E07EB3}" name="Revenue">
      <calculatedColumnFormula>P2*R2</calculatedColumnFormula>
    </tableColumn>
    <tableColumn id="21" xr3:uid="{73056414-85F4-4754-B909-D9B7E1E7A1B1}" name="year">
      <calculatedColumnFormula>YEAR(Sales_Table[[#This Row],[Date_clean]])</calculatedColumnFormula>
    </tableColumn>
    <tableColumn id="22" xr3:uid="{AA1D7CC4-1BDF-49D4-B2FB-F8AACFFF734A}" name="Month">
      <calculatedColumnFormula>TEXT(Sales_Table[[#This Row],[Date_clean]],"mmmm")</calculatedColumnFormula>
    </tableColumn>
    <tableColumn id="23" xr3:uid="{10EC5F87-04A2-4E08-BA0D-649DAF4F8E71}" name="Week_No">
      <calculatedColumnFormula>WEEKNUM(Sales_Table[[#This Row],[Date_clean]],2)</calculatedColumnFormula>
    </tableColumn>
    <tableColumn id="24" xr3:uid="{D878AFC0-DAB9-4C5E-A4F8-89BCC8F62D4E}" name="Revenue category">
      <calculatedColumnFormula array="1">_xlfn.IFS(Sales_Table[[#This Row],[Revenue]]&gt;=50000,"High",Sales_Table[[#This Row],[Revenue]]&gt;=20000,"Medium",Sales_Table[[#This Row],[Revenue]]&lt;20000,"Low")</calculatedColumnFormula>
    </tableColumn>
    <tableColumn id="25" xr3:uid="{86ABE2A9-0310-4B84-A8E1-296FE0DC4C78}" name="Payment status">
      <calculatedColumnFormula>IF(Sales_Table[[#This Row],[Payment Method_clean]]="cash","Offline","Online")</calculatedColumnFormula>
    </tableColumn>
    <tableColumn id="26" xr3:uid="{15C7204C-8B74-4D15-9AF6-2F5F73E8EB8D}" name="Revenue_Final">
      <calculatedColumnFormula>IFERROR(Sales_Table[[#This Row],[Revenue]],0)</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D720F-8039-4200-8D20-8278C9D40231}">
  <dimension ref="A3:B8"/>
  <sheetViews>
    <sheetView workbookViewId="0">
      <selection activeCell="H16" sqref="H16"/>
    </sheetView>
  </sheetViews>
  <sheetFormatPr defaultRowHeight="14.4" x14ac:dyDescent="0.3"/>
  <cols>
    <col min="1" max="1" width="12.5546875" bestFit="1" customWidth="1"/>
    <col min="2" max="2" width="19.88671875" bestFit="1" customWidth="1"/>
  </cols>
  <sheetData>
    <row r="3" spans="1:2" x14ac:dyDescent="0.3">
      <c r="A3" s="3" t="s">
        <v>4437</v>
      </c>
      <c r="B3" s="5" t="s">
        <v>4443</v>
      </c>
    </row>
    <row r="4" spans="1:2" x14ac:dyDescent="0.3">
      <c r="A4" s="4" t="s">
        <v>4438</v>
      </c>
      <c r="B4" s="5">
        <v>9408444</v>
      </c>
    </row>
    <row r="5" spans="1:2" x14ac:dyDescent="0.3">
      <c r="A5" s="4" t="s">
        <v>4439</v>
      </c>
      <c r="B5" s="5">
        <v>10743033</v>
      </c>
    </row>
    <row r="6" spans="1:2" x14ac:dyDescent="0.3">
      <c r="A6" s="4" t="s">
        <v>4440</v>
      </c>
      <c r="B6" s="5">
        <v>9187908</v>
      </c>
    </row>
    <row r="7" spans="1:2" x14ac:dyDescent="0.3">
      <c r="A7" s="4" t="s">
        <v>4441</v>
      </c>
      <c r="B7" s="5">
        <v>9104524</v>
      </c>
    </row>
    <row r="8" spans="1:2" x14ac:dyDescent="0.3">
      <c r="A8" s="4" t="s">
        <v>4442</v>
      </c>
      <c r="B8" s="5">
        <v>38443909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D0699-4DFD-499C-94DD-3D425380AC21}">
  <dimension ref="A3:B8"/>
  <sheetViews>
    <sheetView workbookViewId="0">
      <selection activeCell="B6" sqref="B6"/>
    </sheetView>
  </sheetViews>
  <sheetFormatPr defaultRowHeight="14.4" x14ac:dyDescent="0.3"/>
  <cols>
    <col min="1" max="1" width="15.109375" bestFit="1" customWidth="1"/>
    <col min="2" max="2" width="19.88671875" bestFit="1" customWidth="1"/>
  </cols>
  <sheetData>
    <row r="3" spans="1:2" x14ac:dyDescent="0.3">
      <c r="A3" s="3" t="s">
        <v>4437</v>
      </c>
      <c r="B3" t="s">
        <v>4443</v>
      </c>
    </row>
    <row r="4" spans="1:2" x14ac:dyDescent="0.3">
      <c r="A4" s="4" t="s">
        <v>28</v>
      </c>
      <c r="B4" s="5">
        <v>8413119</v>
      </c>
    </row>
    <row r="5" spans="1:2" x14ac:dyDescent="0.3">
      <c r="A5" s="4" t="s">
        <v>46</v>
      </c>
      <c r="B5" s="5">
        <v>10412009</v>
      </c>
    </row>
    <row r="6" spans="1:2" x14ac:dyDescent="0.3">
      <c r="A6" s="4" t="s">
        <v>78</v>
      </c>
      <c r="B6" s="5">
        <v>9980062</v>
      </c>
    </row>
    <row r="7" spans="1:2" x14ac:dyDescent="0.3">
      <c r="A7" s="4" t="s">
        <v>4445</v>
      </c>
      <c r="B7" s="5">
        <v>9638719</v>
      </c>
    </row>
    <row r="8" spans="1:2" x14ac:dyDescent="0.3">
      <c r="A8" s="4" t="s">
        <v>4442</v>
      </c>
      <c r="B8" s="5">
        <v>38443909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905E-63CC-4CF4-B10E-F40E8F286479}">
  <dimension ref="A1:B16"/>
  <sheetViews>
    <sheetView workbookViewId="0">
      <selection activeCell="J27" sqref="J27"/>
    </sheetView>
  </sheetViews>
  <sheetFormatPr defaultRowHeight="14.4" x14ac:dyDescent="0.3"/>
  <cols>
    <col min="1" max="1" width="12.5546875" bestFit="1" customWidth="1"/>
    <col min="2" max="2" width="19.88671875" bestFit="1" customWidth="1"/>
  </cols>
  <sheetData>
    <row r="1" spans="1:2" x14ac:dyDescent="0.3">
      <c r="A1" s="3" t="s">
        <v>20</v>
      </c>
      <c r="B1" s="4">
        <v>2024</v>
      </c>
    </row>
    <row r="3" spans="1:2" x14ac:dyDescent="0.3">
      <c r="A3" s="3" t="s">
        <v>4437</v>
      </c>
      <c r="B3" t="s">
        <v>4443</v>
      </c>
    </row>
    <row r="4" spans="1:2" x14ac:dyDescent="0.3">
      <c r="A4" s="4">
        <v>1</v>
      </c>
      <c r="B4" s="5">
        <v>3043062</v>
      </c>
    </row>
    <row r="5" spans="1:2" x14ac:dyDescent="0.3">
      <c r="A5" s="4">
        <v>2</v>
      </c>
      <c r="B5" s="5">
        <v>3239001</v>
      </c>
    </row>
    <row r="6" spans="1:2" x14ac:dyDescent="0.3">
      <c r="A6" s="4">
        <v>3</v>
      </c>
      <c r="B6" s="5">
        <v>3045723</v>
      </c>
    </row>
    <row r="7" spans="1:2" x14ac:dyDescent="0.3">
      <c r="A7" s="4">
        <v>4</v>
      </c>
      <c r="B7" s="5">
        <v>3052355</v>
      </c>
    </row>
    <row r="8" spans="1:2" x14ac:dyDescent="0.3">
      <c r="A8" s="4">
        <v>5</v>
      </c>
      <c r="B8" s="5">
        <v>3113389</v>
      </c>
    </row>
    <row r="9" spans="1:2" x14ac:dyDescent="0.3">
      <c r="A9" s="4">
        <v>6</v>
      </c>
      <c r="B9" s="5">
        <v>3424715</v>
      </c>
    </row>
    <row r="10" spans="1:2" x14ac:dyDescent="0.3">
      <c r="A10" s="4">
        <v>7</v>
      </c>
      <c r="B10" s="5">
        <v>3359216</v>
      </c>
    </row>
    <row r="11" spans="1:2" x14ac:dyDescent="0.3">
      <c r="A11" s="4">
        <v>8</v>
      </c>
      <c r="B11" s="5">
        <v>3211579</v>
      </c>
    </row>
    <row r="12" spans="1:2" x14ac:dyDescent="0.3">
      <c r="A12" s="4">
        <v>9</v>
      </c>
      <c r="B12" s="5">
        <v>3265895</v>
      </c>
    </row>
    <row r="13" spans="1:2" x14ac:dyDescent="0.3">
      <c r="A13" s="4">
        <v>10</v>
      </c>
      <c r="B13" s="5">
        <v>3085793</v>
      </c>
    </row>
    <row r="14" spans="1:2" x14ac:dyDescent="0.3">
      <c r="A14" s="4">
        <v>11</v>
      </c>
      <c r="B14" s="5">
        <v>3316291</v>
      </c>
    </row>
    <row r="15" spans="1:2" x14ac:dyDescent="0.3">
      <c r="A15" s="4">
        <v>12</v>
      </c>
      <c r="B15" s="5">
        <v>3286890</v>
      </c>
    </row>
    <row r="16" spans="1:2" x14ac:dyDescent="0.3">
      <c r="A16" s="4" t="s">
        <v>4442</v>
      </c>
      <c r="B16" s="5">
        <v>38443909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E1312-92E7-4F9C-B936-560E64706006}">
  <dimension ref="A3:C9"/>
  <sheetViews>
    <sheetView workbookViewId="0">
      <selection activeCell="M24" sqref="M24"/>
    </sheetView>
  </sheetViews>
  <sheetFormatPr defaultRowHeight="14.4" x14ac:dyDescent="0.3"/>
  <cols>
    <col min="1" max="1" width="12.5546875" bestFit="1" customWidth="1"/>
    <col min="2" max="2" width="19.88671875" bestFit="1" customWidth="1"/>
    <col min="3" max="3" width="14.5546875" bestFit="1" customWidth="1"/>
  </cols>
  <sheetData>
    <row r="3" spans="1:3" x14ac:dyDescent="0.3">
      <c r="A3" s="3" t="s">
        <v>4437</v>
      </c>
      <c r="B3" t="s">
        <v>4443</v>
      </c>
      <c r="C3" t="s">
        <v>4449</v>
      </c>
    </row>
    <row r="4" spans="1:3" x14ac:dyDescent="0.3">
      <c r="A4" s="4" t="s">
        <v>4444</v>
      </c>
      <c r="B4" s="5">
        <v>8687981</v>
      </c>
      <c r="C4" s="6">
        <v>454</v>
      </c>
    </row>
    <row r="5" spans="1:3" x14ac:dyDescent="0.3">
      <c r="A5" s="4" t="s">
        <v>65</v>
      </c>
      <c r="B5" s="5">
        <v>7862097</v>
      </c>
      <c r="C5" s="6">
        <v>401</v>
      </c>
    </row>
    <row r="6" spans="1:3" x14ac:dyDescent="0.3">
      <c r="A6" s="4" t="s">
        <v>4446</v>
      </c>
      <c r="B6" s="5">
        <v>7095748</v>
      </c>
      <c r="C6" s="6">
        <v>379</v>
      </c>
    </row>
    <row r="7" spans="1:3" x14ac:dyDescent="0.3">
      <c r="A7" s="4" t="s">
        <v>4448</v>
      </c>
      <c r="B7" s="5">
        <v>7288928</v>
      </c>
      <c r="C7" s="6">
        <v>392</v>
      </c>
    </row>
    <row r="8" spans="1:3" x14ac:dyDescent="0.3">
      <c r="A8" s="4" t="s">
        <v>4447</v>
      </c>
      <c r="B8" s="5">
        <v>7509155</v>
      </c>
      <c r="C8" s="6">
        <v>374</v>
      </c>
    </row>
    <row r="9" spans="1:3" x14ac:dyDescent="0.3">
      <c r="A9" s="4" t="s">
        <v>4442</v>
      </c>
      <c r="B9" s="5">
        <v>38443909</v>
      </c>
      <c r="C9" s="6">
        <v>2000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99530-9C91-4801-BF3E-52D37A1D6DB5}">
  <dimension ref="E5:F6"/>
  <sheetViews>
    <sheetView showGridLines="0" showRowColHeaders="0" tabSelected="1" topLeftCell="A31" zoomScale="80" zoomScaleNormal="80" workbookViewId="0">
      <selection activeCell="E63" sqref="E63"/>
    </sheetView>
  </sheetViews>
  <sheetFormatPr defaultRowHeight="14.4" x14ac:dyDescent="0.3"/>
  <sheetData>
    <row r="5" spans="5:6" x14ac:dyDescent="0.3">
      <c r="F5" s="7"/>
    </row>
    <row r="6" spans="5:6" x14ac:dyDescent="0.3">
      <c r="E6" s="7"/>
      <c r="F6"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E033A-1D07-40EB-8427-6E5391E3A309}">
  <dimension ref="A1:Z2001"/>
  <sheetViews>
    <sheetView topLeftCell="A2" workbookViewId="0">
      <selection activeCell="F28" sqref="F28"/>
    </sheetView>
  </sheetViews>
  <sheetFormatPr defaultRowHeight="14.4" x14ac:dyDescent="0.3"/>
  <cols>
    <col min="1" max="1" width="11.109375" bestFit="1" customWidth="1"/>
    <col min="2" max="2" width="15.44140625" bestFit="1" customWidth="1"/>
    <col min="3" max="3" width="18.109375" bestFit="1" customWidth="1"/>
    <col min="4" max="4" width="11.21875" bestFit="1" customWidth="1"/>
    <col min="5" max="5" width="16.6640625" bestFit="1" customWidth="1"/>
    <col min="6" max="6" width="20.21875" bestFit="1" customWidth="1"/>
    <col min="7" max="7" width="26.33203125" bestFit="1" customWidth="1"/>
    <col min="8" max="8" width="23.21875" bestFit="1" customWidth="1"/>
    <col min="9" max="9" width="21.21875" bestFit="1" customWidth="1"/>
    <col min="10" max="10" width="15.77734375" bestFit="1" customWidth="1"/>
    <col min="11" max="11" width="21" bestFit="1" customWidth="1"/>
    <col min="12" max="12" width="26" bestFit="1" customWidth="1"/>
    <col min="13" max="13" width="17.6640625" customWidth="1"/>
    <col min="14" max="14" width="15.88671875" customWidth="1"/>
    <col min="15" max="15" width="10.21875" customWidth="1"/>
    <col min="16" max="16" width="17.77734375" bestFit="1" customWidth="1"/>
    <col min="17" max="17" width="12.77734375" bestFit="1" customWidth="1"/>
    <col min="18" max="18" width="18.5546875" bestFit="1" customWidth="1"/>
    <col min="19" max="19" width="13.5546875" bestFit="1" customWidth="1"/>
    <col min="20" max="20" width="12.77734375" bestFit="1" customWidth="1"/>
    <col min="23" max="23" width="13.6640625" bestFit="1" customWidth="1"/>
    <col min="24" max="24" width="20.6640625" bestFit="1" customWidth="1"/>
    <col min="25" max="25" width="18.5546875" bestFit="1" customWidth="1"/>
    <col min="26" max="26" width="17.77734375" bestFit="1"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v>1</v>
      </c>
      <c r="B2" s="2">
        <f>DATEVALUE(LEFT(C2,10))+TIMEVALUE(MID(C2,12,8))</f>
        <v>45292</v>
      </c>
      <c r="C2" t="s">
        <v>26</v>
      </c>
      <c r="D2" t="s">
        <v>27</v>
      </c>
      <c r="E2" t="str">
        <f>PROPER(TRIM(CLEAN(Sales_Table[[#This Row],[Region]])))</f>
        <v>East</v>
      </c>
      <c r="F2" t="s">
        <v>28</v>
      </c>
      <c r="G2" t="str">
        <f>PROPER(TRIM(CLEAN(F2)))</f>
        <v>Clothing</v>
      </c>
      <c r="H2" t="str">
        <f>PROPER(TRIM(CLEAN(Sales_Table[[#This Row],[Product Name]])))</f>
        <v>Mixer Grinder</v>
      </c>
      <c r="I2" t="s">
        <v>29</v>
      </c>
      <c r="J2" t="str">
        <f>TRIM(K2)</f>
        <v>CUST0479</v>
      </c>
      <c r="K2" t="s">
        <v>30</v>
      </c>
      <c r="L2" t="str">
        <f>PROPER(TRIM(CLEAN(Sales_Table[[#This Row],[Salesperson]])))</f>
        <v>Rahul</v>
      </c>
      <c r="M2" t="s">
        <v>31</v>
      </c>
      <c r="N2" t="str">
        <f>PROPER(TRIM(O2))</f>
        <v>Cash</v>
      </c>
      <c r="O2" t="s">
        <v>32</v>
      </c>
      <c r="P2">
        <f>VALUE(Q2)</f>
        <v>12</v>
      </c>
      <c r="Q2" t="s">
        <v>33</v>
      </c>
      <c r="R2">
        <f>VALUE(S2)</f>
        <v>619</v>
      </c>
      <c r="S2" t="s">
        <v>34</v>
      </c>
      <c r="T2">
        <f>P2*R2</f>
        <v>7428</v>
      </c>
      <c r="U2">
        <f>YEAR(Sales_Table[[#This Row],[Date_clean]])</f>
        <v>2024</v>
      </c>
      <c r="V2" t="str">
        <f>TEXT(Sales_Table[[#This Row],[Date_clean]],"mmmm")</f>
        <v>January</v>
      </c>
      <c r="W2">
        <f>WEEKNUM(Sales_Table[[#This Row],[Date_clean]],2)</f>
        <v>1</v>
      </c>
      <c r="X2" t="str" cm="1">
        <f t="array" ref="X2">_xlfn.IFS(Sales_Table[[#This Row],[Revenue]]&gt;=50000,"High",Sales_Table[[#This Row],[Revenue]]&gt;=20000,"Medium",Sales_Table[[#This Row],[Revenue]]&lt;20000,"Low")</f>
        <v>Low</v>
      </c>
      <c r="Y2" t="str">
        <f>IF(Sales_Table[[#This Row],[Payment Method_clean]]="cash","Offline","Online")</f>
        <v>Offline</v>
      </c>
      <c r="Z2">
        <f>IFERROR(Sales_Table[[#This Row],[Revenue]],0)</f>
        <v>7428</v>
      </c>
    </row>
    <row r="3" spans="1:26" x14ac:dyDescent="0.3">
      <c r="A3">
        <v>2</v>
      </c>
      <c r="B3" s="2">
        <f t="shared" ref="B3:B66" si="0">DATEVALUE(LEFT(C3,10))+TIMEVALUE(MID(C3,12,8))</f>
        <v>45292.041666666664</v>
      </c>
      <c r="C3" t="s">
        <v>35</v>
      </c>
      <c r="D3" t="s">
        <v>36</v>
      </c>
      <c r="E3" t="str">
        <f>PROPER(TRIM(CLEAN(Sales_Table[[#This Row],[Region]])))</f>
        <v>West</v>
      </c>
      <c r="F3" t="s">
        <v>37</v>
      </c>
      <c r="G3" t="str">
        <f t="shared" ref="G3:G66" si="1">PROPER(TRIM(CLEAN(F3)))</f>
        <v>Home Appliances</v>
      </c>
      <c r="H3" t="str">
        <f>PROPER(TRIM(CLEAN(Sales_Table[[#This Row],[Product Name]])))</f>
        <v>Men T-Shirt</v>
      </c>
      <c r="I3" t="s">
        <v>38</v>
      </c>
      <c r="J3" t="str">
        <f t="shared" ref="J3:J66" si="2">TRIM(K3)</f>
        <v>CUST0619</v>
      </c>
      <c r="K3" t="s">
        <v>39</v>
      </c>
      <c r="L3" t="str">
        <f>PROPER(TRIM(CLEAN(Sales_Table[[#This Row],[Salesperson]])))</f>
        <v>Meena</v>
      </c>
      <c r="M3" t="s">
        <v>40</v>
      </c>
      <c r="N3" t="str">
        <f t="shared" ref="N3:N66" si="3">PROPER(TRIM(O3))</f>
        <v>Debit Card</v>
      </c>
      <c r="O3" t="s">
        <v>41</v>
      </c>
      <c r="P3">
        <f t="shared" ref="P3:P66" si="4">VALUE(Q3)</f>
        <v>8</v>
      </c>
      <c r="Q3" t="s">
        <v>42</v>
      </c>
      <c r="R3">
        <f t="shared" ref="R3:R66" si="5">VALUE(S3)</f>
        <v>2383</v>
      </c>
      <c r="S3" t="s">
        <v>43</v>
      </c>
      <c r="T3">
        <f t="shared" ref="T3:T66" si="6">P3*R3</f>
        <v>19064</v>
      </c>
      <c r="U3">
        <f>YEAR(Sales_Table[[#This Row],[Date_clean]])</f>
        <v>2024</v>
      </c>
      <c r="V3" t="str">
        <f>TEXT(Sales_Table[[#This Row],[Date_clean]],"mmmm")</f>
        <v>January</v>
      </c>
      <c r="W3">
        <f>WEEKNUM(Sales_Table[[#This Row],[Date_clean]],2)</f>
        <v>1</v>
      </c>
      <c r="X3" t="str" cm="1">
        <f t="array" ref="X3">_xlfn.IFS(Sales_Table[[#This Row],[Revenue]]&gt;=50000,"High",Sales_Table[[#This Row],[Revenue]]&gt;=20000,"Medium",Sales_Table[[#This Row],[Revenue]]&lt;20000,"Low")</f>
        <v>Low</v>
      </c>
      <c r="Y3" t="str">
        <f>IF(Sales_Table[[#This Row],[Payment Method_clean]]="cash","Offline","Online")</f>
        <v>Online</v>
      </c>
      <c r="Z3">
        <f>IFERROR(Sales_Table[[#This Row],[Revenue]],0)</f>
        <v>19064</v>
      </c>
    </row>
    <row r="4" spans="1:26" x14ac:dyDescent="0.3">
      <c r="A4">
        <v>3</v>
      </c>
      <c r="B4" s="2">
        <f t="shared" si="0"/>
        <v>45292.083333333336</v>
      </c>
      <c r="C4" t="s">
        <v>44</v>
      </c>
      <c r="D4" t="s">
        <v>45</v>
      </c>
      <c r="E4" t="str">
        <f>PROPER(TRIM(CLEAN(Sales_Table[[#This Row],[Region]])))</f>
        <v>North</v>
      </c>
      <c r="F4" t="s">
        <v>46</v>
      </c>
      <c r="G4" t="str">
        <f t="shared" si="1"/>
        <v>Electronics</v>
      </c>
      <c r="H4" t="str">
        <f>PROPER(TRIM(CLEAN(Sales_Table[[#This Row],[Product Name]])))</f>
        <v>Mixer Grinder</v>
      </c>
      <c r="I4" t="s">
        <v>29</v>
      </c>
      <c r="J4" t="str">
        <f t="shared" si="2"/>
        <v>CUST0096</v>
      </c>
      <c r="K4" t="s">
        <v>47</v>
      </c>
      <c r="L4" t="str">
        <f>PROPER(TRIM(CLEAN(Sales_Table[[#This Row],[Salesperson]])))</f>
        <v>Meena</v>
      </c>
      <c r="M4" t="s">
        <v>40</v>
      </c>
      <c r="N4" t="str">
        <f t="shared" si="3"/>
        <v>Upi</v>
      </c>
      <c r="O4" t="s">
        <v>48</v>
      </c>
      <c r="P4">
        <f t="shared" si="4"/>
        <v>7</v>
      </c>
      <c r="Q4" t="s">
        <v>49</v>
      </c>
      <c r="R4">
        <f t="shared" si="5"/>
        <v>4658</v>
      </c>
      <c r="S4" t="s">
        <v>50</v>
      </c>
      <c r="T4">
        <f t="shared" si="6"/>
        <v>32606</v>
      </c>
      <c r="U4">
        <f>YEAR(Sales_Table[[#This Row],[Date_clean]])</f>
        <v>2024</v>
      </c>
      <c r="V4" t="str">
        <f>TEXT(Sales_Table[[#This Row],[Date_clean]],"mmmm")</f>
        <v>January</v>
      </c>
      <c r="W4">
        <f>WEEKNUM(Sales_Table[[#This Row],[Date_clean]],2)</f>
        <v>1</v>
      </c>
      <c r="X4" t="str" cm="1">
        <f t="array" ref="X4">_xlfn.IFS(Sales_Table[[#This Row],[Revenue]]&gt;=50000,"High",Sales_Table[[#This Row],[Revenue]]&gt;=20000,"Medium",Sales_Table[[#This Row],[Revenue]]&lt;20000,"Low")</f>
        <v>Medium</v>
      </c>
      <c r="Y4" t="str">
        <f>IF(Sales_Table[[#This Row],[Payment Method_clean]]="cash","Offline","Online")</f>
        <v>Online</v>
      </c>
      <c r="Z4">
        <f>IFERROR(Sales_Table[[#This Row],[Revenue]],0)</f>
        <v>32606</v>
      </c>
    </row>
    <row r="5" spans="1:26" x14ac:dyDescent="0.3">
      <c r="A5">
        <v>4</v>
      </c>
      <c r="B5" s="2">
        <f t="shared" si="0"/>
        <v>45292.125</v>
      </c>
      <c r="C5" t="s">
        <v>51</v>
      </c>
      <c r="D5" t="s">
        <v>27</v>
      </c>
      <c r="E5" t="str">
        <f>PROPER(TRIM(CLEAN(Sales_Table[[#This Row],[Region]])))</f>
        <v>East</v>
      </c>
      <c r="F5" t="s">
        <v>37</v>
      </c>
      <c r="G5" t="str">
        <f t="shared" si="1"/>
        <v>Home Appliances</v>
      </c>
      <c r="H5" t="str">
        <f>PROPER(TRIM(CLEAN(Sales_Table[[#This Row],[Product Name]])))</f>
        <v>Laptop</v>
      </c>
      <c r="I5" t="s">
        <v>52</v>
      </c>
      <c r="J5" t="str">
        <f t="shared" si="2"/>
        <v>CUST0414</v>
      </c>
      <c r="K5" t="s">
        <v>53</v>
      </c>
      <c r="L5" t="str">
        <f>PROPER(TRIM(CLEAN(Sales_Table[[#This Row],[Salesperson]])))</f>
        <v>Suresh</v>
      </c>
      <c r="M5" t="s">
        <v>54</v>
      </c>
      <c r="N5" t="str">
        <f t="shared" si="3"/>
        <v>Upi</v>
      </c>
      <c r="O5" t="s">
        <v>48</v>
      </c>
      <c r="P5">
        <f t="shared" si="4"/>
        <v>14</v>
      </c>
      <c r="Q5" t="s">
        <v>55</v>
      </c>
      <c r="R5">
        <f t="shared" si="5"/>
        <v>582</v>
      </c>
      <c r="S5" t="s">
        <v>56</v>
      </c>
      <c r="T5">
        <f t="shared" si="6"/>
        <v>8148</v>
      </c>
      <c r="U5">
        <f>YEAR(Sales_Table[[#This Row],[Date_clean]])</f>
        <v>2024</v>
      </c>
      <c r="V5" t="str">
        <f>TEXT(Sales_Table[[#This Row],[Date_clean]],"mmmm")</f>
        <v>January</v>
      </c>
      <c r="W5">
        <f>WEEKNUM(Sales_Table[[#This Row],[Date_clean]],2)</f>
        <v>1</v>
      </c>
      <c r="X5" t="str" cm="1">
        <f t="array" ref="X5">_xlfn.IFS(Sales_Table[[#This Row],[Revenue]]&gt;=50000,"High",Sales_Table[[#This Row],[Revenue]]&gt;=20000,"Medium",Sales_Table[[#This Row],[Revenue]]&lt;20000,"Low")</f>
        <v>Low</v>
      </c>
      <c r="Y5" t="str">
        <f>IF(Sales_Table[[#This Row],[Payment Method_clean]]="cash","Offline","Online")</f>
        <v>Online</v>
      </c>
      <c r="Z5">
        <f>IFERROR(Sales_Table[[#This Row],[Revenue]],0)</f>
        <v>8148</v>
      </c>
    </row>
    <row r="6" spans="1:26" x14ac:dyDescent="0.3">
      <c r="A6">
        <v>5</v>
      </c>
      <c r="B6" s="2">
        <f t="shared" si="0"/>
        <v>45292.166666666664</v>
      </c>
      <c r="C6" t="s">
        <v>57</v>
      </c>
      <c r="D6" t="s">
        <v>27</v>
      </c>
      <c r="E6" t="str">
        <f>PROPER(TRIM(CLEAN(Sales_Table[[#This Row],[Region]])))</f>
        <v>East</v>
      </c>
      <c r="F6" t="s">
        <v>37</v>
      </c>
      <c r="G6" t="str">
        <f t="shared" si="1"/>
        <v>Home Appliances</v>
      </c>
      <c r="H6" t="str">
        <f>PROPER(TRIM(CLEAN(Sales_Table[[#This Row],[Product Name]])))</f>
        <v>Led Tv 42Inch</v>
      </c>
      <c r="I6" t="s">
        <v>58</v>
      </c>
      <c r="J6" t="str">
        <f t="shared" si="2"/>
        <v>CUST0235</v>
      </c>
      <c r="K6" t="s">
        <v>59</v>
      </c>
      <c r="L6" t="str">
        <f>PROPER(TRIM(CLEAN(Sales_Table[[#This Row],[Salesperson]])))</f>
        <v>Rahul</v>
      </c>
      <c r="M6" t="s">
        <v>31</v>
      </c>
      <c r="N6" t="str">
        <f t="shared" si="3"/>
        <v>Net Banking</v>
      </c>
      <c r="O6" t="s">
        <v>60</v>
      </c>
      <c r="P6">
        <f t="shared" si="4"/>
        <v>7</v>
      </c>
      <c r="Q6" t="s">
        <v>49</v>
      </c>
      <c r="R6">
        <f t="shared" si="5"/>
        <v>2577</v>
      </c>
      <c r="S6" t="s">
        <v>61</v>
      </c>
      <c r="T6">
        <f t="shared" si="6"/>
        <v>18039</v>
      </c>
      <c r="U6">
        <f>YEAR(Sales_Table[[#This Row],[Date_clean]])</f>
        <v>2024</v>
      </c>
      <c r="V6" t="str">
        <f>TEXT(Sales_Table[[#This Row],[Date_clean]],"mmmm")</f>
        <v>January</v>
      </c>
      <c r="W6">
        <f>WEEKNUM(Sales_Table[[#This Row],[Date_clean]],2)</f>
        <v>1</v>
      </c>
      <c r="X6" t="str" cm="1">
        <f t="array" ref="X6">_xlfn.IFS(Sales_Table[[#This Row],[Revenue]]&gt;=50000,"High",Sales_Table[[#This Row],[Revenue]]&gt;=20000,"Medium",Sales_Table[[#This Row],[Revenue]]&lt;20000,"Low")</f>
        <v>Low</v>
      </c>
      <c r="Y6" t="str">
        <f>IF(Sales_Table[[#This Row],[Payment Method_clean]]="cash","Offline","Online")</f>
        <v>Online</v>
      </c>
      <c r="Z6">
        <f>IFERROR(Sales_Table[[#This Row],[Revenue]],0)</f>
        <v>18039</v>
      </c>
    </row>
    <row r="7" spans="1:26" x14ac:dyDescent="0.3">
      <c r="A7">
        <v>6</v>
      </c>
      <c r="B7" s="2">
        <f t="shared" si="0"/>
        <v>45292.208333333336</v>
      </c>
      <c r="C7" t="s">
        <v>62</v>
      </c>
      <c r="D7" t="s">
        <v>36</v>
      </c>
      <c r="E7" t="str">
        <f>PROPER(TRIM(CLEAN(Sales_Table[[#This Row],[Region]])))</f>
        <v>West</v>
      </c>
      <c r="F7" t="s">
        <v>28</v>
      </c>
      <c r="G7" t="str">
        <f t="shared" si="1"/>
        <v>Clothing</v>
      </c>
      <c r="H7" t="str">
        <f>PROPER(TRIM(CLEAN(Sales_Table[[#This Row],[Product Name]])))</f>
        <v>Laptop</v>
      </c>
      <c r="I7" t="s">
        <v>52</v>
      </c>
      <c r="J7" t="str">
        <f t="shared" si="2"/>
        <v>CUST0062</v>
      </c>
      <c r="K7" t="s">
        <v>63</v>
      </c>
      <c r="L7" t="str">
        <f>PROPER(TRIM(CLEAN(Sales_Table[[#This Row],[Salesperson]])))</f>
        <v>Anita</v>
      </c>
      <c r="M7" t="s">
        <v>64</v>
      </c>
      <c r="N7" t="str">
        <f t="shared" si="3"/>
        <v>Credit Card</v>
      </c>
      <c r="O7" t="s">
        <v>65</v>
      </c>
      <c r="P7">
        <f t="shared" si="4"/>
        <v>3</v>
      </c>
      <c r="Q7" t="s">
        <v>66</v>
      </c>
      <c r="R7">
        <f t="shared" si="5"/>
        <v>3193</v>
      </c>
      <c r="S7" t="s">
        <v>67</v>
      </c>
      <c r="T7">
        <f t="shared" si="6"/>
        <v>9579</v>
      </c>
      <c r="U7">
        <f>YEAR(Sales_Table[[#This Row],[Date_clean]])</f>
        <v>2024</v>
      </c>
      <c r="V7" t="str">
        <f>TEXT(Sales_Table[[#This Row],[Date_clean]],"mmmm")</f>
        <v>January</v>
      </c>
      <c r="W7">
        <f>WEEKNUM(Sales_Table[[#This Row],[Date_clean]],2)</f>
        <v>1</v>
      </c>
      <c r="X7" t="str" cm="1">
        <f t="array" ref="X7">_xlfn.IFS(Sales_Table[[#This Row],[Revenue]]&gt;=50000,"High",Sales_Table[[#This Row],[Revenue]]&gt;=20000,"Medium",Sales_Table[[#This Row],[Revenue]]&lt;20000,"Low")</f>
        <v>Low</v>
      </c>
      <c r="Y7" t="str">
        <f>IF(Sales_Table[[#This Row],[Payment Method_clean]]="cash","Offline","Online")</f>
        <v>Online</v>
      </c>
      <c r="Z7">
        <f>IFERROR(Sales_Table[[#This Row],[Revenue]],0)</f>
        <v>9579</v>
      </c>
    </row>
    <row r="8" spans="1:26" x14ac:dyDescent="0.3">
      <c r="A8">
        <v>7</v>
      </c>
      <c r="B8" s="2">
        <f t="shared" si="0"/>
        <v>45292.25</v>
      </c>
      <c r="C8" t="s">
        <v>68</v>
      </c>
      <c r="D8" t="s">
        <v>45</v>
      </c>
      <c r="E8" t="str">
        <f>PROPER(TRIM(CLEAN(Sales_Table[[#This Row],[Region]])))</f>
        <v>North</v>
      </c>
      <c r="F8" t="s">
        <v>37</v>
      </c>
      <c r="G8" t="str">
        <f t="shared" si="1"/>
        <v>Home Appliances</v>
      </c>
      <c r="H8" t="str">
        <f>PROPER(TRIM(CLEAN(Sales_Table[[#This Row],[Product Name]])))</f>
        <v>Led Tv 42Inch</v>
      </c>
      <c r="I8" t="s">
        <v>58</v>
      </c>
      <c r="J8" t="str">
        <f t="shared" si="2"/>
        <v>CUST0256</v>
      </c>
      <c r="K8" t="s">
        <v>69</v>
      </c>
      <c r="L8" t="str">
        <f>PROPER(TRIM(CLEAN(Sales_Table[[#This Row],[Salesperson]])))</f>
        <v>Karthik</v>
      </c>
      <c r="M8" t="s">
        <v>70</v>
      </c>
      <c r="N8" t="str">
        <f t="shared" si="3"/>
        <v>Debit Card</v>
      </c>
      <c r="O8" t="s">
        <v>41</v>
      </c>
      <c r="P8">
        <f t="shared" si="4"/>
        <v>14</v>
      </c>
      <c r="Q8" t="s">
        <v>55</v>
      </c>
      <c r="R8">
        <f t="shared" si="5"/>
        <v>442</v>
      </c>
      <c r="S8" t="s">
        <v>71</v>
      </c>
      <c r="T8">
        <f t="shared" si="6"/>
        <v>6188</v>
      </c>
      <c r="U8">
        <f>YEAR(Sales_Table[[#This Row],[Date_clean]])</f>
        <v>2024</v>
      </c>
      <c r="V8" t="str">
        <f>TEXT(Sales_Table[[#This Row],[Date_clean]],"mmmm")</f>
        <v>January</v>
      </c>
      <c r="W8">
        <f>WEEKNUM(Sales_Table[[#This Row],[Date_clean]],2)</f>
        <v>1</v>
      </c>
      <c r="X8" t="str" cm="1">
        <f t="array" ref="X8">_xlfn.IFS(Sales_Table[[#This Row],[Revenue]]&gt;=50000,"High",Sales_Table[[#This Row],[Revenue]]&gt;=20000,"Medium",Sales_Table[[#This Row],[Revenue]]&lt;20000,"Low")</f>
        <v>Low</v>
      </c>
      <c r="Y8" t="str">
        <f>IF(Sales_Table[[#This Row],[Payment Method_clean]]="cash","Offline","Online")</f>
        <v>Online</v>
      </c>
      <c r="Z8">
        <f>IFERROR(Sales_Table[[#This Row],[Revenue]],0)</f>
        <v>6188</v>
      </c>
    </row>
    <row r="9" spans="1:26" x14ac:dyDescent="0.3">
      <c r="A9">
        <v>8</v>
      </c>
      <c r="B9" s="2">
        <f t="shared" si="0"/>
        <v>45292.291666666664</v>
      </c>
      <c r="C9" t="s">
        <v>72</v>
      </c>
      <c r="D9" t="s">
        <v>45</v>
      </c>
      <c r="E9" t="str">
        <f>PROPER(TRIM(CLEAN(Sales_Table[[#This Row],[Region]])))</f>
        <v>North</v>
      </c>
      <c r="F9" t="s">
        <v>28</v>
      </c>
      <c r="G9" t="str">
        <f t="shared" si="1"/>
        <v>Clothing</v>
      </c>
      <c r="H9" t="str">
        <f>PROPER(TRIM(CLEAN(Sales_Table[[#This Row],[Product Name]])))</f>
        <v>Rice 5Kg</v>
      </c>
      <c r="I9" t="s">
        <v>73</v>
      </c>
      <c r="J9" t="str">
        <f t="shared" si="2"/>
        <v>CUST0561</v>
      </c>
      <c r="K9" t="s">
        <v>74</v>
      </c>
      <c r="L9" t="str">
        <f>PROPER(TRIM(CLEAN(Sales_Table[[#This Row],[Salesperson]])))</f>
        <v>Karthik</v>
      </c>
      <c r="M9" t="s">
        <v>70</v>
      </c>
      <c r="N9" t="str">
        <f t="shared" si="3"/>
        <v>Credit Card</v>
      </c>
      <c r="O9" t="s">
        <v>65</v>
      </c>
      <c r="P9">
        <f t="shared" si="4"/>
        <v>6</v>
      </c>
      <c r="Q9" t="s">
        <v>75</v>
      </c>
      <c r="R9">
        <f t="shared" si="5"/>
        <v>1562</v>
      </c>
      <c r="S9" t="s">
        <v>76</v>
      </c>
      <c r="T9">
        <f t="shared" si="6"/>
        <v>9372</v>
      </c>
      <c r="U9">
        <f>YEAR(Sales_Table[[#This Row],[Date_clean]])</f>
        <v>2024</v>
      </c>
      <c r="V9" t="str">
        <f>TEXT(Sales_Table[[#This Row],[Date_clean]],"mmmm")</f>
        <v>January</v>
      </c>
      <c r="W9">
        <f>WEEKNUM(Sales_Table[[#This Row],[Date_clean]],2)</f>
        <v>1</v>
      </c>
      <c r="X9" t="str" cm="1">
        <f t="array" ref="X9">_xlfn.IFS(Sales_Table[[#This Row],[Revenue]]&gt;=50000,"High",Sales_Table[[#This Row],[Revenue]]&gt;=20000,"Medium",Sales_Table[[#This Row],[Revenue]]&lt;20000,"Low")</f>
        <v>Low</v>
      </c>
      <c r="Y9" t="str">
        <f>IF(Sales_Table[[#This Row],[Payment Method_clean]]="cash","Offline","Online")</f>
        <v>Online</v>
      </c>
      <c r="Z9">
        <f>IFERROR(Sales_Table[[#This Row],[Revenue]],0)</f>
        <v>9372</v>
      </c>
    </row>
    <row r="10" spans="1:26" x14ac:dyDescent="0.3">
      <c r="A10">
        <v>9</v>
      </c>
      <c r="B10" s="2">
        <f t="shared" si="0"/>
        <v>45292.333333333336</v>
      </c>
      <c r="C10" t="s">
        <v>77</v>
      </c>
      <c r="D10" t="s">
        <v>27</v>
      </c>
      <c r="E10" t="str">
        <f>PROPER(TRIM(CLEAN(Sales_Table[[#This Row],[Region]])))</f>
        <v>East</v>
      </c>
      <c r="F10" t="s">
        <v>78</v>
      </c>
      <c r="G10" t="str">
        <f t="shared" si="1"/>
        <v>Grocery</v>
      </c>
      <c r="H10" t="str">
        <f>PROPER(TRIM(CLEAN(Sales_Table[[#This Row],[Product Name]])))</f>
        <v>Washing Machine</v>
      </c>
      <c r="I10" t="s">
        <v>79</v>
      </c>
      <c r="J10" t="str">
        <f t="shared" si="2"/>
        <v>CUST0348</v>
      </c>
      <c r="K10" t="s">
        <v>80</v>
      </c>
      <c r="L10" t="str">
        <f>PROPER(TRIM(CLEAN(Sales_Table[[#This Row],[Salesperson]])))</f>
        <v>Suresh</v>
      </c>
      <c r="M10" t="s">
        <v>54</v>
      </c>
      <c r="N10" t="str">
        <f t="shared" si="3"/>
        <v>Debit Card</v>
      </c>
      <c r="O10" t="s">
        <v>41</v>
      </c>
      <c r="P10">
        <f t="shared" si="4"/>
        <v>13</v>
      </c>
      <c r="Q10" t="s">
        <v>81</v>
      </c>
      <c r="R10">
        <f t="shared" si="5"/>
        <v>1302</v>
      </c>
      <c r="S10" t="s">
        <v>82</v>
      </c>
      <c r="T10">
        <f t="shared" si="6"/>
        <v>16926</v>
      </c>
      <c r="U10">
        <f>YEAR(Sales_Table[[#This Row],[Date_clean]])</f>
        <v>2024</v>
      </c>
      <c r="V10" t="str">
        <f>TEXT(Sales_Table[[#This Row],[Date_clean]],"mmmm")</f>
        <v>January</v>
      </c>
      <c r="W10">
        <f>WEEKNUM(Sales_Table[[#This Row],[Date_clean]],2)</f>
        <v>1</v>
      </c>
      <c r="X10" t="str" cm="1">
        <f t="array" ref="X10">_xlfn.IFS(Sales_Table[[#This Row],[Revenue]]&gt;=50000,"High",Sales_Table[[#This Row],[Revenue]]&gt;=20000,"Medium",Sales_Table[[#This Row],[Revenue]]&lt;20000,"Low")</f>
        <v>Low</v>
      </c>
      <c r="Y10" t="str">
        <f>IF(Sales_Table[[#This Row],[Payment Method_clean]]="cash","Offline","Online")</f>
        <v>Online</v>
      </c>
      <c r="Z10">
        <f>IFERROR(Sales_Table[[#This Row],[Revenue]],0)</f>
        <v>16926</v>
      </c>
    </row>
    <row r="11" spans="1:26" x14ac:dyDescent="0.3">
      <c r="A11">
        <v>10</v>
      </c>
      <c r="B11" s="2">
        <f t="shared" si="0"/>
        <v>45292.375</v>
      </c>
      <c r="C11" t="s">
        <v>83</v>
      </c>
      <c r="D11" t="s">
        <v>84</v>
      </c>
      <c r="E11" t="str">
        <f>PROPER(TRIM(CLEAN(Sales_Table[[#This Row],[Region]])))</f>
        <v>South</v>
      </c>
      <c r="F11" t="s">
        <v>78</v>
      </c>
      <c r="G11" t="str">
        <f t="shared" si="1"/>
        <v>Grocery</v>
      </c>
      <c r="H11" t="str">
        <f>PROPER(TRIM(CLEAN(Sales_Table[[#This Row],[Product Name]])))</f>
        <v>Laptop</v>
      </c>
      <c r="I11" t="s">
        <v>52</v>
      </c>
      <c r="J11" t="str">
        <f t="shared" si="2"/>
        <v>CUST0671</v>
      </c>
      <c r="K11" t="s">
        <v>85</v>
      </c>
      <c r="L11" t="str">
        <f>PROPER(TRIM(CLEAN(Sales_Table[[#This Row],[Salesperson]])))</f>
        <v>Rahul</v>
      </c>
      <c r="M11" t="s">
        <v>31</v>
      </c>
      <c r="N11" t="str">
        <f t="shared" si="3"/>
        <v>Upi</v>
      </c>
      <c r="O11" t="s">
        <v>48</v>
      </c>
      <c r="P11">
        <f t="shared" si="4"/>
        <v>13</v>
      </c>
      <c r="Q11" t="s">
        <v>81</v>
      </c>
      <c r="R11">
        <f t="shared" si="5"/>
        <v>1721</v>
      </c>
      <c r="S11" t="s">
        <v>86</v>
      </c>
      <c r="T11">
        <f t="shared" si="6"/>
        <v>22373</v>
      </c>
      <c r="U11">
        <f>YEAR(Sales_Table[[#This Row],[Date_clean]])</f>
        <v>2024</v>
      </c>
      <c r="V11" t="str">
        <f>TEXT(Sales_Table[[#This Row],[Date_clean]],"mmmm")</f>
        <v>January</v>
      </c>
      <c r="W11">
        <f>WEEKNUM(Sales_Table[[#This Row],[Date_clean]],2)</f>
        <v>1</v>
      </c>
      <c r="X11" t="str" cm="1">
        <f t="array" ref="X11">_xlfn.IFS(Sales_Table[[#This Row],[Revenue]]&gt;=50000,"High",Sales_Table[[#This Row],[Revenue]]&gt;=20000,"Medium",Sales_Table[[#This Row],[Revenue]]&lt;20000,"Low")</f>
        <v>Medium</v>
      </c>
      <c r="Y11" t="str">
        <f>IF(Sales_Table[[#This Row],[Payment Method_clean]]="cash","Offline","Online")</f>
        <v>Online</v>
      </c>
      <c r="Z11">
        <f>IFERROR(Sales_Table[[#This Row],[Revenue]],0)</f>
        <v>22373</v>
      </c>
    </row>
    <row r="12" spans="1:26" x14ac:dyDescent="0.3">
      <c r="A12">
        <v>11</v>
      </c>
      <c r="B12" s="2">
        <f t="shared" si="0"/>
        <v>45292.416666666664</v>
      </c>
      <c r="C12" t="s">
        <v>87</v>
      </c>
      <c r="D12" t="s">
        <v>27</v>
      </c>
      <c r="E12" t="str">
        <f>PROPER(TRIM(CLEAN(Sales_Table[[#This Row],[Region]])))</f>
        <v>East</v>
      </c>
      <c r="F12" t="s">
        <v>28</v>
      </c>
      <c r="G12" t="str">
        <f t="shared" si="1"/>
        <v>Clothing</v>
      </c>
      <c r="H12" t="str">
        <f>PROPER(TRIM(CLEAN(Sales_Table[[#This Row],[Product Name]])))</f>
        <v>Mixer Grinder</v>
      </c>
      <c r="I12" t="s">
        <v>29</v>
      </c>
      <c r="J12" t="str">
        <f t="shared" si="2"/>
        <v>CUST0124</v>
      </c>
      <c r="K12" t="s">
        <v>88</v>
      </c>
      <c r="L12" t="str">
        <f>PROPER(TRIM(CLEAN(Sales_Table[[#This Row],[Salesperson]])))</f>
        <v>Rahul</v>
      </c>
      <c r="M12" t="s">
        <v>31</v>
      </c>
      <c r="N12" t="str">
        <f t="shared" si="3"/>
        <v>Net Banking</v>
      </c>
      <c r="O12" t="s">
        <v>60</v>
      </c>
      <c r="P12">
        <f t="shared" si="4"/>
        <v>5</v>
      </c>
      <c r="Q12" t="s">
        <v>89</v>
      </c>
      <c r="R12">
        <f t="shared" si="5"/>
        <v>2498</v>
      </c>
      <c r="S12" t="s">
        <v>90</v>
      </c>
      <c r="T12">
        <f t="shared" si="6"/>
        <v>12490</v>
      </c>
      <c r="U12">
        <f>YEAR(Sales_Table[[#This Row],[Date_clean]])</f>
        <v>2024</v>
      </c>
      <c r="V12" t="str">
        <f>TEXT(Sales_Table[[#This Row],[Date_clean]],"mmmm")</f>
        <v>January</v>
      </c>
      <c r="W12">
        <f>WEEKNUM(Sales_Table[[#This Row],[Date_clean]],2)</f>
        <v>1</v>
      </c>
      <c r="X12" t="str" cm="1">
        <f t="array" ref="X12">_xlfn.IFS(Sales_Table[[#This Row],[Revenue]]&gt;=50000,"High",Sales_Table[[#This Row],[Revenue]]&gt;=20000,"Medium",Sales_Table[[#This Row],[Revenue]]&lt;20000,"Low")</f>
        <v>Low</v>
      </c>
      <c r="Y12" t="str">
        <f>IF(Sales_Table[[#This Row],[Payment Method_clean]]="cash","Offline","Online")</f>
        <v>Online</v>
      </c>
      <c r="Z12">
        <f>IFERROR(Sales_Table[[#This Row],[Revenue]],0)</f>
        <v>12490</v>
      </c>
    </row>
    <row r="13" spans="1:26" x14ac:dyDescent="0.3">
      <c r="A13">
        <v>12</v>
      </c>
      <c r="B13" s="2">
        <f t="shared" si="0"/>
        <v>45292.458333333336</v>
      </c>
      <c r="C13" t="s">
        <v>91</v>
      </c>
      <c r="D13" t="s">
        <v>27</v>
      </c>
      <c r="E13" t="str">
        <f>PROPER(TRIM(CLEAN(Sales_Table[[#This Row],[Region]])))</f>
        <v>East</v>
      </c>
      <c r="F13" t="s">
        <v>78</v>
      </c>
      <c r="G13" t="str">
        <f t="shared" si="1"/>
        <v>Grocery</v>
      </c>
      <c r="H13" t="str">
        <f>PROPER(TRIM(CLEAN(Sales_Table[[#This Row],[Product Name]])))</f>
        <v>Rice 5Kg</v>
      </c>
      <c r="I13" t="s">
        <v>73</v>
      </c>
      <c r="J13" t="str">
        <f t="shared" si="2"/>
        <v>CUST0482</v>
      </c>
      <c r="K13" t="s">
        <v>92</v>
      </c>
      <c r="L13" t="str">
        <f>PROPER(TRIM(CLEAN(Sales_Table[[#This Row],[Salesperson]])))</f>
        <v>Meena</v>
      </c>
      <c r="M13" t="s">
        <v>40</v>
      </c>
      <c r="N13" t="str">
        <f t="shared" si="3"/>
        <v>Credit Card</v>
      </c>
      <c r="O13" t="s">
        <v>65</v>
      </c>
      <c r="P13">
        <f t="shared" si="4"/>
        <v>1</v>
      </c>
      <c r="Q13" t="s">
        <v>93</v>
      </c>
      <c r="R13">
        <f t="shared" si="5"/>
        <v>3696</v>
      </c>
      <c r="S13" t="s">
        <v>94</v>
      </c>
      <c r="T13">
        <f t="shared" si="6"/>
        <v>3696</v>
      </c>
      <c r="U13">
        <f>YEAR(Sales_Table[[#This Row],[Date_clean]])</f>
        <v>2024</v>
      </c>
      <c r="V13" t="str">
        <f>TEXT(Sales_Table[[#This Row],[Date_clean]],"mmmm")</f>
        <v>January</v>
      </c>
      <c r="W13">
        <f>WEEKNUM(Sales_Table[[#This Row],[Date_clean]],2)</f>
        <v>1</v>
      </c>
      <c r="X13" t="str" cm="1">
        <f t="array" ref="X13">_xlfn.IFS(Sales_Table[[#This Row],[Revenue]]&gt;=50000,"High",Sales_Table[[#This Row],[Revenue]]&gt;=20000,"Medium",Sales_Table[[#This Row],[Revenue]]&lt;20000,"Low")</f>
        <v>Low</v>
      </c>
      <c r="Y13" t="str">
        <f>IF(Sales_Table[[#This Row],[Payment Method_clean]]="cash","Offline","Online")</f>
        <v>Online</v>
      </c>
      <c r="Z13">
        <f>IFERROR(Sales_Table[[#This Row],[Revenue]],0)</f>
        <v>3696</v>
      </c>
    </row>
    <row r="14" spans="1:26" x14ac:dyDescent="0.3">
      <c r="A14">
        <v>13</v>
      </c>
      <c r="B14" s="2">
        <f t="shared" si="0"/>
        <v>45292.5</v>
      </c>
      <c r="C14" t="s">
        <v>95</v>
      </c>
      <c r="D14" t="s">
        <v>27</v>
      </c>
      <c r="E14" t="str">
        <f>PROPER(TRIM(CLEAN(Sales_Table[[#This Row],[Region]])))</f>
        <v>East</v>
      </c>
      <c r="F14" t="s">
        <v>46</v>
      </c>
      <c r="G14" t="str">
        <f t="shared" si="1"/>
        <v>Electronics</v>
      </c>
      <c r="H14" t="str">
        <f>PROPER(TRIM(CLEAN(Sales_Table[[#This Row],[Product Name]])))</f>
        <v>Washing Machine</v>
      </c>
      <c r="I14" t="s">
        <v>79</v>
      </c>
      <c r="J14" t="str">
        <f t="shared" si="2"/>
        <v>CUST0317</v>
      </c>
      <c r="K14" t="s">
        <v>96</v>
      </c>
      <c r="L14" t="str">
        <f>PROPER(TRIM(CLEAN(Sales_Table[[#This Row],[Salesperson]])))</f>
        <v>Anita</v>
      </c>
      <c r="M14" t="s">
        <v>64</v>
      </c>
      <c r="N14" t="str">
        <f t="shared" si="3"/>
        <v>Upi</v>
      </c>
      <c r="O14" t="s">
        <v>48</v>
      </c>
      <c r="P14">
        <f t="shared" si="4"/>
        <v>11</v>
      </c>
      <c r="Q14" t="s">
        <v>97</v>
      </c>
      <c r="R14">
        <f t="shared" si="5"/>
        <v>3635</v>
      </c>
      <c r="S14" t="s">
        <v>98</v>
      </c>
      <c r="T14">
        <f t="shared" si="6"/>
        <v>39985</v>
      </c>
      <c r="U14">
        <f>YEAR(Sales_Table[[#This Row],[Date_clean]])</f>
        <v>2024</v>
      </c>
      <c r="V14" t="str">
        <f>TEXT(Sales_Table[[#This Row],[Date_clean]],"mmmm")</f>
        <v>January</v>
      </c>
      <c r="W14">
        <f>WEEKNUM(Sales_Table[[#This Row],[Date_clean]],2)</f>
        <v>1</v>
      </c>
      <c r="X14" t="str" cm="1">
        <f t="array" ref="X14">_xlfn.IFS(Sales_Table[[#This Row],[Revenue]]&gt;=50000,"High",Sales_Table[[#This Row],[Revenue]]&gt;=20000,"Medium",Sales_Table[[#This Row],[Revenue]]&lt;20000,"Low")</f>
        <v>Medium</v>
      </c>
      <c r="Y14" t="str">
        <f>IF(Sales_Table[[#This Row],[Payment Method_clean]]="cash","Offline","Online")</f>
        <v>Online</v>
      </c>
      <c r="Z14">
        <f>IFERROR(Sales_Table[[#This Row],[Revenue]],0)</f>
        <v>39985</v>
      </c>
    </row>
    <row r="15" spans="1:26" x14ac:dyDescent="0.3">
      <c r="A15">
        <v>14</v>
      </c>
      <c r="B15" s="2">
        <f t="shared" si="0"/>
        <v>45292.541666666664</v>
      </c>
      <c r="C15" t="s">
        <v>99</v>
      </c>
      <c r="D15" t="s">
        <v>27</v>
      </c>
      <c r="E15" t="str">
        <f>PROPER(TRIM(CLEAN(Sales_Table[[#This Row],[Region]])))</f>
        <v>East</v>
      </c>
      <c r="F15" t="s">
        <v>37</v>
      </c>
      <c r="G15" t="str">
        <f t="shared" si="1"/>
        <v>Home Appliances</v>
      </c>
      <c r="H15" t="str">
        <f>PROPER(TRIM(CLEAN(Sales_Table[[#This Row],[Product Name]])))</f>
        <v>Mixer Grinder</v>
      </c>
      <c r="I15" t="s">
        <v>29</v>
      </c>
      <c r="J15" t="str">
        <f t="shared" si="2"/>
        <v>CUST0504</v>
      </c>
      <c r="K15" t="s">
        <v>100</v>
      </c>
      <c r="L15" t="str">
        <f>PROPER(TRIM(CLEAN(Sales_Table[[#This Row],[Salesperson]])))</f>
        <v>Rahul</v>
      </c>
      <c r="M15" t="s">
        <v>31</v>
      </c>
      <c r="N15" t="str">
        <f t="shared" si="3"/>
        <v>Debit Card</v>
      </c>
      <c r="O15" t="s">
        <v>41</v>
      </c>
      <c r="P15">
        <f t="shared" si="4"/>
        <v>3</v>
      </c>
      <c r="Q15" t="s">
        <v>66</v>
      </c>
      <c r="R15">
        <f t="shared" si="5"/>
        <v>2977</v>
      </c>
      <c r="S15" t="s">
        <v>101</v>
      </c>
      <c r="T15">
        <f t="shared" si="6"/>
        <v>8931</v>
      </c>
      <c r="U15">
        <f>YEAR(Sales_Table[[#This Row],[Date_clean]])</f>
        <v>2024</v>
      </c>
      <c r="V15" t="str">
        <f>TEXT(Sales_Table[[#This Row],[Date_clean]],"mmmm")</f>
        <v>January</v>
      </c>
      <c r="W15">
        <f>WEEKNUM(Sales_Table[[#This Row],[Date_clean]],2)</f>
        <v>1</v>
      </c>
      <c r="X15" t="str" cm="1">
        <f t="array" ref="X15">_xlfn.IFS(Sales_Table[[#This Row],[Revenue]]&gt;=50000,"High",Sales_Table[[#This Row],[Revenue]]&gt;=20000,"Medium",Sales_Table[[#This Row],[Revenue]]&lt;20000,"Low")</f>
        <v>Low</v>
      </c>
      <c r="Y15" t="str">
        <f>IF(Sales_Table[[#This Row],[Payment Method_clean]]="cash","Offline","Online")</f>
        <v>Online</v>
      </c>
      <c r="Z15">
        <f>IFERROR(Sales_Table[[#This Row],[Revenue]],0)</f>
        <v>8931</v>
      </c>
    </row>
    <row r="16" spans="1:26" x14ac:dyDescent="0.3">
      <c r="A16">
        <v>15</v>
      </c>
      <c r="B16" s="2">
        <f t="shared" si="0"/>
        <v>45292.583333333336</v>
      </c>
      <c r="C16" t="s">
        <v>102</v>
      </c>
      <c r="D16" t="s">
        <v>36</v>
      </c>
      <c r="E16" t="str">
        <f>PROPER(TRIM(CLEAN(Sales_Table[[#This Row],[Region]])))</f>
        <v>West</v>
      </c>
      <c r="F16" t="s">
        <v>46</v>
      </c>
      <c r="G16" t="str">
        <f t="shared" si="1"/>
        <v>Electronics</v>
      </c>
      <c r="H16" t="str">
        <f>PROPER(TRIM(CLEAN(Sales_Table[[#This Row],[Product Name]])))</f>
        <v>Men T-Shirt</v>
      </c>
      <c r="I16" t="s">
        <v>38</v>
      </c>
      <c r="J16" t="str">
        <f t="shared" si="2"/>
        <v>CUST0719</v>
      </c>
      <c r="K16" t="s">
        <v>103</v>
      </c>
      <c r="L16" t="str">
        <f>PROPER(TRIM(CLEAN(Sales_Table[[#This Row],[Salesperson]])))</f>
        <v>Karthik</v>
      </c>
      <c r="M16" t="s">
        <v>70</v>
      </c>
      <c r="N16" t="str">
        <f t="shared" si="3"/>
        <v>Credit Card</v>
      </c>
      <c r="O16" t="s">
        <v>65</v>
      </c>
      <c r="P16">
        <f t="shared" si="4"/>
        <v>13</v>
      </c>
      <c r="Q16" t="s">
        <v>81</v>
      </c>
      <c r="R16">
        <f t="shared" si="5"/>
        <v>2490</v>
      </c>
      <c r="S16" t="s">
        <v>104</v>
      </c>
      <c r="T16">
        <f t="shared" si="6"/>
        <v>32370</v>
      </c>
      <c r="U16">
        <f>YEAR(Sales_Table[[#This Row],[Date_clean]])</f>
        <v>2024</v>
      </c>
      <c r="V16" t="str">
        <f>TEXT(Sales_Table[[#This Row],[Date_clean]],"mmmm")</f>
        <v>January</v>
      </c>
      <c r="W16">
        <f>WEEKNUM(Sales_Table[[#This Row],[Date_clean]],2)</f>
        <v>1</v>
      </c>
      <c r="X16" t="str" cm="1">
        <f t="array" ref="X16">_xlfn.IFS(Sales_Table[[#This Row],[Revenue]]&gt;=50000,"High",Sales_Table[[#This Row],[Revenue]]&gt;=20000,"Medium",Sales_Table[[#This Row],[Revenue]]&lt;20000,"Low")</f>
        <v>Medium</v>
      </c>
      <c r="Y16" t="str">
        <f>IF(Sales_Table[[#This Row],[Payment Method_clean]]="cash","Offline","Online")</f>
        <v>Online</v>
      </c>
      <c r="Z16">
        <f>IFERROR(Sales_Table[[#This Row],[Revenue]],0)</f>
        <v>32370</v>
      </c>
    </row>
    <row r="17" spans="1:26" x14ac:dyDescent="0.3">
      <c r="A17">
        <v>16</v>
      </c>
      <c r="B17" s="2">
        <f t="shared" si="0"/>
        <v>45292.625</v>
      </c>
      <c r="C17" t="s">
        <v>105</v>
      </c>
      <c r="D17" t="s">
        <v>45</v>
      </c>
      <c r="E17" t="str">
        <f>PROPER(TRIM(CLEAN(Sales_Table[[#This Row],[Region]])))</f>
        <v>North</v>
      </c>
      <c r="F17" t="s">
        <v>37</v>
      </c>
      <c r="G17" t="str">
        <f t="shared" si="1"/>
        <v>Home Appliances</v>
      </c>
      <c r="H17" t="str">
        <f>PROPER(TRIM(CLEAN(Sales_Table[[#This Row],[Product Name]])))</f>
        <v>Mixer Grinder</v>
      </c>
      <c r="I17" t="s">
        <v>29</v>
      </c>
      <c r="J17" t="str">
        <f t="shared" si="2"/>
        <v>CUST0048</v>
      </c>
      <c r="K17" t="s">
        <v>106</v>
      </c>
      <c r="L17" t="str">
        <f>PROPER(TRIM(CLEAN(Sales_Table[[#This Row],[Salesperson]])))</f>
        <v>Anita</v>
      </c>
      <c r="M17" t="s">
        <v>64</v>
      </c>
      <c r="N17" t="str">
        <f t="shared" si="3"/>
        <v>Credit Card</v>
      </c>
      <c r="O17" t="s">
        <v>65</v>
      </c>
      <c r="P17">
        <f t="shared" si="4"/>
        <v>12</v>
      </c>
      <c r="Q17" t="s">
        <v>33</v>
      </c>
      <c r="R17">
        <f t="shared" si="5"/>
        <v>3451</v>
      </c>
      <c r="S17" t="s">
        <v>107</v>
      </c>
      <c r="T17">
        <f t="shared" si="6"/>
        <v>41412</v>
      </c>
      <c r="U17">
        <f>YEAR(Sales_Table[[#This Row],[Date_clean]])</f>
        <v>2024</v>
      </c>
      <c r="V17" t="str">
        <f>TEXT(Sales_Table[[#This Row],[Date_clean]],"mmmm")</f>
        <v>January</v>
      </c>
      <c r="W17">
        <f>WEEKNUM(Sales_Table[[#This Row],[Date_clean]],2)</f>
        <v>1</v>
      </c>
      <c r="X17" t="str" cm="1">
        <f t="array" ref="X17">_xlfn.IFS(Sales_Table[[#This Row],[Revenue]]&gt;=50000,"High",Sales_Table[[#This Row],[Revenue]]&gt;=20000,"Medium",Sales_Table[[#This Row],[Revenue]]&lt;20000,"Low")</f>
        <v>Medium</v>
      </c>
      <c r="Y17" t="str">
        <f>IF(Sales_Table[[#This Row],[Payment Method_clean]]="cash","Offline","Online")</f>
        <v>Online</v>
      </c>
      <c r="Z17">
        <f>IFERROR(Sales_Table[[#This Row],[Revenue]],0)</f>
        <v>41412</v>
      </c>
    </row>
    <row r="18" spans="1:26" x14ac:dyDescent="0.3">
      <c r="A18">
        <v>17</v>
      </c>
      <c r="B18" s="2">
        <f t="shared" si="0"/>
        <v>45292.666666666664</v>
      </c>
      <c r="C18" t="s">
        <v>108</v>
      </c>
      <c r="D18" t="s">
        <v>36</v>
      </c>
      <c r="E18" t="str">
        <f>PROPER(TRIM(CLEAN(Sales_Table[[#This Row],[Region]])))</f>
        <v>West</v>
      </c>
      <c r="F18" t="s">
        <v>78</v>
      </c>
      <c r="G18" t="str">
        <f t="shared" si="1"/>
        <v>Grocery</v>
      </c>
      <c r="H18" t="str">
        <f>PROPER(TRIM(CLEAN(Sales_Table[[#This Row],[Product Name]])))</f>
        <v>Led Tv 42Inch</v>
      </c>
      <c r="I18" t="s">
        <v>58</v>
      </c>
      <c r="J18" t="str">
        <f t="shared" si="2"/>
        <v>CUST0409</v>
      </c>
      <c r="K18" t="s">
        <v>109</v>
      </c>
      <c r="L18" t="str">
        <f>PROPER(TRIM(CLEAN(Sales_Table[[#This Row],[Salesperson]])))</f>
        <v>Anita</v>
      </c>
      <c r="M18" t="s">
        <v>64</v>
      </c>
      <c r="N18" t="str">
        <f t="shared" si="3"/>
        <v>Upi</v>
      </c>
      <c r="O18" t="s">
        <v>48</v>
      </c>
      <c r="P18">
        <f t="shared" si="4"/>
        <v>1</v>
      </c>
      <c r="Q18" t="s">
        <v>93</v>
      </c>
      <c r="R18">
        <f t="shared" si="5"/>
        <v>3013</v>
      </c>
      <c r="S18" t="s">
        <v>110</v>
      </c>
      <c r="T18">
        <f t="shared" si="6"/>
        <v>3013</v>
      </c>
      <c r="U18">
        <f>YEAR(Sales_Table[[#This Row],[Date_clean]])</f>
        <v>2024</v>
      </c>
      <c r="V18" t="str">
        <f>TEXT(Sales_Table[[#This Row],[Date_clean]],"mmmm")</f>
        <v>January</v>
      </c>
      <c r="W18">
        <f>WEEKNUM(Sales_Table[[#This Row],[Date_clean]],2)</f>
        <v>1</v>
      </c>
      <c r="X18" t="str" cm="1">
        <f t="array" ref="X18">_xlfn.IFS(Sales_Table[[#This Row],[Revenue]]&gt;=50000,"High",Sales_Table[[#This Row],[Revenue]]&gt;=20000,"Medium",Sales_Table[[#This Row],[Revenue]]&lt;20000,"Low")</f>
        <v>Low</v>
      </c>
      <c r="Y18" t="str">
        <f>IF(Sales_Table[[#This Row],[Payment Method_clean]]="cash","Offline","Online")</f>
        <v>Online</v>
      </c>
      <c r="Z18">
        <f>IFERROR(Sales_Table[[#This Row],[Revenue]],0)</f>
        <v>3013</v>
      </c>
    </row>
    <row r="19" spans="1:26" x14ac:dyDescent="0.3">
      <c r="A19">
        <v>18</v>
      </c>
      <c r="B19" s="2">
        <f t="shared" si="0"/>
        <v>45292.708333333336</v>
      </c>
      <c r="C19" t="s">
        <v>111</v>
      </c>
      <c r="D19" t="s">
        <v>36</v>
      </c>
      <c r="E19" t="str">
        <f>PROPER(TRIM(CLEAN(Sales_Table[[#This Row],[Region]])))</f>
        <v>West</v>
      </c>
      <c r="F19" t="s">
        <v>46</v>
      </c>
      <c r="G19" t="str">
        <f t="shared" si="1"/>
        <v>Electronics</v>
      </c>
      <c r="H19" t="str">
        <f>PROPER(TRIM(CLEAN(Sales_Table[[#This Row],[Product Name]])))</f>
        <v>Led Tv 42Inch</v>
      </c>
      <c r="I19" t="s">
        <v>58</v>
      </c>
      <c r="J19" t="str">
        <f t="shared" si="2"/>
        <v>CUST0136</v>
      </c>
      <c r="K19" t="s">
        <v>112</v>
      </c>
      <c r="L19" t="str">
        <f>PROPER(TRIM(CLEAN(Sales_Table[[#This Row],[Salesperson]])))</f>
        <v>Suresh</v>
      </c>
      <c r="M19" t="s">
        <v>54</v>
      </c>
      <c r="N19" t="str">
        <f t="shared" si="3"/>
        <v>Credit Card</v>
      </c>
      <c r="O19" t="s">
        <v>65</v>
      </c>
      <c r="P19">
        <f t="shared" si="4"/>
        <v>4</v>
      </c>
      <c r="Q19" t="s">
        <v>113</v>
      </c>
      <c r="R19">
        <f t="shared" si="5"/>
        <v>1289</v>
      </c>
      <c r="S19" t="s">
        <v>114</v>
      </c>
      <c r="T19">
        <f t="shared" si="6"/>
        <v>5156</v>
      </c>
      <c r="U19">
        <f>YEAR(Sales_Table[[#This Row],[Date_clean]])</f>
        <v>2024</v>
      </c>
      <c r="V19" t="str">
        <f>TEXT(Sales_Table[[#This Row],[Date_clean]],"mmmm")</f>
        <v>January</v>
      </c>
      <c r="W19">
        <f>WEEKNUM(Sales_Table[[#This Row],[Date_clean]],2)</f>
        <v>1</v>
      </c>
      <c r="X19" t="str" cm="1">
        <f t="array" ref="X19">_xlfn.IFS(Sales_Table[[#This Row],[Revenue]]&gt;=50000,"High",Sales_Table[[#This Row],[Revenue]]&gt;=20000,"Medium",Sales_Table[[#This Row],[Revenue]]&lt;20000,"Low")</f>
        <v>Low</v>
      </c>
      <c r="Y19" t="str">
        <f>IF(Sales_Table[[#This Row],[Payment Method_clean]]="cash","Offline","Online")</f>
        <v>Online</v>
      </c>
      <c r="Z19">
        <f>IFERROR(Sales_Table[[#This Row],[Revenue]],0)</f>
        <v>5156</v>
      </c>
    </row>
    <row r="20" spans="1:26" x14ac:dyDescent="0.3">
      <c r="A20">
        <v>19</v>
      </c>
      <c r="B20" s="2">
        <f t="shared" si="0"/>
        <v>45292.75</v>
      </c>
      <c r="C20" t="s">
        <v>115</v>
      </c>
      <c r="D20" t="s">
        <v>36</v>
      </c>
      <c r="E20" t="str">
        <f>PROPER(TRIM(CLEAN(Sales_Table[[#This Row],[Region]])))</f>
        <v>West</v>
      </c>
      <c r="F20" t="s">
        <v>78</v>
      </c>
      <c r="G20" t="str">
        <f t="shared" si="1"/>
        <v>Grocery</v>
      </c>
      <c r="H20" t="str">
        <f>PROPER(TRIM(CLEAN(Sales_Table[[#This Row],[Product Name]])))</f>
        <v>Men T-Shirt</v>
      </c>
      <c r="I20" t="s">
        <v>38</v>
      </c>
      <c r="J20" t="str">
        <f t="shared" si="2"/>
        <v>CUST0201</v>
      </c>
      <c r="K20" t="s">
        <v>116</v>
      </c>
      <c r="L20" t="str">
        <f>PROPER(TRIM(CLEAN(Sales_Table[[#This Row],[Salesperson]])))</f>
        <v>Rahul</v>
      </c>
      <c r="M20" t="s">
        <v>31</v>
      </c>
      <c r="N20" t="str">
        <f t="shared" si="3"/>
        <v>Net Banking</v>
      </c>
      <c r="O20" t="s">
        <v>60</v>
      </c>
      <c r="P20">
        <f t="shared" si="4"/>
        <v>10</v>
      </c>
      <c r="Q20" t="s">
        <v>117</v>
      </c>
      <c r="R20">
        <f t="shared" si="5"/>
        <v>2440</v>
      </c>
      <c r="S20" t="s">
        <v>118</v>
      </c>
      <c r="T20">
        <f t="shared" si="6"/>
        <v>24400</v>
      </c>
      <c r="U20">
        <f>YEAR(Sales_Table[[#This Row],[Date_clean]])</f>
        <v>2024</v>
      </c>
      <c r="V20" t="str">
        <f>TEXT(Sales_Table[[#This Row],[Date_clean]],"mmmm")</f>
        <v>January</v>
      </c>
      <c r="W20">
        <f>WEEKNUM(Sales_Table[[#This Row],[Date_clean]],2)</f>
        <v>1</v>
      </c>
      <c r="X20" t="str" cm="1">
        <f t="array" ref="X20">_xlfn.IFS(Sales_Table[[#This Row],[Revenue]]&gt;=50000,"High",Sales_Table[[#This Row],[Revenue]]&gt;=20000,"Medium",Sales_Table[[#This Row],[Revenue]]&lt;20000,"Low")</f>
        <v>Medium</v>
      </c>
      <c r="Y20" t="str">
        <f>IF(Sales_Table[[#This Row],[Payment Method_clean]]="cash","Offline","Online")</f>
        <v>Online</v>
      </c>
      <c r="Z20">
        <f>IFERROR(Sales_Table[[#This Row],[Revenue]],0)</f>
        <v>24400</v>
      </c>
    </row>
    <row r="21" spans="1:26" x14ac:dyDescent="0.3">
      <c r="A21">
        <v>20</v>
      </c>
      <c r="B21" s="2">
        <f t="shared" si="0"/>
        <v>45292.791666666664</v>
      </c>
      <c r="C21" t="s">
        <v>119</v>
      </c>
      <c r="D21" t="s">
        <v>27</v>
      </c>
      <c r="E21" t="str">
        <f>PROPER(TRIM(CLEAN(Sales_Table[[#This Row],[Region]])))</f>
        <v>East</v>
      </c>
      <c r="F21" t="s">
        <v>37</v>
      </c>
      <c r="G21" t="str">
        <f t="shared" si="1"/>
        <v>Home Appliances</v>
      </c>
      <c r="H21" t="str">
        <f>PROPER(TRIM(CLEAN(Sales_Table[[#This Row],[Product Name]])))</f>
        <v>Rice 5Kg</v>
      </c>
      <c r="I21" t="s">
        <v>73</v>
      </c>
      <c r="J21" t="str">
        <f t="shared" si="2"/>
        <v>CUST0250</v>
      </c>
      <c r="K21" t="s">
        <v>120</v>
      </c>
      <c r="L21" t="str">
        <f>PROPER(TRIM(CLEAN(Sales_Table[[#This Row],[Salesperson]])))</f>
        <v>Suresh</v>
      </c>
      <c r="M21" t="s">
        <v>54</v>
      </c>
      <c r="N21" t="str">
        <f t="shared" si="3"/>
        <v>Net Banking</v>
      </c>
      <c r="O21" t="s">
        <v>60</v>
      </c>
      <c r="P21">
        <f t="shared" si="4"/>
        <v>3</v>
      </c>
      <c r="Q21" t="s">
        <v>66</v>
      </c>
      <c r="R21">
        <f t="shared" si="5"/>
        <v>3680</v>
      </c>
      <c r="S21" t="s">
        <v>121</v>
      </c>
      <c r="T21">
        <f t="shared" si="6"/>
        <v>11040</v>
      </c>
      <c r="U21">
        <f>YEAR(Sales_Table[[#This Row],[Date_clean]])</f>
        <v>2024</v>
      </c>
      <c r="V21" t="str">
        <f>TEXT(Sales_Table[[#This Row],[Date_clean]],"mmmm")</f>
        <v>January</v>
      </c>
      <c r="W21">
        <f>WEEKNUM(Sales_Table[[#This Row],[Date_clean]],2)</f>
        <v>1</v>
      </c>
      <c r="X21" t="str" cm="1">
        <f t="array" ref="X21">_xlfn.IFS(Sales_Table[[#This Row],[Revenue]]&gt;=50000,"High",Sales_Table[[#This Row],[Revenue]]&gt;=20000,"Medium",Sales_Table[[#This Row],[Revenue]]&lt;20000,"Low")</f>
        <v>Low</v>
      </c>
      <c r="Y21" t="str">
        <f>IF(Sales_Table[[#This Row],[Payment Method_clean]]="cash","Offline","Online")</f>
        <v>Online</v>
      </c>
      <c r="Z21">
        <f>IFERROR(Sales_Table[[#This Row],[Revenue]],0)</f>
        <v>11040</v>
      </c>
    </row>
    <row r="22" spans="1:26" x14ac:dyDescent="0.3">
      <c r="A22">
        <v>21</v>
      </c>
      <c r="B22" s="2">
        <f t="shared" si="0"/>
        <v>45292.833333333336</v>
      </c>
      <c r="C22" t="s">
        <v>122</v>
      </c>
      <c r="D22" t="s">
        <v>84</v>
      </c>
      <c r="E22" t="str">
        <f>PROPER(TRIM(CLEAN(Sales_Table[[#This Row],[Region]])))</f>
        <v>South</v>
      </c>
      <c r="F22" t="s">
        <v>28</v>
      </c>
      <c r="G22" t="str">
        <f t="shared" si="1"/>
        <v>Clothing</v>
      </c>
      <c r="H22" t="str">
        <f>PROPER(TRIM(CLEAN(Sales_Table[[#This Row],[Product Name]])))</f>
        <v>Washing Machine</v>
      </c>
      <c r="I22" t="s">
        <v>79</v>
      </c>
      <c r="J22" t="str">
        <f t="shared" si="2"/>
        <v>CUST0314</v>
      </c>
      <c r="K22" t="s">
        <v>123</v>
      </c>
      <c r="L22" t="str">
        <f>PROPER(TRIM(CLEAN(Sales_Table[[#This Row],[Salesperson]])))</f>
        <v>Rahul</v>
      </c>
      <c r="M22" t="s">
        <v>31</v>
      </c>
      <c r="N22" t="str">
        <f t="shared" si="3"/>
        <v>Upi</v>
      </c>
      <c r="O22" t="s">
        <v>48</v>
      </c>
      <c r="P22">
        <f t="shared" si="4"/>
        <v>11</v>
      </c>
      <c r="Q22" t="s">
        <v>97</v>
      </c>
      <c r="R22">
        <f t="shared" si="5"/>
        <v>1703</v>
      </c>
      <c r="S22" t="s">
        <v>124</v>
      </c>
      <c r="T22">
        <f t="shared" si="6"/>
        <v>18733</v>
      </c>
      <c r="U22">
        <f>YEAR(Sales_Table[[#This Row],[Date_clean]])</f>
        <v>2024</v>
      </c>
      <c r="V22" t="str">
        <f>TEXT(Sales_Table[[#This Row],[Date_clean]],"mmmm")</f>
        <v>January</v>
      </c>
      <c r="W22">
        <f>WEEKNUM(Sales_Table[[#This Row],[Date_clean]],2)</f>
        <v>1</v>
      </c>
      <c r="X22" t="str" cm="1">
        <f t="array" ref="X22">_xlfn.IFS(Sales_Table[[#This Row],[Revenue]]&gt;=50000,"High",Sales_Table[[#This Row],[Revenue]]&gt;=20000,"Medium",Sales_Table[[#This Row],[Revenue]]&lt;20000,"Low")</f>
        <v>Low</v>
      </c>
      <c r="Y22" t="str">
        <f>IF(Sales_Table[[#This Row],[Payment Method_clean]]="cash","Offline","Online")</f>
        <v>Online</v>
      </c>
      <c r="Z22">
        <f>IFERROR(Sales_Table[[#This Row],[Revenue]],0)</f>
        <v>18733</v>
      </c>
    </row>
    <row r="23" spans="1:26" x14ac:dyDescent="0.3">
      <c r="A23">
        <v>22</v>
      </c>
      <c r="B23" s="2">
        <f t="shared" si="0"/>
        <v>45292.875</v>
      </c>
      <c r="C23" t="s">
        <v>125</v>
      </c>
      <c r="D23" t="s">
        <v>45</v>
      </c>
      <c r="E23" t="str">
        <f>PROPER(TRIM(CLEAN(Sales_Table[[#This Row],[Region]])))</f>
        <v>North</v>
      </c>
      <c r="F23" t="s">
        <v>28</v>
      </c>
      <c r="G23" t="str">
        <f t="shared" si="1"/>
        <v>Clothing</v>
      </c>
      <c r="H23" t="str">
        <f>PROPER(TRIM(CLEAN(Sales_Table[[#This Row],[Product Name]])))</f>
        <v>Mixer Grinder</v>
      </c>
      <c r="I23" t="s">
        <v>29</v>
      </c>
      <c r="J23" t="str">
        <f t="shared" si="2"/>
        <v>CUST0368</v>
      </c>
      <c r="K23" t="s">
        <v>126</v>
      </c>
      <c r="L23" t="str">
        <f>PROPER(TRIM(CLEAN(Sales_Table[[#This Row],[Salesperson]])))</f>
        <v>Meena</v>
      </c>
      <c r="M23" t="s">
        <v>40</v>
      </c>
      <c r="N23" t="str">
        <f t="shared" si="3"/>
        <v>Debit Card</v>
      </c>
      <c r="O23" t="s">
        <v>41</v>
      </c>
      <c r="P23">
        <f t="shared" si="4"/>
        <v>4</v>
      </c>
      <c r="Q23" t="s">
        <v>113</v>
      </c>
      <c r="R23">
        <f t="shared" si="5"/>
        <v>3397</v>
      </c>
      <c r="S23" t="s">
        <v>127</v>
      </c>
      <c r="T23">
        <f t="shared" si="6"/>
        <v>13588</v>
      </c>
      <c r="U23">
        <f>YEAR(Sales_Table[[#This Row],[Date_clean]])</f>
        <v>2024</v>
      </c>
      <c r="V23" t="str">
        <f>TEXT(Sales_Table[[#This Row],[Date_clean]],"mmmm")</f>
        <v>January</v>
      </c>
      <c r="W23">
        <f>WEEKNUM(Sales_Table[[#This Row],[Date_clean]],2)</f>
        <v>1</v>
      </c>
      <c r="X23" t="str" cm="1">
        <f t="array" ref="X23">_xlfn.IFS(Sales_Table[[#This Row],[Revenue]]&gt;=50000,"High",Sales_Table[[#This Row],[Revenue]]&gt;=20000,"Medium",Sales_Table[[#This Row],[Revenue]]&lt;20000,"Low")</f>
        <v>Low</v>
      </c>
      <c r="Y23" t="str">
        <f>IF(Sales_Table[[#This Row],[Payment Method_clean]]="cash","Offline","Online")</f>
        <v>Online</v>
      </c>
      <c r="Z23">
        <f>IFERROR(Sales_Table[[#This Row],[Revenue]],0)</f>
        <v>13588</v>
      </c>
    </row>
    <row r="24" spans="1:26" x14ac:dyDescent="0.3">
      <c r="A24">
        <v>23</v>
      </c>
      <c r="B24" s="2">
        <f t="shared" si="0"/>
        <v>45292.916666666664</v>
      </c>
      <c r="C24" t="s">
        <v>128</v>
      </c>
      <c r="D24" t="s">
        <v>84</v>
      </c>
      <c r="E24" t="str">
        <f>PROPER(TRIM(CLEAN(Sales_Table[[#This Row],[Region]])))</f>
        <v>South</v>
      </c>
      <c r="F24" t="s">
        <v>46</v>
      </c>
      <c r="G24" t="str">
        <f t="shared" si="1"/>
        <v>Electronics</v>
      </c>
      <c r="H24" t="str">
        <f>PROPER(TRIM(CLEAN(Sales_Table[[#This Row],[Product Name]])))</f>
        <v>Led Tv 42Inch</v>
      </c>
      <c r="I24" t="s">
        <v>58</v>
      </c>
      <c r="J24" t="str">
        <f t="shared" si="2"/>
        <v>CUST0429</v>
      </c>
      <c r="K24" t="s">
        <v>129</v>
      </c>
      <c r="L24" t="str">
        <f>PROPER(TRIM(CLEAN(Sales_Table[[#This Row],[Salesperson]])))</f>
        <v>Suresh</v>
      </c>
      <c r="M24" t="s">
        <v>54</v>
      </c>
      <c r="N24" t="str">
        <f t="shared" si="3"/>
        <v>Upi</v>
      </c>
      <c r="O24" t="s">
        <v>48</v>
      </c>
      <c r="P24">
        <f t="shared" si="4"/>
        <v>9</v>
      </c>
      <c r="Q24" t="s">
        <v>130</v>
      </c>
      <c r="R24">
        <f t="shared" si="5"/>
        <v>697</v>
      </c>
      <c r="S24" t="s">
        <v>131</v>
      </c>
      <c r="T24">
        <f t="shared" si="6"/>
        <v>6273</v>
      </c>
      <c r="U24">
        <f>YEAR(Sales_Table[[#This Row],[Date_clean]])</f>
        <v>2024</v>
      </c>
      <c r="V24" t="str">
        <f>TEXT(Sales_Table[[#This Row],[Date_clean]],"mmmm")</f>
        <v>January</v>
      </c>
      <c r="W24">
        <f>WEEKNUM(Sales_Table[[#This Row],[Date_clean]],2)</f>
        <v>1</v>
      </c>
      <c r="X24" t="str" cm="1">
        <f t="array" ref="X24">_xlfn.IFS(Sales_Table[[#This Row],[Revenue]]&gt;=50000,"High",Sales_Table[[#This Row],[Revenue]]&gt;=20000,"Medium",Sales_Table[[#This Row],[Revenue]]&lt;20000,"Low")</f>
        <v>Low</v>
      </c>
      <c r="Y24" t="str">
        <f>IF(Sales_Table[[#This Row],[Payment Method_clean]]="cash","Offline","Online")</f>
        <v>Online</v>
      </c>
      <c r="Z24">
        <f>IFERROR(Sales_Table[[#This Row],[Revenue]],0)</f>
        <v>6273</v>
      </c>
    </row>
    <row r="25" spans="1:26" x14ac:dyDescent="0.3">
      <c r="A25">
        <v>24</v>
      </c>
      <c r="B25" s="2">
        <f t="shared" si="0"/>
        <v>45292.958333333336</v>
      </c>
      <c r="C25" t="s">
        <v>132</v>
      </c>
      <c r="D25" t="s">
        <v>36</v>
      </c>
      <c r="E25" t="str">
        <f>PROPER(TRIM(CLEAN(Sales_Table[[#This Row],[Region]])))</f>
        <v>West</v>
      </c>
      <c r="F25" t="s">
        <v>78</v>
      </c>
      <c r="G25" t="str">
        <f t="shared" si="1"/>
        <v>Grocery</v>
      </c>
      <c r="H25" t="str">
        <f>PROPER(TRIM(CLEAN(Sales_Table[[#This Row],[Product Name]])))</f>
        <v>Rice 5Kg</v>
      </c>
      <c r="I25" t="s">
        <v>73</v>
      </c>
      <c r="J25" t="str">
        <f t="shared" si="2"/>
        <v>CUST0480</v>
      </c>
      <c r="K25" t="s">
        <v>133</v>
      </c>
      <c r="L25" t="str">
        <f>PROPER(TRIM(CLEAN(Sales_Table[[#This Row],[Salesperson]])))</f>
        <v>Suresh</v>
      </c>
      <c r="M25" t="s">
        <v>54</v>
      </c>
      <c r="N25" t="str">
        <f t="shared" si="3"/>
        <v>Net Banking</v>
      </c>
      <c r="O25" t="s">
        <v>60</v>
      </c>
      <c r="P25">
        <f t="shared" si="4"/>
        <v>3</v>
      </c>
      <c r="Q25" t="s">
        <v>66</v>
      </c>
      <c r="R25">
        <f t="shared" si="5"/>
        <v>744</v>
      </c>
      <c r="S25" t="s">
        <v>134</v>
      </c>
      <c r="T25">
        <f t="shared" si="6"/>
        <v>2232</v>
      </c>
      <c r="U25">
        <f>YEAR(Sales_Table[[#This Row],[Date_clean]])</f>
        <v>2024</v>
      </c>
      <c r="V25" t="str">
        <f>TEXT(Sales_Table[[#This Row],[Date_clean]],"mmmm")</f>
        <v>January</v>
      </c>
      <c r="W25">
        <f>WEEKNUM(Sales_Table[[#This Row],[Date_clean]],2)</f>
        <v>1</v>
      </c>
      <c r="X25" t="str" cm="1">
        <f t="array" ref="X25">_xlfn.IFS(Sales_Table[[#This Row],[Revenue]]&gt;=50000,"High",Sales_Table[[#This Row],[Revenue]]&gt;=20000,"Medium",Sales_Table[[#This Row],[Revenue]]&lt;20000,"Low")</f>
        <v>Low</v>
      </c>
      <c r="Y25" t="str">
        <f>IF(Sales_Table[[#This Row],[Payment Method_clean]]="cash","Offline","Online")</f>
        <v>Online</v>
      </c>
      <c r="Z25">
        <f>IFERROR(Sales_Table[[#This Row],[Revenue]],0)</f>
        <v>2232</v>
      </c>
    </row>
    <row r="26" spans="1:26" x14ac:dyDescent="0.3">
      <c r="A26">
        <v>25</v>
      </c>
      <c r="B26" s="2">
        <f t="shared" si="0"/>
        <v>45293</v>
      </c>
      <c r="C26" t="s">
        <v>135</v>
      </c>
      <c r="D26" t="s">
        <v>36</v>
      </c>
      <c r="E26" t="str">
        <f>PROPER(TRIM(CLEAN(Sales_Table[[#This Row],[Region]])))</f>
        <v>West</v>
      </c>
      <c r="F26" t="s">
        <v>78</v>
      </c>
      <c r="G26" t="str">
        <f t="shared" si="1"/>
        <v>Grocery</v>
      </c>
      <c r="H26" t="str">
        <f>PROPER(TRIM(CLEAN(Sales_Table[[#This Row],[Product Name]])))</f>
        <v>Men T-Shirt</v>
      </c>
      <c r="I26" t="s">
        <v>38</v>
      </c>
      <c r="J26" t="str">
        <f t="shared" si="2"/>
        <v>CUST0314</v>
      </c>
      <c r="K26" t="s">
        <v>123</v>
      </c>
      <c r="L26" t="str">
        <f>PROPER(TRIM(CLEAN(Sales_Table[[#This Row],[Salesperson]])))</f>
        <v>Karthik</v>
      </c>
      <c r="M26" t="s">
        <v>70</v>
      </c>
      <c r="N26" t="str">
        <f t="shared" si="3"/>
        <v>Cash</v>
      </c>
      <c r="O26" t="s">
        <v>32</v>
      </c>
      <c r="P26">
        <f t="shared" si="4"/>
        <v>12</v>
      </c>
      <c r="Q26" t="s">
        <v>33</v>
      </c>
      <c r="R26">
        <f t="shared" si="5"/>
        <v>4643</v>
      </c>
      <c r="S26" t="s">
        <v>136</v>
      </c>
      <c r="T26">
        <f t="shared" si="6"/>
        <v>55716</v>
      </c>
      <c r="U26">
        <f>YEAR(Sales_Table[[#This Row],[Date_clean]])</f>
        <v>2024</v>
      </c>
      <c r="V26" t="str">
        <f>TEXT(Sales_Table[[#This Row],[Date_clean]],"mmmm")</f>
        <v>January</v>
      </c>
      <c r="W26">
        <f>WEEKNUM(Sales_Table[[#This Row],[Date_clean]],2)</f>
        <v>1</v>
      </c>
      <c r="X26" t="str" cm="1">
        <f t="array" ref="X26">_xlfn.IFS(Sales_Table[[#This Row],[Revenue]]&gt;=50000,"High",Sales_Table[[#This Row],[Revenue]]&gt;=20000,"Medium",Sales_Table[[#This Row],[Revenue]]&lt;20000,"Low")</f>
        <v>High</v>
      </c>
      <c r="Y26" t="str">
        <f>IF(Sales_Table[[#This Row],[Payment Method_clean]]="cash","Offline","Online")</f>
        <v>Offline</v>
      </c>
      <c r="Z26">
        <f>IFERROR(Sales_Table[[#This Row],[Revenue]],0)</f>
        <v>55716</v>
      </c>
    </row>
    <row r="27" spans="1:26" x14ac:dyDescent="0.3">
      <c r="A27">
        <v>26</v>
      </c>
      <c r="B27" s="2">
        <f t="shared" si="0"/>
        <v>45293.041666666664</v>
      </c>
      <c r="C27" t="s">
        <v>137</v>
      </c>
      <c r="D27" t="s">
        <v>84</v>
      </c>
      <c r="E27" t="str">
        <f>PROPER(TRIM(CLEAN(Sales_Table[[#This Row],[Region]])))</f>
        <v>South</v>
      </c>
      <c r="F27" t="s">
        <v>46</v>
      </c>
      <c r="G27" t="str">
        <f t="shared" si="1"/>
        <v>Electronics</v>
      </c>
      <c r="H27" t="str">
        <f>PROPER(TRIM(CLEAN(Sales_Table[[#This Row],[Product Name]])))</f>
        <v>Laptop</v>
      </c>
      <c r="I27" t="s">
        <v>52</v>
      </c>
      <c r="J27" t="str">
        <f t="shared" si="2"/>
        <v>CUST0500</v>
      </c>
      <c r="K27" t="s">
        <v>138</v>
      </c>
      <c r="L27" t="str">
        <f>PROPER(TRIM(CLEAN(Sales_Table[[#This Row],[Salesperson]])))</f>
        <v>Suresh</v>
      </c>
      <c r="M27" t="s">
        <v>54</v>
      </c>
      <c r="N27" t="str">
        <f t="shared" si="3"/>
        <v>Cash</v>
      </c>
      <c r="O27" t="s">
        <v>32</v>
      </c>
      <c r="P27">
        <f t="shared" si="4"/>
        <v>6</v>
      </c>
      <c r="Q27" t="s">
        <v>75</v>
      </c>
      <c r="R27">
        <f t="shared" si="5"/>
        <v>3002</v>
      </c>
      <c r="S27" t="s">
        <v>139</v>
      </c>
      <c r="T27">
        <f t="shared" si="6"/>
        <v>18012</v>
      </c>
      <c r="U27">
        <f>YEAR(Sales_Table[[#This Row],[Date_clean]])</f>
        <v>2024</v>
      </c>
      <c r="V27" t="str">
        <f>TEXT(Sales_Table[[#This Row],[Date_clean]],"mmmm")</f>
        <v>January</v>
      </c>
      <c r="W27">
        <f>WEEKNUM(Sales_Table[[#This Row],[Date_clean]],2)</f>
        <v>1</v>
      </c>
      <c r="X27" t="str" cm="1">
        <f t="array" ref="X27">_xlfn.IFS(Sales_Table[[#This Row],[Revenue]]&gt;=50000,"High",Sales_Table[[#This Row],[Revenue]]&gt;=20000,"Medium",Sales_Table[[#This Row],[Revenue]]&lt;20000,"Low")</f>
        <v>Low</v>
      </c>
      <c r="Y27" t="str">
        <f>IF(Sales_Table[[#This Row],[Payment Method_clean]]="cash","Offline","Online")</f>
        <v>Offline</v>
      </c>
      <c r="Z27">
        <f>IFERROR(Sales_Table[[#This Row],[Revenue]],0)</f>
        <v>18012</v>
      </c>
    </row>
    <row r="28" spans="1:26" x14ac:dyDescent="0.3">
      <c r="A28">
        <v>27</v>
      </c>
      <c r="B28" s="2">
        <f t="shared" si="0"/>
        <v>45293.083333333336</v>
      </c>
      <c r="C28" t="s">
        <v>140</v>
      </c>
      <c r="D28" t="s">
        <v>84</v>
      </c>
      <c r="E28" t="str">
        <f>PROPER(TRIM(CLEAN(Sales_Table[[#This Row],[Region]])))</f>
        <v>South</v>
      </c>
      <c r="F28" t="s">
        <v>28</v>
      </c>
      <c r="G28" t="str">
        <f t="shared" si="1"/>
        <v>Clothing</v>
      </c>
      <c r="H28" t="str">
        <f>PROPER(TRIM(CLEAN(Sales_Table[[#This Row],[Product Name]])))</f>
        <v>Led Tv 42Inch</v>
      </c>
      <c r="I28" t="s">
        <v>58</v>
      </c>
      <c r="J28" t="str">
        <f t="shared" si="2"/>
        <v>CUST0721</v>
      </c>
      <c r="K28" t="s">
        <v>141</v>
      </c>
      <c r="L28" t="str">
        <f>PROPER(TRIM(CLEAN(Sales_Table[[#This Row],[Salesperson]])))</f>
        <v>Rahul</v>
      </c>
      <c r="M28" t="s">
        <v>31</v>
      </c>
      <c r="N28" t="str">
        <f t="shared" si="3"/>
        <v>Credit Card</v>
      </c>
      <c r="O28" t="s">
        <v>65</v>
      </c>
      <c r="P28">
        <f t="shared" si="4"/>
        <v>6</v>
      </c>
      <c r="Q28" t="s">
        <v>75</v>
      </c>
      <c r="R28">
        <f t="shared" si="5"/>
        <v>863</v>
      </c>
      <c r="S28" t="s">
        <v>142</v>
      </c>
      <c r="T28">
        <f t="shared" si="6"/>
        <v>5178</v>
      </c>
      <c r="U28">
        <f>YEAR(Sales_Table[[#This Row],[Date_clean]])</f>
        <v>2024</v>
      </c>
      <c r="V28" t="str">
        <f>TEXT(Sales_Table[[#This Row],[Date_clean]],"mmmm")</f>
        <v>January</v>
      </c>
      <c r="W28">
        <f>WEEKNUM(Sales_Table[[#This Row],[Date_clean]],2)</f>
        <v>1</v>
      </c>
      <c r="X28" t="str" cm="1">
        <f t="array" ref="X28">_xlfn.IFS(Sales_Table[[#This Row],[Revenue]]&gt;=50000,"High",Sales_Table[[#This Row],[Revenue]]&gt;=20000,"Medium",Sales_Table[[#This Row],[Revenue]]&lt;20000,"Low")</f>
        <v>Low</v>
      </c>
      <c r="Y28" t="str">
        <f>IF(Sales_Table[[#This Row],[Payment Method_clean]]="cash","Offline","Online")</f>
        <v>Online</v>
      </c>
      <c r="Z28">
        <f>IFERROR(Sales_Table[[#This Row],[Revenue]],0)</f>
        <v>5178</v>
      </c>
    </row>
    <row r="29" spans="1:26" x14ac:dyDescent="0.3">
      <c r="A29">
        <v>28</v>
      </c>
      <c r="B29" s="2">
        <f t="shared" si="0"/>
        <v>45293.125</v>
      </c>
      <c r="C29" t="s">
        <v>143</v>
      </c>
      <c r="D29" t="s">
        <v>84</v>
      </c>
      <c r="E29" t="str">
        <f>PROPER(TRIM(CLEAN(Sales_Table[[#This Row],[Region]])))</f>
        <v>South</v>
      </c>
      <c r="F29" t="s">
        <v>37</v>
      </c>
      <c r="G29" t="str">
        <f t="shared" si="1"/>
        <v>Home Appliances</v>
      </c>
      <c r="H29" t="str">
        <f>PROPER(TRIM(CLEAN(Sales_Table[[#This Row],[Product Name]])))</f>
        <v>Men T-Shirt</v>
      </c>
      <c r="I29" t="s">
        <v>38</v>
      </c>
      <c r="J29" t="str">
        <f t="shared" si="2"/>
        <v>CUST0355</v>
      </c>
      <c r="K29" t="s">
        <v>144</v>
      </c>
      <c r="L29" t="str">
        <f>PROPER(TRIM(CLEAN(Sales_Table[[#This Row],[Salesperson]])))</f>
        <v>Karthik</v>
      </c>
      <c r="M29" t="s">
        <v>70</v>
      </c>
      <c r="N29" t="str">
        <f t="shared" si="3"/>
        <v>Credit Card</v>
      </c>
      <c r="O29" t="s">
        <v>65</v>
      </c>
      <c r="P29">
        <f t="shared" si="4"/>
        <v>7</v>
      </c>
      <c r="Q29" t="s">
        <v>49</v>
      </c>
      <c r="R29">
        <f t="shared" si="5"/>
        <v>4930</v>
      </c>
      <c r="S29" t="s">
        <v>145</v>
      </c>
      <c r="T29">
        <f t="shared" si="6"/>
        <v>34510</v>
      </c>
      <c r="U29">
        <f>YEAR(Sales_Table[[#This Row],[Date_clean]])</f>
        <v>2024</v>
      </c>
      <c r="V29" t="str">
        <f>TEXT(Sales_Table[[#This Row],[Date_clean]],"mmmm")</f>
        <v>January</v>
      </c>
      <c r="W29">
        <f>WEEKNUM(Sales_Table[[#This Row],[Date_clean]],2)</f>
        <v>1</v>
      </c>
      <c r="X29" t="str" cm="1">
        <f t="array" ref="X29">_xlfn.IFS(Sales_Table[[#This Row],[Revenue]]&gt;=50000,"High",Sales_Table[[#This Row],[Revenue]]&gt;=20000,"Medium",Sales_Table[[#This Row],[Revenue]]&lt;20000,"Low")</f>
        <v>Medium</v>
      </c>
      <c r="Y29" t="str">
        <f>IF(Sales_Table[[#This Row],[Payment Method_clean]]="cash","Offline","Online")</f>
        <v>Online</v>
      </c>
      <c r="Z29">
        <f>IFERROR(Sales_Table[[#This Row],[Revenue]],0)</f>
        <v>34510</v>
      </c>
    </row>
    <row r="30" spans="1:26" x14ac:dyDescent="0.3">
      <c r="A30">
        <v>29</v>
      </c>
      <c r="B30" s="2">
        <f t="shared" si="0"/>
        <v>45293.166666666664</v>
      </c>
      <c r="C30" t="s">
        <v>146</v>
      </c>
      <c r="D30" t="s">
        <v>36</v>
      </c>
      <c r="E30" t="str">
        <f>PROPER(TRIM(CLEAN(Sales_Table[[#This Row],[Region]])))</f>
        <v>West</v>
      </c>
      <c r="F30" t="s">
        <v>46</v>
      </c>
      <c r="G30" t="str">
        <f t="shared" si="1"/>
        <v>Electronics</v>
      </c>
      <c r="H30" t="str">
        <f>PROPER(TRIM(CLEAN(Sales_Table[[#This Row],[Product Name]])))</f>
        <v>Mixer Grinder</v>
      </c>
      <c r="I30" t="s">
        <v>29</v>
      </c>
      <c r="J30" t="str">
        <f t="shared" si="2"/>
        <v>CUST0485</v>
      </c>
      <c r="K30" t="s">
        <v>147</v>
      </c>
      <c r="L30" t="str">
        <f>PROPER(TRIM(CLEAN(Sales_Table[[#This Row],[Salesperson]])))</f>
        <v>Suresh</v>
      </c>
      <c r="M30" t="s">
        <v>54</v>
      </c>
      <c r="N30" t="str">
        <f t="shared" si="3"/>
        <v>Cash</v>
      </c>
      <c r="O30" t="s">
        <v>32</v>
      </c>
      <c r="P30">
        <f t="shared" si="4"/>
        <v>9</v>
      </c>
      <c r="Q30" t="s">
        <v>130</v>
      </c>
      <c r="R30">
        <f t="shared" si="5"/>
        <v>1742</v>
      </c>
      <c r="S30" t="s">
        <v>148</v>
      </c>
      <c r="T30">
        <f t="shared" si="6"/>
        <v>15678</v>
      </c>
      <c r="U30">
        <f>YEAR(Sales_Table[[#This Row],[Date_clean]])</f>
        <v>2024</v>
      </c>
      <c r="V30" t="str">
        <f>TEXT(Sales_Table[[#This Row],[Date_clean]],"mmmm")</f>
        <v>January</v>
      </c>
      <c r="W30">
        <f>WEEKNUM(Sales_Table[[#This Row],[Date_clean]],2)</f>
        <v>1</v>
      </c>
      <c r="X30" t="str" cm="1">
        <f t="array" ref="X30">_xlfn.IFS(Sales_Table[[#This Row],[Revenue]]&gt;=50000,"High",Sales_Table[[#This Row],[Revenue]]&gt;=20000,"Medium",Sales_Table[[#This Row],[Revenue]]&lt;20000,"Low")</f>
        <v>Low</v>
      </c>
      <c r="Y30" t="str">
        <f>IF(Sales_Table[[#This Row],[Payment Method_clean]]="cash","Offline","Online")</f>
        <v>Offline</v>
      </c>
      <c r="Z30">
        <f>IFERROR(Sales_Table[[#This Row],[Revenue]],0)</f>
        <v>15678</v>
      </c>
    </row>
    <row r="31" spans="1:26" x14ac:dyDescent="0.3">
      <c r="A31">
        <v>30</v>
      </c>
      <c r="B31" s="2">
        <f t="shared" si="0"/>
        <v>45293.208333333336</v>
      </c>
      <c r="C31" t="s">
        <v>149</v>
      </c>
      <c r="D31" t="s">
        <v>36</v>
      </c>
      <c r="E31" t="str">
        <f>PROPER(TRIM(CLEAN(Sales_Table[[#This Row],[Region]])))</f>
        <v>West</v>
      </c>
      <c r="F31" t="s">
        <v>37</v>
      </c>
      <c r="G31" t="str">
        <f t="shared" si="1"/>
        <v>Home Appliances</v>
      </c>
      <c r="H31" t="str">
        <f>PROPER(TRIM(CLEAN(Sales_Table[[#This Row],[Product Name]])))</f>
        <v>Washing Machine</v>
      </c>
      <c r="I31" t="s">
        <v>79</v>
      </c>
      <c r="J31" t="str">
        <f t="shared" si="2"/>
        <v>CUST0211</v>
      </c>
      <c r="K31" t="s">
        <v>150</v>
      </c>
      <c r="L31" t="str">
        <f>PROPER(TRIM(CLEAN(Sales_Table[[#This Row],[Salesperson]])))</f>
        <v>Suresh</v>
      </c>
      <c r="M31" t="s">
        <v>54</v>
      </c>
      <c r="N31" t="str">
        <f t="shared" si="3"/>
        <v>Net Banking</v>
      </c>
      <c r="O31" t="s">
        <v>60</v>
      </c>
      <c r="P31">
        <f t="shared" si="4"/>
        <v>12</v>
      </c>
      <c r="Q31" t="s">
        <v>33</v>
      </c>
      <c r="R31">
        <f t="shared" si="5"/>
        <v>2397</v>
      </c>
      <c r="S31" t="s">
        <v>151</v>
      </c>
      <c r="T31">
        <f t="shared" si="6"/>
        <v>28764</v>
      </c>
      <c r="U31">
        <f>YEAR(Sales_Table[[#This Row],[Date_clean]])</f>
        <v>2024</v>
      </c>
      <c r="V31" t="str">
        <f>TEXT(Sales_Table[[#This Row],[Date_clean]],"mmmm")</f>
        <v>January</v>
      </c>
      <c r="W31">
        <f>WEEKNUM(Sales_Table[[#This Row],[Date_clean]],2)</f>
        <v>1</v>
      </c>
      <c r="X31" t="str" cm="1">
        <f t="array" ref="X31">_xlfn.IFS(Sales_Table[[#This Row],[Revenue]]&gt;=50000,"High",Sales_Table[[#This Row],[Revenue]]&gt;=20000,"Medium",Sales_Table[[#This Row],[Revenue]]&lt;20000,"Low")</f>
        <v>Medium</v>
      </c>
      <c r="Y31" t="str">
        <f>IF(Sales_Table[[#This Row],[Payment Method_clean]]="cash","Offline","Online")</f>
        <v>Online</v>
      </c>
      <c r="Z31">
        <f>IFERROR(Sales_Table[[#This Row],[Revenue]],0)</f>
        <v>28764</v>
      </c>
    </row>
    <row r="32" spans="1:26" x14ac:dyDescent="0.3">
      <c r="A32">
        <v>31</v>
      </c>
      <c r="B32" s="2">
        <f t="shared" si="0"/>
        <v>45293.25</v>
      </c>
      <c r="C32" t="s">
        <v>152</v>
      </c>
      <c r="D32" t="s">
        <v>45</v>
      </c>
      <c r="E32" t="str">
        <f>PROPER(TRIM(CLEAN(Sales_Table[[#This Row],[Region]])))</f>
        <v>North</v>
      </c>
      <c r="F32" t="s">
        <v>28</v>
      </c>
      <c r="G32" t="str">
        <f t="shared" si="1"/>
        <v>Clothing</v>
      </c>
      <c r="H32" t="str">
        <f>PROPER(TRIM(CLEAN(Sales_Table[[#This Row],[Product Name]])))</f>
        <v>Led Tv 42Inch</v>
      </c>
      <c r="I32" t="s">
        <v>58</v>
      </c>
      <c r="J32" t="str">
        <f t="shared" si="2"/>
        <v>CUST0704</v>
      </c>
      <c r="K32" t="s">
        <v>153</v>
      </c>
      <c r="L32" t="str">
        <f>PROPER(TRIM(CLEAN(Sales_Table[[#This Row],[Salesperson]])))</f>
        <v>Meena</v>
      </c>
      <c r="M32" t="s">
        <v>40</v>
      </c>
      <c r="N32" t="str">
        <f t="shared" si="3"/>
        <v>Credit Card</v>
      </c>
      <c r="O32" t="s">
        <v>65</v>
      </c>
      <c r="P32">
        <f t="shared" si="4"/>
        <v>7</v>
      </c>
      <c r="Q32" t="s">
        <v>49</v>
      </c>
      <c r="R32">
        <f t="shared" si="5"/>
        <v>4796</v>
      </c>
      <c r="S32" t="s">
        <v>154</v>
      </c>
      <c r="T32">
        <f t="shared" si="6"/>
        <v>33572</v>
      </c>
      <c r="U32">
        <f>YEAR(Sales_Table[[#This Row],[Date_clean]])</f>
        <v>2024</v>
      </c>
      <c r="V32" t="str">
        <f>TEXT(Sales_Table[[#This Row],[Date_clean]],"mmmm")</f>
        <v>January</v>
      </c>
      <c r="W32">
        <f>WEEKNUM(Sales_Table[[#This Row],[Date_clean]],2)</f>
        <v>1</v>
      </c>
      <c r="X32" t="str" cm="1">
        <f t="array" ref="X32">_xlfn.IFS(Sales_Table[[#This Row],[Revenue]]&gt;=50000,"High",Sales_Table[[#This Row],[Revenue]]&gt;=20000,"Medium",Sales_Table[[#This Row],[Revenue]]&lt;20000,"Low")</f>
        <v>Medium</v>
      </c>
      <c r="Y32" t="str">
        <f>IF(Sales_Table[[#This Row],[Payment Method_clean]]="cash","Offline","Online")</f>
        <v>Online</v>
      </c>
      <c r="Z32">
        <f>IFERROR(Sales_Table[[#This Row],[Revenue]],0)</f>
        <v>33572</v>
      </c>
    </row>
    <row r="33" spans="1:26" x14ac:dyDescent="0.3">
      <c r="A33">
        <v>32</v>
      </c>
      <c r="B33" s="2">
        <f t="shared" si="0"/>
        <v>45293.291666666664</v>
      </c>
      <c r="C33" t="s">
        <v>155</v>
      </c>
      <c r="D33" t="s">
        <v>45</v>
      </c>
      <c r="E33" t="str">
        <f>PROPER(TRIM(CLEAN(Sales_Table[[#This Row],[Region]])))</f>
        <v>North</v>
      </c>
      <c r="F33" t="s">
        <v>78</v>
      </c>
      <c r="G33" t="str">
        <f t="shared" si="1"/>
        <v>Grocery</v>
      </c>
      <c r="H33" t="str">
        <f>PROPER(TRIM(CLEAN(Sales_Table[[#This Row],[Product Name]])))</f>
        <v>Led Tv 42Inch</v>
      </c>
      <c r="I33" t="s">
        <v>58</v>
      </c>
      <c r="J33" t="str">
        <f t="shared" si="2"/>
        <v>CUST0044</v>
      </c>
      <c r="K33" t="s">
        <v>156</v>
      </c>
      <c r="L33" t="str">
        <f>PROPER(TRIM(CLEAN(Sales_Table[[#This Row],[Salesperson]])))</f>
        <v>Suresh</v>
      </c>
      <c r="M33" t="s">
        <v>54</v>
      </c>
      <c r="N33" t="str">
        <f t="shared" si="3"/>
        <v>Upi</v>
      </c>
      <c r="O33" t="s">
        <v>48</v>
      </c>
      <c r="P33">
        <f t="shared" si="4"/>
        <v>14</v>
      </c>
      <c r="Q33" t="s">
        <v>55</v>
      </c>
      <c r="R33">
        <f t="shared" si="5"/>
        <v>2272</v>
      </c>
      <c r="S33" t="s">
        <v>157</v>
      </c>
      <c r="T33">
        <f t="shared" si="6"/>
        <v>31808</v>
      </c>
      <c r="U33">
        <f>YEAR(Sales_Table[[#This Row],[Date_clean]])</f>
        <v>2024</v>
      </c>
      <c r="V33" t="str">
        <f>TEXT(Sales_Table[[#This Row],[Date_clean]],"mmmm")</f>
        <v>January</v>
      </c>
      <c r="W33">
        <f>WEEKNUM(Sales_Table[[#This Row],[Date_clean]],2)</f>
        <v>1</v>
      </c>
      <c r="X33" t="str" cm="1">
        <f t="array" ref="X33">_xlfn.IFS(Sales_Table[[#This Row],[Revenue]]&gt;=50000,"High",Sales_Table[[#This Row],[Revenue]]&gt;=20000,"Medium",Sales_Table[[#This Row],[Revenue]]&lt;20000,"Low")</f>
        <v>Medium</v>
      </c>
      <c r="Y33" t="str">
        <f>IF(Sales_Table[[#This Row],[Payment Method_clean]]="cash","Offline","Online")</f>
        <v>Online</v>
      </c>
      <c r="Z33">
        <f>IFERROR(Sales_Table[[#This Row],[Revenue]],0)</f>
        <v>31808</v>
      </c>
    </row>
    <row r="34" spans="1:26" x14ac:dyDescent="0.3">
      <c r="A34">
        <v>33</v>
      </c>
      <c r="B34" s="2">
        <f t="shared" si="0"/>
        <v>45293.333333333336</v>
      </c>
      <c r="C34" t="s">
        <v>158</v>
      </c>
      <c r="D34" t="s">
        <v>36</v>
      </c>
      <c r="E34" t="str">
        <f>PROPER(TRIM(CLEAN(Sales_Table[[#This Row],[Region]])))</f>
        <v>West</v>
      </c>
      <c r="F34" t="s">
        <v>28</v>
      </c>
      <c r="G34" t="str">
        <f t="shared" si="1"/>
        <v>Clothing</v>
      </c>
      <c r="H34" t="str">
        <f>PROPER(TRIM(CLEAN(Sales_Table[[#This Row],[Product Name]])))</f>
        <v>Mixer Grinder</v>
      </c>
      <c r="I34" t="s">
        <v>29</v>
      </c>
      <c r="J34" t="str">
        <f t="shared" si="2"/>
        <v>CUST0541</v>
      </c>
      <c r="K34" t="s">
        <v>159</v>
      </c>
      <c r="L34" t="str">
        <f>PROPER(TRIM(CLEAN(Sales_Table[[#This Row],[Salesperson]])))</f>
        <v>Anita</v>
      </c>
      <c r="M34" t="s">
        <v>64</v>
      </c>
      <c r="N34" t="str">
        <f t="shared" si="3"/>
        <v>Upi</v>
      </c>
      <c r="O34" t="s">
        <v>48</v>
      </c>
      <c r="P34">
        <f t="shared" si="4"/>
        <v>1</v>
      </c>
      <c r="Q34" t="s">
        <v>93</v>
      </c>
      <c r="R34">
        <f t="shared" si="5"/>
        <v>2260</v>
      </c>
      <c r="S34" t="s">
        <v>160</v>
      </c>
      <c r="T34">
        <f t="shared" si="6"/>
        <v>2260</v>
      </c>
      <c r="U34">
        <f>YEAR(Sales_Table[[#This Row],[Date_clean]])</f>
        <v>2024</v>
      </c>
      <c r="V34" t="str">
        <f>TEXT(Sales_Table[[#This Row],[Date_clean]],"mmmm")</f>
        <v>January</v>
      </c>
      <c r="W34">
        <f>WEEKNUM(Sales_Table[[#This Row],[Date_clean]],2)</f>
        <v>1</v>
      </c>
      <c r="X34" t="str" cm="1">
        <f t="array" ref="X34">_xlfn.IFS(Sales_Table[[#This Row],[Revenue]]&gt;=50000,"High",Sales_Table[[#This Row],[Revenue]]&gt;=20000,"Medium",Sales_Table[[#This Row],[Revenue]]&lt;20000,"Low")</f>
        <v>Low</v>
      </c>
      <c r="Y34" t="str">
        <f>IF(Sales_Table[[#This Row],[Payment Method_clean]]="cash","Offline","Online")</f>
        <v>Online</v>
      </c>
      <c r="Z34">
        <f>IFERROR(Sales_Table[[#This Row],[Revenue]],0)</f>
        <v>2260</v>
      </c>
    </row>
    <row r="35" spans="1:26" x14ac:dyDescent="0.3">
      <c r="A35">
        <v>34</v>
      </c>
      <c r="B35" s="2">
        <f t="shared" si="0"/>
        <v>45293.375</v>
      </c>
      <c r="C35" t="s">
        <v>161</v>
      </c>
      <c r="D35" t="s">
        <v>84</v>
      </c>
      <c r="E35" t="str">
        <f>PROPER(TRIM(CLEAN(Sales_Table[[#This Row],[Region]])))</f>
        <v>South</v>
      </c>
      <c r="F35" t="s">
        <v>46</v>
      </c>
      <c r="G35" t="str">
        <f t="shared" si="1"/>
        <v>Electronics</v>
      </c>
      <c r="H35" t="str">
        <f>PROPER(TRIM(CLEAN(Sales_Table[[#This Row],[Product Name]])))</f>
        <v>Laptop</v>
      </c>
      <c r="I35" t="s">
        <v>52</v>
      </c>
      <c r="J35" t="str">
        <f t="shared" si="2"/>
        <v>CUST0571</v>
      </c>
      <c r="K35" t="s">
        <v>162</v>
      </c>
      <c r="L35" t="str">
        <f>PROPER(TRIM(CLEAN(Sales_Table[[#This Row],[Salesperson]])))</f>
        <v>Karthik</v>
      </c>
      <c r="M35" t="s">
        <v>70</v>
      </c>
      <c r="N35" t="str">
        <f t="shared" si="3"/>
        <v>Net Banking</v>
      </c>
      <c r="O35" t="s">
        <v>60</v>
      </c>
      <c r="P35">
        <f t="shared" si="4"/>
        <v>8</v>
      </c>
      <c r="Q35" t="s">
        <v>42</v>
      </c>
      <c r="R35">
        <f t="shared" si="5"/>
        <v>3849</v>
      </c>
      <c r="S35" t="s">
        <v>163</v>
      </c>
      <c r="T35">
        <f t="shared" si="6"/>
        <v>30792</v>
      </c>
      <c r="U35">
        <f>YEAR(Sales_Table[[#This Row],[Date_clean]])</f>
        <v>2024</v>
      </c>
      <c r="V35" t="str">
        <f>TEXT(Sales_Table[[#This Row],[Date_clean]],"mmmm")</f>
        <v>January</v>
      </c>
      <c r="W35">
        <f>WEEKNUM(Sales_Table[[#This Row],[Date_clean]],2)</f>
        <v>1</v>
      </c>
      <c r="X35" t="str" cm="1">
        <f t="array" ref="X35">_xlfn.IFS(Sales_Table[[#This Row],[Revenue]]&gt;=50000,"High",Sales_Table[[#This Row],[Revenue]]&gt;=20000,"Medium",Sales_Table[[#This Row],[Revenue]]&lt;20000,"Low")</f>
        <v>Medium</v>
      </c>
      <c r="Y35" t="str">
        <f>IF(Sales_Table[[#This Row],[Payment Method_clean]]="cash","Offline","Online")</f>
        <v>Online</v>
      </c>
      <c r="Z35">
        <f>IFERROR(Sales_Table[[#This Row],[Revenue]],0)</f>
        <v>30792</v>
      </c>
    </row>
    <row r="36" spans="1:26" x14ac:dyDescent="0.3">
      <c r="A36">
        <v>35</v>
      </c>
      <c r="B36" s="2">
        <f t="shared" si="0"/>
        <v>45293.416666666664</v>
      </c>
      <c r="C36" t="s">
        <v>164</v>
      </c>
      <c r="D36" t="s">
        <v>84</v>
      </c>
      <c r="E36" t="str">
        <f>PROPER(TRIM(CLEAN(Sales_Table[[#This Row],[Region]])))</f>
        <v>South</v>
      </c>
      <c r="F36" t="s">
        <v>78</v>
      </c>
      <c r="G36" t="str">
        <f t="shared" si="1"/>
        <v>Grocery</v>
      </c>
      <c r="H36" t="str">
        <f>PROPER(TRIM(CLEAN(Sales_Table[[#This Row],[Product Name]])))</f>
        <v>Rice 5Kg</v>
      </c>
      <c r="I36" t="s">
        <v>73</v>
      </c>
      <c r="J36" t="str">
        <f t="shared" si="2"/>
        <v>CUST0583</v>
      </c>
      <c r="K36" t="s">
        <v>165</v>
      </c>
      <c r="L36" t="str">
        <f>PROPER(TRIM(CLEAN(Sales_Table[[#This Row],[Salesperson]])))</f>
        <v>Anita</v>
      </c>
      <c r="M36" t="s">
        <v>64</v>
      </c>
      <c r="N36" t="str">
        <f t="shared" si="3"/>
        <v>Credit Card</v>
      </c>
      <c r="O36" t="s">
        <v>65</v>
      </c>
      <c r="P36">
        <f t="shared" si="4"/>
        <v>5</v>
      </c>
      <c r="Q36" t="s">
        <v>89</v>
      </c>
      <c r="R36">
        <f t="shared" si="5"/>
        <v>3022</v>
      </c>
      <c r="S36" t="s">
        <v>166</v>
      </c>
      <c r="T36">
        <f t="shared" si="6"/>
        <v>15110</v>
      </c>
      <c r="U36">
        <f>YEAR(Sales_Table[[#This Row],[Date_clean]])</f>
        <v>2024</v>
      </c>
      <c r="V36" t="str">
        <f>TEXT(Sales_Table[[#This Row],[Date_clean]],"mmmm")</f>
        <v>January</v>
      </c>
      <c r="W36">
        <f>WEEKNUM(Sales_Table[[#This Row],[Date_clean]],2)</f>
        <v>1</v>
      </c>
      <c r="X36" t="str" cm="1">
        <f t="array" ref="X36">_xlfn.IFS(Sales_Table[[#This Row],[Revenue]]&gt;=50000,"High",Sales_Table[[#This Row],[Revenue]]&gt;=20000,"Medium",Sales_Table[[#This Row],[Revenue]]&lt;20000,"Low")</f>
        <v>Low</v>
      </c>
      <c r="Y36" t="str">
        <f>IF(Sales_Table[[#This Row],[Payment Method_clean]]="cash","Offline","Online")</f>
        <v>Online</v>
      </c>
      <c r="Z36">
        <f>IFERROR(Sales_Table[[#This Row],[Revenue]],0)</f>
        <v>15110</v>
      </c>
    </row>
    <row r="37" spans="1:26" x14ac:dyDescent="0.3">
      <c r="A37">
        <v>36</v>
      </c>
      <c r="B37" s="2">
        <f t="shared" si="0"/>
        <v>45293.458333333336</v>
      </c>
      <c r="C37" t="s">
        <v>167</v>
      </c>
      <c r="D37" t="s">
        <v>45</v>
      </c>
      <c r="E37" t="str">
        <f>PROPER(TRIM(CLEAN(Sales_Table[[#This Row],[Region]])))</f>
        <v>North</v>
      </c>
      <c r="F37" t="s">
        <v>46</v>
      </c>
      <c r="G37" t="str">
        <f t="shared" si="1"/>
        <v>Electronics</v>
      </c>
      <c r="H37" t="str">
        <f>PROPER(TRIM(CLEAN(Sales_Table[[#This Row],[Product Name]])))</f>
        <v>Washing Machine</v>
      </c>
      <c r="I37" t="s">
        <v>79</v>
      </c>
      <c r="J37" t="str">
        <f t="shared" si="2"/>
        <v>CUST0092</v>
      </c>
      <c r="K37" t="s">
        <v>168</v>
      </c>
      <c r="L37" t="str">
        <f>PROPER(TRIM(CLEAN(Sales_Table[[#This Row],[Salesperson]])))</f>
        <v>Karthik</v>
      </c>
      <c r="M37" t="s">
        <v>70</v>
      </c>
      <c r="N37" t="str">
        <f t="shared" si="3"/>
        <v>Upi</v>
      </c>
      <c r="O37" t="s">
        <v>48</v>
      </c>
      <c r="P37">
        <f t="shared" si="4"/>
        <v>9</v>
      </c>
      <c r="Q37" t="s">
        <v>130</v>
      </c>
      <c r="R37">
        <f t="shared" si="5"/>
        <v>679</v>
      </c>
      <c r="S37" t="s">
        <v>169</v>
      </c>
      <c r="T37">
        <f t="shared" si="6"/>
        <v>6111</v>
      </c>
      <c r="U37">
        <f>YEAR(Sales_Table[[#This Row],[Date_clean]])</f>
        <v>2024</v>
      </c>
      <c r="V37" t="str">
        <f>TEXT(Sales_Table[[#This Row],[Date_clean]],"mmmm")</f>
        <v>January</v>
      </c>
      <c r="W37">
        <f>WEEKNUM(Sales_Table[[#This Row],[Date_clean]],2)</f>
        <v>1</v>
      </c>
      <c r="X37" t="str" cm="1">
        <f t="array" ref="X37">_xlfn.IFS(Sales_Table[[#This Row],[Revenue]]&gt;=50000,"High",Sales_Table[[#This Row],[Revenue]]&gt;=20000,"Medium",Sales_Table[[#This Row],[Revenue]]&lt;20000,"Low")</f>
        <v>Low</v>
      </c>
      <c r="Y37" t="str">
        <f>IF(Sales_Table[[#This Row],[Payment Method_clean]]="cash","Offline","Online")</f>
        <v>Online</v>
      </c>
      <c r="Z37">
        <f>IFERROR(Sales_Table[[#This Row],[Revenue]],0)</f>
        <v>6111</v>
      </c>
    </row>
    <row r="38" spans="1:26" x14ac:dyDescent="0.3">
      <c r="A38">
        <v>37</v>
      </c>
      <c r="B38" s="2">
        <f t="shared" si="0"/>
        <v>45293.5</v>
      </c>
      <c r="C38" t="s">
        <v>170</v>
      </c>
      <c r="D38" t="s">
        <v>36</v>
      </c>
      <c r="E38" t="str">
        <f>PROPER(TRIM(CLEAN(Sales_Table[[#This Row],[Region]])))</f>
        <v>West</v>
      </c>
      <c r="F38" t="s">
        <v>46</v>
      </c>
      <c r="G38" t="str">
        <f t="shared" si="1"/>
        <v>Electronics</v>
      </c>
      <c r="H38" t="str">
        <f>PROPER(TRIM(CLEAN(Sales_Table[[#This Row],[Product Name]])))</f>
        <v>Led Tv 42Inch</v>
      </c>
      <c r="I38" t="s">
        <v>58</v>
      </c>
      <c r="J38" t="str">
        <f t="shared" si="2"/>
        <v>CUST0265</v>
      </c>
      <c r="K38" t="s">
        <v>171</v>
      </c>
      <c r="L38" t="str">
        <f>PROPER(TRIM(CLEAN(Sales_Table[[#This Row],[Salesperson]])))</f>
        <v>Meena</v>
      </c>
      <c r="M38" t="s">
        <v>40</v>
      </c>
      <c r="N38" t="str">
        <f t="shared" si="3"/>
        <v>Credit Card</v>
      </c>
      <c r="O38" t="s">
        <v>65</v>
      </c>
      <c r="P38">
        <f t="shared" si="4"/>
        <v>10</v>
      </c>
      <c r="Q38" t="s">
        <v>117</v>
      </c>
      <c r="R38">
        <f t="shared" si="5"/>
        <v>3904</v>
      </c>
      <c r="S38" t="s">
        <v>172</v>
      </c>
      <c r="T38">
        <f t="shared" si="6"/>
        <v>39040</v>
      </c>
      <c r="U38">
        <f>YEAR(Sales_Table[[#This Row],[Date_clean]])</f>
        <v>2024</v>
      </c>
      <c r="V38" t="str">
        <f>TEXT(Sales_Table[[#This Row],[Date_clean]],"mmmm")</f>
        <v>January</v>
      </c>
      <c r="W38">
        <f>WEEKNUM(Sales_Table[[#This Row],[Date_clean]],2)</f>
        <v>1</v>
      </c>
      <c r="X38" t="str" cm="1">
        <f t="array" ref="X38">_xlfn.IFS(Sales_Table[[#This Row],[Revenue]]&gt;=50000,"High",Sales_Table[[#This Row],[Revenue]]&gt;=20000,"Medium",Sales_Table[[#This Row],[Revenue]]&lt;20000,"Low")</f>
        <v>Medium</v>
      </c>
      <c r="Y38" t="str">
        <f>IF(Sales_Table[[#This Row],[Payment Method_clean]]="cash","Offline","Online")</f>
        <v>Online</v>
      </c>
      <c r="Z38">
        <f>IFERROR(Sales_Table[[#This Row],[Revenue]],0)</f>
        <v>39040</v>
      </c>
    </row>
    <row r="39" spans="1:26" x14ac:dyDescent="0.3">
      <c r="A39">
        <v>38</v>
      </c>
      <c r="B39" s="2">
        <f t="shared" si="0"/>
        <v>45293.541666666664</v>
      </c>
      <c r="C39" t="s">
        <v>173</v>
      </c>
      <c r="D39" t="s">
        <v>45</v>
      </c>
      <c r="E39" t="str">
        <f>PROPER(TRIM(CLEAN(Sales_Table[[#This Row],[Region]])))</f>
        <v>North</v>
      </c>
      <c r="F39" t="s">
        <v>28</v>
      </c>
      <c r="G39" t="str">
        <f t="shared" si="1"/>
        <v>Clothing</v>
      </c>
      <c r="H39" t="str">
        <f>PROPER(TRIM(CLEAN(Sales_Table[[#This Row],[Product Name]])))</f>
        <v>Washing Machine</v>
      </c>
      <c r="I39" t="s">
        <v>79</v>
      </c>
      <c r="J39" t="str">
        <f t="shared" si="2"/>
        <v>CUST0220</v>
      </c>
      <c r="K39" t="s">
        <v>174</v>
      </c>
      <c r="L39" t="str">
        <f>PROPER(TRIM(CLEAN(Sales_Table[[#This Row],[Salesperson]])))</f>
        <v>Suresh</v>
      </c>
      <c r="M39" t="s">
        <v>54</v>
      </c>
      <c r="N39" t="str">
        <f t="shared" si="3"/>
        <v>Credit Card</v>
      </c>
      <c r="O39" t="s">
        <v>65</v>
      </c>
      <c r="P39">
        <f t="shared" si="4"/>
        <v>13</v>
      </c>
      <c r="Q39" t="s">
        <v>81</v>
      </c>
      <c r="R39">
        <f t="shared" si="5"/>
        <v>4978</v>
      </c>
      <c r="S39" t="s">
        <v>175</v>
      </c>
      <c r="T39">
        <f t="shared" si="6"/>
        <v>64714</v>
      </c>
      <c r="U39">
        <f>YEAR(Sales_Table[[#This Row],[Date_clean]])</f>
        <v>2024</v>
      </c>
      <c r="V39" t="str">
        <f>TEXT(Sales_Table[[#This Row],[Date_clean]],"mmmm")</f>
        <v>January</v>
      </c>
      <c r="W39">
        <f>WEEKNUM(Sales_Table[[#This Row],[Date_clean]],2)</f>
        <v>1</v>
      </c>
      <c r="X39" t="str" cm="1">
        <f t="array" ref="X39">_xlfn.IFS(Sales_Table[[#This Row],[Revenue]]&gt;=50000,"High",Sales_Table[[#This Row],[Revenue]]&gt;=20000,"Medium",Sales_Table[[#This Row],[Revenue]]&lt;20000,"Low")</f>
        <v>High</v>
      </c>
      <c r="Y39" t="str">
        <f>IF(Sales_Table[[#This Row],[Payment Method_clean]]="cash","Offline","Online")</f>
        <v>Online</v>
      </c>
      <c r="Z39">
        <f>IFERROR(Sales_Table[[#This Row],[Revenue]],0)</f>
        <v>64714</v>
      </c>
    </row>
    <row r="40" spans="1:26" x14ac:dyDescent="0.3">
      <c r="A40">
        <v>39</v>
      </c>
      <c r="B40" s="2">
        <f t="shared" si="0"/>
        <v>45293.583333333336</v>
      </c>
      <c r="C40" t="s">
        <v>176</v>
      </c>
      <c r="D40" t="s">
        <v>45</v>
      </c>
      <c r="E40" t="str">
        <f>PROPER(TRIM(CLEAN(Sales_Table[[#This Row],[Region]])))</f>
        <v>North</v>
      </c>
      <c r="F40" t="s">
        <v>46</v>
      </c>
      <c r="G40" t="str">
        <f t="shared" si="1"/>
        <v>Electronics</v>
      </c>
      <c r="H40" t="str">
        <f>PROPER(TRIM(CLEAN(Sales_Table[[#This Row],[Product Name]])))</f>
        <v>Led Tv 42Inch</v>
      </c>
      <c r="I40" t="s">
        <v>58</v>
      </c>
      <c r="J40" t="str">
        <f t="shared" si="2"/>
        <v>CUST0442</v>
      </c>
      <c r="K40" t="s">
        <v>177</v>
      </c>
      <c r="L40" t="str">
        <f>PROPER(TRIM(CLEAN(Sales_Table[[#This Row],[Salesperson]])))</f>
        <v>Suresh</v>
      </c>
      <c r="M40" t="s">
        <v>54</v>
      </c>
      <c r="N40" t="str">
        <f t="shared" si="3"/>
        <v>Upi</v>
      </c>
      <c r="O40" t="s">
        <v>48</v>
      </c>
      <c r="P40">
        <f t="shared" si="4"/>
        <v>12</v>
      </c>
      <c r="Q40" t="s">
        <v>33</v>
      </c>
      <c r="R40">
        <f t="shared" si="5"/>
        <v>2468</v>
      </c>
      <c r="S40" t="s">
        <v>178</v>
      </c>
      <c r="T40">
        <f t="shared" si="6"/>
        <v>29616</v>
      </c>
      <c r="U40">
        <f>YEAR(Sales_Table[[#This Row],[Date_clean]])</f>
        <v>2024</v>
      </c>
      <c r="V40" t="str">
        <f>TEXT(Sales_Table[[#This Row],[Date_clean]],"mmmm")</f>
        <v>January</v>
      </c>
      <c r="W40">
        <f>WEEKNUM(Sales_Table[[#This Row],[Date_clean]],2)</f>
        <v>1</v>
      </c>
      <c r="X40" t="str" cm="1">
        <f t="array" ref="X40">_xlfn.IFS(Sales_Table[[#This Row],[Revenue]]&gt;=50000,"High",Sales_Table[[#This Row],[Revenue]]&gt;=20000,"Medium",Sales_Table[[#This Row],[Revenue]]&lt;20000,"Low")</f>
        <v>Medium</v>
      </c>
      <c r="Y40" t="str">
        <f>IF(Sales_Table[[#This Row],[Payment Method_clean]]="cash","Offline","Online")</f>
        <v>Online</v>
      </c>
      <c r="Z40">
        <f>IFERROR(Sales_Table[[#This Row],[Revenue]],0)</f>
        <v>29616</v>
      </c>
    </row>
    <row r="41" spans="1:26" x14ac:dyDescent="0.3">
      <c r="A41">
        <v>40</v>
      </c>
      <c r="B41" s="2">
        <f t="shared" si="0"/>
        <v>45293.625</v>
      </c>
      <c r="C41" t="s">
        <v>179</v>
      </c>
      <c r="D41" t="s">
        <v>27</v>
      </c>
      <c r="E41" t="str">
        <f>PROPER(TRIM(CLEAN(Sales_Table[[#This Row],[Region]])))</f>
        <v>East</v>
      </c>
      <c r="F41" t="s">
        <v>28</v>
      </c>
      <c r="G41" t="str">
        <f t="shared" si="1"/>
        <v>Clothing</v>
      </c>
      <c r="H41" t="str">
        <f>PROPER(TRIM(CLEAN(Sales_Table[[#This Row],[Product Name]])))</f>
        <v>Washing Machine</v>
      </c>
      <c r="I41" t="s">
        <v>79</v>
      </c>
      <c r="J41" t="str">
        <f t="shared" si="2"/>
        <v>CUST0401</v>
      </c>
      <c r="K41" t="s">
        <v>180</v>
      </c>
      <c r="L41" t="str">
        <f>PROPER(TRIM(CLEAN(Sales_Table[[#This Row],[Salesperson]])))</f>
        <v>Suresh</v>
      </c>
      <c r="M41" t="s">
        <v>54</v>
      </c>
      <c r="N41" t="str">
        <f t="shared" si="3"/>
        <v>Cash</v>
      </c>
      <c r="O41" t="s">
        <v>32</v>
      </c>
      <c r="P41">
        <f t="shared" si="4"/>
        <v>5</v>
      </c>
      <c r="Q41" t="s">
        <v>89</v>
      </c>
      <c r="R41">
        <f t="shared" si="5"/>
        <v>4032</v>
      </c>
      <c r="S41" t="s">
        <v>181</v>
      </c>
      <c r="T41">
        <f t="shared" si="6"/>
        <v>20160</v>
      </c>
      <c r="U41">
        <f>YEAR(Sales_Table[[#This Row],[Date_clean]])</f>
        <v>2024</v>
      </c>
      <c r="V41" t="str">
        <f>TEXT(Sales_Table[[#This Row],[Date_clean]],"mmmm")</f>
        <v>January</v>
      </c>
      <c r="W41">
        <f>WEEKNUM(Sales_Table[[#This Row],[Date_clean]],2)</f>
        <v>1</v>
      </c>
      <c r="X41" t="str" cm="1">
        <f t="array" ref="X41">_xlfn.IFS(Sales_Table[[#This Row],[Revenue]]&gt;=50000,"High",Sales_Table[[#This Row],[Revenue]]&gt;=20000,"Medium",Sales_Table[[#This Row],[Revenue]]&lt;20000,"Low")</f>
        <v>Medium</v>
      </c>
      <c r="Y41" t="str">
        <f>IF(Sales_Table[[#This Row],[Payment Method_clean]]="cash","Offline","Online")</f>
        <v>Offline</v>
      </c>
      <c r="Z41">
        <f>IFERROR(Sales_Table[[#This Row],[Revenue]],0)</f>
        <v>20160</v>
      </c>
    </row>
    <row r="42" spans="1:26" x14ac:dyDescent="0.3">
      <c r="A42">
        <v>41</v>
      </c>
      <c r="B42" s="2">
        <f t="shared" si="0"/>
        <v>45293.666666666664</v>
      </c>
      <c r="C42" t="s">
        <v>182</v>
      </c>
      <c r="D42" t="s">
        <v>27</v>
      </c>
      <c r="E42" t="str">
        <f>PROPER(TRIM(CLEAN(Sales_Table[[#This Row],[Region]])))</f>
        <v>East</v>
      </c>
      <c r="F42" t="s">
        <v>78</v>
      </c>
      <c r="G42" t="str">
        <f t="shared" si="1"/>
        <v>Grocery</v>
      </c>
      <c r="H42" t="str">
        <f>PROPER(TRIM(CLEAN(Sales_Table[[#This Row],[Product Name]])))</f>
        <v>Men T-Shirt</v>
      </c>
      <c r="I42" t="s">
        <v>38</v>
      </c>
      <c r="J42" t="str">
        <f t="shared" si="2"/>
        <v>CUST0400</v>
      </c>
      <c r="K42" t="s">
        <v>183</v>
      </c>
      <c r="L42" t="str">
        <f>PROPER(TRIM(CLEAN(Sales_Table[[#This Row],[Salesperson]])))</f>
        <v>Karthik</v>
      </c>
      <c r="M42" t="s">
        <v>70</v>
      </c>
      <c r="N42" t="str">
        <f t="shared" si="3"/>
        <v>Upi</v>
      </c>
      <c r="O42" t="s">
        <v>48</v>
      </c>
      <c r="P42">
        <f t="shared" si="4"/>
        <v>5</v>
      </c>
      <c r="Q42" t="s">
        <v>89</v>
      </c>
      <c r="R42">
        <f t="shared" si="5"/>
        <v>4727</v>
      </c>
      <c r="S42" t="s">
        <v>184</v>
      </c>
      <c r="T42">
        <f t="shared" si="6"/>
        <v>23635</v>
      </c>
      <c r="U42">
        <f>YEAR(Sales_Table[[#This Row],[Date_clean]])</f>
        <v>2024</v>
      </c>
      <c r="V42" t="str">
        <f>TEXT(Sales_Table[[#This Row],[Date_clean]],"mmmm")</f>
        <v>January</v>
      </c>
      <c r="W42">
        <f>WEEKNUM(Sales_Table[[#This Row],[Date_clean]],2)</f>
        <v>1</v>
      </c>
      <c r="X42" t="str" cm="1">
        <f t="array" ref="X42">_xlfn.IFS(Sales_Table[[#This Row],[Revenue]]&gt;=50000,"High",Sales_Table[[#This Row],[Revenue]]&gt;=20000,"Medium",Sales_Table[[#This Row],[Revenue]]&lt;20000,"Low")</f>
        <v>Medium</v>
      </c>
      <c r="Y42" t="str">
        <f>IF(Sales_Table[[#This Row],[Payment Method_clean]]="cash","Offline","Online")</f>
        <v>Online</v>
      </c>
      <c r="Z42">
        <f>IFERROR(Sales_Table[[#This Row],[Revenue]],0)</f>
        <v>23635</v>
      </c>
    </row>
    <row r="43" spans="1:26" x14ac:dyDescent="0.3">
      <c r="A43">
        <v>42</v>
      </c>
      <c r="B43" s="2">
        <f t="shared" si="0"/>
        <v>45293.708333333336</v>
      </c>
      <c r="C43" t="s">
        <v>185</v>
      </c>
      <c r="D43" t="s">
        <v>27</v>
      </c>
      <c r="E43" t="str">
        <f>PROPER(TRIM(CLEAN(Sales_Table[[#This Row],[Region]])))</f>
        <v>East</v>
      </c>
      <c r="F43" t="s">
        <v>28</v>
      </c>
      <c r="G43" t="str">
        <f t="shared" si="1"/>
        <v>Clothing</v>
      </c>
      <c r="H43" t="str">
        <f>PROPER(TRIM(CLEAN(Sales_Table[[#This Row],[Product Name]])))</f>
        <v>Led Tv 42Inch</v>
      </c>
      <c r="I43" t="s">
        <v>58</v>
      </c>
      <c r="J43" t="str">
        <f t="shared" si="2"/>
        <v>CUST0727</v>
      </c>
      <c r="K43" t="s">
        <v>186</v>
      </c>
      <c r="L43" t="str">
        <f>PROPER(TRIM(CLEAN(Sales_Table[[#This Row],[Salesperson]])))</f>
        <v>Suresh</v>
      </c>
      <c r="M43" t="s">
        <v>54</v>
      </c>
      <c r="N43" t="str">
        <f t="shared" si="3"/>
        <v>Net Banking</v>
      </c>
      <c r="O43" t="s">
        <v>60</v>
      </c>
      <c r="P43">
        <f t="shared" si="4"/>
        <v>12</v>
      </c>
      <c r="Q43" t="s">
        <v>33</v>
      </c>
      <c r="R43">
        <f t="shared" si="5"/>
        <v>3460</v>
      </c>
      <c r="S43" t="s">
        <v>187</v>
      </c>
      <c r="T43">
        <f t="shared" si="6"/>
        <v>41520</v>
      </c>
      <c r="U43">
        <f>YEAR(Sales_Table[[#This Row],[Date_clean]])</f>
        <v>2024</v>
      </c>
      <c r="V43" t="str">
        <f>TEXT(Sales_Table[[#This Row],[Date_clean]],"mmmm")</f>
        <v>January</v>
      </c>
      <c r="W43">
        <f>WEEKNUM(Sales_Table[[#This Row],[Date_clean]],2)</f>
        <v>1</v>
      </c>
      <c r="X43" t="str" cm="1">
        <f t="array" ref="X43">_xlfn.IFS(Sales_Table[[#This Row],[Revenue]]&gt;=50000,"High",Sales_Table[[#This Row],[Revenue]]&gt;=20000,"Medium",Sales_Table[[#This Row],[Revenue]]&lt;20000,"Low")</f>
        <v>Medium</v>
      </c>
      <c r="Y43" t="str">
        <f>IF(Sales_Table[[#This Row],[Payment Method_clean]]="cash","Offline","Online")</f>
        <v>Online</v>
      </c>
      <c r="Z43">
        <f>IFERROR(Sales_Table[[#This Row],[Revenue]],0)</f>
        <v>41520</v>
      </c>
    </row>
    <row r="44" spans="1:26" x14ac:dyDescent="0.3">
      <c r="A44">
        <v>43</v>
      </c>
      <c r="B44" s="2">
        <f t="shared" si="0"/>
        <v>45293.75</v>
      </c>
      <c r="C44" t="s">
        <v>188</v>
      </c>
      <c r="D44" t="s">
        <v>84</v>
      </c>
      <c r="E44" t="str">
        <f>PROPER(TRIM(CLEAN(Sales_Table[[#This Row],[Region]])))</f>
        <v>South</v>
      </c>
      <c r="F44" t="s">
        <v>78</v>
      </c>
      <c r="G44" t="str">
        <f t="shared" si="1"/>
        <v>Grocery</v>
      </c>
      <c r="H44" t="str">
        <f>PROPER(TRIM(CLEAN(Sales_Table[[#This Row],[Product Name]])))</f>
        <v>Washing Machine</v>
      </c>
      <c r="I44" t="s">
        <v>79</v>
      </c>
      <c r="J44" t="str">
        <f t="shared" si="2"/>
        <v>CUST0789</v>
      </c>
      <c r="K44" t="s">
        <v>189</v>
      </c>
      <c r="L44" t="str">
        <f>PROPER(TRIM(CLEAN(Sales_Table[[#This Row],[Salesperson]])))</f>
        <v>Anita</v>
      </c>
      <c r="M44" t="s">
        <v>64</v>
      </c>
      <c r="N44" t="str">
        <f t="shared" si="3"/>
        <v>Debit Card</v>
      </c>
      <c r="O44" t="s">
        <v>41</v>
      </c>
      <c r="P44">
        <f t="shared" si="4"/>
        <v>12</v>
      </c>
      <c r="Q44" t="s">
        <v>33</v>
      </c>
      <c r="R44">
        <f t="shared" si="5"/>
        <v>4807</v>
      </c>
      <c r="S44" t="s">
        <v>190</v>
      </c>
      <c r="T44">
        <f t="shared" si="6"/>
        <v>57684</v>
      </c>
      <c r="U44">
        <f>YEAR(Sales_Table[[#This Row],[Date_clean]])</f>
        <v>2024</v>
      </c>
      <c r="V44" t="str">
        <f>TEXT(Sales_Table[[#This Row],[Date_clean]],"mmmm")</f>
        <v>January</v>
      </c>
      <c r="W44">
        <f>WEEKNUM(Sales_Table[[#This Row],[Date_clean]],2)</f>
        <v>1</v>
      </c>
      <c r="X44" t="str" cm="1">
        <f t="array" ref="X44">_xlfn.IFS(Sales_Table[[#This Row],[Revenue]]&gt;=50000,"High",Sales_Table[[#This Row],[Revenue]]&gt;=20000,"Medium",Sales_Table[[#This Row],[Revenue]]&lt;20000,"Low")</f>
        <v>High</v>
      </c>
      <c r="Y44" t="str">
        <f>IF(Sales_Table[[#This Row],[Payment Method_clean]]="cash","Offline","Online")</f>
        <v>Online</v>
      </c>
      <c r="Z44">
        <f>IFERROR(Sales_Table[[#This Row],[Revenue]],0)</f>
        <v>57684</v>
      </c>
    </row>
    <row r="45" spans="1:26" x14ac:dyDescent="0.3">
      <c r="A45">
        <v>44</v>
      </c>
      <c r="B45" s="2">
        <f t="shared" si="0"/>
        <v>45293.791666666664</v>
      </c>
      <c r="C45" t="s">
        <v>191</v>
      </c>
      <c r="D45" t="s">
        <v>36</v>
      </c>
      <c r="E45" t="str">
        <f>PROPER(TRIM(CLEAN(Sales_Table[[#This Row],[Region]])))</f>
        <v>West</v>
      </c>
      <c r="F45" t="s">
        <v>28</v>
      </c>
      <c r="G45" t="str">
        <f t="shared" si="1"/>
        <v>Clothing</v>
      </c>
      <c r="H45" t="str">
        <f>PROPER(TRIM(CLEAN(Sales_Table[[#This Row],[Product Name]])))</f>
        <v>Rice 5Kg</v>
      </c>
      <c r="I45" t="s">
        <v>73</v>
      </c>
      <c r="J45" t="str">
        <f t="shared" si="2"/>
        <v>CUST0576</v>
      </c>
      <c r="K45" t="s">
        <v>192</v>
      </c>
      <c r="L45" t="str">
        <f>PROPER(TRIM(CLEAN(Sales_Table[[#This Row],[Salesperson]])))</f>
        <v>Suresh</v>
      </c>
      <c r="M45" t="s">
        <v>54</v>
      </c>
      <c r="N45" t="str">
        <f t="shared" si="3"/>
        <v>Upi</v>
      </c>
      <c r="O45" t="s">
        <v>48</v>
      </c>
      <c r="P45">
        <f t="shared" si="4"/>
        <v>14</v>
      </c>
      <c r="Q45" t="s">
        <v>55</v>
      </c>
      <c r="R45">
        <f t="shared" si="5"/>
        <v>1200</v>
      </c>
      <c r="S45" t="s">
        <v>193</v>
      </c>
      <c r="T45">
        <f t="shared" si="6"/>
        <v>16800</v>
      </c>
      <c r="U45">
        <f>YEAR(Sales_Table[[#This Row],[Date_clean]])</f>
        <v>2024</v>
      </c>
      <c r="V45" t="str">
        <f>TEXT(Sales_Table[[#This Row],[Date_clean]],"mmmm")</f>
        <v>January</v>
      </c>
      <c r="W45">
        <f>WEEKNUM(Sales_Table[[#This Row],[Date_clean]],2)</f>
        <v>1</v>
      </c>
      <c r="X45" t="str" cm="1">
        <f t="array" ref="X45">_xlfn.IFS(Sales_Table[[#This Row],[Revenue]]&gt;=50000,"High",Sales_Table[[#This Row],[Revenue]]&gt;=20000,"Medium",Sales_Table[[#This Row],[Revenue]]&lt;20000,"Low")</f>
        <v>Low</v>
      </c>
      <c r="Y45" t="str">
        <f>IF(Sales_Table[[#This Row],[Payment Method_clean]]="cash","Offline","Online")</f>
        <v>Online</v>
      </c>
      <c r="Z45">
        <f>IFERROR(Sales_Table[[#This Row],[Revenue]],0)</f>
        <v>16800</v>
      </c>
    </row>
    <row r="46" spans="1:26" x14ac:dyDescent="0.3">
      <c r="A46">
        <v>45</v>
      </c>
      <c r="B46" s="2">
        <f t="shared" si="0"/>
        <v>45293.833333333336</v>
      </c>
      <c r="C46" t="s">
        <v>194</v>
      </c>
      <c r="D46" t="s">
        <v>36</v>
      </c>
      <c r="E46" t="str">
        <f>PROPER(TRIM(CLEAN(Sales_Table[[#This Row],[Region]])))</f>
        <v>West</v>
      </c>
      <c r="F46" t="s">
        <v>37</v>
      </c>
      <c r="G46" t="str">
        <f t="shared" si="1"/>
        <v>Home Appliances</v>
      </c>
      <c r="H46" t="str">
        <f>PROPER(TRIM(CLEAN(Sales_Table[[#This Row],[Product Name]])))</f>
        <v>Men T-Shirt</v>
      </c>
      <c r="I46" t="s">
        <v>38</v>
      </c>
      <c r="J46" t="str">
        <f t="shared" si="2"/>
        <v>CUST0490</v>
      </c>
      <c r="K46" t="s">
        <v>195</v>
      </c>
      <c r="L46" t="str">
        <f>PROPER(TRIM(CLEAN(Sales_Table[[#This Row],[Salesperson]])))</f>
        <v>Meena</v>
      </c>
      <c r="M46" t="s">
        <v>40</v>
      </c>
      <c r="N46" t="str">
        <f t="shared" si="3"/>
        <v>Credit Card</v>
      </c>
      <c r="O46" t="s">
        <v>65</v>
      </c>
      <c r="P46">
        <f t="shared" si="4"/>
        <v>2</v>
      </c>
      <c r="Q46" t="s">
        <v>196</v>
      </c>
      <c r="R46">
        <f t="shared" si="5"/>
        <v>1770</v>
      </c>
      <c r="S46" t="s">
        <v>197</v>
      </c>
      <c r="T46">
        <f t="shared" si="6"/>
        <v>3540</v>
      </c>
      <c r="U46">
        <f>YEAR(Sales_Table[[#This Row],[Date_clean]])</f>
        <v>2024</v>
      </c>
      <c r="V46" t="str">
        <f>TEXT(Sales_Table[[#This Row],[Date_clean]],"mmmm")</f>
        <v>January</v>
      </c>
      <c r="W46">
        <f>WEEKNUM(Sales_Table[[#This Row],[Date_clean]],2)</f>
        <v>1</v>
      </c>
      <c r="X46" t="str" cm="1">
        <f t="array" ref="X46">_xlfn.IFS(Sales_Table[[#This Row],[Revenue]]&gt;=50000,"High",Sales_Table[[#This Row],[Revenue]]&gt;=20000,"Medium",Sales_Table[[#This Row],[Revenue]]&lt;20000,"Low")</f>
        <v>Low</v>
      </c>
      <c r="Y46" t="str">
        <f>IF(Sales_Table[[#This Row],[Payment Method_clean]]="cash","Offline","Online")</f>
        <v>Online</v>
      </c>
      <c r="Z46">
        <f>IFERROR(Sales_Table[[#This Row],[Revenue]],0)</f>
        <v>3540</v>
      </c>
    </row>
    <row r="47" spans="1:26" x14ac:dyDescent="0.3">
      <c r="A47">
        <v>46</v>
      </c>
      <c r="B47" s="2">
        <f t="shared" si="0"/>
        <v>45293.875</v>
      </c>
      <c r="C47" t="s">
        <v>198</v>
      </c>
      <c r="D47" t="s">
        <v>36</v>
      </c>
      <c r="E47" t="str">
        <f>PROPER(TRIM(CLEAN(Sales_Table[[#This Row],[Region]])))</f>
        <v>West</v>
      </c>
      <c r="F47" t="s">
        <v>37</v>
      </c>
      <c r="G47" t="str">
        <f t="shared" si="1"/>
        <v>Home Appliances</v>
      </c>
      <c r="H47" t="str">
        <f>PROPER(TRIM(CLEAN(Sales_Table[[#This Row],[Product Name]])))</f>
        <v>Men T-Shirt</v>
      </c>
      <c r="I47" t="s">
        <v>38</v>
      </c>
      <c r="J47" t="str">
        <f t="shared" si="2"/>
        <v>CUST0485</v>
      </c>
      <c r="K47" t="s">
        <v>147</v>
      </c>
      <c r="L47" t="str">
        <f>PROPER(TRIM(CLEAN(Sales_Table[[#This Row],[Salesperson]])))</f>
        <v>Anita</v>
      </c>
      <c r="M47" t="s">
        <v>64</v>
      </c>
      <c r="N47" t="str">
        <f t="shared" si="3"/>
        <v>Credit Card</v>
      </c>
      <c r="O47" t="s">
        <v>65</v>
      </c>
      <c r="P47">
        <f t="shared" si="4"/>
        <v>12</v>
      </c>
      <c r="Q47" t="s">
        <v>33</v>
      </c>
      <c r="R47">
        <f t="shared" si="5"/>
        <v>2320</v>
      </c>
      <c r="S47" t="s">
        <v>199</v>
      </c>
      <c r="T47">
        <f t="shared" si="6"/>
        <v>27840</v>
      </c>
      <c r="U47">
        <f>YEAR(Sales_Table[[#This Row],[Date_clean]])</f>
        <v>2024</v>
      </c>
      <c r="V47" t="str">
        <f>TEXT(Sales_Table[[#This Row],[Date_clean]],"mmmm")</f>
        <v>January</v>
      </c>
      <c r="W47">
        <f>WEEKNUM(Sales_Table[[#This Row],[Date_clean]],2)</f>
        <v>1</v>
      </c>
      <c r="X47" t="str" cm="1">
        <f t="array" ref="X47">_xlfn.IFS(Sales_Table[[#This Row],[Revenue]]&gt;=50000,"High",Sales_Table[[#This Row],[Revenue]]&gt;=20000,"Medium",Sales_Table[[#This Row],[Revenue]]&lt;20000,"Low")</f>
        <v>Medium</v>
      </c>
      <c r="Y47" t="str">
        <f>IF(Sales_Table[[#This Row],[Payment Method_clean]]="cash","Offline","Online")</f>
        <v>Online</v>
      </c>
      <c r="Z47">
        <f>IFERROR(Sales_Table[[#This Row],[Revenue]],0)</f>
        <v>27840</v>
      </c>
    </row>
    <row r="48" spans="1:26" x14ac:dyDescent="0.3">
      <c r="A48">
        <v>47</v>
      </c>
      <c r="B48" s="2">
        <f t="shared" si="0"/>
        <v>45293.916666666664</v>
      </c>
      <c r="C48" t="s">
        <v>200</v>
      </c>
      <c r="D48" t="s">
        <v>36</v>
      </c>
      <c r="E48" t="str">
        <f>PROPER(TRIM(CLEAN(Sales_Table[[#This Row],[Region]])))</f>
        <v>West</v>
      </c>
      <c r="F48" t="s">
        <v>46</v>
      </c>
      <c r="G48" t="str">
        <f t="shared" si="1"/>
        <v>Electronics</v>
      </c>
      <c r="H48" t="str">
        <f>PROPER(TRIM(CLEAN(Sales_Table[[#This Row],[Product Name]])))</f>
        <v>Rice 5Kg</v>
      </c>
      <c r="I48" t="s">
        <v>73</v>
      </c>
      <c r="J48" t="str">
        <f t="shared" si="2"/>
        <v>CUST0757</v>
      </c>
      <c r="K48" t="s">
        <v>201</v>
      </c>
      <c r="L48" t="str">
        <f>PROPER(TRIM(CLEAN(Sales_Table[[#This Row],[Salesperson]])))</f>
        <v>Suresh</v>
      </c>
      <c r="M48" t="s">
        <v>54</v>
      </c>
      <c r="N48" t="str">
        <f t="shared" si="3"/>
        <v>Upi</v>
      </c>
      <c r="O48" t="s">
        <v>48</v>
      </c>
      <c r="P48">
        <f t="shared" si="4"/>
        <v>11</v>
      </c>
      <c r="Q48" t="s">
        <v>97</v>
      </c>
      <c r="R48">
        <f t="shared" si="5"/>
        <v>316</v>
      </c>
      <c r="S48" t="s">
        <v>202</v>
      </c>
      <c r="T48">
        <f t="shared" si="6"/>
        <v>3476</v>
      </c>
      <c r="U48">
        <f>YEAR(Sales_Table[[#This Row],[Date_clean]])</f>
        <v>2024</v>
      </c>
      <c r="V48" t="str">
        <f>TEXT(Sales_Table[[#This Row],[Date_clean]],"mmmm")</f>
        <v>January</v>
      </c>
      <c r="W48">
        <f>WEEKNUM(Sales_Table[[#This Row],[Date_clean]],2)</f>
        <v>1</v>
      </c>
      <c r="X48" t="str" cm="1">
        <f t="array" ref="X48">_xlfn.IFS(Sales_Table[[#This Row],[Revenue]]&gt;=50000,"High",Sales_Table[[#This Row],[Revenue]]&gt;=20000,"Medium",Sales_Table[[#This Row],[Revenue]]&lt;20000,"Low")</f>
        <v>Low</v>
      </c>
      <c r="Y48" t="str">
        <f>IF(Sales_Table[[#This Row],[Payment Method_clean]]="cash","Offline","Online")</f>
        <v>Online</v>
      </c>
      <c r="Z48">
        <f>IFERROR(Sales_Table[[#This Row],[Revenue]],0)</f>
        <v>3476</v>
      </c>
    </row>
    <row r="49" spans="1:26" x14ac:dyDescent="0.3">
      <c r="A49">
        <v>48</v>
      </c>
      <c r="B49" s="2">
        <f t="shared" si="0"/>
        <v>45293.958333333336</v>
      </c>
      <c r="C49" t="s">
        <v>203</v>
      </c>
      <c r="D49" t="s">
        <v>27</v>
      </c>
      <c r="E49" t="str">
        <f>PROPER(TRIM(CLEAN(Sales_Table[[#This Row],[Region]])))</f>
        <v>East</v>
      </c>
      <c r="F49" t="s">
        <v>28</v>
      </c>
      <c r="G49" t="str">
        <f t="shared" si="1"/>
        <v>Clothing</v>
      </c>
      <c r="H49" t="str">
        <f>PROPER(TRIM(CLEAN(Sales_Table[[#This Row],[Product Name]])))</f>
        <v>Washing Machine</v>
      </c>
      <c r="I49" t="s">
        <v>79</v>
      </c>
      <c r="J49" t="str">
        <f t="shared" si="2"/>
        <v>CUST0470</v>
      </c>
      <c r="K49" t="s">
        <v>204</v>
      </c>
      <c r="L49" t="str">
        <f>PROPER(TRIM(CLEAN(Sales_Table[[#This Row],[Salesperson]])))</f>
        <v>Suresh</v>
      </c>
      <c r="M49" t="s">
        <v>54</v>
      </c>
      <c r="N49" t="str">
        <f t="shared" si="3"/>
        <v>Debit Card</v>
      </c>
      <c r="O49" t="s">
        <v>41</v>
      </c>
      <c r="P49">
        <f t="shared" si="4"/>
        <v>3</v>
      </c>
      <c r="Q49" t="s">
        <v>66</v>
      </c>
      <c r="R49">
        <f t="shared" si="5"/>
        <v>475</v>
      </c>
      <c r="S49" t="s">
        <v>205</v>
      </c>
      <c r="T49">
        <f t="shared" si="6"/>
        <v>1425</v>
      </c>
      <c r="U49">
        <f>YEAR(Sales_Table[[#This Row],[Date_clean]])</f>
        <v>2024</v>
      </c>
      <c r="V49" t="str">
        <f>TEXT(Sales_Table[[#This Row],[Date_clean]],"mmmm")</f>
        <v>January</v>
      </c>
      <c r="W49">
        <f>WEEKNUM(Sales_Table[[#This Row],[Date_clean]],2)</f>
        <v>1</v>
      </c>
      <c r="X49" t="str" cm="1">
        <f t="array" ref="X49">_xlfn.IFS(Sales_Table[[#This Row],[Revenue]]&gt;=50000,"High",Sales_Table[[#This Row],[Revenue]]&gt;=20000,"Medium",Sales_Table[[#This Row],[Revenue]]&lt;20000,"Low")</f>
        <v>Low</v>
      </c>
      <c r="Y49" t="str">
        <f>IF(Sales_Table[[#This Row],[Payment Method_clean]]="cash","Offline","Online")</f>
        <v>Online</v>
      </c>
      <c r="Z49">
        <f>IFERROR(Sales_Table[[#This Row],[Revenue]],0)</f>
        <v>1425</v>
      </c>
    </row>
    <row r="50" spans="1:26" x14ac:dyDescent="0.3">
      <c r="A50">
        <v>49</v>
      </c>
      <c r="B50" s="2">
        <f t="shared" si="0"/>
        <v>45294</v>
      </c>
      <c r="C50" t="s">
        <v>206</v>
      </c>
      <c r="D50" t="s">
        <v>84</v>
      </c>
      <c r="E50" t="str">
        <f>PROPER(TRIM(CLEAN(Sales_Table[[#This Row],[Region]])))</f>
        <v>South</v>
      </c>
      <c r="F50" t="s">
        <v>28</v>
      </c>
      <c r="G50" t="str">
        <f t="shared" si="1"/>
        <v>Clothing</v>
      </c>
      <c r="H50" t="str">
        <f>PROPER(TRIM(CLEAN(Sales_Table[[#This Row],[Product Name]])))</f>
        <v>Mixer Grinder</v>
      </c>
      <c r="I50" t="s">
        <v>29</v>
      </c>
      <c r="J50" t="str">
        <f t="shared" si="2"/>
        <v>CUST0574</v>
      </c>
      <c r="K50" t="s">
        <v>207</v>
      </c>
      <c r="L50" t="str">
        <f>PROPER(TRIM(CLEAN(Sales_Table[[#This Row],[Salesperson]])))</f>
        <v>Rahul</v>
      </c>
      <c r="M50" t="s">
        <v>31</v>
      </c>
      <c r="N50" t="str">
        <f t="shared" si="3"/>
        <v>Upi</v>
      </c>
      <c r="O50" t="s">
        <v>48</v>
      </c>
      <c r="P50">
        <f t="shared" si="4"/>
        <v>10</v>
      </c>
      <c r="Q50" t="s">
        <v>117</v>
      </c>
      <c r="R50">
        <f t="shared" si="5"/>
        <v>1709</v>
      </c>
      <c r="S50" t="s">
        <v>208</v>
      </c>
      <c r="T50">
        <f t="shared" si="6"/>
        <v>17090</v>
      </c>
      <c r="U50">
        <f>YEAR(Sales_Table[[#This Row],[Date_clean]])</f>
        <v>2024</v>
      </c>
      <c r="V50" t="str">
        <f>TEXT(Sales_Table[[#This Row],[Date_clean]],"mmmm")</f>
        <v>January</v>
      </c>
      <c r="W50">
        <f>WEEKNUM(Sales_Table[[#This Row],[Date_clean]],2)</f>
        <v>1</v>
      </c>
      <c r="X50" t="str" cm="1">
        <f t="array" ref="X50">_xlfn.IFS(Sales_Table[[#This Row],[Revenue]]&gt;=50000,"High",Sales_Table[[#This Row],[Revenue]]&gt;=20000,"Medium",Sales_Table[[#This Row],[Revenue]]&lt;20000,"Low")</f>
        <v>Low</v>
      </c>
      <c r="Y50" t="str">
        <f>IF(Sales_Table[[#This Row],[Payment Method_clean]]="cash","Offline","Online")</f>
        <v>Online</v>
      </c>
      <c r="Z50">
        <f>IFERROR(Sales_Table[[#This Row],[Revenue]],0)</f>
        <v>17090</v>
      </c>
    </row>
    <row r="51" spans="1:26" x14ac:dyDescent="0.3">
      <c r="A51">
        <v>50</v>
      </c>
      <c r="B51" s="2">
        <f t="shared" si="0"/>
        <v>45294.041666666664</v>
      </c>
      <c r="C51" t="s">
        <v>209</v>
      </c>
      <c r="D51" t="s">
        <v>84</v>
      </c>
      <c r="E51" t="str">
        <f>PROPER(TRIM(CLEAN(Sales_Table[[#This Row],[Region]])))</f>
        <v>South</v>
      </c>
      <c r="F51" t="s">
        <v>78</v>
      </c>
      <c r="G51" t="str">
        <f t="shared" si="1"/>
        <v>Grocery</v>
      </c>
      <c r="H51" t="str">
        <f>PROPER(TRIM(CLEAN(Sales_Table[[#This Row],[Product Name]])))</f>
        <v>Rice 5Kg</v>
      </c>
      <c r="I51" t="s">
        <v>73</v>
      </c>
      <c r="J51" t="str">
        <f t="shared" si="2"/>
        <v>CUST0682</v>
      </c>
      <c r="K51" t="s">
        <v>210</v>
      </c>
      <c r="L51" t="str">
        <f>PROPER(TRIM(CLEAN(Sales_Table[[#This Row],[Salesperson]])))</f>
        <v>Karthik</v>
      </c>
      <c r="M51" t="s">
        <v>70</v>
      </c>
      <c r="N51" t="str">
        <f t="shared" si="3"/>
        <v>Debit Card</v>
      </c>
      <c r="O51" t="s">
        <v>41</v>
      </c>
      <c r="P51">
        <f t="shared" si="4"/>
        <v>9</v>
      </c>
      <c r="Q51" t="s">
        <v>130</v>
      </c>
      <c r="R51">
        <f t="shared" si="5"/>
        <v>4206</v>
      </c>
      <c r="S51" t="s">
        <v>211</v>
      </c>
      <c r="T51">
        <f t="shared" si="6"/>
        <v>37854</v>
      </c>
      <c r="U51">
        <f>YEAR(Sales_Table[[#This Row],[Date_clean]])</f>
        <v>2024</v>
      </c>
      <c r="V51" t="str">
        <f>TEXT(Sales_Table[[#This Row],[Date_clean]],"mmmm")</f>
        <v>January</v>
      </c>
      <c r="W51">
        <f>WEEKNUM(Sales_Table[[#This Row],[Date_clean]],2)</f>
        <v>1</v>
      </c>
      <c r="X51" t="str" cm="1">
        <f t="array" ref="X51">_xlfn.IFS(Sales_Table[[#This Row],[Revenue]]&gt;=50000,"High",Sales_Table[[#This Row],[Revenue]]&gt;=20000,"Medium",Sales_Table[[#This Row],[Revenue]]&lt;20000,"Low")</f>
        <v>Medium</v>
      </c>
      <c r="Y51" t="str">
        <f>IF(Sales_Table[[#This Row],[Payment Method_clean]]="cash","Offline","Online")</f>
        <v>Online</v>
      </c>
      <c r="Z51">
        <f>IFERROR(Sales_Table[[#This Row],[Revenue]],0)</f>
        <v>37854</v>
      </c>
    </row>
    <row r="52" spans="1:26" x14ac:dyDescent="0.3">
      <c r="A52">
        <v>51</v>
      </c>
      <c r="B52" s="2">
        <f t="shared" si="0"/>
        <v>45294.083333333336</v>
      </c>
      <c r="C52" t="s">
        <v>212</v>
      </c>
      <c r="D52" t="s">
        <v>27</v>
      </c>
      <c r="E52" t="str">
        <f>PROPER(TRIM(CLEAN(Sales_Table[[#This Row],[Region]])))</f>
        <v>East</v>
      </c>
      <c r="F52" t="s">
        <v>46</v>
      </c>
      <c r="G52" t="str">
        <f t="shared" si="1"/>
        <v>Electronics</v>
      </c>
      <c r="H52" t="str">
        <f>PROPER(TRIM(CLEAN(Sales_Table[[#This Row],[Product Name]])))</f>
        <v>Washing Machine</v>
      </c>
      <c r="I52" t="s">
        <v>79</v>
      </c>
      <c r="J52" t="str">
        <f t="shared" si="2"/>
        <v>CUST0445</v>
      </c>
      <c r="K52" t="s">
        <v>213</v>
      </c>
      <c r="L52" t="str">
        <f>PROPER(TRIM(CLEAN(Sales_Table[[#This Row],[Salesperson]])))</f>
        <v>Anita</v>
      </c>
      <c r="M52" t="s">
        <v>64</v>
      </c>
      <c r="N52" t="str">
        <f t="shared" si="3"/>
        <v>Debit Card</v>
      </c>
      <c r="O52" t="s">
        <v>41</v>
      </c>
      <c r="P52">
        <f t="shared" si="4"/>
        <v>7</v>
      </c>
      <c r="Q52" t="s">
        <v>49</v>
      </c>
      <c r="R52">
        <f t="shared" si="5"/>
        <v>3939</v>
      </c>
      <c r="S52" t="s">
        <v>214</v>
      </c>
      <c r="T52">
        <f t="shared" si="6"/>
        <v>27573</v>
      </c>
      <c r="U52">
        <f>YEAR(Sales_Table[[#This Row],[Date_clean]])</f>
        <v>2024</v>
      </c>
      <c r="V52" t="str">
        <f>TEXT(Sales_Table[[#This Row],[Date_clean]],"mmmm")</f>
        <v>January</v>
      </c>
      <c r="W52">
        <f>WEEKNUM(Sales_Table[[#This Row],[Date_clean]],2)</f>
        <v>1</v>
      </c>
      <c r="X52" t="str" cm="1">
        <f t="array" ref="X52">_xlfn.IFS(Sales_Table[[#This Row],[Revenue]]&gt;=50000,"High",Sales_Table[[#This Row],[Revenue]]&gt;=20000,"Medium",Sales_Table[[#This Row],[Revenue]]&lt;20000,"Low")</f>
        <v>Medium</v>
      </c>
      <c r="Y52" t="str">
        <f>IF(Sales_Table[[#This Row],[Payment Method_clean]]="cash","Offline","Online")</f>
        <v>Online</v>
      </c>
      <c r="Z52">
        <f>IFERROR(Sales_Table[[#This Row],[Revenue]],0)</f>
        <v>27573</v>
      </c>
    </row>
    <row r="53" spans="1:26" x14ac:dyDescent="0.3">
      <c r="A53">
        <v>52</v>
      </c>
      <c r="B53" s="2">
        <f t="shared" si="0"/>
        <v>45294.125</v>
      </c>
      <c r="C53" t="s">
        <v>215</v>
      </c>
      <c r="D53" t="s">
        <v>84</v>
      </c>
      <c r="E53" t="str">
        <f>PROPER(TRIM(CLEAN(Sales_Table[[#This Row],[Region]])))</f>
        <v>South</v>
      </c>
      <c r="F53" t="s">
        <v>28</v>
      </c>
      <c r="G53" t="str">
        <f t="shared" si="1"/>
        <v>Clothing</v>
      </c>
      <c r="H53" t="str">
        <f>PROPER(TRIM(CLEAN(Sales_Table[[#This Row],[Product Name]])))</f>
        <v>Rice 5Kg</v>
      </c>
      <c r="I53" t="s">
        <v>73</v>
      </c>
      <c r="J53" t="str">
        <f t="shared" si="2"/>
        <v>CUST0269</v>
      </c>
      <c r="K53" t="s">
        <v>216</v>
      </c>
      <c r="L53" t="str">
        <f>PROPER(TRIM(CLEAN(Sales_Table[[#This Row],[Salesperson]])))</f>
        <v>Rahul</v>
      </c>
      <c r="M53" t="s">
        <v>31</v>
      </c>
      <c r="N53" t="str">
        <f t="shared" si="3"/>
        <v>Net Banking</v>
      </c>
      <c r="O53" t="s">
        <v>60</v>
      </c>
      <c r="P53">
        <f t="shared" si="4"/>
        <v>1</v>
      </c>
      <c r="Q53" t="s">
        <v>93</v>
      </c>
      <c r="R53">
        <f t="shared" si="5"/>
        <v>3039</v>
      </c>
      <c r="S53" t="s">
        <v>217</v>
      </c>
      <c r="T53">
        <f t="shared" si="6"/>
        <v>3039</v>
      </c>
      <c r="U53">
        <f>YEAR(Sales_Table[[#This Row],[Date_clean]])</f>
        <v>2024</v>
      </c>
      <c r="V53" t="str">
        <f>TEXT(Sales_Table[[#This Row],[Date_clean]],"mmmm")</f>
        <v>January</v>
      </c>
      <c r="W53">
        <f>WEEKNUM(Sales_Table[[#This Row],[Date_clean]],2)</f>
        <v>1</v>
      </c>
      <c r="X53" t="str" cm="1">
        <f t="array" ref="X53">_xlfn.IFS(Sales_Table[[#This Row],[Revenue]]&gt;=50000,"High",Sales_Table[[#This Row],[Revenue]]&gt;=20000,"Medium",Sales_Table[[#This Row],[Revenue]]&lt;20000,"Low")</f>
        <v>Low</v>
      </c>
      <c r="Y53" t="str">
        <f>IF(Sales_Table[[#This Row],[Payment Method_clean]]="cash","Offline","Online")</f>
        <v>Online</v>
      </c>
      <c r="Z53">
        <f>IFERROR(Sales_Table[[#This Row],[Revenue]],0)</f>
        <v>3039</v>
      </c>
    </row>
    <row r="54" spans="1:26" x14ac:dyDescent="0.3">
      <c r="A54">
        <v>53</v>
      </c>
      <c r="B54" s="2">
        <f t="shared" si="0"/>
        <v>45294.166666666664</v>
      </c>
      <c r="C54" t="s">
        <v>218</v>
      </c>
      <c r="D54" t="s">
        <v>27</v>
      </c>
      <c r="E54" t="str">
        <f>PROPER(TRIM(CLEAN(Sales_Table[[#This Row],[Region]])))</f>
        <v>East</v>
      </c>
      <c r="F54" t="s">
        <v>46</v>
      </c>
      <c r="G54" t="str">
        <f t="shared" si="1"/>
        <v>Electronics</v>
      </c>
      <c r="H54" t="str">
        <f>PROPER(TRIM(CLEAN(Sales_Table[[#This Row],[Product Name]])))</f>
        <v>Rice 5Kg</v>
      </c>
      <c r="I54" t="s">
        <v>73</v>
      </c>
      <c r="J54" t="str">
        <f t="shared" si="2"/>
        <v>CUST0267</v>
      </c>
      <c r="K54" t="s">
        <v>219</v>
      </c>
      <c r="L54" t="str">
        <f>PROPER(TRIM(CLEAN(Sales_Table[[#This Row],[Salesperson]])))</f>
        <v>Meena</v>
      </c>
      <c r="M54" t="s">
        <v>40</v>
      </c>
      <c r="N54" t="str">
        <f t="shared" si="3"/>
        <v>Credit Card</v>
      </c>
      <c r="O54" t="s">
        <v>65</v>
      </c>
      <c r="P54">
        <f t="shared" si="4"/>
        <v>3</v>
      </c>
      <c r="Q54" t="s">
        <v>66</v>
      </c>
      <c r="R54">
        <f t="shared" si="5"/>
        <v>4162</v>
      </c>
      <c r="S54" t="s">
        <v>220</v>
      </c>
      <c r="T54">
        <f t="shared" si="6"/>
        <v>12486</v>
      </c>
      <c r="U54">
        <f>YEAR(Sales_Table[[#This Row],[Date_clean]])</f>
        <v>2024</v>
      </c>
      <c r="V54" t="str">
        <f>TEXT(Sales_Table[[#This Row],[Date_clean]],"mmmm")</f>
        <v>January</v>
      </c>
      <c r="W54">
        <f>WEEKNUM(Sales_Table[[#This Row],[Date_clean]],2)</f>
        <v>1</v>
      </c>
      <c r="X54" t="str" cm="1">
        <f t="array" ref="X54">_xlfn.IFS(Sales_Table[[#This Row],[Revenue]]&gt;=50000,"High",Sales_Table[[#This Row],[Revenue]]&gt;=20000,"Medium",Sales_Table[[#This Row],[Revenue]]&lt;20000,"Low")</f>
        <v>Low</v>
      </c>
      <c r="Y54" t="str">
        <f>IF(Sales_Table[[#This Row],[Payment Method_clean]]="cash","Offline","Online")</f>
        <v>Online</v>
      </c>
      <c r="Z54">
        <f>IFERROR(Sales_Table[[#This Row],[Revenue]],0)</f>
        <v>12486</v>
      </c>
    </row>
    <row r="55" spans="1:26" x14ac:dyDescent="0.3">
      <c r="A55">
        <v>54</v>
      </c>
      <c r="B55" s="2">
        <f t="shared" si="0"/>
        <v>45294.208333333336</v>
      </c>
      <c r="C55" t="s">
        <v>221</v>
      </c>
      <c r="D55" t="s">
        <v>36</v>
      </c>
      <c r="E55" t="str">
        <f>PROPER(TRIM(CLEAN(Sales_Table[[#This Row],[Region]])))</f>
        <v>West</v>
      </c>
      <c r="F55" t="s">
        <v>37</v>
      </c>
      <c r="G55" t="str">
        <f t="shared" si="1"/>
        <v>Home Appliances</v>
      </c>
      <c r="H55" t="str">
        <f>PROPER(TRIM(CLEAN(Sales_Table[[#This Row],[Product Name]])))</f>
        <v>Led Tv 42Inch</v>
      </c>
      <c r="I55" t="s">
        <v>58</v>
      </c>
      <c r="J55" t="str">
        <f t="shared" si="2"/>
        <v>CUST0054</v>
      </c>
      <c r="K55" t="s">
        <v>222</v>
      </c>
      <c r="L55" t="str">
        <f>PROPER(TRIM(CLEAN(Sales_Table[[#This Row],[Salesperson]])))</f>
        <v>Karthik</v>
      </c>
      <c r="M55" t="s">
        <v>70</v>
      </c>
      <c r="N55" t="str">
        <f t="shared" si="3"/>
        <v>Credit Card</v>
      </c>
      <c r="O55" t="s">
        <v>65</v>
      </c>
      <c r="P55">
        <f t="shared" si="4"/>
        <v>12</v>
      </c>
      <c r="Q55" t="s">
        <v>33</v>
      </c>
      <c r="R55">
        <f t="shared" si="5"/>
        <v>1713</v>
      </c>
      <c r="S55" t="s">
        <v>223</v>
      </c>
      <c r="T55">
        <f t="shared" si="6"/>
        <v>20556</v>
      </c>
      <c r="U55">
        <f>YEAR(Sales_Table[[#This Row],[Date_clean]])</f>
        <v>2024</v>
      </c>
      <c r="V55" t="str">
        <f>TEXT(Sales_Table[[#This Row],[Date_clean]],"mmmm")</f>
        <v>January</v>
      </c>
      <c r="W55">
        <f>WEEKNUM(Sales_Table[[#This Row],[Date_clean]],2)</f>
        <v>1</v>
      </c>
      <c r="X55" t="str" cm="1">
        <f t="array" ref="X55">_xlfn.IFS(Sales_Table[[#This Row],[Revenue]]&gt;=50000,"High",Sales_Table[[#This Row],[Revenue]]&gt;=20000,"Medium",Sales_Table[[#This Row],[Revenue]]&lt;20000,"Low")</f>
        <v>Medium</v>
      </c>
      <c r="Y55" t="str">
        <f>IF(Sales_Table[[#This Row],[Payment Method_clean]]="cash","Offline","Online")</f>
        <v>Online</v>
      </c>
      <c r="Z55">
        <f>IFERROR(Sales_Table[[#This Row],[Revenue]],0)</f>
        <v>20556</v>
      </c>
    </row>
    <row r="56" spans="1:26" x14ac:dyDescent="0.3">
      <c r="A56">
        <v>55</v>
      </c>
      <c r="B56" s="2">
        <f t="shared" si="0"/>
        <v>45294.25</v>
      </c>
      <c r="C56" t="s">
        <v>224</v>
      </c>
      <c r="D56" t="s">
        <v>27</v>
      </c>
      <c r="E56" t="str">
        <f>PROPER(TRIM(CLEAN(Sales_Table[[#This Row],[Region]])))</f>
        <v>East</v>
      </c>
      <c r="F56" t="s">
        <v>28</v>
      </c>
      <c r="G56" t="str">
        <f t="shared" si="1"/>
        <v>Clothing</v>
      </c>
      <c r="H56" t="str">
        <f>PROPER(TRIM(CLEAN(Sales_Table[[#This Row],[Product Name]])))</f>
        <v>Washing Machine</v>
      </c>
      <c r="I56" t="s">
        <v>79</v>
      </c>
      <c r="J56" t="str">
        <f t="shared" si="2"/>
        <v>CUST0528</v>
      </c>
      <c r="K56" t="s">
        <v>225</v>
      </c>
      <c r="L56" t="str">
        <f>PROPER(TRIM(CLEAN(Sales_Table[[#This Row],[Salesperson]])))</f>
        <v>Anita</v>
      </c>
      <c r="M56" t="s">
        <v>64</v>
      </c>
      <c r="N56" t="str">
        <f t="shared" si="3"/>
        <v>Debit Card</v>
      </c>
      <c r="O56" t="s">
        <v>41</v>
      </c>
      <c r="P56">
        <f t="shared" si="4"/>
        <v>2</v>
      </c>
      <c r="Q56" t="s">
        <v>196</v>
      </c>
      <c r="R56">
        <f t="shared" si="5"/>
        <v>3779</v>
      </c>
      <c r="S56" t="s">
        <v>226</v>
      </c>
      <c r="T56">
        <f t="shared" si="6"/>
        <v>7558</v>
      </c>
      <c r="U56">
        <f>YEAR(Sales_Table[[#This Row],[Date_clean]])</f>
        <v>2024</v>
      </c>
      <c r="V56" t="str">
        <f>TEXT(Sales_Table[[#This Row],[Date_clean]],"mmmm")</f>
        <v>January</v>
      </c>
      <c r="W56">
        <f>WEEKNUM(Sales_Table[[#This Row],[Date_clean]],2)</f>
        <v>1</v>
      </c>
      <c r="X56" t="str" cm="1">
        <f t="array" ref="X56">_xlfn.IFS(Sales_Table[[#This Row],[Revenue]]&gt;=50000,"High",Sales_Table[[#This Row],[Revenue]]&gt;=20000,"Medium",Sales_Table[[#This Row],[Revenue]]&lt;20000,"Low")</f>
        <v>Low</v>
      </c>
      <c r="Y56" t="str">
        <f>IF(Sales_Table[[#This Row],[Payment Method_clean]]="cash","Offline","Online")</f>
        <v>Online</v>
      </c>
      <c r="Z56">
        <f>IFERROR(Sales_Table[[#This Row],[Revenue]],0)</f>
        <v>7558</v>
      </c>
    </row>
    <row r="57" spans="1:26" x14ac:dyDescent="0.3">
      <c r="A57">
        <v>56</v>
      </c>
      <c r="B57" s="2">
        <f t="shared" si="0"/>
        <v>45294.291666666664</v>
      </c>
      <c r="C57" t="s">
        <v>227</v>
      </c>
      <c r="D57" t="s">
        <v>36</v>
      </c>
      <c r="E57" t="str">
        <f>PROPER(TRIM(CLEAN(Sales_Table[[#This Row],[Region]])))</f>
        <v>West</v>
      </c>
      <c r="F57" t="s">
        <v>28</v>
      </c>
      <c r="G57" t="str">
        <f t="shared" si="1"/>
        <v>Clothing</v>
      </c>
      <c r="H57" t="str">
        <f>PROPER(TRIM(CLEAN(Sales_Table[[#This Row],[Product Name]])))</f>
        <v>Mixer Grinder</v>
      </c>
      <c r="I57" t="s">
        <v>29</v>
      </c>
      <c r="J57" t="str">
        <f t="shared" si="2"/>
        <v>CUST0520</v>
      </c>
      <c r="K57" t="s">
        <v>228</v>
      </c>
      <c r="L57" t="str">
        <f>PROPER(TRIM(CLEAN(Sales_Table[[#This Row],[Salesperson]])))</f>
        <v>Suresh</v>
      </c>
      <c r="M57" t="s">
        <v>54</v>
      </c>
      <c r="N57" t="str">
        <f t="shared" si="3"/>
        <v>Credit Card</v>
      </c>
      <c r="O57" t="s">
        <v>65</v>
      </c>
      <c r="P57">
        <f t="shared" si="4"/>
        <v>1</v>
      </c>
      <c r="Q57" t="s">
        <v>93</v>
      </c>
      <c r="R57">
        <f t="shared" si="5"/>
        <v>1396</v>
      </c>
      <c r="S57" t="s">
        <v>229</v>
      </c>
      <c r="T57">
        <f t="shared" si="6"/>
        <v>1396</v>
      </c>
      <c r="U57">
        <f>YEAR(Sales_Table[[#This Row],[Date_clean]])</f>
        <v>2024</v>
      </c>
      <c r="V57" t="str">
        <f>TEXT(Sales_Table[[#This Row],[Date_clean]],"mmmm")</f>
        <v>January</v>
      </c>
      <c r="W57">
        <f>WEEKNUM(Sales_Table[[#This Row],[Date_clean]],2)</f>
        <v>1</v>
      </c>
      <c r="X57" t="str" cm="1">
        <f t="array" ref="X57">_xlfn.IFS(Sales_Table[[#This Row],[Revenue]]&gt;=50000,"High",Sales_Table[[#This Row],[Revenue]]&gt;=20000,"Medium",Sales_Table[[#This Row],[Revenue]]&lt;20000,"Low")</f>
        <v>Low</v>
      </c>
      <c r="Y57" t="str">
        <f>IF(Sales_Table[[#This Row],[Payment Method_clean]]="cash","Offline","Online")</f>
        <v>Online</v>
      </c>
      <c r="Z57">
        <f>IFERROR(Sales_Table[[#This Row],[Revenue]],0)</f>
        <v>1396</v>
      </c>
    </row>
    <row r="58" spans="1:26" x14ac:dyDescent="0.3">
      <c r="A58">
        <v>57</v>
      </c>
      <c r="B58" s="2">
        <f t="shared" si="0"/>
        <v>45294.333333333336</v>
      </c>
      <c r="C58" t="s">
        <v>230</v>
      </c>
      <c r="D58" t="s">
        <v>36</v>
      </c>
      <c r="E58" t="str">
        <f>PROPER(TRIM(CLEAN(Sales_Table[[#This Row],[Region]])))</f>
        <v>West</v>
      </c>
      <c r="F58" t="s">
        <v>46</v>
      </c>
      <c r="G58" t="str">
        <f t="shared" si="1"/>
        <v>Electronics</v>
      </c>
      <c r="H58" t="str">
        <f>PROPER(TRIM(CLEAN(Sales_Table[[#This Row],[Product Name]])))</f>
        <v>Led Tv 42Inch</v>
      </c>
      <c r="I58" t="s">
        <v>58</v>
      </c>
      <c r="J58" t="str">
        <f t="shared" si="2"/>
        <v>CUST0616</v>
      </c>
      <c r="K58" t="s">
        <v>231</v>
      </c>
      <c r="L58" t="str">
        <f>PROPER(TRIM(CLEAN(Sales_Table[[#This Row],[Salesperson]])))</f>
        <v>Anita</v>
      </c>
      <c r="M58" t="s">
        <v>64</v>
      </c>
      <c r="N58" t="str">
        <f t="shared" si="3"/>
        <v>Cash</v>
      </c>
      <c r="O58" t="s">
        <v>32</v>
      </c>
      <c r="P58">
        <f t="shared" si="4"/>
        <v>9</v>
      </c>
      <c r="Q58" t="s">
        <v>130</v>
      </c>
      <c r="R58">
        <f t="shared" si="5"/>
        <v>4096</v>
      </c>
      <c r="S58" t="s">
        <v>232</v>
      </c>
      <c r="T58">
        <f t="shared" si="6"/>
        <v>36864</v>
      </c>
      <c r="U58">
        <f>YEAR(Sales_Table[[#This Row],[Date_clean]])</f>
        <v>2024</v>
      </c>
      <c r="V58" t="str">
        <f>TEXT(Sales_Table[[#This Row],[Date_clean]],"mmmm")</f>
        <v>January</v>
      </c>
      <c r="W58">
        <f>WEEKNUM(Sales_Table[[#This Row],[Date_clean]],2)</f>
        <v>1</v>
      </c>
      <c r="X58" t="str" cm="1">
        <f t="array" ref="X58">_xlfn.IFS(Sales_Table[[#This Row],[Revenue]]&gt;=50000,"High",Sales_Table[[#This Row],[Revenue]]&gt;=20000,"Medium",Sales_Table[[#This Row],[Revenue]]&lt;20000,"Low")</f>
        <v>Medium</v>
      </c>
      <c r="Y58" t="str">
        <f>IF(Sales_Table[[#This Row],[Payment Method_clean]]="cash","Offline","Online")</f>
        <v>Offline</v>
      </c>
      <c r="Z58">
        <f>IFERROR(Sales_Table[[#This Row],[Revenue]],0)</f>
        <v>36864</v>
      </c>
    </row>
    <row r="59" spans="1:26" x14ac:dyDescent="0.3">
      <c r="A59">
        <v>58</v>
      </c>
      <c r="B59" s="2">
        <f t="shared" si="0"/>
        <v>45294.375</v>
      </c>
      <c r="C59" t="s">
        <v>233</v>
      </c>
      <c r="D59" t="s">
        <v>45</v>
      </c>
      <c r="E59" t="str">
        <f>PROPER(TRIM(CLEAN(Sales_Table[[#This Row],[Region]])))</f>
        <v>North</v>
      </c>
      <c r="F59" t="s">
        <v>28</v>
      </c>
      <c r="G59" t="str">
        <f t="shared" si="1"/>
        <v>Clothing</v>
      </c>
      <c r="H59" t="str">
        <f>PROPER(TRIM(CLEAN(Sales_Table[[#This Row],[Product Name]])))</f>
        <v>Rice 5Kg</v>
      </c>
      <c r="I59" t="s">
        <v>73</v>
      </c>
      <c r="J59" t="str">
        <f t="shared" si="2"/>
        <v>CUST0059</v>
      </c>
      <c r="K59" t="s">
        <v>234</v>
      </c>
      <c r="L59" t="str">
        <f>PROPER(TRIM(CLEAN(Sales_Table[[#This Row],[Salesperson]])))</f>
        <v>Suresh</v>
      </c>
      <c r="M59" t="s">
        <v>54</v>
      </c>
      <c r="N59" t="str">
        <f t="shared" si="3"/>
        <v>Debit Card</v>
      </c>
      <c r="O59" t="s">
        <v>41</v>
      </c>
      <c r="P59">
        <f t="shared" si="4"/>
        <v>8</v>
      </c>
      <c r="Q59" t="s">
        <v>42</v>
      </c>
      <c r="R59">
        <f t="shared" si="5"/>
        <v>4886</v>
      </c>
      <c r="S59" t="s">
        <v>235</v>
      </c>
      <c r="T59">
        <f t="shared" si="6"/>
        <v>39088</v>
      </c>
      <c r="U59">
        <f>YEAR(Sales_Table[[#This Row],[Date_clean]])</f>
        <v>2024</v>
      </c>
      <c r="V59" t="str">
        <f>TEXT(Sales_Table[[#This Row],[Date_clean]],"mmmm")</f>
        <v>January</v>
      </c>
      <c r="W59">
        <f>WEEKNUM(Sales_Table[[#This Row],[Date_clean]],2)</f>
        <v>1</v>
      </c>
      <c r="X59" t="str" cm="1">
        <f t="array" ref="X59">_xlfn.IFS(Sales_Table[[#This Row],[Revenue]]&gt;=50000,"High",Sales_Table[[#This Row],[Revenue]]&gt;=20000,"Medium",Sales_Table[[#This Row],[Revenue]]&lt;20000,"Low")</f>
        <v>Medium</v>
      </c>
      <c r="Y59" t="str">
        <f>IF(Sales_Table[[#This Row],[Payment Method_clean]]="cash","Offline","Online")</f>
        <v>Online</v>
      </c>
      <c r="Z59">
        <f>IFERROR(Sales_Table[[#This Row],[Revenue]],0)</f>
        <v>39088</v>
      </c>
    </row>
    <row r="60" spans="1:26" x14ac:dyDescent="0.3">
      <c r="A60">
        <v>59</v>
      </c>
      <c r="B60" s="2">
        <f t="shared" si="0"/>
        <v>45294.416666666664</v>
      </c>
      <c r="C60" t="s">
        <v>236</v>
      </c>
      <c r="D60" t="s">
        <v>27</v>
      </c>
      <c r="E60" t="str">
        <f>PROPER(TRIM(CLEAN(Sales_Table[[#This Row],[Region]])))</f>
        <v>East</v>
      </c>
      <c r="F60" t="s">
        <v>46</v>
      </c>
      <c r="G60" t="str">
        <f t="shared" si="1"/>
        <v>Electronics</v>
      </c>
      <c r="H60" t="str">
        <f>PROPER(TRIM(CLEAN(Sales_Table[[#This Row],[Product Name]])))</f>
        <v>Laptop</v>
      </c>
      <c r="I60" t="s">
        <v>52</v>
      </c>
      <c r="J60" t="str">
        <f t="shared" si="2"/>
        <v>CUST0040</v>
      </c>
      <c r="K60" t="s">
        <v>237</v>
      </c>
      <c r="L60" t="str">
        <f>PROPER(TRIM(CLEAN(Sales_Table[[#This Row],[Salesperson]])))</f>
        <v>Karthik</v>
      </c>
      <c r="M60" t="s">
        <v>70</v>
      </c>
      <c r="N60" t="str">
        <f t="shared" si="3"/>
        <v>Credit Card</v>
      </c>
      <c r="O60" t="s">
        <v>65</v>
      </c>
      <c r="P60">
        <f t="shared" si="4"/>
        <v>5</v>
      </c>
      <c r="Q60" t="s">
        <v>89</v>
      </c>
      <c r="R60">
        <f t="shared" si="5"/>
        <v>1255</v>
      </c>
      <c r="S60" t="s">
        <v>238</v>
      </c>
      <c r="T60">
        <f t="shared" si="6"/>
        <v>6275</v>
      </c>
      <c r="U60">
        <f>YEAR(Sales_Table[[#This Row],[Date_clean]])</f>
        <v>2024</v>
      </c>
      <c r="V60" t="str">
        <f>TEXT(Sales_Table[[#This Row],[Date_clean]],"mmmm")</f>
        <v>January</v>
      </c>
      <c r="W60">
        <f>WEEKNUM(Sales_Table[[#This Row],[Date_clean]],2)</f>
        <v>1</v>
      </c>
      <c r="X60" t="str" cm="1">
        <f t="array" ref="X60">_xlfn.IFS(Sales_Table[[#This Row],[Revenue]]&gt;=50000,"High",Sales_Table[[#This Row],[Revenue]]&gt;=20000,"Medium",Sales_Table[[#This Row],[Revenue]]&lt;20000,"Low")</f>
        <v>Low</v>
      </c>
      <c r="Y60" t="str">
        <f>IF(Sales_Table[[#This Row],[Payment Method_clean]]="cash","Offline","Online")</f>
        <v>Online</v>
      </c>
      <c r="Z60">
        <f>IFERROR(Sales_Table[[#This Row],[Revenue]],0)</f>
        <v>6275</v>
      </c>
    </row>
    <row r="61" spans="1:26" x14ac:dyDescent="0.3">
      <c r="A61">
        <v>60</v>
      </c>
      <c r="B61" s="2">
        <f t="shared" si="0"/>
        <v>45294.458333333336</v>
      </c>
      <c r="C61" t="s">
        <v>239</v>
      </c>
      <c r="D61" t="s">
        <v>45</v>
      </c>
      <c r="E61" t="str">
        <f>PROPER(TRIM(CLEAN(Sales_Table[[#This Row],[Region]])))</f>
        <v>North</v>
      </c>
      <c r="F61" t="s">
        <v>28</v>
      </c>
      <c r="G61" t="str">
        <f t="shared" si="1"/>
        <v>Clothing</v>
      </c>
      <c r="H61" t="str">
        <f>PROPER(TRIM(CLEAN(Sales_Table[[#This Row],[Product Name]])))</f>
        <v>Rice 5Kg</v>
      </c>
      <c r="I61" t="s">
        <v>73</v>
      </c>
      <c r="J61" t="str">
        <f t="shared" si="2"/>
        <v>CUST0237</v>
      </c>
      <c r="K61" t="s">
        <v>240</v>
      </c>
      <c r="L61" t="str">
        <f>PROPER(TRIM(CLEAN(Sales_Table[[#This Row],[Salesperson]])))</f>
        <v>Suresh</v>
      </c>
      <c r="M61" t="s">
        <v>54</v>
      </c>
      <c r="N61" t="str">
        <f t="shared" si="3"/>
        <v>Cash</v>
      </c>
      <c r="O61" t="s">
        <v>32</v>
      </c>
      <c r="P61">
        <f t="shared" si="4"/>
        <v>11</v>
      </c>
      <c r="Q61" t="s">
        <v>97</v>
      </c>
      <c r="R61">
        <f t="shared" si="5"/>
        <v>4979</v>
      </c>
      <c r="S61" t="s">
        <v>241</v>
      </c>
      <c r="T61">
        <f t="shared" si="6"/>
        <v>54769</v>
      </c>
      <c r="U61">
        <f>YEAR(Sales_Table[[#This Row],[Date_clean]])</f>
        <v>2024</v>
      </c>
      <c r="V61" t="str">
        <f>TEXT(Sales_Table[[#This Row],[Date_clean]],"mmmm")</f>
        <v>January</v>
      </c>
      <c r="W61">
        <f>WEEKNUM(Sales_Table[[#This Row],[Date_clean]],2)</f>
        <v>1</v>
      </c>
      <c r="X61" t="str" cm="1">
        <f t="array" ref="X61">_xlfn.IFS(Sales_Table[[#This Row],[Revenue]]&gt;=50000,"High",Sales_Table[[#This Row],[Revenue]]&gt;=20000,"Medium",Sales_Table[[#This Row],[Revenue]]&lt;20000,"Low")</f>
        <v>High</v>
      </c>
      <c r="Y61" t="str">
        <f>IF(Sales_Table[[#This Row],[Payment Method_clean]]="cash","Offline","Online")</f>
        <v>Offline</v>
      </c>
      <c r="Z61">
        <f>IFERROR(Sales_Table[[#This Row],[Revenue]],0)</f>
        <v>54769</v>
      </c>
    </row>
    <row r="62" spans="1:26" x14ac:dyDescent="0.3">
      <c r="A62">
        <v>61</v>
      </c>
      <c r="B62" s="2">
        <f t="shared" si="0"/>
        <v>45294.5</v>
      </c>
      <c r="C62" t="s">
        <v>242</v>
      </c>
      <c r="D62" t="s">
        <v>27</v>
      </c>
      <c r="E62" t="str">
        <f>PROPER(TRIM(CLEAN(Sales_Table[[#This Row],[Region]])))</f>
        <v>East</v>
      </c>
      <c r="F62" t="s">
        <v>78</v>
      </c>
      <c r="G62" t="str">
        <f t="shared" si="1"/>
        <v>Grocery</v>
      </c>
      <c r="H62" t="str">
        <f>PROPER(TRIM(CLEAN(Sales_Table[[#This Row],[Product Name]])))</f>
        <v>Rice 5Kg</v>
      </c>
      <c r="I62" t="s">
        <v>73</v>
      </c>
      <c r="J62" t="str">
        <f t="shared" si="2"/>
        <v>CUST0386</v>
      </c>
      <c r="K62" t="s">
        <v>243</v>
      </c>
      <c r="L62" t="str">
        <f>PROPER(TRIM(CLEAN(Sales_Table[[#This Row],[Salesperson]])))</f>
        <v>Meena</v>
      </c>
      <c r="M62" t="s">
        <v>40</v>
      </c>
      <c r="N62" t="str">
        <f t="shared" si="3"/>
        <v>Net Banking</v>
      </c>
      <c r="O62" t="s">
        <v>60</v>
      </c>
      <c r="P62">
        <f t="shared" si="4"/>
        <v>12</v>
      </c>
      <c r="Q62" t="s">
        <v>33</v>
      </c>
      <c r="R62">
        <f t="shared" si="5"/>
        <v>2466</v>
      </c>
      <c r="S62" t="s">
        <v>244</v>
      </c>
      <c r="T62">
        <f t="shared" si="6"/>
        <v>29592</v>
      </c>
      <c r="U62">
        <f>YEAR(Sales_Table[[#This Row],[Date_clean]])</f>
        <v>2024</v>
      </c>
      <c r="V62" t="str">
        <f>TEXT(Sales_Table[[#This Row],[Date_clean]],"mmmm")</f>
        <v>January</v>
      </c>
      <c r="W62">
        <f>WEEKNUM(Sales_Table[[#This Row],[Date_clean]],2)</f>
        <v>1</v>
      </c>
      <c r="X62" t="str" cm="1">
        <f t="array" ref="X62">_xlfn.IFS(Sales_Table[[#This Row],[Revenue]]&gt;=50000,"High",Sales_Table[[#This Row],[Revenue]]&gt;=20000,"Medium",Sales_Table[[#This Row],[Revenue]]&lt;20000,"Low")</f>
        <v>Medium</v>
      </c>
      <c r="Y62" t="str">
        <f>IF(Sales_Table[[#This Row],[Payment Method_clean]]="cash","Offline","Online")</f>
        <v>Online</v>
      </c>
      <c r="Z62">
        <f>IFERROR(Sales_Table[[#This Row],[Revenue]],0)</f>
        <v>29592</v>
      </c>
    </row>
    <row r="63" spans="1:26" x14ac:dyDescent="0.3">
      <c r="A63">
        <v>62</v>
      </c>
      <c r="B63" s="2">
        <f t="shared" si="0"/>
        <v>45294.541666666664</v>
      </c>
      <c r="C63" t="s">
        <v>245</v>
      </c>
      <c r="D63" t="s">
        <v>27</v>
      </c>
      <c r="E63" t="str">
        <f>PROPER(TRIM(CLEAN(Sales_Table[[#This Row],[Region]])))</f>
        <v>East</v>
      </c>
      <c r="F63" t="s">
        <v>46</v>
      </c>
      <c r="G63" t="str">
        <f t="shared" si="1"/>
        <v>Electronics</v>
      </c>
      <c r="H63" t="str">
        <f>PROPER(TRIM(CLEAN(Sales_Table[[#This Row],[Product Name]])))</f>
        <v>Washing Machine</v>
      </c>
      <c r="I63" t="s">
        <v>79</v>
      </c>
      <c r="J63" t="str">
        <f t="shared" si="2"/>
        <v>CUST0606</v>
      </c>
      <c r="K63" t="s">
        <v>246</v>
      </c>
      <c r="L63" t="str">
        <f>PROPER(TRIM(CLEAN(Sales_Table[[#This Row],[Salesperson]])))</f>
        <v>Suresh</v>
      </c>
      <c r="M63" t="s">
        <v>54</v>
      </c>
      <c r="N63" t="str">
        <f t="shared" si="3"/>
        <v>Credit Card</v>
      </c>
      <c r="O63" t="s">
        <v>65</v>
      </c>
      <c r="P63">
        <f t="shared" si="4"/>
        <v>2</v>
      </c>
      <c r="Q63" t="s">
        <v>196</v>
      </c>
      <c r="R63">
        <f t="shared" si="5"/>
        <v>2991</v>
      </c>
      <c r="S63" t="s">
        <v>247</v>
      </c>
      <c r="T63">
        <f t="shared" si="6"/>
        <v>5982</v>
      </c>
      <c r="U63">
        <f>YEAR(Sales_Table[[#This Row],[Date_clean]])</f>
        <v>2024</v>
      </c>
      <c r="V63" t="str">
        <f>TEXT(Sales_Table[[#This Row],[Date_clean]],"mmmm")</f>
        <v>January</v>
      </c>
      <c r="W63">
        <f>WEEKNUM(Sales_Table[[#This Row],[Date_clean]],2)</f>
        <v>1</v>
      </c>
      <c r="X63" t="str" cm="1">
        <f t="array" ref="X63">_xlfn.IFS(Sales_Table[[#This Row],[Revenue]]&gt;=50000,"High",Sales_Table[[#This Row],[Revenue]]&gt;=20000,"Medium",Sales_Table[[#This Row],[Revenue]]&lt;20000,"Low")</f>
        <v>Low</v>
      </c>
      <c r="Y63" t="str">
        <f>IF(Sales_Table[[#This Row],[Payment Method_clean]]="cash","Offline","Online")</f>
        <v>Online</v>
      </c>
      <c r="Z63">
        <f>IFERROR(Sales_Table[[#This Row],[Revenue]],0)</f>
        <v>5982</v>
      </c>
    </row>
    <row r="64" spans="1:26" x14ac:dyDescent="0.3">
      <c r="A64">
        <v>63</v>
      </c>
      <c r="B64" s="2">
        <f t="shared" si="0"/>
        <v>45294.583333333336</v>
      </c>
      <c r="C64" t="s">
        <v>248</v>
      </c>
      <c r="D64" t="s">
        <v>45</v>
      </c>
      <c r="E64" t="str">
        <f>PROPER(TRIM(CLEAN(Sales_Table[[#This Row],[Region]])))</f>
        <v>North</v>
      </c>
      <c r="F64" t="s">
        <v>28</v>
      </c>
      <c r="G64" t="str">
        <f t="shared" si="1"/>
        <v>Clothing</v>
      </c>
      <c r="H64" t="str">
        <f>PROPER(TRIM(CLEAN(Sales_Table[[#This Row],[Product Name]])))</f>
        <v>Washing Machine</v>
      </c>
      <c r="I64" t="s">
        <v>79</v>
      </c>
      <c r="J64" t="str">
        <f t="shared" si="2"/>
        <v>CUST0734</v>
      </c>
      <c r="K64" t="s">
        <v>249</v>
      </c>
      <c r="L64" t="str">
        <f>PROPER(TRIM(CLEAN(Sales_Table[[#This Row],[Salesperson]])))</f>
        <v>Meena</v>
      </c>
      <c r="M64" t="s">
        <v>40</v>
      </c>
      <c r="N64" t="str">
        <f t="shared" si="3"/>
        <v>Cash</v>
      </c>
      <c r="O64" t="s">
        <v>32</v>
      </c>
      <c r="P64">
        <f t="shared" si="4"/>
        <v>1</v>
      </c>
      <c r="Q64" t="s">
        <v>93</v>
      </c>
      <c r="R64">
        <f t="shared" si="5"/>
        <v>2072</v>
      </c>
      <c r="S64" t="s">
        <v>250</v>
      </c>
      <c r="T64">
        <f t="shared" si="6"/>
        <v>2072</v>
      </c>
      <c r="U64">
        <f>YEAR(Sales_Table[[#This Row],[Date_clean]])</f>
        <v>2024</v>
      </c>
      <c r="V64" t="str">
        <f>TEXT(Sales_Table[[#This Row],[Date_clean]],"mmmm")</f>
        <v>January</v>
      </c>
      <c r="W64">
        <f>WEEKNUM(Sales_Table[[#This Row],[Date_clean]],2)</f>
        <v>1</v>
      </c>
      <c r="X64" t="str" cm="1">
        <f t="array" ref="X64">_xlfn.IFS(Sales_Table[[#This Row],[Revenue]]&gt;=50000,"High",Sales_Table[[#This Row],[Revenue]]&gt;=20000,"Medium",Sales_Table[[#This Row],[Revenue]]&lt;20000,"Low")</f>
        <v>Low</v>
      </c>
      <c r="Y64" t="str">
        <f>IF(Sales_Table[[#This Row],[Payment Method_clean]]="cash","Offline","Online")</f>
        <v>Offline</v>
      </c>
      <c r="Z64">
        <f>IFERROR(Sales_Table[[#This Row],[Revenue]],0)</f>
        <v>2072</v>
      </c>
    </row>
    <row r="65" spans="1:26" x14ac:dyDescent="0.3">
      <c r="A65">
        <v>64</v>
      </c>
      <c r="B65" s="2">
        <f t="shared" si="0"/>
        <v>45294.625</v>
      </c>
      <c r="C65" t="s">
        <v>251</v>
      </c>
      <c r="D65" t="s">
        <v>45</v>
      </c>
      <c r="E65" t="str">
        <f>PROPER(TRIM(CLEAN(Sales_Table[[#This Row],[Region]])))</f>
        <v>North</v>
      </c>
      <c r="F65" t="s">
        <v>37</v>
      </c>
      <c r="G65" t="str">
        <f t="shared" si="1"/>
        <v>Home Appliances</v>
      </c>
      <c r="H65" t="str">
        <f>PROPER(TRIM(CLEAN(Sales_Table[[#This Row],[Product Name]])))</f>
        <v>Led Tv 42Inch</v>
      </c>
      <c r="I65" t="s">
        <v>58</v>
      </c>
      <c r="J65" t="str">
        <f t="shared" si="2"/>
        <v>CUST0716</v>
      </c>
      <c r="K65" t="s">
        <v>252</v>
      </c>
      <c r="L65" t="str">
        <f>PROPER(TRIM(CLEAN(Sales_Table[[#This Row],[Salesperson]])))</f>
        <v>Karthik</v>
      </c>
      <c r="M65" t="s">
        <v>70</v>
      </c>
      <c r="N65" t="str">
        <f t="shared" si="3"/>
        <v>Upi</v>
      </c>
      <c r="O65" t="s">
        <v>48</v>
      </c>
      <c r="P65">
        <f t="shared" si="4"/>
        <v>7</v>
      </c>
      <c r="Q65" t="s">
        <v>49</v>
      </c>
      <c r="R65">
        <f t="shared" si="5"/>
        <v>884</v>
      </c>
      <c r="S65" t="s">
        <v>253</v>
      </c>
      <c r="T65">
        <f t="shared" si="6"/>
        <v>6188</v>
      </c>
      <c r="U65">
        <f>YEAR(Sales_Table[[#This Row],[Date_clean]])</f>
        <v>2024</v>
      </c>
      <c r="V65" t="str">
        <f>TEXT(Sales_Table[[#This Row],[Date_clean]],"mmmm")</f>
        <v>January</v>
      </c>
      <c r="W65">
        <f>WEEKNUM(Sales_Table[[#This Row],[Date_clean]],2)</f>
        <v>1</v>
      </c>
      <c r="X65" t="str" cm="1">
        <f t="array" ref="X65">_xlfn.IFS(Sales_Table[[#This Row],[Revenue]]&gt;=50000,"High",Sales_Table[[#This Row],[Revenue]]&gt;=20000,"Medium",Sales_Table[[#This Row],[Revenue]]&lt;20000,"Low")</f>
        <v>Low</v>
      </c>
      <c r="Y65" t="str">
        <f>IF(Sales_Table[[#This Row],[Payment Method_clean]]="cash","Offline","Online")</f>
        <v>Online</v>
      </c>
      <c r="Z65">
        <f>IFERROR(Sales_Table[[#This Row],[Revenue]],0)</f>
        <v>6188</v>
      </c>
    </row>
    <row r="66" spans="1:26" x14ac:dyDescent="0.3">
      <c r="A66">
        <v>65</v>
      </c>
      <c r="B66" s="2">
        <f t="shared" si="0"/>
        <v>45294.666666666664</v>
      </c>
      <c r="C66" t="s">
        <v>254</v>
      </c>
      <c r="D66" t="s">
        <v>27</v>
      </c>
      <c r="E66" t="str">
        <f>PROPER(TRIM(CLEAN(Sales_Table[[#This Row],[Region]])))</f>
        <v>East</v>
      </c>
      <c r="F66" t="s">
        <v>28</v>
      </c>
      <c r="G66" t="str">
        <f t="shared" si="1"/>
        <v>Clothing</v>
      </c>
      <c r="H66" t="str">
        <f>PROPER(TRIM(CLEAN(Sales_Table[[#This Row],[Product Name]])))</f>
        <v>Mixer Grinder</v>
      </c>
      <c r="I66" t="s">
        <v>29</v>
      </c>
      <c r="J66" t="str">
        <f t="shared" si="2"/>
        <v>CUST0650</v>
      </c>
      <c r="K66" t="s">
        <v>255</v>
      </c>
      <c r="L66" t="str">
        <f>PROPER(TRIM(CLEAN(Sales_Table[[#This Row],[Salesperson]])))</f>
        <v>Karthik</v>
      </c>
      <c r="M66" t="s">
        <v>70</v>
      </c>
      <c r="N66" t="str">
        <f t="shared" si="3"/>
        <v>Upi</v>
      </c>
      <c r="O66" t="s">
        <v>48</v>
      </c>
      <c r="P66">
        <f t="shared" si="4"/>
        <v>13</v>
      </c>
      <c r="Q66" t="s">
        <v>81</v>
      </c>
      <c r="R66">
        <f t="shared" si="5"/>
        <v>4592</v>
      </c>
      <c r="S66" t="s">
        <v>256</v>
      </c>
      <c r="T66">
        <f t="shared" si="6"/>
        <v>59696</v>
      </c>
      <c r="U66">
        <f>YEAR(Sales_Table[[#This Row],[Date_clean]])</f>
        <v>2024</v>
      </c>
      <c r="V66" t="str">
        <f>TEXT(Sales_Table[[#This Row],[Date_clean]],"mmmm")</f>
        <v>January</v>
      </c>
      <c r="W66">
        <f>WEEKNUM(Sales_Table[[#This Row],[Date_clean]],2)</f>
        <v>1</v>
      </c>
      <c r="X66" t="str" cm="1">
        <f t="array" ref="X66">_xlfn.IFS(Sales_Table[[#This Row],[Revenue]]&gt;=50000,"High",Sales_Table[[#This Row],[Revenue]]&gt;=20000,"Medium",Sales_Table[[#This Row],[Revenue]]&lt;20000,"Low")</f>
        <v>High</v>
      </c>
      <c r="Y66" t="str">
        <f>IF(Sales_Table[[#This Row],[Payment Method_clean]]="cash","Offline","Online")</f>
        <v>Online</v>
      </c>
      <c r="Z66">
        <f>IFERROR(Sales_Table[[#This Row],[Revenue]],0)</f>
        <v>59696</v>
      </c>
    </row>
    <row r="67" spans="1:26" x14ac:dyDescent="0.3">
      <c r="A67">
        <v>66</v>
      </c>
      <c r="B67" s="2">
        <f t="shared" ref="B67:B130" si="7">DATEVALUE(LEFT(C67,10))+TIMEVALUE(MID(C67,12,8))</f>
        <v>45294.708333333336</v>
      </c>
      <c r="C67" t="s">
        <v>257</v>
      </c>
      <c r="D67" t="s">
        <v>84</v>
      </c>
      <c r="E67" t="str">
        <f>PROPER(TRIM(CLEAN(Sales_Table[[#This Row],[Region]])))</f>
        <v>South</v>
      </c>
      <c r="F67" t="s">
        <v>37</v>
      </c>
      <c r="G67" t="str">
        <f t="shared" ref="G67:G130" si="8">PROPER(TRIM(CLEAN(F67)))</f>
        <v>Home Appliances</v>
      </c>
      <c r="H67" t="str">
        <f>PROPER(TRIM(CLEAN(Sales_Table[[#This Row],[Product Name]])))</f>
        <v>Led Tv 42Inch</v>
      </c>
      <c r="I67" t="s">
        <v>58</v>
      </c>
      <c r="J67" t="str">
        <f t="shared" ref="J67:J130" si="9">TRIM(K67)</f>
        <v>CUST0300</v>
      </c>
      <c r="K67" t="s">
        <v>258</v>
      </c>
      <c r="L67" t="str">
        <f>PROPER(TRIM(CLEAN(Sales_Table[[#This Row],[Salesperson]])))</f>
        <v>Anita</v>
      </c>
      <c r="M67" t="s">
        <v>64</v>
      </c>
      <c r="N67" t="str">
        <f t="shared" ref="N67:N130" si="10">PROPER(TRIM(O67))</f>
        <v>Cash</v>
      </c>
      <c r="O67" t="s">
        <v>32</v>
      </c>
      <c r="P67">
        <f t="shared" ref="P67:P130" si="11">VALUE(Q67)</f>
        <v>11</v>
      </c>
      <c r="Q67" t="s">
        <v>97</v>
      </c>
      <c r="R67">
        <f t="shared" ref="R67:R130" si="12">VALUE(S67)</f>
        <v>1181</v>
      </c>
      <c r="S67" t="s">
        <v>259</v>
      </c>
      <c r="T67">
        <f t="shared" ref="T67:T130" si="13">P67*R67</f>
        <v>12991</v>
      </c>
      <c r="U67">
        <f>YEAR(Sales_Table[[#This Row],[Date_clean]])</f>
        <v>2024</v>
      </c>
      <c r="V67" t="str">
        <f>TEXT(Sales_Table[[#This Row],[Date_clean]],"mmmm")</f>
        <v>January</v>
      </c>
      <c r="W67">
        <f>WEEKNUM(Sales_Table[[#This Row],[Date_clean]],2)</f>
        <v>1</v>
      </c>
      <c r="X67" t="str" cm="1">
        <f t="array" ref="X67">_xlfn.IFS(Sales_Table[[#This Row],[Revenue]]&gt;=50000,"High",Sales_Table[[#This Row],[Revenue]]&gt;=20000,"Medium",Sales_Table[[#This Row],[Revenue]]&lt;20000,"Low")</f>
        <v>Low</v>
      </c>
      <c r="Y67" t="str">
        <f>IF(Sales_Table[[#This Row],[Payment Method_clean]]="cash","Offline","Online")</f>
        <v>Offline</v>
      </c>
      <c r="Z67">
        <f>IFERROR(Sales_Table[[#This Row],[Revenue]],0)</f>
        <v>12991</v>
      </c>
    </row>
    <row r="68" spans="1:26" x14ac:dyDescent="0.3">
      <c r="A68">
        <v>67</v>
      </c>
      <c r="B68" s="2">
        <f t="shared" si="7"/>
        <v>45294.75</v>
      </c>
      <c r="C68" t="s">
        <v>260</v>
      </c>
      <c r="D68" t="s">
        <v>36</v>
      </c>
      <c r="E68" t="str">
        <f>PROPER(TRIM(CLEAN(Sales_Table[[#This Row],[Region]])))</f>
        <v>West</v>
      </c>
      <c r="F68" t="s">
        <v>37</v>
      </c>
      <c r="G68" t="str">
        <f t="shared" si="8"/>
        <v>Home Appliances</v>
      </c>
      <c r="H68" t="str">
        <f>PROPER(TRIM(CLEAN(Sales_Table[[#This Row],[Product Name]])))</f>
        <v>Men T-Shirt</v>
      </c>
      <c r="I68" t="s">
        <v>38</v>
      </c>
      <c r="J68" t="str">
        <f t="shared" si="9"/>
        <v>CUST0395</v>
      </c>
      <c r="K68" t="s">
        <v>261</v>
      </c>
      <c r="L68" t="str">
        <f>PROPER(TRIM(CLEAN(Sales_Table[[#This Row],[Salesperson]])))</f>
        <v>Meena</v>
      </c>
      <c r="M68" t="s">
        <v>40</v>
      </c>
      <c r="N68" t="str">
        <f t="shared" si="10"/>
        <v>Debit Card</v>
      </c>
      <c r="O68" t="s">
        <v>41</v>
      </c>
      <c r="P68">
        <f t="shared" si="11"/>
        <v>11</v>
      </c>
      <c r="Q68" t="s">
        <v>97</v>
      </c>
      <c r="R68">
        <f t="shared" si="12"/>
        <v>2133</v>
      </c>
      <c r="S68" t="s">
        <v>262</v>
      </c>
      <c r="T68">
        <f t="shared" si="13"/>
        <v>23463</v>
      </c>
      <c r="U68">
        <f>YEAR(Sales_Table[[#This Row],[Date_clean]])</f>
        <v>2024</v>
      </c>
      <c r="V68" t="str">
        <f>TEXT(Sales_Table[[#This Row],[Date_clean]],"mmmm")</f>
        <v>January</v>
      </c>
      <c r="W68">
        <f>WEEKNUM(Sales_Table[[#This Row],[Date_clean]],2)</f>
        <v>1</v>
      </c>
      <c r="X68" t="str" cm="1">
        <f t="array" ref="X68">_xlfn.IFS(Sales_Table[[#This Row],[Revenue]]&gt;=50000,"High",Sales_Table[[#This Row],[Revenue]]&gt;=20000,"Medium",Sales_Table[[#This Row],[Revenue]]&lt;20000,"Low")</f>
        <v>Medium</v>
      </c>
      <c r="Y68" t="str">
        <f>IF(Sales_Table[[#This Row],[Payment Method_clean]]="cash","Offline","Online")</f>
        <v>Online</v>
      </c>
      <c r="Z68">
        <f>IFERROR(Sales_Table[[#This Row],[Revenue]],0)</f>
        <v>23463</v>
      </c>
    </row>
    <row r="69" spans="1:26" x14ac:dyDescent="0.3">
      <c r="A69">
        <v>68</v>
      </c>
      <c r="B69" s="2">
        <f t="shared" si="7"/>
        <v>45294.791666666664</v>
      </c>
      <c r="C69" t="s">
        <v>263</v>
      </c>
      <c r="D69" t="s">
        <v>45</v>
      </c>
      <c r="E69" t="str">
        <f>PROPER(TRIM(CLEAN(Sales_Table[[#This Row],[Region]])))</f>
        <v>North</v>
      </c>
      <c r="F69" t="s">
        <v>78</v>
      </c>
      <c r="G69" t="str">
        <f t="shared" si="8"/>
        <v>Grocery</v>
      </c>
      <c r="H69" t="str">
        <f>PROPER(TRIM(CLEAN(Sales_Table[[#This Row],[Product Name]])))</f>
        <v>Rice 5Kg</v>
      </c>
      <c r="I69" t="s">
        <v>73</v>
      </c>
      <c r="J69" t="str">
        <f t="shared" si="9"/>
        <v>CUST0207</v>
      </c>
      <c r="K69" t="s">
        <v>264</v>
      </c>
      <c r="L69" t="str">
        <f>PROPER(TRIM(CLEAN(Sales_Table[[#This Row],[Salesperson]])))</f>
        <v>Meena</v>
      </c>
      <c r="M69" t="s">
        <v>40</v>
      </c>
      <c r="N69" t="str">
        <f t="shared" si="10"/>
        <v>Debit Card</v>
      </c>
      <c r="O69" t="s">
        <v>41</v>
      </c>
      <c r="P69">
        <f t="shared" si="11"/>
        <v>2</v>
      </c>
      <c r="Q69" t="s">
        <v>196</v>
      </c>
      <c r="R69">
        <f t="shared" si="12"/>
        <v>1714</v>
      </c>
      <c r="S69" t="s">
        <v>265</v>
      </c>
      <c r="T69">
        <f t="shared" si="13"/>
        <v>3428</v>
      </c>
      <c r="U69">
        <f>YEAR(Sales_Table[[#This Row],[Date_clean]])</f>
        <v>2024</v>
      </c>
      <c r="V69" t="str">
        <f>TEXT(Sales_Table[[#This Row],[Date_clean]],"mmmm")</f>
        <v>January</v>
      </c>
      <c r="W69">
        <f>WEEKNUM(Sales_Table[[#This Row],[Date_clean]],2)</f>
        <v>1</v>
      </c>
      <c r="X69" t="str" cm="1">
        <f t="array" ref="X69">_xlfn.IFS(Sales_Table[[#This Row],[Revenue]]&gt;=50000,"High",Sales_Table[[#This Row],[Revenue]]&gt;=20000,"Medium",Sales_Table[[#This Row],[Revenue]]&lt;20000,"Low")</f>
        <v>Low</v>
      </c>
      <c r="Y69" t="str">
        <f>IF(Sales_Table[[#This Row],[Payment Method_clean]]="cash","Offline","Online")</f>
        <v>Online</v>
      </c>
      <c r="Z69">
        <f>IFERROR(Sales_Table[[#This Row],[Revenue]],0)</f>
        <v>3428</v>
      </c>
    </row>
    <row r="70" spans="1:26" x14ac:dyDescent="0.3">
      <c r="A70">
        <v>69</v>
      </c>
      <c r="B70" s="2">
        <f t="shared" si="7"/>
        <v>45294.833333333336</v>
      </c>
      <c r="C70" t="s">
        <v>266</v>
      </c>
      <c r="D70" t="s">
        <v>36</v>
      </c>
      <c r="E70" t="str">
        <f>PROPER(TRIM(CLEAN(Sales_Table[[#This Row],[Region]])))</f>
        <v>West</v>
      </c>
      <c r="F70" t="s">
        <v>46</v>
      </c>
      <c r="G70" t="str">
        <f t="shared" si="8"/>
        <v>Electronics</v>
      </c>
      <c r="H70" t="str">
        <f>PROPER(TRIM(CLEAN(Sales_Table[[#This Row],[Product Name]])))</f>
        <v>Laptop</v>
      </c>
      <c r="I70" t="s">
        <v>52</v>
      </c>
      <c r="J70" t="str">
        <f t="shared" si="9"/>
        <v>CUST0336</v>
      </c>
      <c r="K70" t="s">
        <v>267</v>
      </c>
      <c r="L70" t="str">
        <f>PROPER(TRIM(CLEAN(Sales_Table[[#This Row],[Salesperson]])))</f>
        <v>Rahul</v>
      </c>
      <c r="M70" t="s">
        <v>31</v>
      </c>
      <c r="N70" t="str">
        <f t="shared" si="10"/>
        <v>Credit Card</v>
      </c>
      <c r="O70" t="s">
        <v>65</v>
      </c>
      <c r="P70">
        <f t="shared" si="11"/>
        <v>1</v>
      </c>
      <c r="Q70" t="s">
        <v>93</v>
      </c>
      <c r="R70">
        <f t="shared" si="12"/>
        <v>4655</v>
      </c>
      <c r="S70" t="s">
        <v>268</v>
      </c>
      <c r="T70">
        <f t="shared" si="13"/>
        <v>4655</v>
      </c>
      <c r="U70">
        <f>YEAR(Sales_Table[[#This Row],[Date_clean]])</f>
        <v>2024</v>
      </c>
      <c r="V70" t="str">
        <f>TEXT(Sales_Table[[#This Row],[Date_clean]],"mmmm")</f>
        <v>January</v>
      </c>
      <c r="W70">
        <f>WEEKNUM(Sales_Table[[#This Row],[Date_clean]],2)</f>
        <v>1</v>
      </c>
      <c r="X70" t="str" cm="1">
        <f t="array" ref="X70">_xlfn.IFS(Sales_Table[[#This Row],[Revenue]]&gt;=50000,"High",Sales_Table[[#This Row],[Revenue]]&gt;=20000,"Medium",Sales_Table[[#This Row],[Revenue]]&lt;20000,"Low")</f>
        <v>Low</v>
      </c>
      <c r="Y70" t="str">
        <f>IF(Sales_Table[[#This Row],[Payment Method_clean]]="cash","Offline","Online")</f>
        <v>Online</v>
      </c>
      <c r="Z70">
        <f>IFERROR(Sales_Table[[#This Row],[Revenue]],0)</f>
        <v>4655</v>
      </c>
    </row>
    <row r="71" spans="1:26" x14ac:dyDescent="0.3">
      <c r="A71">
        <v>70</v>
      </c>
      <c r="B71" s="2">
        <f t="shared" si="7"/>
        <v>45294.875</v>
      </c>
      <c r="C71" t="s">
        <v>269</v>
      </c>
      <c r="D71" t="s">
        <v>84</v>
      </c>
      <c r="E71" t="str">
        <f>PROPER(TRIM(CLEAN(Sales_Table[[#This Row],[Region]])))</f>
        <v>South</v>
      </c>
      <c r="F71" t="s">
        <v>28</v>
      </c>
      <c r="G71" t="str">
        <f t="shared" si="8"/>
        <v>Clothing</v>
      </c>
      <c r="H71" t="str">
        <f>PROPER(TRIM(CLEAN(Sales_Table[[#This Row],[Product Name]])))</f>
        <v>Rice 5Kg</v>
      </c>
      <c r="I71" t="s">
        <v>73</v>
      </c>
      <c r="J71" t="str">
        <f t="shared" si="9"/>
        <v>CUST0593</v>
      </c>
      <c r="K71" t="s">
        <v>270</v>
      </c>
      <c r="L71" t="str">
        <f>PROPER(TRIM(CLEAN(Sales_Table[[#This Row],[Salesperson]])))</f>
        <v>Rahul</v>
      </c>
      <c r="M71" t="s">
        <v>31</v>
      </c>
      <c r="N71" t="str">
        <f t="shared" si="10"/>
        <v>Upi</v>
      </c>
      <c r="O71" t="s">
        <v>48</v>
      </c>
      <c r="P71">
        <f t="shared" si="11"/>
        <v>2</v>
      </c>
      <c r="Q71" t="s">
        <v>196</v>
      </c>
      <c r="R71">
        <f t="shared" si="12"/>
        <v>2516</v>
      </c>
      <c r="S71" t="s">
        <v>271</v>
      </c>
      <c r="T71">
        <f t="shared" si="13"/>
        <v>5032</v>
      </c>
      <c r="U71">
        <f>YEAR(Sales_Table[[#This Row],[Date_clean]])</f>
        <v>2024</v>
      </c>
      <c r="V71" t="str">
        <f>TEXT(Sales_Table[[#This Row],[Date_clean]],"mmmm")</f>
        <v>January</v>
      </c>
      <c r="W71">
        <f>WEEKNUM(Sales_Table[[#This Row],[Date_clean]],2)</f>
        <v>1</v>
      </c>
      <c r="X71" t="str" cm="1">
        <f t="array" ref="X71">_xlfn.IFS(Sales_Table[[#This Row],[Revenue]]&gt;=50000,"High",Sales_Table[[#This Row],[Revenue]]&gt;=20000,"Medium",Sales_Table[[#This Row],[Revenue]]&lt;20000,"Low")</f>
        <v>Low</v>
      </c>
      <c r="Y71" t="str">
        <f>IF(Sales_Table[[#This Row],[Payment Method_clean]]="cash","Offline","Online")</f>
        <v>Online</v>
      </c>
      <c r="Z71">
        <f>IFERROR(Sales_Table[[#This Row],[Revenue]],0)</f>
        <v>5032</v>
      </c>
    </row>
    <row r="72" spans="1:26" x14ac:dyDescent="0.3">
      <c r="A72">
        <v>71</v>
      </c>
      <c r="B72" s="2">
        <f t="shared" si="7"/>
        <v>45294.916666666664</v>
      </c>
      <c r="C72" t="s">
        <v>272</v>
      </c>
      <c r="D72" t="s">
        <v>84</v>
      </c>
      <c r="E72" t="str">
        <f>PROPER(TRIM(CLEAN(Sales_Table[[#This Row],[Region]])))</f>
        <v>South</v>
      </c>
      <c r="F72" t="s">
        <v>78</v>
      </c>
      <c r="G72" t="str">
        <f t="shared" si="8"/>
        <v>Grocery</v>
      </c>
      <c r="H72" t="str">
        <f>PROPER(TRIM(CLEAN(Sales_Table[[#This Row],[Product Name]])))</f>
        <v>Rice 5Kg</v>
      </c>
      <c r="I72" t="s">
        <v>73</v>
      </c>
      <c r="J72" t="str">
        <f t="shared" si="9"/>
        <v>CUST0730</v>
      </c>
      <c r="K72" t="s">
        <v>273</v>
      </c>
      <c r="L72" t="str">
        <f>PROPER(TRIM(CLEAN(Sales_Table[[#This Row],[Salesperson]])))</f>
        <v>Rahul</v>
      </c>
      <c r="M72" t="s">
        <v>31</v>
      </c>
      <c r="N72" t="str">
        <f t="shared" si="10"/>
        <v>Debit Card</v>
      </c>
      <c r="O72" t="s">
        <v>41</v>
      </c>
      <c r="P72">
        <f t="shared" si="11"/>
        <v>7</v>
      </c>
      <c r="Q72" t="s">
        <v>49</v>
      </c>
      <c r="R72">
        <f t="shared" si="12"/>
        <v>4741</v>
      </c>
      <c r="S72" t="s">
        <v>274</v>
      </c>
      <c r="T72">
        <f t="shared" si="13"/>
        <v>33187</v>
      </c>
      <c r="U72">
        <f>YEAR(Sales_Table[[#This Row],[Date_clean]])</f>
        <v>2024</v>
      </c>
      <c r="V72" t="str">
        <f>TEXT(Sales_Table[[#This Row],[Date_clean]],"mmmm")</f>
        <v>January</v>
      </c>
      <c r="W72">
        <f>WEEKNUM(Sales_Table[[#This Row],[Date_clean]],2)</f>
        <v>1</v>
      </c>
      <c r="X72" t="str" cm="1">
        <f t="array" ref="X72">_xlfn.IFS(Sales_Table[[#This Row],[Revenue]]&gt;=50000,"High",Sales_Table[[#This Row],[Revenue]]&gt;=20000,"Medium",Sales_Table[[#This Row],[Revenue]]&lt;20000,"Low")</f>
        <v>Medium</v>
      </c>
      <c r="Y72" t="str">
        <f>IF(Sales_Table[[#This Row],[Payment Method_clean]]="cash","Offline","Online")</f>
        <v>Online</v>
      </c>
      <c r="Z72">
        <f>IFERROR(Sales_Table[[#This Row],[Revenue]],0)</f>
        <v>33187</v>
      </c>
    </row>
    <row r="73" spans="1:26" x14ac:dyDescent="0.3">
      <c r="A73">
        <v>72</v>
      </c>
      <c r="B73" s="2">
        <f t="shared" si="7"/>
        <v>45294.958333333336</v>
      </c>
      <c r="C73" t="s">
        <v>275</v>
      </c>
      <c r="D73" t="s">
        <v>84</v>
      </c>
      <c r="E73" t="str">
        <f>PROPER(TRIM(CLEAN(Sales_Table[[#This Row],[Region]])))</f>
        <v>South</v>
      </c>
      <c r="F73" t="s">
        <v>28</v>
      </c>
      <c r="G73" t="str">
        <f t="shared" si="8"/>
        <v>Clothing</v>
      </c>
      <c r="H73" t="str">
        <f>PROPER(TRIM(CLEAN(Sales_Table[[#This Row],[Product Name]])))</f>
        <v>Led Tv 42Inch</v>
      </c>
      <c r="I73" t="s">
        <v>58</v>
      </c>
      <c r="J73" t="str">
        <f t="shared" si="9"/>
        <v>CUST0514</v>
      </c>
      <c r="K73" t="s">
        <v>276</v>
      </c>
      <c r="L73" t="str">
        <f>PROPER(TRIM(CLEAN(Sales_Table[[#This Row],[Salesperson]])))</f>
        <v>Suresh</v>
      </c>
      <c r="M73" t="s">
        <v>54</v>
      </c>
      <c r="N73" t="str">
        <f t="shared" si="10"/>
        <v>Debit Card</v>
      </c>
      <c r="O73" t="s">
        <v>41</v>
      </c>
      <c r="P73">
        <f t="shared" si="11"/>
        <v>7</v>
      </c>
      <c r="Q73" t="s">
        <v>49</v>
      </c>
      <c r="R73">
        <f t="shared" si="12"/>
        <v>3753</v>
      </c>
      <c r="S73" t="s">
        <v>277</v>
      </c>
      <c r="T73">
        <f t="shared" si="13"/>
        <v>26271</v>
      </c>
      <c r="U73">
        <f>YEAR(Sales_Table[[#This Row],[Date_clean]])</f>
        <v>2024</v>
      </c>
      <c r="V73" t="str">
        <f>TEXT(Sales_Table[[#This Row],[Date_clean]],"mmmm")</f>
        <v>January</v>
      </c>
      <c r="W73">
        <f>WEEKNUM(Sales_Table[[#This Row],[Date_clean]],2)</f>
        <v>1</v>
      </c>
      <c r="X73" t="str" cm="1">
        <f t="array" ref="X73">_xlfn.IFS(Sales_Table[[#This Row],[Revenue]]&gt;=50000,"High",Sales_Table[[#This Row],[Revenue]]&gt;=20000,"Medium",Sales_Table[[#This Row],[Revenue]]&lt;20000,"Low")</f>
        <v>Medium</v>
      </c>
      <c r="Y73" t="str">
        <f>IF(Sales_Table[[#This Row],[Payment Method_clean]]="cash","Offline","Online")</f>
        <v>Online</v>
      </c>
      <c r="Z73">
        <f>IFERROR(Sales_Table[[#This Row],[Revenue]],0)</f>
        <v>26271</v>
      </c>
    </row>
    <row r="74" spans="1:26" x14ac:dyDescent="0.3">
      <c r="A74">
        <v>73</v>
      </c>
      <c r="B74" s="2">
        <f t="shared" si="7"/>
        <v>45295</v>
      </c>
      <c r="C74" t="s">
        <v>278</v>
      </c>
      <c r="D74" t="s">
        <v>45</v>
      </c>
      <c r="E74" t="str">
        <f>PROPER(TRIM(CLEAN(Sales_Table[[#This Row],[Region]])))</f>
        <v>North</v>
      </c>
      <c r="F74" t="s">
        <v>37</v>
      </c>
      <c r="G74" t="str">
        <f t="shared" si="8"/>
        <v>Home Appliances</v>
      </c>
      <c r="H74" t="str">
        <f>PROPER(TRIM(CLEAN(Sales_Table[[#This Row],[Product Name]])))</f>
        <v>Laptop</v>
      </c>
      <c r="I74" t="s">
        <v>52</v>
      </c>
      <c r="J74" t="str">
        <f t="shared" si="9"/>
        <v>CUST0178</v>
      </c>
      <c r="K74" t="s">
        <v>279</v>
      </c>
      <c r="L74" t="str">
        <f>PROPER(TRIM(CLEAN(Sales_Table[[#This Row],[Salesperson]])))</f>
        <v>Rahul</v>
      </c>
      <c r="M74" t="s">
        <v>31</v>
      </c>
      <c r="N74" t="str">
        <f t="shared" si="10"/>
        <v>Upi</v>
      </c>
      <c r="O74" t="s">
        <v>48</v>
      </c>
      <c r="P74">
        <f t="shared" si="11"/>
        <v>10</v>
      </c>
      <c r="Q74" t="s">
        <v>117</v>
      </c>
      <c r="R74">
        <f t="shared" si="12"/>
        <v>596</v>
      </c>
      <c r="S74" t="s">
        <v>280</v>
      </c>
      <c r="T74">
        <f t="shared" si="13"/>
        <v>5960</v>
      </c>
      <c r="U74">
        <f>YEAR(Sales_Table[[#This Row],[Date_clean]])</f>
        <v>2024</v>
      </c>
      <c r="V74" t="str">
        <f>TEXT(Sales_Table[[#This Row],[Date_clean]],"mmmm")</f>
        <v>January</v>
      </c>
      <c r="W74">
        <f>WEEKNUM(Sales_Table[[#This Row],[Date_clean]],2)</f>
        <v>1</v>
      </c>
      <c r="X74" t="str" cm="1">
        <f t="array" ref="X74">_xlfn.IFS(Sales_Table[[#This Row],[Revenue]]&gt;=50000,"High",Sales_Table[[#This Row],[Revenue]]&gt;=20000,"Medium",Sales_Table[[#This Row],[Revenue]]&lt;20000,"Low")</f>
        <v>Low</v>
      </c>
      <c r="Y74" t="str">
        <f>IF(Sales_Table[[#This Row],[Payment Method_clean]]="cash","Offline","Online")</f>
        <v>Online</v>
      </c>
      <c r="Z74">
        <f>IFERROR(Sales_Table[[#This Row],[Revenue]],0)</f>
        <v>5960</v>
      </c>
    </row>
    <row r="75" spans="1:26" x14ac:dyDescent="0.3">
      <c r="A75">
        <v>74</v>
      </c>
      <c r="B75" s="2">
        <f t="shared" si="7"/>
        <v>45295.041666666664</v>
      </c>
      <c r="C75" t="s">
        <v>281</v>
      </c>
      <c r="D75" t="s">
        <v>84</v>
      </c>
      <c r="E75" t="str">
        <f>PROPER(TRIM(CLEAN(Sales_Table[[#This Row],[Region]])))</f>
        <v>South</v>
      </c>
      <c r="F75" t="s">
        <v>46</v>
      </c>
      <c r="G75" t="str">
        <f t="shared" si="8"/>
        <v>Electronics</v>
      </c>
      <c r="H75" t="str">
        <f>PROPER(TRIM(CLEAN(Sales_Table[[#This Row],[Product Name]])))</f>
        <v>Laptop</v>
      </c>
      <c r="I75" t="s">
        <v>52</v>
      </c>
      <c r="J75" t="str">
        <f t="shared" si="9"/>
        <v>CUST0396</v>
      </c>
      <c r="K75" t="s">
        <v>282</v>
      </c>
      <c r="L75" t="str">
        <f>PROPER(TRIM(CLEAN(Sales_Table[[#This Row],[Salesperson]])))</f>
        <v>Meena</v>
      </c>
      <c r="M75" t="s">
        <v>40</v>
      </c>
      <c r="N75" t="str">
        <f t="shared" si="10"/>
        <v>Net Banking</v>
      </c>
      <c r="O75" t="s">
        <v>60</v>
      </c>
      <c r="P75">
        <f t="shared" si="11"/>
        <v>6</v>
      </c>
      <c r="Q75" t="s">
        <v>75</v>
      </c>
      <c r="R75">
        <f t="shared" si="12"/>
        <v>604</v>
      </c>
      <c r="S75" t="s">
        <v>283</v>
      </c>
      <c r="T75">
        <f t="shared" si="13"/>
        <v>3624</v>
      </c>
      <c r="U75">
        <f>YEAR(Sales_Table[[#This Row],[Date_clean]])</f>
        <v>2024</v>
      </c>
      <c r="V75" t="str">
        <f>TEXT(Sales_Table[[#This Row],[Date_clean]],"mmmm")</f>
        <v>January</v>
      </c>
      <c r="W75">
        <f>WEEKNUM(Sales_Table[[#This Row],[Date_clean]],2)</f>
        <v>1</v>
      </c>
      <c r="X75" t="str" cm="1">
        <f t="array" ref="X75">_xlfn.IFS(Sales_Table[[#This Row],[Revenue]]&gt;=50000,"High",Sales_Table[[#This Row],[Revenue]]&gt;=20000,"Medium",Sales_Table[[#This Row],[Revenue]]&lt;20000,"Low")</f>
        <v>Low</v>
      </c>
      <c r="Y75" t="str">
        <f>IF(Sales_Table[[#This Row],[Payment Method_clean]]="cash","Offline","Online")</f>
        <v>Online</v>
      </c>
      <c r="Z75">
        <f>IFERROR(Sales_Table[[#This Row],[Revenue]],0)</f>
        <v>3624</v>
      </c>
    </row>
    <row r="76" spans="1:26" x14ac:dyDescent="0.3">
      <c r="A76">
        <v>75</v>
      </c>
      <c r="B76" s="2">
        <f t="shared" si="7"/>
        <v>45295.083333333336</v>
      </c>
      <c r="C76" t="s">
        <v>284</v>
      </c>
      <c r="D76" t="s">
        <v>45</v>
      </c>
      <c r="E76" t="str">
        <f>PROPER(TRIM(CLEAN(Sales_Table[[#This Row],[Region]])))</f>
        <v>North</v>
      </c>
      <c r="F76" t="s">
        <v>28</v>
      </c>
      <c r="G76" t="str">
        <f t="shared" si="8"/>
        <v>Clothing</v>
      </c>
      <c r="H76" t="str">
        <f>PROPER(TRIM(CLEAN(Sales_Table[[#This Row],[Product Name]])))</f>
        <v>Laptop</v>
      </c>
      <c r="I76" t="s">
        <v>52</v>
      </c>
      <c r="J76" t="str">
        <f t="shared" si="9"/>
        <v>CUST0371</v>
      </c>
      <c r="K76" t="s">
        <v>285</v>
      </c>
      <c r="L76" t="str">
        <f>PROPER(TRIM(CLEAN(Sales_Table[[#This Row],[Salesperson]])))</f>
        <v>Suresh</v>
      </c>
      <c r="M76" t="s">
        <v>54</v>
      </c>
      <c r="N76" t="str">
        <f t="shared" si="10"/>
        <v>Debit Card</v>
      </c>
      <c r="O76" t="s">
        <v>41</v>
      </c>
      <c r="P76">
        <f t="shared" si="11"/>
        <v>5</v>
      </c>
      <c r="Q76" t="s">
        <v>89</v>
      </c>
      <c r="R76">
        <f t="shared" si="12"/>
        <v>3486</v>
      </c>
      <c r="S76" t="s">
        <v>286</v>
      </c>
      <c r="T76">
        <f t="shared" si="13"/>
        <v>17430</v>
      </c>
      <c r="U76">
        <f>YEAR(Sales_Table[[#This Row],[Date_clean]])</f>
        <v>2024</v>
      </c>
      <c r="V76" t="str">
        <f>TEXT(Sales_Table[[#This Row],[Date_clean]],"mmmm")</f>
        <v>January</v>
      </c>
      <c r="W76">
        <f>WEEKNUM(Sales_Table[[#This Row],[Date_clean]],2)</f>
        <v>1</v>
      </c>
      <c r="X76" t="str" cm="1">
        <f t="array" ref="X76">_xlfn.IFS(Sales_Table[[#This Row],[Revenue]]&gt;=50000,"High",Sales_Table[[#This Row],[Revenue]]&gt;=20000,"Medium",Sales_Table[[#This Row],[Revenue]]&lt;20000,"Low")</f>
        <v>Low</v>
      </c>
      <c r="Y76" t="str">
        <f>IF(Sales_Table[[#This Row],[Payment Method_clean]]="cash","Offline","Online")</f>
        <v>Online</v>
      </c>
      <c r="Z76">
        <f>IFERROR(Sales_Table[[#This Row],[Revenue]],0)</f>
        <v>17430</v>
      </c>
    </row>
    <row r="77" spans="1:26" x14ac:dyDescent="0.3">
      <c r="A77">
        <v>76</v>
      </c>
      <c r="B77" s="2">
        <f t="shared" si="7"/>
        <v>45295.125</v>
      </c>
      <c r="C77" t="s">
        <v>287</v>
      </c>
      <c r="D77" t="s">
        <v>84</v>
      </c>
      <c r="E77" t="str">
        <f>PROPER(TRIM(CLEAN(Sales_Table[[#This Row],[Region]])))</f>
        <v>South</v>
      </c>
      <c r="F77" t="s">
        <v>28</v>
      </c>
      <c r="G77" t="str">
        <f t="shared" si="8"/>
        <v>Clothing</v>
      </c>
      <c r="H77" t="str">
        <f>PROPER(TRIM(CLEAN(Sales_Table[[#This Row],[Product Name]])))</f>
        <v>Led Tv 42Inch</v>
      </c>
      <c r="I77" t="s">
        <v>58</v>
      </c>
      <c r="J77" t="str">
        <f t="shared" si="9"/>
        <v>CUST0791</v>
      </c>
      <c r="K77" t="s">
        <v>288</v>
      </c>
      <c r="L77" t="str">
        <f>PROPER(TRIM(CLEAN(Sales_Table[[#This Row],[Salesperson]])))</f>
        <v>Karthik</v>
      </c>
      <c r="M77" t="s">
        <v>70</v>
      </c>
      <c r="N77" t="str">
        <f t="shared" si="10"/>
        <v>Cash</v>
      </c>
      <c r="O77" t="s">
        <v>32</v>
      </c>
      <c r="P77">
        <f t="shared" si="11"/>
        <v>3</v>
      </c>
      <c r="Q77" t="s">
        <v>66</v>
      </c>
      <c r="R77">
        <f t="shared" si="12"/>
        <v>2308</v>
      </c>
      <c r="S77" t="s">
        <v>289</v>
      </c>
      <c r="T77">
        <f t="shared" si="13"/>
        <v>6924</v>
      </c>
      <c r="U77">
        <f>YEAR(Sales_Table[[#This Row],[Date_clean]])</f>
        <v>2024</v>
      </c>
      <c r="V77" t="str">
        <f>TEXT(Sales_Table[[#This Row],[Date_clean]],"mmmm")</f>
        <v>January</v>
      </c>
      <c r="W77">
        <f>WEEKNUM(Sales_Table[[#This Row],[Date_clean]],2)</f>
        <v>1</v>
      </c>
      <c r="X77" t="str" cm="1">
        <f t="array" ref="X77">_xlfn.IFS(Sales_Table[[#This Row],[Revenue]]&gt;=50000,"High",Sales_Table[[#This Row],[Revenue]]&gt;=20000,"Medium",Sales_Table[[#This Row],[Revenue]]&lt;20000,"Low")</f>
        <v>Low</v>
      </c>
      <c r="Y77" t="str">
        <f>IF(Sales_Table[[#This Row],[Payment Method_clean]]="cash","Offline","Online")</f>
        <v>Offline</v>
      </c>
      <c r="Z77">
        <f>IFERROR(Sales_Table[[#This Row],[Revenue]],0)</f>
        <v>6924</v>
      </c>
    </row>
    <row r="78" spans="1:26" x14ac:dyDescent="0.3">
      <c r="A78">
        <v>77</v>
      </c>
      <c r="B78" s="2">
        <f t="shared" si="7"/>
        <v>45295.166666666664</v>
      </c>
      <c r="C78" t="s">
        <v>290</v>
      </c>
      <c r="D78" t="s">
        <v>36</v>
      </c>
      <c r="E78" t="str">
        <f>PROPER(TRIM(CLEAN(Sales_Table[[#This Row],[Region]])))</f>
        <v>West</v>
      </c>
      <c r="F78" t="s">
        <v>37</v>
      </c>
      <c r="G78" t="str">
        <f t="shared" si="8"/>
        <v>Home Appliances</v>
      </c>
      <c r="H78" t="str">
        <f>PROPER(TRIM(CLEAN(Sales_Table[[#This Row],[Product Name]])))</f>
        <v>Rice 5Kg</v>
      </c>
      <c r="I78" t="s">
        <v>73</v>
      </c>
      <c r="J78" t="str">
        <f t="shared" si="9"/>
        <v>CUST0658</v>
      </c>
      <c r="K78" t="s">
        <v>291</v>
      </c>
      <c r="L78" t="str">
        <f>PROPER(TRIM(CLEAN(Sales_Table[[#This Row],[Salesperson]])))</f>
        <v>Anita</v>
      </c>
      <c r="M78" t="s">
        <v>64</v>
      </c>
      <c r="N78" t="str">
        <f t="shared" si="10"/>
        <v>Credit Card</v>
      </c>
      <c r="O78" t="s">
        <v>65</v>
      </c>
      <c r="P78">
        <f t="shared" si="11"/>
        <v>14</v>
      </c>
      <c r="Q78" t="s">
        <v>55</v>
      </c>
      <c r="R78">
        <f t="shared" si="12"/>
        <v>4913</v>
      </c>
      <c r="S78" t="s">
        <v>292</v>
      </c>
      <c r="T78">
        <f t="shared" si="13"/>
        <v>68782</v>
      </c>
      <c r="U78">
        <f>YEAR(Sales_Table[[#This Row],[Date_clean]])</f>
        <v>2024</v>
      </c>
      <c r="V78" t="str">
        <f>TEXT(Sales_Table[[#This Row],[Date_clean]],"mmmm")</f>
        <v>January</v>
      </c>
      <c r="W78">
        <f>WEEKNUM(Sales_Table[[#This Row],[Date_clean]],2)</f>
        <v>1</v>
      </c>
      <c r="X78" t="str" cm="1">
        <f t="array" ref="X78">_xlfn.IFS(Sales_Table[[#This Row],[Revenue]]&gt;=50000,"High",Sales_Table[[#This Row],[Revenue]]&gt;=20000,"Medium",Sales_Table[[#This Row],[Revenue]]&lt;20000,"Low")</f>
        <v>High</v>
      </c>
      <c r="Y78" t="str">
        <f>IF(Sales_Table[[#This Row],[Payment Method_clean]]="cash","Offline","Online")</f>
        <v>Online</v>
      </c>
      <c r="Z78">
        <f>IFERROR(Sales_Table[[#This Row],[Revenue]],0)</f>
        <v>68782</v>
      </c>
    </row>
    <row r="79" spans="1:26" x14ac:dyDescent="0.3">
      <c r="A79">
        <v>78</v>
      </c>
      <c r="B79" s="2">
        <f t="shared" si="7"/>
        <v>45295.208333333336</v>
      </c>
      <c r="C79" t="s">
        <v>293</v>
      </c>
      <c r="D79" t="s">
        <v>36</v>
      </c>
      <c r="E79" t="str">
        <f>PROPER(TRIM(CLEAN(Sales_Table[[#This Row],[Region]])))</f>
        <v>West</v>
      </c>
      <c r="F79" t="s">
        <v>28</v>
      </c>
      <c r="G79" t="str">
        <f t="shared" si="8"/>
        <v>Clothing</v>
      </c>
      <c r="H79" t="str">
        <f>PROPER(TRIM(CLEAN(Sales_Table[[#This Row],[Product Name]])))</f>
        <v>Led Tv 42Inch</v>
      </c>
      <c r="I79" t="s">
        <v>58</v>
      </c>
      <c r="J79" t="str">
        <f t="shared" si="9"/>
        <v>CUST0318</v>
      </c>
      <c r="K79" t="s">
        <v>294</v>
      </c>
      <c r="L79" t="str">
        <f>PROPER(TRIM(CLEAN(Sales_Table[[#This Row],[Salesperson]])))</f>
        <v>Rahul</v>
      </c>
      <c r="M79" t="s">
        <v>31</v>
      </c>
      <c r="N79" t="str">
        <f t="shared" si="10"/>
        <v>Debit Card</v>
      </c>
      <c r="O79" t="s">
        <v>41</v>
      </c>
      <c r="P79">
        <f t="shared" si="11"/>
        <v>12</v>
      </c>
      <c r="Q79" t="s">
        <v>33</v>
      </c>
      <c r="R79">
        <f t="shared" si="12"/>
        <v>3316</v>
      </c>
      <c r="S79" t="s">
        <v>295</v>
      </c>
      <c r="T79">
        <f t="shared" si="13"/>
        <v>39792</v>
      </c>
      <c r="U79">
        <f>YEAR(Sales_Table[[#This Row],[Date_clean]])</f>
        <v>2024</v>
      </c>
      <c r="V79" t="str">
        <f>TEXT(Sales_Table[[#This Row],[Date_clean]],"mmmm")</f>
        <v>January</v>
      </c>
      <c r="W79">
        <f>WEEKNUM(Sales_Table[[#This Row],[Date_clean]],2)</f>
        <v>1</v>
      </c>
      <c r="X79" t="str" cm="1">
        <f t="array" ref="X79">_xlfn.IFS(Sales_Table[[#This Row],[Revenue]]&gt;=50000,"High",Sales_Table[[#This Row],[Revenue]]&gt;=20000,"Medium",Sales_Table[[#This Row],[Revenue]]&lt;20000,"Low")</f>
        <v>Medium</v>
      </c>
      <c r="Y79" t="str">
        <f>IF(Sales_Table[[#This Row],[Payment Method_clean]]="cash","Offline","Online")</f>
        <v>Online</v>
      </c>
      <c r="Z79">
        <f>IFERROR(Sales_Table[[#This Row],[Revenue]],0)</f>
        <v>39792</v>
      </c>
    </row>
    <row r="80" spans="1:26" x14ac:dyDescent="0.3">
      <c r="A80">
        <v>79</v>
      </c>
      <c r="B80" s="2">
        <f t="shared" si="7"/>
        <v>45295.25</v>
      </c>
      <c r="C80" t="s">
        <v>296</v>
      </c>
      <c r="D80" t="s">
        <v>27</v>
      </c>
      <c r="E80" t="str">
        <f>PROPER(TRIM(CLEAN(Sales_Table[[#This Row],[Region]])))</f>
        <v>East</v>
      </c>
      <c r="F80" t="s">
        <v>28</v>
      </c>
      <c r="G80" t="str">
        <f t="shared" si="8"/>
        <v>Clothing</v>
      </c>
      <c r="H80" t="str">
        <f>PROPER(TRIM(CLEAN(Sales_Table[[#This Row],[Product Name]])))</f>
        <v>Washing Machine</v>
      </c>
      <c r="I80" t="s">
        <v>79</v>
      </c>
      <c r="J80" t="str">
        <f t="shared" si="9"/>
        <v>CUST0736</v>
      </c>
      <c r="K80" t="s">
        <v>297</v>
      </c>
      <c r="L80" t="str">
        <f>PROPER(TRIM(CLEAN(Sales_Table[[#This Row],[Salesperson]])))</f>
        <v>Karthik</v>
      </c>
      <c r="M80" t="s">
        <v>70</v>
      </c>
      <c r="N80" t="str">
        <f t="shared" si="10"/>
        <v>Debit Card</v>
      </c>
      <c r="O80" t="s">
        <v>41</v>
      </c>
      <c r="P80">
        <f t="shared" si="11"/>
        <v>3</v>
      </c>
      <c r="Q80" t="s">
        <v>66</v>
      </c>
      <c r="R80">
        <f t="shared" si="12"/>
        <v>3766</v>
      </c>
      <c r="S80" t="s">
        <v>298</v>
      </c>
      <c r="T80">
        <f t="shared" si="13"/>
        <v>11298</v>
      </c>
      <c r="U80">
        <f>YEAR(Sales_Table[[#This Row],[Date_clean]])</f>
        <v>2024</v>
      </c>
      <c r="V80" t="str">
        <f>TEXT(Sales_Table[[#This Row],[Date_clean]],"mmmm")</f>
        <v>January</v>
      </c>
      <c r="W80">
        <f>WEEKNUM(Sales_Table[[#This Row],[Date_clean]],2)</f>
        <v>1</v>
      </c>
      <c r="X80" t="str" cm="1">
        <f t="array" ref="X80">_xlfn.IFS(Sales_Table[[#This Row],[Revenue]]&gt;=50000,"High",Sales_Table[[#This Row],[Revenue]]&gt;=20000,"Medium",Sales_Table[[#This Row],[Revenue]]&lt;20000,"Low")</f>
        <v>Low</v>
      </c>
      <c r="Y80" t="str">
        <f>IF(Sales_Table[[#This Row],[Payment Method_clean]]="cash","Offline","Online")</f>
        <v>Online</v>
      </c>
      <c r="Z80">
        <f>IFERROR(Sales_Table[[#This Row],[Revenue]],0)</f>
        <v>11298</v>
      </c>
    </row>
    <row r="81" spans="1:26" x14ac:dyDescent="0.3">
      <c r="A81">
        <v>80</v>
      </c>
      <c r="B81" s="2">
        <f t="shared" si="7"/>
        <v>45295.291666666664</v>
      </c>
      <c r="C81" t="s">
        <v>299</v>
      </c>
      <c r="D81" t="s">
        <v>36</v>
      </c>
      <c r="E81" t="str">
        <f>PROPER(TRIM(CLEAN(Sales_Table[[#This Row],[Region]])))</f>
        <v>West</v>
      </c>
      <c r="F81" t="s">
        <v>37</v>
      </c>
      <c r="G81" t="str">
        <f t="shared" si="8"/>
        <v>Home Appliances</v>
      </c>
      <c r="H81" t="str">
        <f>PROPER(TRIM(CLEAN(Sales_Table[[#This Row],[Product Name]])))</f>
        <v>Washing Machine</v>
      </c>
      <c r="I81" t="s">
        <v>79</v>
      </c>
      <c r="J81" t="str">
        <f t="shared" si="9"/>
        <v>CUST0369</v>
      </c>
      <c r="K81" t="s">
        <v>300</v>
      </c>
      <c r="L81" t="str">
        <f>PROPER(TRIM(CLEAN(Sales_Table[[#This Row],[Salesperson]])))</f>
        <v>Meena</v>
      </c>
      <c r="M81" t="s">
        <v>40</v>
      </c>
      <c r="N81" t="str">
        <f t="shared" si="10"/>
        <v>Net Banking</v>
      </c>
      <c r="O81" t="s">
        <v>60</v>
      </c>
      <c r="P81">
        <f t="shared" si="11"/>
        <v>11</v>
      </c>
      <c r="Q81" t="s">
        <v>97</v>
      </c>
      <c r="R81">
        <f t="shared" si="12"/>
        <v>1508</v>
      </c>
      <c r="S81" t="s">
        <v>301</v>
      </c>
      <c r="T81">
        <f t="shared" si="13"/>
        <v>16588</v>
      </c>
      <c r="U81">
        <f>YEAR(Sales_Table[[#This Row],[Date_clean]])</f>
        <v>2024</v>
      </c>
      <c r="V81" t="str">
        <f>TEXT(Sales_Table[[#This Row],[Date_clean]],"mmmm")</f>
        <v>January</v>
      </c>
      <c r="W81">
        <f>WEEKNUM(Sales_Table[[#This Row],[Date_clean]],2)</f>
        <v>1</v>
      </c>
      <c r="X81" t="str" cm="1">
        <f t="array" ref="X81">_xlfn.IFS(Sales_Table[[#This Row],[Revenue]]&gt;=50000,"High",Sales_Table[[#This Row],[Revenue]]&gt;=20000,"Medium",Sales_Table[[#This Row],[Revenue]]&lt;20000,"Low")</f>
        <v>Low</v>
      </c>
      <c r="Y81" t="str">
        <f>IF(Sales_Table[[#This Row],[Payment Method_clean]]="cash","Offline","Online")</f>
        <v>Online</v>
      </c>
      <c r="Z81">
        <f>IFERROR(Sales_Table[[#This Row],[Revenue]],0)</f>
        <v>16588</v>
      </c>
    </row>
    <row r="82" spans="1:26" x14ac:dyDescent="0.3">
      <c r="A82">
        <v>81</v>
      </c>
      <c r="B82" s="2">
        <f t="shared" si="7"/>
        <v>45295.333333333336</v>
      </c>
      <c r="C82" t="s">
        <v>302</v>
      </c>
      <c r="D82" t="s">
        <v>27</v>
      </c>
      <c r="E82" t="str">
        <f>PROPER(TRIM(CLEAN(Sales_Table[[#This Row],[Region]])))</f>
        <v>East</v>
      </c>
      <c r="F82" t="s">
        <v>78</v>
      </c>
      <c r="G82" t="str">
        <f t="shared" si="8"/>
        <v>Grocery</v>
      </c>
      <c r="H82" t="str">
        <f>PROPER(TRIM(CLEAN(Sales_Table[[#This Row],[Product Name]])))</f>
        <v>Led Tv 42Inch</v>
      </c>
      <c r="I82" t="s">
        <v>58</v>
      </c>
      <c r="J82" t="str">
        <f t="shared" si="9"/>
        <v>CUST0384</v>
      </c>
      <c r="K82" t="s">
        <v>303</v>
      </c>
      <c r="L82" t="str">
        <f>PROPER(TRIM(CLEAN(Sales_Table[[#This Row],[Salesperson]])))</f>
        <v>Anita</v>
      </c>
      <c r="M82" t="s">
        <v>64</v>
      </c>
      <c r="N82" t="str">
        <f t="shared" si="10"/>
        <v>Cash</v>
      </c>
      <c r="O82" t="s">
        <v>32</v>
      </c>
      <c r="P82">
        <f t="shared" si="11"/>
        <v>13</v>
      </c>
      <c r="Q82" t="s">
        <v>81</v>
      </c>
      <c r="R82">
        <f t="shared" si="12"/>
        <v>4464</v>
      </c>
      <c r="S82" t="s">
        <v>304</v>
      </c>
      <c r="T82">
        <f t="shared" si="13"/>
        <v>58032</v>
      </c>
      <c r="U82">
        <f>YEAR(Sales_Table[[#This Row],[Date_clean]])</f>
        <v>2024</v>
      </c>
      <c r="V82" t="str">
        <f>TEXT(Sales_Table[[#This Row],[Date_clean]],"mmmm")</f>
        <v>January</v>
      </c>
      <c r="W82">
        <f>WEEKNUM(Sales_Table[[#This Row],[Date_clean]],2)</f>
        <v>1</v>
      </c>
      <c r="X82" t="str" cm="1">
        <f t="array" ref="X82">_xlfn.IFS(Sales_Table[[#This Row],[Revenue]]&gt;=50000,"High",Sales_Table[[#This Row],[Revenue]]&gt;=20000,"Medium",Sales_Table[[#This Row],[Revenue]]&lt;20000,"Low")</f>
        <v>High</v>
      </c>
      <c r="Y82" t="str">
        <f>IF(Sales_Table[[#This Row],[Payment Method_clean]]="cash","Offline","Online")</f>
        <v>Offline</v>
      </c>
      <c r="Z82">
        <f>IFERROR(Sales_Table[[#This Row],[Revenue]],0)</f>
        <v>58032</v>
      </c>
    </row>
    <row r="83" spans="1:26" x14ac:dyDescent="0.3">
      <c r="A83">
        <v>82</v>
      </c>
      <c r="B83" s="2">
        <f t="shared" si="7"/>
        <v>45295.375</v>
      </c>
      <c r="C83" t="s">
        <v>305</v>
      </c>
      <c r="D83" t="s">
        <v>36</v>
      </c>
      <c r="E83" t="str">
        <f>PROPER(TRIM(CLEAN(Sales_Table[[#This Row],[Region]])))</f>
        <v>West</v>
      </c>
      <c r="F83" t="s">
        <v>37</v>
      </c>
      <c r="G83" t="str">
        <f t="shared" si="8"/>
        <v>Home Appliances</v>
      </c>
      <c r="H83" t="str">
        <f>PROPER(TRIM(CLEAN(Sales_Table[[#This Row],[Product Name]])))</f>
        <v>Laptop</v>
      </c>
      <c r="I83" t="s">
        <v>52</v>
      </c>
      <c r="J83" t="str">
        <f t="shared" si="9"/>
        <v>CUST0062</v>
      </c>
      <c r="K83" t="s">
        <v>63</v>
      </c>
      <c r="L83" t="str">
        <f>PROPER(TRIM(CLEAN(Sales_Table[[#This Row],[Salesperson]])))</f>
        <v>Karthik</v>
      </c>
      <c r="M83" t="s">
        <v>70</v>
      </c>
      <c r="N83" t="str">
        <f t="shared" si="10"/>
        <v>Credit Card</v>
      </c>
      <c r="O83" t="s">
        <v>65</v>
      </c>
      <c r="P83">
        <f t="shared" si="11"/>
        <v>12</v>
      </c>
      <c r="Q83" t="s">
        <v>33</v>
      </c>
      <c r="R83">
        <f t="shared" si="12"/>
        <v>4177</v>
      </c>
      <c r="S83" t="s">
        <v>306</v>
      </c>
      <c r="T83">
        <f t="shared" si="13"/>
        <v>50124</v>
      </c>
      <c r="U83">
        <f>YEAR(Sales_Table[[#This Row],[Date_clean]])</f>
        <v>2024</v>
      </c>
      <c r="V83" t="str">
        <f>TEXT(Sales_Table[[#This Row],[Date_clean]],"mmmm")</f>
        <v>January</v>
      </c>
      <c r="W83">
        <f>WEEKNUM(Sales_Table[[#This Row],[Date_clean]],2)</f>
        <v>1</v>
      </c>
      <c r="X83" t="str" cm="1">
        <f t="array" ref="X83">_xlfn.IFS(Sales_Table[[#This Row],[Revenue]]&gt;=50000,"High",Sales_Table[[#This Row],[Revenue]]&gt;=20000,"Medium",Sales_Table[[#This Row],[Revenue]]&lt;20000,"Low")</f>
        <v>High</v>
      </c>
      <c r="Y83" t="str">
        <f>IF(Sales_Table[[#This Row],[Payment Method_clean]]="cash","Offline","Online")</f>
        <v>Online</v>
      </c>
      <c r="Z83">
        <f>IFERROR(Sales_Table[[#This Row],[Revenue]],0)</f>
        <v>50124</v>
      </c>
    </row>
    <row r="84" spans="1:26" x14ac:dyDescent="0.3">
      <c r="A84">
        <v>83</v>
      </c>
      <c r="B84" s="2">
        <f t="shared" si="7"/>
        <v>45295.416666666664</v>
      </c>
      <c r="C84" t="s">
        <v>307</v>
      </c>
      <c r="D84" t="s">
        <v>45</v>
      </c>
      <c r="E84" t="str">
        <f>PROPER(TRIM(CLEAN(Sales_Table[[#This Row],[Region]])))</f>
        <v>North</v>
      </c>
      <c r="F84" t="s">
        <v>78</v>
      </c>
      <c r="G84" t="str">
        <f t="shared" si="8"/>
        <v>Grocery</v>
      </c>
      <c r="H84" t="str">
        <f>PROPER(TRIM(CLEAN(Sales_Table[[#This Row],[Product Name]])))</f>
        <v>Rice 5Kg</v>
      </c>
      <c r="I84" t="s">
        <v>73</v>
      </c>
      <c r="J84" t="str">
        <f t="shared" si="9"/>
        <v>CUST0505</v>
      </c>
      <c r="K84" t="s">
        <v>308</v>
      </c>
      <c r="L84" t="str">
        <f>PROPER(TRIM(CLEAN(Sales_Table[[#This Row],[Salesperson]])))</f>
        <v>Anita</v>
      </c>
      <c r="M84" t="s">
        <v>64</v>
      </c>
      <c r="N84" t="str">
        <f t="shared" si="10"/>
        <v>Debit Card</v>
      </c>
      <c r="O84" t="s">
        <v>41</v>
      </c>
      <c r="P84">
        <f t="shared" si="11"/>
        <v>9</v>
      </c>
      <c r="Q84" t="s">
        <v>130</v>
      </c>
      <c r="R84">
        <f t="shared" si="12"/>
        <v>1577</v>
      </c>
      <c r="S84" t="s">
        <v>309</v>
      </c>
      <c r="T84">
        <f t="shared" si="13"/>
        <v>14193</v>
      </c>
      <c r="U84">
        <f>YEAR(Sales_Table[[#This Row],[Date_clean]])</f>
        <v>2024</v>
      </c>
      <c r="V84" t="str">
        <f>TEXT(Sales_Table[[#This Row],[Date_clean]],"mmmm")</f>
        <v>January</v>
      </c>
      <c r="W84">
        <f>WEEKNUM(Sales_Table[[#This Row],[Date_clean]],2)</f>
        <v>1</v>
      </c>
      <c r="X84" t="str" cm="1">
        <f t="array" ref="X84">_xlfn.IFS(Sales_Table[[#This Row],[Revenue]]&gt;=50000,"High",Sales_Table[[#This Row],[Revenue]]&gt;=20000,"Medium",Sales_Table[[#This Row],[Revenue]]&lt;20000,"Low")</f>
        <v>Low</v>
      </c>
      <c r="Y84" t="str">
        <f>IF(Sales_Table[[#This Row],[Payment Method_clean]]="cash","Offline","Online")</f>
        <v>Online</v>
      </c>
      <c r="Z84">
        <f>IFERROR(Sales_Table[[#This Row],[Revenue]],0)</f>
        <v>14193</v>
      </c>
    </row>
    <row r="85" spans="1:26" x14ac:dyDescent="0.3">
      <c r="A85">
        <v>84</v>
      </c>
      <c r="B85" s="2">
        <f t="shared" si="7"/>
        <v>45295.458333333336</v>
      </c>
      <c r="C85" t="s">
        <v>310</v>
      </c>
      <c r="D85" t="s">
        <v>36</v>
      </c>
      <c r="E85" t="str">
        <f>PROPER(TRIM(CLEAN(Sales_Table[[#This Row],[Region]])))</f>
        <v>West</v>
      </c>
      <c r="F85" t="s">
        <v>46</v>
      </c>
      <c r="G85" t="str">
        <f t="shared" si="8"/>
        <v>Electronics</v>
      </c>
      <c r="H85" t="str">
        <f>PROPER(TRIM(CLEAN(Sales_Table[[#This Row],[Product Name]])))</f>
        <v>Led Tv 42Inch</v>
      </c>
      <c r="I85" t="s">
        <v>58</v>
      </c>
      <c r="J85" t="str">
        <f t="shared" si="9"/>
        <v>CUST0239</v>
      </c>
      <c r="K85" t="s">
        <v>311</v>
      </c>
      <c r="L85" t="str">
        <f>PROPER(TRIM(CLEAN(Sales_Table[[#This Row],[Salesperson]])))</f>
        <v>Rahul</v>
      </c>
      <c r="M85" t="s">
        <v>31</v>
      </c>
      <c r="N85" t="str">
        <f t="shared" si="10"/>
        <v>Credit Card</v>
      </c>
      <c r="O85" t="s">
        <v>65</v>
      </c>
      <c r="P85">
        <f t="shared" si="11"/>
        <v>4</v>
      </c>
      <c r="Q85" t="s">
        <v>113</v>
      </c>
      <c r="R85">
        <f t="shared" si="12"/>
        <v>2497</v>
      </c>
      <c r="S85" t="s">
        <v>312</v>
      </c>
      <c r="T85">
        <f t="shared" si="13"/>
        <v>9988</v>
      </c>
      <c r="U85">
        <f>YEAR(Sales_Table[[#This Row],[Date_clean]])</f>
        <v>2024</v>
      </c>
      <c r="V85" t="str">
        <f>TEXT(Sales_Table[[#This Row],[Date_clean]],"mmmm")</f>
        <v>January</v>
      </c>
      <c r="W85">
        <f>WEEKNUM(Sales_Table[[#This Row],[Date_clean]],2)</f>
        <v>1</v>
      </c>
      <c r="X85" t="str" cm="1">
        <f t="array" ref="X85">_xlfn.IFS(Sales_Table[[#This Row],[Revenue]]&gt;=50000,"High",Sales_Table[[#This Row],[Revenue]]&gt;=20000,"Medium",Sales_Table[[#This Row],[Revenue]]&lt;20000,"Low")</f>
        <v>Low</v>
      </c>
      <c r="Y85" t="str">
        <f>IF(Sales_Table[[#This Row],[Payment Method_clean]]="cash","Offline","Online")</f>
        <v>Online</v>
      </c>
      <c r="Z85">
        <f>IFERROR(Sales_Table[[#This Row],[Revenue]],0)</f>
        <v>9988</v>
      </c>
    </row>
    <row r="86" spans="1:26" x14ac:dyDescent="0.3">
      <c r="A86">
        <v>85</v>
      </c>
      <c r="B86" s="2">
        <f t="shared" si="7"/>
        <v>45295.5</v>
      </c>
      <c r="C86" t="s">
        <v>313</v>
      </c>
      <c r="D86" t="s">
        <v>27</v>
      </c>
      <c r="E86" t="str">
        <f>PROPER(TRIM(CLEAN(Sales_Table[[#This Row],[Region]])))</f>
        <v>East</v>
      </c>
      <c r="F86" t="s">
        <v>78</v>
      </c>
      <c r="G86" t="str">
        <f t="shared" si="8"/>
        <v>Grocery</v>
      </c>
      <c r="H86" t="str">
        <f>PROPER(TRIM(CLEAN(Sales_Table[[#This Row],[Product Name]])))</f>
        <v>Led Tv 42Inch</v>
      </c>
      <c r="I86" t="s">
        <v>58</v>
      </c>
      <c r="J86" t="str">
        <f t="shared" si="9"/>
        <v>CUST0195</v>
      </c>
      <c r="K86" t="s">
        <v>314</v>
      </c>
      <c r="L86" t="str">
        <f>PROPER(TRIM(CLEAN(Sales_Table[[#This Row],[Salesperson]])))</f>
        <v>Meena</v>
      </c>
      <c r="M86" t="s">
        <v>40</v>
      </c>
      <c r="N86" t="str">
        <f t="shared" si="10"/>
        <v>Upi</v>
      </c>
      <c r="O86" t="s">
        <v>48</v>
      </c>
      <c r="P86">
        <f t="shared" si="11"/>
        <v>9</v>
      </c>
      <c r="Q86" t="s">
        <v>130</v>
      </c>
      <c r="R86">
        <f t="shared" si="12"/>
        <v>209</v>
      </c>
      <c r="S86" t="s">
        <v>315</v>
      </c>
      <c r="T86">
        <f t="shared" si="13"/>
        <v>1881</v>
      </c>
      <c r="U86">
        <f>YEAR(Sales_Table[[#This Row],[Date_clean]])</f>
        <v>2024</v>
      </c>
      <c r="V86" t="str">
        <f>TEXT(Sales_Table[[#This Row],[Date_clean]],"mmmm")</f>
        <v>January</v>
      </c>
      <c r="W86">
        <f>WEEKNUM(Sales_Table[[#This Row],[Date_clean]],2)</f>
        <v>1</v>
      </c>
      <c r="X86" t="str" cm="1">
        <f t="array" ref="X86">_xlfn.IFS(Sales_Table[[#This Row],[Revenue]]&gt;=50000,"High",Sales_Table[[#This Row],[Revenue]]&gt;=20000,"Medium",Sales_Table[[#This Row],[Revenue]]&lt;20000,"Low")</f>
        <v>Low</v>
      </c>
      <c r="Y86" t="str">
        <f>IF(Sales_Table[[#This Row],[Payment Method_clean]]="cash","Offline","Online")</f>
        <v>Online</v>
      </c>
      <c r="Z86">
        <f>IFERROR(Sales_Table[[#This Row],[Revenue]],0)</f>
        <v>1881</v>
      </c>
    </row>
    <row r="87" spans="1:26" x14ac:dyDescent="0.3">
      <c r="A87">
        <v>86</v>
      </c>
      <c r="B87" s="2">
        <f t="shared" si="7"/>
        <v>45295.541666666664</v>
      </c>
      <c r="C87" t="s">
        <v>316</v>
      </c>
      <c r="D87" t="s">
        <v>27</v>
      </c>
      <c r="E87" t="str">
        <f>PROPER(TRIM(CLEAN(Sales_Table[[#This Row],[Region]])))</f>
        <v>East</v>
      </c>
      <c r="F87" t="s">
        <v>78</v>
      </c>
      <c r="G87" t="str">
        <f t="shared" si="8"/>
        <v>Grocery</v>
      </c>
      <c r="H87" t="str">
        <f>PROPER(TRIM(CLEAN(Sales_Table[[#This Row],[Product Name]])))</f>
        <v>Led Tv 42Inch</v>
      </c>
      <c r="I87" t="s">
        <v>58</v>
      </c>
      <c r="J87" t="str">
        <f t="shared" si="9"/>
        <v>CUST0678</v>
      </c>
      <c r="K87" t="s">
        <v>317</v>
      </c>
      <c r="L87" t="str">
        <f>PROPER(TRIM(CLEAN(Sales_Table[[#This Row],[Salesperson]])))</f>
        <v>Anita</v>
      </c>
      <c r="M87" t="s">
        <v>64</v>
      </c>
      <c r="N87" t="str">
        <f t="shared" si="10"/>
        <v>Debit Card</v>
      </c>
      <c r="O87" t="s">
        <v>41</v>
      </c>
      <c r="P87">
        <f t="shared" si="11"/>
        <v>4</v>
      </c>
      <c r="Q87" t="s">
        <v>113</v>
      </c>
      <c r="R87">
        <f t="shared" si="12"/>
        <v>3654</v>
      </c>
      <c r="S87" t="s">
        <v>318</v>
      </c>
      <c r="T87">
        <f t="shared" si="13"/>
        <v>14616</v>
      </c>
      <c r="U87">
        <f>YEAR(Sales_Table[[#This Row],[Date_clean]])</f>
        <v>2024</v>
      </c>
      <c r="V87" t="str">
        <f>TEXT(Sales_Table[[#This Row],[Date_clean]],"mmmm")</f>
        <v>January</v>
      </c>
      <c r="W87">
        <f>WEEKNUM(Sales_Table[[#This Row],[Date_clean]],2)</f>
        <v>1</v>
      </c>
      <c r="X87" t="str" cm="1">
        <f t="array" ref="X87">_xlfn.IFS(Sales_Table[[#This Row],[Revenue]]&gt;=50000,"High",Sales_Table[[#This Row],[Revenue]]&gt;=20000,"Medium",Sales_Table[[#This Row],[Revenue]]&lt;20000,"Low")</f>
        <v>Low</v>
      </c>
      <c r="Y87" t="str">
        <f>IF(Sales_Table[[#This Row],[Payment Method_clean]]="cash","Offline","Online")</f>
        <v>Online</v>
      </c>
      <c r="Z87">
        <f>IFERROR(Sales_Table[[#This Row],[Revenue]],0)</f>
        <v>14616</v>
      </c>
    </row>
    <row r="88" spans="1:26" x14ac:dyDescent="0.3">
      <c r="A88">
        <v>87</v>
      </c>
      <c r="B88" s="2">
        <f t="shared" si="7"/>
        <v>45295.583333333336</v>
      </c>
      <c r="C88" t="s">
        <v>319</v>
      </c>
      <c r="D88" t="s">
        <v>84</v>
      </c>
      <c r="E88" t="str">
        <f>PROPER(TRIM(CLEAN(Sales_Table[[#This Row],[Region]])))</f>
        <v>South</v>
      </c>
      <c r="F88" t="s">
        <v>46</v>
      </c>
      <c r="G88" t="str">
        <f t="shared" si="8"/>
        <v>Electronics</v>
      </c>
      <c r="H88" t="str">
        <f>PROPER(TRIM(CLEAN(Sales_Table[[#This Row],[Product Name]])))</f>
        <v>Men T-Shirt</v>
      </c>
      <c r="I88" t="s">
        <v>38</v>
      </c>
      <c r="J88" t="str">
        <f t="shared" si="9"/>
        <v>CUST0222</v>
      </c>
      <c r="K88" t="s">
        <v>320</v>
      </c>
      <c r="L88" t="str">
        <f>PROPER(TRIM(CLEAN(Sales_Table[[#This Row],[Salesperson]])))</f>
        <v>Karthik</v>
      </c>
      <c r="M88" t="s">
        <v>70</v>
      </c>
      <c r="N88" t="str">
        <f t="shared" si="10"/>
        <v>Debit Card</v>
      </c>
      <c r="O88" t="s">
        <v>41</v>
      </c>
      <c r="P88">
        <f t="shared" si="11"/>
        <v>2</v>
      </c>
      <c r="Q88" t="s">
        <v>196</v>
      </c>
      <c r="R88">
        <f t="shared" si="12"/>
        <v>749</v>
      </c>
      <c r="S88" t="s">
        <v>321</v>
      </c>
      <c r="T88">
        <f t="shared" si="13"/>
        <v>1498</v>
      </c>
      <c r="U88">
        <f>YEAR(Sales_Table[[#This Row],[Date_clean]])</f>
        <v>2024</v>
      </c>
      <c r="V88" t="str">
        <f>TEXT(Sales_Table[[#This Row],[Date_clean]],"mmmm")</f>
        <v>January</v>
      </c>
      <c r="W88">
        <f>WEEKNUM(Sales_Table[[#This Row],[Date_clean]],2)</f>
        <v>1</v>
      </c>
      <c r="X88" t="str" cm="1">
        <f t="array" ref="X88">_xlfn.IFS(Sales_Table[[#This Row],[Revenue]]&gt;=50000,"High",Sales_Table[[#This Row],[Revenue]]&gt;=20000,"Medium",Sales_Table[[#This Row],[Revenue]]&lt;20000,"Low")</f>
        <v>Low</v>
      </c>
      <c r="Y88" t="str">
        <f>IF(Sales_Table[[#This Row],[Payment Method_clean]]="cash","Offline","Online")</f>
        <v>Online</v>
      </c>
      <c r="Z88">
        <f>IFERROR(Sales_Table[[#This Row],[Revenue]],0)</f>
        <v>1498</v>
      </c>
    </row>
    <row r="89" spans="1:26" x14ac:dyDescent="0.3">
      <c r="A89">
        <v>88</v>
      </c>
      <c r="B89" s="2">
        <f t="shared" si="7"/>
        <v>45295.625</v>
      </c>
      <c r="C89" t="s">
        <v>322</v>
      </c>
      <c r="D89" t="s">
        <v>45</v>
      </c>
      <c r="E89" t="str">
        <f>PROPER(TRIM(CLEAN(Sales_Table[[#This Row],[Region]])))</f>
        <v>North</v>
      </c>
      <c r="F89" t="s">
        <v>78</v>
      </c>
      <c r="G89" t="str">
        <f t="shared" si="8"/>
        <v>Grocery</v>
      </c>
      <c r="H89" t="str">
        <f>PROPER(TRIM(CLEAN(Sales_Table[[#This Row],[Product Name]])))</f>
        <v>Washing Machine</v>
      </c>
      <c r="I89" t="s">
        <v>79</v>
      </c>
      <c r="J89" t="str">
        <f t="shared" si="9"/>
        <v>CUST0061</v>
      </c>
      <c r="K89" t="s">
        <v>323</v>
      </c>
      <c r="L89" t="str">
        <f>PROPER(TRIM(CLEAN(Sales_Table[[#This Row],[Salesperson]])))</f>
        <v>Rahul</v>
      </c>
      <c r="M89" t="s">
        <v>31</v>
      </c>
      <c r="N89" t="str">
        <f t="shared" si="10"/>
        <v>Upi</v>
      </c>
      <c r="O89" t="s">
        <v>48</v>
      </c>
      <c r="P89">
        <f t="shared" si="11"/>
        <v>4</v>
      </c>
      <c r="Q89" t="s">
        <v>113</v>
      </c>
      <c r="R89">
        <f t="shared" si="12"/>
        <v>1599</v>
      </c>
      <c r="S89" t="s">
        <v>324</v>
      </c>
      <c r="T89">
        <f t="shared" si="13"/>
        <v>6396</v>
      </c>
      <c r="U89">
        <f>YEAR(Sales_Table[[#This Row],[Date_clean]])</f>
        <v>2024</v>
      </c>
      <c r="V89" t="str">
        <f>TEXT(Sales_Table[[#This Row],[Date_clean]],"mmmm")</f>
        <v>January</v>
      </c>
      <c r="W89">
        <f>WEEKNUM(Sales_Table[[#This Row],[Date_clean]],2)</f>
        <v>1</v>
      </c>
      <c r="X89" t="str" cm="1">
        <f t="array" ref="X89">_xlfn.IFS(Sales_Table[[#This Row],[Revenue]]&gt;=50000,"High",Sales_Table[[#This Row],[Revenue]]&gt;=20000,"Medium",Sales_Table[[#This Row],[Revenue]]&lt;20000,"Low")</f>
        <v>Low</v>
      </c>
      <c r="Y89" t="str">
        <f>IF(Sales_Table[[#This Row],[Payment Method_clean]]="cash","Offline","Online")</f>
        <v>Online</v>
      </c>
      <c r="Z89">
        <f>IFERROR(Sales_Table[[#This Row],[Revenue]],0)</f>
        <v>6396</v>
      </c>
    </row>
    <row r="90" spans="1:26" x14ac:dyDescent="0.3">
      <c r="A90">
        <v>89</v>
      </c>
      <c r="B90" s="2">
        <f t="shared" si="7"/>
        <v>45295.666666666664</v>
      </c>
      <c r="C90" t="s">
        <v>325</v>
      </c>
      <c r="D90" t="s">
        <v>36</v>
      </c>
      <c r="E90" t="str">
        <f>PROPER(TRIM(CLEAN(Sales_Table[[#This Row],[Region]])))</f>
        <v>West</v>
      </c>
      <c r="F90" t="s">
        <v>37</v>
      </c>
      <c r="G90" t="str">
        <f t="shared" si="8"/>
        <v>Home Appliances</v>
      </c>
      <c r="H90" t="str">
        <f>PROPER(TRIM(CLEAN(Sales_Table[[#This Row],[Product Name]])))</f>
        <v>Laptop</v>
      </c>
      <c r="I90" t="s">
        <v>52</v>
      </c>
      <c r="J90" t="str">
        <f t="shared" si="9"/>
        <v>CUST0129</v>
      </c>
      <c r="K90" t="s">
        <v>326</v>
      </c>
      <c r="L90" t="str">
        <f>PROPER(TRIM(CLEAN(Sales_Table[[#This Row],[Salesperson]])))</f>
        <v>Rahul</v>
      </c>
      <c r="M90" t="s">
        <v>31</v>
      </c>
      <c r="N90" t="str">
        <f t="shared" si="10"/>
        <v>Net Banking</v>
      </c>
      <c r="O90" t="s">
        <v>60</v>
      </c>
      <c r="P90">
        <f t="shared" si="11"/>
        <v>6</v>
      </c>
      <c r="Q90" t="s">
        <v>75</v>
      </c>
      <c r="R90">
        <f t="shared" si="12"/>
        <v>695</v>
      </c>
      <c r="S90" t="s">
        <v>327</v>
      </c>
      <c r="T90">
        <f t="shared" si="13"/>
        <v>4170</v>
      </c>
      <c r="U90">
        <f>YEAR(Sales_Table[[#This Row],[Date_clean]])</f>
        <v>2024</v>
      </c>
      <c r="V90" t="str">
        <f>TEXT(Sales_Table[[#This Row],[Date_clean]],"mmmm")</f>
        <v>January</v>
      </c>
      <c r="W90">
        <f>WEEKNUM(Sales_Table[[#This Row],[Date_clean]],2)</f>
        <v>1</v>
      </c>
      <c r="X90" t="str" cm="1">
        <f t="array" ref="X90">_xlfn.IFS(Sales_Table[[#This Row],[Revenue]]&gt;=50000,"High",Sales_Table[[#This Row],[Revenue]]&gt;=20000,"Medium",Sales_Table[[#This Row],[Revenue]]&lt;20000,"Low")</f>
        <v>Low</v>
      </c>
      <c r="Y90" t="str">
        <f>IF(Sales_Table[[#This Row],[Payment Method_clean]]="cash","Offline","Online")</f>
        <v>Online</v>
      </c>
      <c r="Z90">
        <f>IFERROR(Sales_Table[[#This Row],[Revenue]],0)</f>
        <v>4170</v>
      </c>
    </row>
    <row r="91" spans="1:26" x14ac:dyDescent="0.3">
      <c r="A91">
        <v>90</v>
      </c>
      <c r="B91" s="2">
        <f t="shared" si="7"/>
        <v>45295.708333333336</v>
      </c>
      <c r="C91" t="s">
        <v>328</v>
      </c>
      <c r="D91" t="s">
        <v>84</v>
      </c>
      <c r="E91" t="str">
        <f>PROPER(TRIM(CLEAN(Sales_Table[[#This Row],[Region]])))</f>
        <v>South</v>
      </c>
      <c r="F91" t="s">
        <v>78</v>
      </c>
      <c r="G91" t="str">
        <f t="shared" si="8"/>
        <v>Grocery</v>
      </c>
      <c r="H91" t="str">
        <f>PROPER(TRIM(CLEAN(Sales_Table[[#This Row],[Product Name]])))</f>
        <v>Mixer Grinder</v>
      </c>
      <c r="I91" t="s">
        <v>29</v>
      </c>
      <c r="J91" t="str">
        <f t="shared" si="9"/>
        <v>CUST0685</v>
      </c>
      <c r="K91" t="s">
        <v>329</v>
      </c>
      <c r="L91" t="str">
        <f>PROPER(TRIM(CLEAN(Sales_Table[[#This Row],[Salesperson]])))</f>
        <v>Karthik</v>
      </c>
      <c r="M91" t="s">
        <v>70</v>
      </c>
      <c r="N91" t="str">
        <f t="shared" si="10"/>
        <v>Debit Card</v>
      </c>
      <c r="O91" t="s">
        <v>41</v>
      </c>
      <c r="P91">
        <f t="shared" si="11"/>
        <v>6</v>
      </c>
      <c r="Q91" t="s">
        <v>75</v>
      </c>
      <c r="R91">
        <f t="shared" si="12"/>
        <v>1078</v>
      </c>
      <c r="S91" t="s">
        <v>330</v>
      </c>
      <c r="T91">
        <f t="shared" si="13"/>
        <v>6468</v>
      </c>
      <c r="U91">
        <f>YEAR(Sales_Table[[#This Row],[Date_clean]])</f>
        <v>2024</v>
      </c>
      <c r="V91" t="str">
        <f>TEXT(Sales_Table[[#This Row],[Date_clean]],"mmmm")</f>
        <v>January</v>
      </c>
      <c r="W91">
        <f>WEEKNUM(Sales_Table[[#This Row],[Date_clean]],2)</f>
        <v>1</v>
      </c>
      <c r="X91" t="str" cm="1">
        <f t="array" ref="X91">_xlfn.IFS(Sales_Table[[#This Row],[Revenue]]&gt;=50000,"High",Sales_Table[[#This Row],[Revenue]]&gt;=20000,"Medium",Sales_Table[[#This Row],[Revenue]]&lt;20000,"Low")</f>
        <v>Low</v>
      </c>
      <c r="Y91" t="str">
        <f>IF(Sales_Table[[#This Row],[Payment Method_clean]]="cash","Offline","Online")</f>
        <v>Online</v>
      </c>
      <c r="Z91">
        <f>IFERROR(Sales_Table[[#This Row],[Revenue]],0)</f>
        <v>6468</v>
      </c>
    </row>
    <row r="92" spans="1:26" x14ac:dyDescent="0.3">
      <c r="A92">
        <v>91</v>
      </c>
      <c r="B92" s="2">
        <f t="shared" si="7"/>
        <v>45295.75</v>
      </c>
      <c r="C92" t="s">
        <v>331</v>
      </c>
      <c r="D92" t="s">
        <v>36</v>
      </c>
      <c r="E92" t="str">
        <f>PROPER(TRIM(CLEAN(Sales_Table[[#This Row],[Region]])))</f>
        <v>West</v>
      </c>
      <c r="F92" t="s">
        <v>46</v>
      </c>
      <c r="G92" t="str">
        <f t="shared" si="8"/>
        <v>Electronics</v>
      </c>
      <c r="H92" t="str">
        <f>PROPER(TRIM(CLEAN(Sales_Table[[#This Row],[Product Name]])))</f>
        <v>Laptop</v>
      </c>
      <c r="I92" t="s">
        <v>52</v>
      </c>
      <c r="J92" t="str">
        <f t="shared" si="9"/>
        <v>CUST0156</v>
      </c>
      <c r="K92" t="s">
        <v>332</v>
      </c>
      <c r="L92" t="str">
        <f>PROPER(TRIM(CLEAN(Sales_Table[[#This Row],[Salesperson]])))</f>
        <v>Karthik</v>
      </c>
      <c r="M92" t="s">
        <v>70</v>
      </c>
      <c r="N92" t="str">
        <f t="shared" si="10"/>
        <v>Credit Card</v>
      </c>
      <c r="O92" t="s">
        <v>65</v>
      </c>
      <c r="P92">
        <f t="shared" si="11"/>
        <v>5</v>
      </c>
      <c r="Q92" t="s">
        <v>89</v>
      </c>
      <c r="R92">
        <f t="shared" si="12"/>
        <v>830</v>
      </c>
      <c r="S92" t="s">
        <v>333</v>
      </c>
      <c r="T92">
        <f t="shared" si="13"/>
        <v>4150</v>
      </c>
      <c r="U92">
        <f>YEAR(Sales_Table[[#This Row],[Date_clean]])</f>
        <v>2024</v>
      </c>
      <c r="V92" t="str">
        <f>TEXT(Sales_Table[[#This Row],[Date_clean]],"mmmm")</f>
        <v>January</v>
      </c>
      <c r="W92">
        <f>WEEKNUM(Sales_Table[[#This Row],[Date_clean]],2)</f>
        <v>1</v>
      </c>
      <c r="X92" t="str" cm="1">
        <f t="array" ref="X92">_xlfn.IFS(Sales_Table[[#This Row],[Revenue]]&gt;=50000,"High",Sales_Table[[#This Row],[Revenue]]&gt;=20000,"Medium",Sales_Table[[#This Row],[Revenue]]&lt;20000,"Low")</f>
        <v>Low</v>
      </c>
      <c r="Y92" t="str">
        <f>IF(Sales_Table[[#This Row],[Payment Method_clean]]="cash","Offline","Online")</f>
        <v>Online</v>
      </c>
      <c r="Z92">
        <f>IFERROR(Sales_Table[[#This Row],[Revenue]],0)</f>
        <v>4150</v>
      </c>
    </row>
    <row r="93" spans="1:26" x14ac:dyDescent="0.3">
      <c r="A93">
        <v>92</v>
      </c>
      <c r="B93" s="2">
        <f t="shared" si="7"/>
        <v>45295.791666666664</v>
      </c>
      <c r="C93" t="s">
        <v>334</v>
      </c>
      <c r="D93" t="s">
        <v>36</v>
      </c>
      <c r="E93" t="str">
        <f>PROPER(TRIM(CLEAN(Sales_Table[[#This Row],[Region]])))</f>
        <v>West</v>
      </c>
      <c r="F93" t="s">
        <v>37</v>
      </c>
      <c r="G93" t="str">
        <f t="shared" si="8"/>
        <v>Home Appliances</v>
      </c>
      <c r="H93" t="str">
        <f>PROPER(TRIM(CLEAN(Sales_Table[[#This Row],[Product Name]])))</f>
        <v>Mixer Grinder</v>
      </c>
      <c r="I93" t="s">
        <v>29</v>
      </c>
      <c r="J93" t="str">
        <f t="shared" si="9"/>
        <v>CUST0378</v>
      </c>
      <c r="K93" t="s">
        <v>335</v>
      </c>
      <c r="L93" t="str">
        <f>PROPER(TRIM(CLEAN(Sales_Table[[#This Row],[Salesperson]])))</f>
        <v>Anita</v>
      </c>
      <c r="M93" t="s">
        <v>64</v>
      </c>
      <c r="N93" t="str">
        <f t="shared" si="10"/>
        <v>Cash</v>
      </c>
      <c r="O93" t="s">
        <v>32</v>
      </c>
      <c r="P93">
        <f t="shared" si="11"/>
        <v>1</v>
      </c>
      <c r="Q93" t="s">
        <v>93</v>
      </c>
      <c r="R93">
        <f t="shared" si="12"/>
        <v>156</v>
      </c>
      <c r="S93" t="s">
        <v>336</v>
      </c>
      <c r="T93">
        <f t="shared" si="13"/>
        <v>156</v>
      </c>
      <c r="U93">
        <f>YEAR(Sales_Table[[#This Row],[Date_clean]])</f>
        <v>2024</v>
      </c>
      <c r="V93" t="str">
        <f>TEXT(Sales_Table[[#This Row],[Date_clean]],"mmmm")</f>
        <v>January</v>
      </c>
      <c r="W93">
        <f>WEEKNUM(Sales_Table[[#This Row],[Date_clean]],2)</f>
        <v>1</v>
      </c>
      <c r="X93" t="str" cm="1">
        <f t="array" ref="X93">_xlfn.IFS(Sales_Table[[#This Row],[Revenue]]&gt;=50000,"High",Sales_Table[[#This Row],[Revenue]]&gt;=20000,"Medium",Sales_Table[[#This Row],[Revenue]]&lt;20000,"Low")</f>
        <v>Low</v>
      </c>
      <c r="Y93" t="str">
        <f>IF(Sales_Table[[#This Row],[Payment Method_clean]]="cash","Offline","Online")</f>
        <v>Offline</v>
      </c>
      <c r="Z93">
        <f>IFERROR(Sales_Table[[#This Row],[Revenue]],0)</f>
        <v>156</v>
      </c>
    </row>
    <row r="94" spans="1:26" x14ac:dyDescent="0.3">
      <c r="A94">
        <v>93</v>
      </c>
      <c r="B94" s="2">
        <f t="shared" si="7"/>
        <v>45295.833333333336</v>
      </c>
      <c r="C94" t="s">
        <v>337</v>
      </c>
      <c r="D94" t="s">
        <v>84</v>
      </c>
      <c r="E94" t="str">
        <f>PROPER(TRIM(CLEAN(Sales_Table[[#This Row],[Region]])))</f>
        <v>South</v>
      </c>
      <c r="F94" t="s">
        <v>46</v>
      </c>
      <c r="G94" t="str">
        <f t="shared" si="8"/>
        <v>Electronics</v>
      </c>
      <c r="H94" t="str">
        <f>PROPER(TRIM(CLEAN(Sales_Table[[#This Row],[Product Name]])))</f>
        <v>Men T-Shirt</v>
      </c>
      <c r="I94" t="s">
        <v>38</v>
      </c>
      <c r="J94" t="str">
        <f t="shared" si="9"/>
        <v>CUST0622</v>
      </c>
      <c r="K94" t="s">
        <v>338</v>
      </c>
      <c r="L94" t="str">
        <f>PROPER(TRIM(CLEAN(Sales_Table[[#This Row],[Salesperson]])))</f>
        <v>Suresh</v>
      </c>
      <c r="M94" t="s">
        <v>54</v>
      </c>
      <c r="N94" t="str">
        <f t="shared" si="10"/>
        <v>Credit Card</v>
      </c>
      <c r="O94" t="s">
        <v>65</v>
      </c>
      <c r="P94">
        <f t="shared" si="11"/>
        <v>3</v>
      </c>
      <c r="Q94" t="s">
        <v>66</v>
      </c>
      <c r="R94">
        <f t="shared" si="12"/>
        <v>2343</v>
      </c>
      <c r="S94" t="s">
        <v>339</v>
      </c>
      <c r="T94">
        <f t="shared" si="13"/>
        <v>7029</v>
      </c>
      <c r="U94">
        <f>YEAR(Sales_Table[[#This Row],[Date_clean]])</f>
        <v>2024</v>
      </c>
      <c r="V94" t="str">
        <f>TEXT(Sales_Table[[#This Row],[Date_clean]],"mmmm")</f>
        <v>January</v>
      </c>
      <c r="W94">
        <f>WEEKNUM(Sales_Table[[#This Row],[Date_clean]],2)</f>
        <v>1</v>
      </c>
      <c r="X94" t="str" cm="1">
        <f t="array" ref="X94">_xlfn.IFS(Sales_Table[[#This Row],[Revenue]]&gt;=50000,"High",Sales_Table[[#This Row],[Revenue]]&gt;=20000,"Medium",Sales_Table[[#This Row],[Revenue]]&lt;20000,"Low")</f>
        <v>Low</v>
      </c>
      <c r="Y94" t="str">
        <f>IF(Sales_Table[[#This Row],[Payment Method_clean]]="cash","Offline","Online")</f>
        <v>Online</v>
      </c>
      <c r="Z94">
        <f>IFERROR(Sales_Table[[#This Row],[Revenue]],0)</f>
        <v>7029</v>
      </c>
    </row>
    <row r="95" spans="1:26" x14ac:dyDescent="0.3">
      <c r="A95">
        <v>94</v>
      </c>
      <c r="B95" s="2">
        <f t="shared" si="7"/>
        <v>45295.875</v>
      </c>
      <c r="C95" t="s">
        <v>340</v>
      </c>
      <c r="D95" t="s">
        <v>84</v>
      </c>
      <c r="E95" t="str">
        <f>PROPER(TRIM(CLEAN(Sales_Table[[#This Row],[Region]])))</f>
        <v>South</v>
      </c>
      <c r="F95" t="s">
        <v>46</v>
      </c>
      <c r="G95" t="str">
        <f t="shared" si="8"/>
        <v>Electronics</v>
      </c>
      <c r="H95" t="str">
        <f>PROPER(TRIM(CLEAN(Sales_Table[[#This Row],[Product Name]])))</f>
        <v>Led Tv 42Inch</v>
      </c>
      <c r="I95" t="s">
        <v>58</v>
      </c>
      <c r="J95" t="str">
        <f t="shared" si="9"/>
        <v>CUST0781</v>
      </c>
      <c r="K95" t="s">
        <v>341</v>
      </c>
      <c r="L95" t="str">
        <f>PROPER(TRIM(CLEAN(Sales_Table[[#This Row],[Salesperson]])))</f>
        <v>Rahul</v>
      </c>
      <c r="M95" t="s">
        <v>31</v>
      </c>
      <c r="N95" t="str">
        <f t="shared" si="10"/>
        <v>Net Banking</v>
      </c>
      <c r="O95" t="s">
        <v>60</v>
      </c>
      <c r="P95">
        <f t="shared" si="11"/>
        <v>5</v>
      </c>
      <c r="Q95" t="s">
        <v>89</v>
      </c>
      <c r="R95">
        <f t="shared" si="12"/>
        <v>1801</v>
      </c>
      <c r="S95" t="s">
        <v>342</v>
      </c>
      <c r="T95">
        <f t="shared" si="13"/>
        <v>9005</v>
      </c>
      <c r="U95">
        <f>YEAR(Sales_Table[[#This Row],[Date_clean]])</f>
        <v>2024</v>
      </c>
      <c r="V95" t="str">
        <f>TEXT(Sales_Table[[#This Row],[Date_clean]],"mmmm")</f>
        <v>January</v>
      </c>
      <c r="W95">
        <f>WEEKNUM(Sales_Table[[#This Row],[Date_clean]],2)</f>
        <v>1</v>
      </c>
      <c r="X95" t="str" cm="1">
        <f t="array" ref="X95">_xlfn.IFS(Sales_Table[[#This Row],[Revenue]]&gt;=50000,"High",Sales_Table[[#This Row],[Revenue]]&gt;=20000,"Medium",Sales_Table[[#This Row],[Revenue]]&lt;20000,"Low")</f>
        <v>Low</v>
      </c>
      <c r="Y95" t="str">
        <f>IF(Sales_Table[[#This Row],[Payment Method_clean]]="cash","Offline","Online")</f>
        <v>Online</v>
      </c>
      <c r="Z95">
        <f>IFERROR(Sales_Table[[#This Row],[Revenue]],0)</f>
        <v>9005</v>
      </c>
    </row>
    <row r="96" spans="1:26" x14ac:dyDescent="0.3">
      <c r="A96">
        <v>95</v>
      </c>
      <c r="B96" s="2">
        <f t="shared" si="7"/>
        <v>45295.916666666664</v>
      </c>
      <c r="C96" t="s">
        <v>343</v>
      </c>
      <c r="D96" t="s">
        <v>84</v>
      </c>
      <c r="E96" t="str">
        <f>PROPER(TRIM(CLEAN(Sales_Table[[#This Row],[Region]])))</f>
        <v>South</v>
      </c>
      <c r="F96" t="s">
        <v>28</v>
      </c>
      <c r="G96" t="str">
        <f t="shared" si="8"/>
        <v>Clothing</v>
      </c>
      <c r="H96" t="str">
        <f>PROPER(TRIM(CLEAN(Sales_Table[[#This Row],[Product Name]])))</f>
        <v>Men T-Shirt</v>
      </c>
      <c r="I96" t="s">
        <v>38</v>
      </c>
      <c r="J96" t="str">
        <f t="shared" si="9"/>
        <v>CUST0790</v>
      </c>
      <c r="K96" t="s">
        <v>344</v>
      </c>
      <c r="L96" t="str">
        <f>PROPER(TRIM(CLEAN(Sales_Table[[#This Row],[Salesperson]])))</f>
        <v>Anita</v>
      </c>
      <c r="M96" t="s">
        <v>64</v>
      </c>
      <c r="N96" t="str">
        <f t="shared" si="10"/>
        <v>Cash</v>
      </c>
      <c r="O96" t="s">
        <v>32</v>
      </c>
      <c r="P96">
        <f t="shared" si="11"/>
        <v>6</v>
      </c>
      <c r="Q96" t="s">
        <v>75</v>
      </c>
      <c r="R96">
        <f t="shared" si="12"/>
        <v>1386</v>
      </c>
      <c r="S96" t="s">
        <v>345</v>
      </c>
      <c r="T96">
        <f t="shared" si="13"/>
        <v>8316</v>
      </c>
      <c r="U96">
        <f>YEAR(Sales_Table[[#This Row],[Date_clean]])</f>
        <v>2024</v>
      </c>
      <c r="V96" t="str">
        <f>TEXT(Sales_Table[[#This Row],[Date_clean]],"mmmm")</f>
        <v>January</v>
      </c>
      <c r="W96">
        <f>WEEKNUM(Sales_Table[[#This Row],[Date_clean]],2)</f>
        <v>1</v>
      </c>
      <c r="X96" t="str" cm="1">
        <f t="array" ref="X96">_xlfn.IFS(Sales_Table[[#This Row],[Revenue]]&gt;=50000,"High",Sales_Table[[#This Row],[Revenue]]&gt;=20000,"Medium",Sales_Table[[#This Row],[Revenue]]&lt;20000,"Low")</f>
        <v>Low</v>
      </c>
      <c r="Y96" t="str">
        <f>IF(Sales_Table[[#This Row],[Payment Method_clean]]="cash","Offline","Online")</f>
        <v>Offline</v>
      </c>
      <c r="Z96">
        <f>IFERROR(Sales_Table[[#This Row],[Revenue]],0)</f>
        <v>8316</v>
      </c>
    </row>
    <row r="97" spans="1:26" x14ac:dyDescent="0.3">
      <c r="A97">
        <v>96</v>
      </c>
      <c r="B97" s="2">
        <f t="shared" si="7"/>
        <v>45295.958333333336</v>
      </c>
      <c r="C97" t="s">
        <v>346</v>
      </c>
      <c r="D97" t="s">
        <v>84</v>
      </c>
      <c r="E97" t="str">
        <f>PROPER(TRIM(CLEAN(Sales_Table[[#This Row],[Region]])))</f>
        <v>South</v>
      </c>
      <c r="F97" t="s">
        <v>28</v>
      </c>
      <c r="G97" t="str">
        <f t="shared" si="8"/>
        <v>Clothing</v>
      </c>
      <c r="H97" t="str">
        <f>PROPER(TRIM(CLEAN(Sales_Table[[#This Row],[Product Name]])))</f>
        <v>Men T-Shirt</v>
      </c>
      <c r="I97" t="s">
        <v>38</v>
      </c>
      <c r="J97" t="str">
        <f t="shared" si="9"/>
        <v>CUST0586</v>
      </c>
      <c r="K97" t="s">
        <v>347</v>
      </c>
      <c r="L97" t="str">
        <f>PROPER(TRIM(CLEAN(Sales_Table[[#This Row],[Salesperson]])))</f>
        <v>Karthik</v>
      </c>
      <c r="M97" t="s">
        <v>70</v>
      </c>
      <c r="N97" t="str">
        <f t="shared" si="10"/>
        <v>Credit Card</v>
      </c>
      <c r="O97" t="s">
        <v>65</v>
      </c>
      <c r="P97">
        <f t="shared" si="11"/>
        <v>14</v>
      </c>
      <c r="Q97" t="s">
        <v>55</v>
      </c>
      <c r="R97">
        <f t="shared" si="12"/>
        <v>211</v>
      </c>
      <c r="S97" t="s">
        <v>348</v>
      </c>
      <c r="T97">
        <f t="shared" si="13"/>
        <v>2954</v>
      </c>
      <c r="U97">
        <f>YEAR(Sales_Table[[#This Row],[Date_clean]])</f>
        <v>2024</v>
      </c>
      <c r="V97" t="str">
        <f>TEXT(Sales_Table[[#This Row],[Date_clean]],"mmmm")</f>
        <v>January</v>
      </c>
      <c r="W97">
        <f>WEEKNUM(Sales_Table[[#This Row],[Date_clean]],2)</f>
        <v>1</v>
      </c>
      <c r="X97" t="str" cm="1">
        <f t="array" ref="X97">_xlfn.IFS(Sales_Table[[#This Row],[Revenue]]&gt;=50000,"High",Sales_Table[[#This Row],[Revenue]]&gt;=20000,"Medium",Sales_Table[[#This Row],[Revenue]]&lt;20000,"Low")</f>
        <v>Low</v>
      </c>
      <c r="Y97" t="str">
        <f>IF(Sales_Table[[#This Row],[Payment Method_clean]]="cash","Offline","Online")</f>
        <v>Online</v>
      </c>
      <c r="Z97">
        <f>IFERROR(Sales_Table[[#This Row],[Revenue]],0)</f>
        <v>2954</v>
      </c>
    </row>
    <row r="98" spans="1:26" x14ac:dyDescent="0.3">
      <c r="A98">
        <v>97</v>
      </c>
      <c r="B98" s="2">
        <f t="shared" si="7"/>
        <v>45296</v>
      </c>
      <c r="C98" t="s">
        <v>349</v>
      </c>
      <c r="D98" t="s">
        <v>84</v>
      </c>
      <c r="E98" t="str">
        <f>PROPER(TRIM(CLEAN(Sales_Table[[#This Row],[Region]])))</f>
        <v>South</v>
      </c>
      <c r="F98" t="s">
        <v>46</v>
      </c>
      <c r="G98" t="str">
        <f t="shared" si="8"/>
        <v>Electronics</v>
      </c>
      <c r="H98" t="str">
        <f>PROPER(TRIM(CLEAN(Sales_Table[[#This Row],[Product Name]])))</f>
        <v>Rice 5Kg</v>
      </c>
      <c r="I98" t="s">
        <v>73</v>
      </c>
      <c r="J98" t="str">
        <f t="shared" si="9"/>
        <v>CUST0437</v>
      </c>
      <c r="K98" t="s">
        <v>350</v>
      </c>
      <c r="L98" t="str">
        <f>PROPER(TRIM(CLEAN(Sales_Table[[#This Row],[Salesperson]])))</f>
        <v>Anita</v>
      </c>
      <c r="M98" t="s">
        <v>64</v>
      </c>
      <c r="N98" t="str">
        <f t="shared" si="10"/>
        <v>Credit Card</v>
      </c>
      <c r="O98" t="s">
        <v>65</v>
      </c>
      <c r="P98">
        <f t="shared" si="11"/>
        <v>1</v>
      </c>
      <c r="Q98" t="s">
        <v>93</v>
      </c>
      <c r="R98">
        <f t="shared" si="12"/>
        <v>4906</v>
      </c>
      <c r="S98" t="s">
        <v>351</v>
      </c>
      <c r="T98">
        <f t="shared" si="13"/>
        <v>4906</v>
      </c>
      <c r="U98">
        <f>YEAR(Sales_Table[[#This Row],[Date_clean]])</f>
        <v>2024</v>
      </c>
      <c r="V98" t="str">
        <f>TEXT(Sales_Table[[#This Row],[Date_clean]],"mmmm")</f>
        <v>January</v>
      </c>
      <c r="W98">
        <f>WEEKNUM(Sales_Table[[#This Row],[Date_clean]],2)</f>
        <v>1</v>
      </c>
      <c r="X98" t="str" cm="1">
        <f t="array" ref="X98">_xlfn.IFS(Sales_Table[[#This Row],[Revenue]]&gt;=50000,"High",Sales_Table[[#This Row],[Revenue]]&gt;=20000,"Medium",Sales_Table[[#This Row],[Revenue]]&lt;20000,"Low")</f>
        <v>Low</v>
      </c>
      <c r="Y98" t="str">
        <f>IF(Sales_Table[[#This Row],[Payment Method_clean]]="cash","Offline","Online")</f>
        <v>Online</v>
      </c>
      <c r="Z98">
        <f>IFERROR(Sales_Table[[#This Row],[Revenue]],0)</f>
        <v>4906</v>
      </c>
    </row>
    <row r="99" spans="1:26" x14ac:dyDescent="0.3">
      <c r="A99">
        <v>98</v>
      </c>
      <c r="B99" s="2">
        <f t="shared" si="7"/>
        <v>45296.041666666664</v>
      </c>
      <c r="C99" t="s">
        <v>352</v>
      </c>
      <c r="D99" t="s">
        <v>36</v>
      </c>
      <c r="E99" t="str">
        <f>PROPER(TRIM(CLEAN(Sales_Table[[#This Row],[Region]])))</f>
        <v>West</v>
      </c>
      <c r="F99" t="s">
        <v>46</v>
      </c>
      <c r="G99" t="str">
        <f t="shared" si="8"/>
        <v>Electronics</v>
      </c>
      <c r="H99" t="str">
        <f>PROPER(TRIM(CLEAN(Sales_Table[[#This Row],[Product Name]])))</f>
        <v>Washing Machine</v>
      </c>
      <c r="I99" t="s">
        <v>79</v>
      </c>
      <c r="J99" t="str">
        <f t="shared" si="9"/>
        <v>CUST0207</v>
      </c>
      <c r="K99" t="s">
        <v>264</v>
      </c>
      <c r="L99" t="str">
        <f>PROPER(TRIM(CLEAN(Sales_Table[[#This Row],[Salesperson]])))</f>
        <v>Karthik</v>
      </c>
      <c r="M99" t="s">
        <v>70</v>
      </c>
      <c r="N99" t="str">
        <f t="shared" si="10"/>
        <v>Upi</v>
      </c>
      <c r="O99" t="s">
        <v>48</v>
      </c>
      <c r="P99">
        <f t="shared" si="11"/>
        <v>14</v>
      </c>
      <c r="Q99" t="s">
        <v>55</v>
      </c>
      <c r="R99">
        <f t="shared" si="12"/>
        <v>1301</v>
      </c>
      <c r="S99" t="s">
        <v>353</v>
      </c>
      <c r="T99">
        <f t="shared" si="13"/>
        <v>18214</v>
      </c>
      <c r="U99">
        <f>YEAR(Sales_Table[[#This Row],[Date_clean]])</f>
        <v>2024</v>
      </c>
      <c r="V99" t="str">
        <f>TEXT(Sales_Table[[#This Row],[Date_clean]],"mmmm")</f>
        <v>January</v>
      </c>
      <c r="W99">
        <f>WEEKNUM(Sales_Table[[#This Row],[Date_clean]],2)</f>
        <v>1</v>
      </c>
      <c r="X99" t="str" cm="1">
        <f t="array" ref="X99">_xlfn.IFS(Sales_Table[[#This Row],[Revenue]]&gt;=50000,"High",Sales_Table[[#This Row],[Revenue]]&gt;=20000,"Medium",Sales_Table[[#This Row],[Revenue]]&lt;20000,"Low")</f>
        <v>Low</v>
      </c>
      <c r="Y99" t="str">
        <f>IF(Sales_Table[[#This Row],[Payment Method_clean]]="cash","Offline","Online")</f>
        <v>Online</v>
      </c>
      <c r="Z99">
        <f>IFERROR(Sales_Table[[#This Row],[Revenue]],0)</f>
        <v>18214</v>
      </c>
    </row>
    <row r="100" spans="1:26" x14ac:dyDescent="0.3">
      <c r="A100">
        <v>99</v>
      </c>
      <c r="B100" s="2">
        <f t="shared" si="7"/>
        <v>45296.083333333336</v>
      </c>
      <c r="C100" t="s">
        <v>354</v>
      </c>
      <c r="D100" t="s">
        <v>84</v>
      </c>
      <c r="E100" t="str">
        <f>PROPER(TRIM(CLEAN(Sales_Table[[#This Row],[Region]])))</f>
        <v>South</v>
      </c>
      <c r="F100" t="s">
        <v>46</v>
      </c>
      <c r="G100" t="str">
        <f t="shared" si="8"/>
        <v>Electronics</v>
      </c>
      <c r="H100" t="str">
        <f>PROPER(TRIM(CLEAN(Sales_Table[[#This Row],[Product Name]])))</f>
        <v>Mixer Grinder</v>
      </c>
      <c r="I100" t="s">
        <v>29</v>
      </c>
      <c r="J100" t="str">
        <f t="shared" si="9"/>
        <v>CUST0388</v>
      </c>
      <c r="K100" t="s">
        <v>355</v>
      </c>
      <c r="L100" t="str">
        <f>PROPER(TRIM(CLEAN(Sales_Table[[#This Row],[Salesperson]])))</f>
        <v>Meena</v>
      </c>
      <c r="M100" t="s">
        <v>40</v>
      </c>
      <c r="N100" t="str">
        <f t="shared" si="10"/>
        <v>Net Banking</v>
      </c>
      <c r="O100" t="s">
        <v>60</v>
      </c>
      <c r="P100">
        <f t="shared" si="11"/>
        <v>14</v>
      </c>
      <c r="Q100" t="s">
        <v>55</v>
      </c>
      <c r="R100">
        <f t="shared" si="12"/>
        <v>1047</v>
      </c>
      <c r="S100" t="s">
        <v>356</v>
      </c>
      <c r="T100">
        <f t="shared" si="13"/>
        <v>14658</v>
      </c>
      <c r="U100">
        <f>YEAR(Sales_Table[[#This Row],[Date_clean]])</f>
        <v>2024</v>
      </c>
      <c r="V100" t="str">
        <f>TEXT(Sales_Table[[#This Row],[Date_clean]],"mmmm")</f>
        <v>January</v>
      </c>
      <c r="W100">
        <f>WEEKNUM(Sales_Table[[#This Row],[Date_clean]],2)</f>
        <v>1</v>
      </c>
      <c r="X100" t="str" cm="1">
        <f t="array" ref="X100">_xlfn.IFS(Sales_Table[[#This Row],[Revenue]]&gt;=50000,"High",Sales_Table[[#This Row],[Revenue]]&gt;=20000,"Medium",Sales_Table[[#This Row],[Revenue]]&lt;20000,"Low")</f>
        <v>Low</v>
      </c>
      <c r="Y100" t="str">
        <f>IF(Sales_Table[[#This Row],[Payment Method_clean]]="cash","Offline","Online")</f>
        <v>Online</v>
      </c>
      <c r="Z100">
        <f>IFERROR(Sales_Table[[#This Row],[Revenue]],0)</f>
        <v>14658</v>
      </c>
    </row>
    <row r="101" spans="1:26" x14ac:dyDescent="0.3">
      <c r="A101">
        <v>100</v>
      </c>
      <c r="B101" s="2">
        <f t="shared" si="7"/>
        <v>45296.125</v>
      </c>
      <c r="C101" t="s">
        <v>357</v>
      </c>
      <c r="D101" t="s">
        <v>45</v>
      </c>
      <c r="E101" t="str">
        <f>PROPER(TRIM(CLEAN(Sales_Table[[#This Row],[Region]])))</f>
        <v>North</v>
      </c>
      <c r="F101" t="s">
        <v>28</v>
      </c>
      <c r="G101" t="str">
        <f t="shared" si="8"/>
        <v>Clothing</v>
      </c>
      <c r="H101" t="str">
        <f>PROPER(TRIM(CLEAN(Sales_Table[[#This Row],[Product Name]])))</f>
        <v>Led Tv 42Inch</v>
      </c>
      <c r="I101" t="s">
        <v>58</v>
      </c>
      <c r="J101" t="str">
        <f t="shared" si="9"/>
        <v>CUST0480</v>
      </c>
      <c r="K101" t="s">
        <v>133</v>
      </c>
      <c r="L101" t="str">
        <f>PROPER(TRIM(CLEAN(Sales_Table[[#This Row],[Salesperson]])))</f>
        <v>Karthik</v>
      </c>
      <c r="M101" t="s">
        <v>70</v>
      </c>
      <c r="N101" t="str">
        <f t="shared" si="10"/>
        <v>Upi</v>
      </c>
      <c r="O101" t="s">
        <v>48</v>
      </c>
      <c r="P101">
        <f t="shared" si="11"/>
        <v>9</v>
      </c>
      <c r="Q101" t="s">
        <v>130</v>
      </c>
      <c r="R101">
        <f t="shared" si="12"/>
        <v>4221</v>
      </c>
      <c r="S101" t="s">
        <v>358</v>
      </c>
      <c r="T101">
        <f t="shared" si="13"/>
        <v>37989</v>
      </c>
      <c r="U101">
        <f>YEAR(Sales_Table[[#This Row],[Date_clean]])</f>
        <v>2024</v>
      </c>
      <c r="V101" t="str">
        <f>TEXT(Sales_Table[[#This Row],[Date_clean]],"mmmm")</f>
        <v>January</v>
      </c>
      <c r="W101">
        <f>WEEKNUM(Sales_Table[[#This Row],[Date_clean]],2)</f>
        <v>1</v>
      </c>
      <c r="X101" t="str" cm="1">
        <f t="array" ref="X101">_xlfn.IFS(Sales_Table[[#This Row],[Revenue]]&gt;=50000,"High",Sales_Table[[#This Row],[Revenue]]&gt;=20000,"Medium",Sales_Table[[#This Row],[Revenue]]&lt;20000,"Low")</f>
        <v>Medium</v>
      </c>
      <c r="Y101" t="str">
        <f>IF(Sales_Table[[#This Row],[Payment Method_clean]]="cash","Offline","Online")</f>
        <v>Online</v>
      </c>
      <c r="Z101">
        <f>IFERROR(Sales_Table[[#This Row],[Revenue]],0)</f>
        <v>37989</v>
      </c>
    </row>
    <row r="102" spans="1:26" x14ac:dyDescent="0.3">
      <c r="A102">
        <v>101</v>
      </c>
      <c r="B102" s="2">
        <f t="shared" si="7"/>
        <v>45296.166666666664</v>
      </c>
      <c r="C102" t="s">
        <v>359</v>
      </c>
      <c r="D102" t="s">
        <v>27</v>
      </c>
      <c r="E102" t="str">
        <f>PROPER(TRIM(CLEAN(Sales_Table[[#This Row],[Region]])))</f>
        <v>East</v>
      </c>
      <c r="F102" t="s">
        <v>28</v>
      </c>
      <c r="G102" t="str">
        <f t="shared" si="8"/>
        <v>Clothing</v>
      </c>
      <c r="H102" t="str">
        <f>PROPER(TRIM(CLEAN(Sales_Table[[#This Row],[Product Name]])))</f>
        <v>Mixer Grinder</v>
      </c>
      <c r="I102" t="s">
        <v>29</v>
      </c>
      <c r="J102" t="str">
        <f t="shared" si="9"/>
        <v>CUST0791</v>
      </c>
      <c r="K102" t="s">
        <v>288</v>
      </c>
      <c r="L102" t="str">
        <f>PROPER(TRIM(CLEAN(Sales_Table[[#This Row],[Salesperson]])))</f>
        <v>Karthik</v>
      </c>
      <c r="M102" t="s">
        <v>70</v>
      </c>
      <c r="N102" t="str">
        <f t="shared" si="10"/>
        <v>Cash</v>
      </c>
      <c r="O102" t="s">
        <v>32</v>
      </c>
      <c r="P102">
        <f t="shared" si="11"/>
        <v>14</v>
      </c>
      <c r="Q102" t="s">
        <v>55</v>
      </c>
      <c r="R102">
        <f t="shared" si="12"/>
        <v>857</v>
      </c>
      <c r="S102" t="s">
        <v>360</v>
      </c>
      <c r="T102">
        <f t="shared" si="13"/>
        <v>11998</v>
      </c>
      <c r="U102">
        <f>YEAR(Sales_Table[[#This Row],[Date_clean]])</f>
        <v>2024</v>
      </c>
      <c r="V102" t="str">
        <f>TEXT(Sales_Table[[#This Row],[Date_clean]],"mmmm")</f>
        <v>January</v>
      </c>
      <c r="W102">
        <f>WEEKNUM(Sales_Table[[#This Row],[Date_clean]],2)</f>
        <v>1</v>
      </c>
      <c r="X102" t="str" cm="1">
        <f t="array" ref="X102">_xlfn.IFS(Sales_Table[[#This Row],[Revenue]]&gt;=50000,"High",Sales_Table[[#This Row],[Revenue]]&gt;=20000,"Medium",Sales_Table[[#This Row],[Revenue]]&lt;20000,"Low")</f>
        <v>Low</v>
      </c>
      <c r="Y102" t="str">
        <f>IF(Sales_Table[[#This Row],[Payment Method_clean]]="cash","Offline","Online")</f>
        <v>Offline</v>
      </c>
      <c r="Z102">
        <f>IFERROR(Sales_Table[[#This Row],[Revenue]],0)</f>
        <v>11998</v>
      </c>
    </row>
    <row r="103" spans="1:26" x14ac:dyDescent="0.3">
      <c r="A103">
        <v>102</v>
      </c>
      <c r="B103" s="2">
        <f t="shared" si="7"/>
        <v>45296.208333333336</v>
      </c>
      <c r="C103" t="s">
        <v>361</v>
      </c>
      <c r="D103" t="s">
        <v>84</v>
      </c>
      <c r="E103" t="str">
        <f>PROPER(TRIM(CLEAN(Sales_Table[[#This Row],[Region]])))</f>
        <v>South</v>
      </c>
      <c r="F103" t="s">
        <v>78</v>
      </c>
      <c r="G103" t="str">
        <f t="shared" si="8"/>
        <v>Grocery</v>
      </c>
      <c r="H103" t="str">
        <f>PROPER(TRIM(CLEAN(Sales_Table[[#This Row],[Product Name]])))</f>
        <v>Laptop</v>
      </c>
      <c r="I103" t="s">
        <v>52</v>
      </c>
      <c r="J103" t="str">
        <f t="shared" si="9"/>
        <v>CUST0340</v>
      </c>
      <c r="K103" t="s">
        <v>362</v>
      </c>
      <c r="L103" t="str">
        <f>PROPER(TRIM(CLEAN(Sales_Table[[#This Row],[Salesperson]])))</f>
        <v>Karthik</v>
      </c>
      <c r="M103" t="s">
        <v>70</v>
      </c>
      <c r="N103" t="str">
        <f t="shared" si="10"/>
        <v>Upi</v>
      </c>
      <c r="O103" t="s">
        <v>48</v>
      </c>
      <c r="P103">
        <f t="shared" si="11"/>
        <v>3</v>
      </c>
      <c r="Q103" t="s">
        <v>66</v>
      </c>
      <c r="R103">
        <f t="shared" si="12"/>
        <v>3488</v>
      </c>
      <c r="S103" t="s">
        <v>363</v>
      </c>
      <c r="T103">
        <f t="shared" si="13"/>
        <v>10464</v>
      </c>
      <c r="U103">
        <f>YEAR(Sales_Table[[#This Row],[Date_clean]])</f>
        <v>2024</v>
      </c>
      <c r="V103" t="str">
        <f>TEXT(Sales_Table[[#This Row],[Date_clean]],"mmmm")</f>
        <v>January</v>
      </c>
      <c r="W103">
        <f>WEEKNUM(Sales_Table[[#This Row],[Date_clean]],2)</f>
        <v>1</v>
      </c>
      <c r="X103" t="str" cm="1">
        <f t="array" ref="X103">_xlfn.IFS(Sales_Table[[#This Row],[Revenue]]&gt;=50000,"High",Sales_Table[[#This Row],[Revenue]]&gt;=20000,"Medium",Sales_Table[[#This Row],[Revenue]]&lt;20000,"Low")</f>
        <v>Low</v>
      </c>
      <c r="Y103" t="str">
        <f>IF(Sales_Table[[#This Row],[Payment Method_clean]]="cash","Offline","Online")</f>
        <v>Online</v>
      </c>
      <c r="Z103">
        <f>IFERROR(Sales_Table[[#This Row],[Revenue]],0)</f>
        <v>10464</v>
      </c>
    </row>
    <row r="104" spans="1:26" x14ac:dyDescent="0.3">
      <c r="A104">
        <v>103</v>
      </c>
      <c r="B104" s="2">
        <f t="shared" si="7"/>
        <v>45296.25</v>
      </c>
      <c r="C104" t="s">
        <v>364</v>
      </c>
      <c r="D104" t="s">
        <v>84</v>
      </c>
      <c r="E104" t="str">
        <f>PROPER(TRIM(CLEAN(Sales_Table[[#This Row],[Region]])))</f>
        <v>South</v>
      </c>
      <c r="F104" t="s">
        <v>78</v>
      </c>
      <c r="G104" t="str">
        <f t="shared" si="8"/>
        <v>Grocery</v>
      </c>
      <c r="H104" t="str">
        <f>PROPER(TRIM(CLEAN(Sales_Table[[#This Row],[Product Name]])))</f>
        <v>Mixer Grinder</v>
      </c>
      <c r="I104" t="s">
        <v>29</v>
      </c>
      <c r="J104" t="str">
        <f t="shared" si="9"/>
        <v>CUST0340</v>
      </c>
      <c r="K104" t="s">
        <v>362</v>
      </c>
      <c r="L104" t="str">
        <f>PROPER(TRIM(CLEAN(Sales_Table[[#This Row],[Salesperson]])))</f>
        <v>Suresh</v>
      </c>
      <c r="M104" t="s">
        <v>54</v>
      </c>
      <c r="N104" t="str">
        <f t="shared" si="10"/>
        <v>Net Banking</v>
      </c>
      <c r="O104" t="s">
        <v>60</v>
      </c>
      <c r="P104">
        <f t="shared" si="11"/>
        <v>10</v>
      </c>
      <c r="Q104" t="s">
        <v>117</v>
      </c>
      <c r="R104">
        <f t="shared" si="12"/>
        <v>1941</v>
      </c>
      <c r="S104" t="s">
        <v>365</v>
      </c>
      <c r="T104">
        <f t="shared" si="13"/>
        <v>19410</v>
      </c>
      <c r="U104">
        <f>YEAR(Sales_Table[[#This Row],[Date_clean]])</f>
        <v>2024</v>
      </c>
      <c r="V104" t="str">
        <f>TEXT(Sales_Table[[#This Row],[Date_clean]],"mmmm")</f>
        <v>January</v>
      </c>
      <c r="W104">
        <f>WEEKNUM(Sales_Table[[#This Row],[Date_clean]],2)</f>
        <v>1</v>
      </c>
      <c r="X104" t="str" cm="1">
        <f t="array" ref="X104">_xlfn.IFS(Sales_Table[[#This Row],[Revenue]]&gt;=50000,"High",Sales_Table[[#This Row],[Revenue]]&gt;=20000,"Medium",Sales_Table[[#This Row],[Revenue]]&lt;20000,"Low")</f>
        <v>Low</v>
      </c>
      <c r="Y104" t="str">
        <f>IF(Sales_Table[[#This Row],[Payment Method_clean]]="cash","Offline","Online")</f>
        <v>Online</v>
      </c>
      <c r="Z104">
        <f>IFERROR(Sales_Table[[#This Row],[Revenue]],0)</f>
        <v>19410</v>
      </c>
    </row>
    <row r="105" spans="1:26" x14ac:dyDescent="0.3">
      <c r="A105">
        <v>104</v>
      </c>
      <c r="B105" s="2">
        <f t="shared" si="7"/>
        <v>45296.291666666664</v>
      </c>
      <c r="C105" t="s">
        <v>366</v>
      </c>
      <c r="D105" t="s">
        <v>36</v>
      </c>
      <c r="E105" t="str">
        <f>PROPER(TRIM(CLEAN(Sales_Table[[#This Row],[Region]])))</f>
        <v>West</v>
      </c>
      <c r="F105" t="s">
        <v>46</v>
      </c>
      <c r="G105" t="str">
        <f t="shared" si="8"/>
        <v>Electronics</v>
      </c>
      <c r="H105" t="str">
        <f>PROPER(TRIM(CLEAN(Sales_Table[[#This Row],[Product Name]])))</f>
        <v>Laptop</v>
      </c>
      <c r="I105" t="s">
        <v>52</v>
      </c>
      <c r="J105" t="str">
        <f t="shared" si="9"/>
        <v>CUST0204</v>
      </c>
      <c r="K105" t="s">
        <v>367</v>
      </c>
      <c r="L105" t="str">
        <f>PROPER(TRIM(CLEAN(Sales_Table[[#This Row],[Salesperson]])))</f>
        <v>Karthik</v>
      </c>
      <c r="M105" t="s">
        <v>70</v>
      </c>
      <c r="N105" t="str">
        <f t="shared" si="10"/>
        <v>Debit Card</v>
      </c>
      <c r="O105" t="s">
        <v>41</v>
      </c>
      <c r="P105">
        <f t="shared" si="11"/>
        <v>13</v>
      </c>
      <c r="Q105" t="s">
        <v>81</v>
      </c>
      <c r="R105">
        <f t="shared" si="12"/>
        <v>3635</v>
      </c>
      <c r="S105" t="s">
        <v>98</v>
      </c>
      <c r="T105">
        <f t="shared" si="13"/>
        <v>47255</v>
      </c>
      <c r="U105">
        <f>YEAR(Sales_Table[[#This Row],[Date_clean]])</f>
        <v>2024</v>
      </c>
      <c r="V105" t="str">
        <f>TEXT(Sales_Table[[#This Row],[Date_clean]],"mmmm")</f>
        <v>January</v>
      </c>
      <c r="W105">
        <f>WEEKNUM(Sales_Table[[#This Row],[Date_clean]],2)</f>
        <v>1</v>
      </c>
      <c r="X105" t="str" cm="1">
        <f t="array" ref="X105">_xlfn.IFS(Sales_Table[[#This Row],[Revenue]]&gt;=50000,"High",Sales_Table[[#This Row],[Revenue]]&gt;=20000,"Medium",Sales_Table[[#This Row],[Revenue]]&lt;20000,"Low")</f>
        <v>Medium</v>
      </c>
      <c r="Y105" t="str">
        <f>IF(Sales_Table[[#This Row],[Payment Method_clean]]="cash","Offline","Online")</f>
        <v>Online</v>
      </c>
      <c r="Z105">
        <f>IFERROR(Sales_Table[[#This Row],[Revenue]],0)</f>
        <v>47255</v>
      </c>
    </row>
    <row r="106" spans="1:26" x14ac:dyDescent="0.3">
      <c r="A106">
        <v>105</v>
      </c>
      <c r="B106" s="2">
        <f t="shared" si="7"/>
        <v>45296.333333333336</v>
      </c>
      <c r="C106" t="s">
        <v>368</v>
      </c>
      <c r="D106" t="s">
        <v>84</v>
      </c>
      <c r="E106" t="str">
        <f>PROPER(TRIM(CLEAN(Sales_Table[[#This Row],[Region]])))</f>
        <v>South</v>
      </c>
      <c r="F106" t="s">
        <v>37</v>
      </c>
      <c r="G106" t="str">
        <f t="shared" si="8"/>
        <v>Home Appliances</v>
      </c>
      <c r="H106" t="str">
        <f>PROPER(TRIM(CLEAN(Sales_Table[[#This Row],[Product Name]])))</f>
        <v>Washing Machine</v>
      </c>
      <c r="I106" t="s">
        <v>79</v>
      </c>
      <c r="J106" t="str">
        <f t="shared" si="9"/>
        <v>CUST0161</v>
      </c>
      <c r="K106" t="s">
        <v>369</v>
      </c>
      <c r="L106" t="str">
        <f>PROPER(TRIM(CLEAN(Sales_Table[[#This Row],[Salesperson]])))</f>
        <v>Rahul</v>
      </c>
      <c r="M106" t="s">
        <v>31</v>
      </c>
      <c r="N106" t="str">
        <f t="shared" si="10"/>
        <v>Debit Card</v>
      </c>
      <c r="O106" t="s">
        <v>41</v>
      </c>
      <c r="P106">
        <f t="shared" si="11"/>
        <v>3</v>
      </c>
      <c r="Q106" t="s">
        <v>66</v>
      </c>
      <c r="R106">
        <f t="shared" si="12"/>
        <v>2393</v>
      </c>
      <c r="S106" t="s">
        <v>370</v>
      </c>
      <c r="T106">
        <f t="shared" si="13"/>
        <v>7179</v>
      </c>
      <c r="U106">
        <f>YEAR(Sales_Table[[#This Row],[Date_clean]])</f>
        <v>2024</v>
      </c>
      <c r="V106" t="str">
        <f>TEXT(Sales_Table[[#This Row],[Date_clean]],"mmmm")</f>
        <v>January</v>
      </c>
      <c r="W106">
        <f>WEEKNUM(Sales_Table[[#This Row],[Date_clean]],2)</f>
        <v>1</v>
      </c>
      <c r="X106" t="str" cm="1">
        <f t="array" ref="X106">_xlfn.IFS(Sales_Table[[#This Row],[Revenue]]&gt;=50000,"High",Sales_Table[[#This Row],[Revenue]]&gt;=20000,"Medium",Sales_Table[[#This Row],[Revenue]]&lt;20000,"Low")</f>
        <v>Low</v>
      </c>
      <c r="Y106" t="str">
        <f>IF(Sales_Table[[#This Row],[Payment Method_clean]]="cash","Offline","Online")</f>
        <v>Online</v>
      </c>
      <c r="Z106">
        <f>IFERROR(Sales_Table[[#This Row],[Revenue]],0)</f>
        <v>7179</v>
      </c>
    </row>
    <row r="107" spans="1:26" x14ac:dyDescent="0.3">
      <c r="A107">
        <v>106</v>
      </c>
      <c r="B107" s="2">
        <f t="shared" si="7"/>
        <v>45296.375</v>
      </c>
      <c r="C107" t="s">
        <v>371</v>
      </c>
      <c r="D107" t="s">
        <v>84</v>
      </c>
      <c r="E107" t="str">
        <f>PROPER(TRIM(CLEAN(Sales_Table[[#This Row],[Region]])))</f>
        <v>South</v>
      </c>
      <c r="F107" t="s">
        <v>37</v>
      </c>
      <c r="G107" t="str">
        <f t="shared" si="8"/>
        <v>Home Appliances</v>
      </c>
      <c r="H107" t="str">
        <f>PROPER(TRIM(CLEAN(Sales_Table[[#This Row],[Product Name]])))</f>
        <v>Laptop</v>
      </c>
      <c r="I107" t="s">
        <v>52</v>
      </c>
      <c r="J107" t="str">
        <f t="shared" si="9"/>
        <v>CUST0540</v>
      </c>
      <c r="K107" t="s">
        <v>372</v>
      </c>
      <c r="L107" t="str">
        <f>PROPER(TRIM(CLEAN(Sales_Table[[#This Row],[Salesperson]])))</f>
        <v>Rahul</v>
      </c>
      <c r="M107" t="s">
        <v>31</v>
      </c>
      <c r="N107" t="str">
        <f t="shared" si="10"/>
        <v>Cash</v>
      </c>
      <c r="O107" t="s">
        <v>32</v>
      </c>
      <c r="P107">
        <f t="shared" si="11"/>
        <v>11</v>
      </c>
      <c r="Q107" t="s">
        <v>97</v>
      </c>
      <c r="R107">
        <f t="shared" si="12"/>
        <v>1204</v>
      </c>
      <c r="S107" t="s">
        <v>373</v>
      </c>
      <c r="T107">
        <f t="shared" si="13"/>
        <v>13244</v>
      </c>
      <c r="U107">
        <f>YEAR(Sales_Table[[#This Row],[Date_clean]])</f>
        <v>2024</v>
      </c>
      <c r="V107" t="str">
        <f>TEXT(Sales_Table[[#This Row],[Date_clean]],"mmmm")</f>
        <v>January</v>
      </c>
      <c r="W107">
        <f>WEEKNUM(Sales_Table[[#This Row],[Date_clean]],2)</f>
        <v>1</v>
      </c>
      <c r="X107" t="str" cm="1">
        <f t="array" ref="X107">_xlfn.IFS(Sales_Table[[#This Row],[Revenue]]&gt;=50000,"High",Sales_Table[[#This Row],[Revenue]]&gt;=20000,"Medium",Sales_Table[[#This Row],[Revenue]]&lt;20000,"Low")</f>
        <v>Low</v>
      </c>
      <c r="Y107" t="str">
        <f>IF(Sales_Table[[#This Row],[Payment Method_clean]]="cash","Offline","Online")</f>
        <v>Offline</v>
      </c>
      <c r="Z107">
        <f>IFERROR(Sales_Table[[#This Row],[Revenue]],0)</f>
        <v>13244</v>
      </c>
    </row>
    <row r="108" spans="1:26" x14ac:dyDescent="0.3">
      <c r="A108">
        <v>107</v>
      </c>
      <c r="B108" s="2">
        <f t="shared" si="7"/>
        <v>45296.416666666664</v>
      </c>
      <c r="C108" t="s">
        <v>374</v>
      </c>
      <c r="D108" t="s">
        <v>84</v>
      </c>
      <c r="E108" t="str">
        <f>PROPER(TRIM(CLEAN(Sales_Table[[#This Row],[Region]])))</f>
        <v>South</v>
      </c>
      <c r="F108" t="s">
        <v>28</v>
      </c>
      <c r="G108" t="str">
        <f t="shared" si="8"/>
        <v>Clothing</v>
      </c>
      <c r="H108" t="str">
        <f>PROPER(TRIM(CLEAN(Sales_Table[[#This Row],[Product Name]])))</f>
        <v>Mixer Grinder</v>
      </c>
      <c r="I108" t="s">
        <v>29</v>
      </c>
      <c r="J108" t="str">
        <f t="shared" si="9"/>
        <v>CUST0392</v>
      </c>
      <c r="K108" t="s">
        <v>375</v>
      </c>
      <c r="L108" t="str">
        <f>PROPER(TRIM(CLEAN(Sales_Table[[#This Row],[Salesperson]])))</f>
        <v>Anita</v>
      </c>
      <c r="M108" t="s">
        <v>64</v>
      </c>
      <c r="N108" t="str">
        <f t="shared" si="10"/>
        <v>Debit Card</v>
      </c>
      <c r="O108" t="s">
        <v>41</v>
      </c>
      <c r="P108">
        <f t="shared" si="11"/>
        <v>2</v>
      </c>
      <c r="Q108" t="s">
        <v>196</v>
      </c>
      <c r="R108">
        <f t="shared" si="12"/>
        <v>761</v>
      </c>
      <c r="S108" t="s">
        <v>376</v>
      </c>
      <c r="T108">
        <f t="shared" si="13"/>
        <v>1522</v>
      </c>
      <c r="U108">
        <f>YEAR(Sales_Table[[#This Row],[Date_clean]])</f>
        <v>2024</v>
      </c>
      <c r="V108" t="str">
        <f>TEXT(Sales_Table[[#This Row],[Date_clean]],"mmmm")</f>
        <v>January</v>
      </c>
      <c r="W108">
        <f>WEEKNUM(Sales_Table[[#This Row],[Date_clean]],2)</f>
        <v>1</v>
      </c>
      <c r="X108" t="str" cm="1">
        <f t="array" ref="X108">_xlfn.IFS(Sales_Table[[#This Row],[Revenue]]&gt;=50000,"High",Sales_Table[[#This Row],[Revenue]]&gt;=20000,"Medium",Sales_Table[[#This Row],[Revenue]]&lt;20000,"Low")</f>
        <v>Low</v>
      </c>
      <c r="Y108" t="str">
        <f>IF(Sales_Table[[#This Row],[Payment Method_clean]]="cash","Offline","Online")</f>
        <v>Online</v>
      </c>
      <c r="Z108">
        <f>IFERROR(Sales_Table[[#This Row],[Revenue]],0)</f>
        <v>1522</v>
      </c>
    </row>
    <row r="109" spans="1:26" x14ac:dyDescent="0.3">
      <c r="A109">
        <v>108</v>
      </c>
      <c r="B109" s="2">
        <f t="shared" si="7"/>
        <v>45296.458333333336</v>
      </c>
      <c r="C109" t="s">
        <v>377</v>
      </c>
      <c r="D109" t="s">
        <v>36</v>
      </c>
      <c r="E109" t="str">
        <f>PROPER(TRIM(CLEAN(Sales_Table[[#This Row],[Region]])))</f>
        <v>West</v>
      </c>
      <c r="F109" t="s">
        <v>28</v>
      </c>
      <c r="G109" t="str">
        <f t="shared" si="8"/>
        <v>Clothing</v>
      </c>
      <c r="H109" t="str">
        <f>PROPER(TRIM(CLEAN(Sales_Table[[#This Row],[Product Name]])))</f>
        <v>Mixer Grinder</v>
      </c>
      <c r="I109" t="s">
        <v>29</v>
      </c>
      <c r="J109" t="str">
        <f t="shared" si="9"/>
        <v>CUST0769</v>
      </c>
      <c r="K109" t="s">
        <v>378</v>
      </c>
      <c r="L109" t="str">
        <f>PROPER(TRIM(CLEAN(Sales_Table[[#This Row],[Salesperson]])))</f>
        <v>Suresh</v>
      </c>
      <c r="M109" t="s">
        <v>54</v>
      </c>
      <c r="N109" t="str">
        <f t="shared" si="10"/>
        <v>Upi</v>
      </c>
      <c r="O109" t="s">
        <v>48</v>
      </c>
      <c r="P109">
        <f t="shared" si="11"/>
        <v>8</v>
      </c>
      <c r="Q109" t="s">
        <v>42</v>
      </c>
      <c r="R109">
        <f t="shared" si="12"/>
        <v>1008</v>
      </c>
      <c r="S109" t="s">
        <v>379</v>
      </c>
      <c r="T109">
        <f t="shared" si="13"/>
        <v>8064</v>
      </c>
      <c r="U109">
        <f>YEAR(Sales_Table[[#This Row],[Date_clean]])</f>
        <v>2024</v>
      </c>
      <c r="V109" t="str">
        <f>TEXT(Sales_Table[[#This Row],[Date_clean]],"mmmm")</f>
        <v>January</v>
      </c>
      <c r="W109">
        <f>WEEKNUM(Sales_Table[[#This Row],[Date_clean]],2)</f>
        <v>1</v>
      </c>
      <c r="X109" t="str" cm="1">
        <f t="array" ref="X109">_xlfn.IFS(Sales_Table[[#This Row],[Revenue]]&gt;=50000,"High",Sales_Table[[#This Row],[Revenue]]&gt;=20000,"Medium",Sales_Table[[#This Row],[Revenue]]&lt;20000,"Low")</f>
        <v>Low</v>
      </c>
      <c r="Y109" t="str">
        <f>IF(Sales_Table[[#This Row],[Payment Method_clean]]="cash","Offline","Online")</f>
        <v>Online</v>
      </c>
      <c r="Z109">
        <f>IFERROR(Sales_Table[[#This Row],[Revenue]],0)</f>
        <v>8064</v>
      </c>
    </row>
    <row r="110" spans="1:26" x14ac:dyDescent="0.3">
      <c r="A110">
        <v>109</v>
      </c>
      <c r="B110" s="2">
        <f t="shared" si="7"/>
        <v>45296.5</v>
      </c>
      <c r="C110" t="s">
        <v>380</v>
      </c>
      <c r="D110" t="s">
        <v>84</v>
      </c>
      <c r="E110" t="str">
        <f>PROPER(TRIM(CLEAN(Sales_Table[[#This Row],[Region]])))</f>
        <v>South</v>
      </c>
      <c r="F110" t="s">
        <v>28</v>
      </c>
      <c r="G110" t="str">
        <f t="shared" si="8"/>
        <v>Clothing</v>
      </c>
      <c r="H110" t="str">
        <f>PROPER(TRIM(CLEAN(Sales_Table[[#This Row],[Product Name]])))</f>
        <v>Laptop</v>
      </c>
      <c r="I110" t="s">
        <v>52</v>
      </c>
      <c r="J110" t="str">
        <f t="shared" si="9"/>
        <v>CUST0677</v>
      </c>
      <c r="K110" t="s">
        <v>381</v>
      </c>
      <c r="L110" t="str">
        <f>PROPER(TRIM(CLEAN(Sales_Table[[#This Row],[Salesperson]])))</f>
        <v>Anita</v>
      </c>
      <c r="M110" t="s">
        <v>64</v>
      </c>
      <c r="N110" t="str">
        <f t="shared" si="10"/>
        <v>Cash</v>
      </c>
      <c r="O110" t="s">
        <v>32</v>
      </c>
      <c r="P110">
        <f t="shared" si="11"/>
        <v>13</v>
      </c>
      <c r="Q110" t="s">
        <v>81</v>
      </c>
      <c r="R110">
        <f t="shared" si="12"/>
        <v>4717</v>
      </c>
      <c r="S110" t="s">
        <v>382</v>
      </c>
      <c r="T110">
        <f t="shared" si="13"/>
        <v>61321</v>
      </c>
      <c r="U110">
        <f>YEAR(Sales_Table[[#This Row],[Date_clean]])</f>
        <v>2024</v>
      </c>
      <c r="V110" t="str">
        <f>TEXT(Sales_Table[[#This Row],[Date_clean]],"mmmm")</f>
        <v>January</v>
      </c>
      <c r="W110">
        <f>WEEKNUM(Sales_Table[[#This Row],[Date_clean]],2)</f>
        <v>1</v>
      </c>
      <c r="X110" t="str" cm="1">
        <f t="array" ref="X110">_xlfn.IFS(Sales_Table[[#This Row],[Revenue]]&gt;=50000,"High",Sales_Table[[#This Row],[Revenue]]&gt;=20000,"Medium",Sales_Table[[#This Row],[Revenue]]&lt;20000,"Low")</f>
        <v>High</v>
      </c>
      <c r="Y110" t="str">
        <f>IF(Sales_Table[[#This Row],[Payment Method_clean]]="cash","Offline","Online")</f>
        <v>Offline</v>
      </c>
      <c r="Z110">
        <f>IFERROR(Sales_Table[[#This Row],[Revenue]],0)</f>
        <v>61321</v>
      </c>
    </row>
    <row r="111" spans="1:26" x14ac:dyDescent="0.3">
      <c r="A111">
        <v>110</v>
      </c>
      <c r="B111" s="2">
        <f t="shared" si="7"/>
        <v>45296.541666666664</v>
      </c>
      <c r="C111" t="s">
        <v>383</v>
      </c>
      <c r="D111" t="s">
        <v>27</v>
      </c>
      <c r="E111" t="str">
        <f>PROPER(TRIM(CLEAN(Sales_Table[[#This Row],[Region]])))</f>
        <v>East</v>
      </c>
      <c r="F111" t="s">
        <v>46</v>
      </c>
      <c r="G111" t="str">
        <f t="shared" si="8"/>
        <v>Electronics</v>
      </c>
      <c r="H111" t="str">
        <f>PROPER(TRIM(CLEAN(Sales_Table[[#This Row],[Product Name]])))</f>
        <v>Men T-Shirt</v>
      </c>
      <c r="I111" t="s">
        <v>38</v>
      </c>
      <c r="J111" t="str">
        <f t="shared" si="9"/>
        <v>CUST0575</v>
      </c>
      <c r="K111" t="s">
        <v>384</v>
      </c>
      <c r="L111" t="str">
        <f>PROPER(TRIM(CLEAN(Sales_Table[[#This Row],[Salesperson]])))</f>
        <v>Rahul</v>
      </c>
      <c r="M111" t="s">
        <v>31</v>
      </c>
      <c r="N111" t="str">
        <f t="shared" si="10"/>
        <v>Net Banking</v>
      </c>
      <c r="O111" t="s">
        <v>60</v>
      </c>
      <c r="P111">
        <f t="shared" si="11"/>
        <v>3</v>
      </c>
      <c r="Q111" t="s">
        <v>66</v>
      </c>
      <c r="R111">
        <f t="shared" si="12"/>
        <v>1956</v>
      </c>
      <c r="S111" t="s">
        <v>385</v>
      </c>
      <c r="T111">
        <f t="shared" si="13"/>
        <v>5868</v>
      </c>
      <c r="U111">
        <f>YEAR(Sales_Table[[#This Row],[Date_clean]])</f>
        <v>2024</v>
      </c>
      <c r="V111" t="str">
        <f>TEXT(Sales_Table[[#This Row],[Date_clean]],"mmmm")</f>
        <v>January</v>
      </c>
      <c r="W111">
        <f>WEEKNUM(Sales_Table[[#This Row],[Date_clean]],2)</f>
        <v>1</v>
      </c>
      <c r="X111" t="str" cm="1">
        <f t="array" ref="X111">_xlfn.IFS(Sales_Table[[#This Row],[Revenue]]&gt;=50000,"High",Sales_Table[[#This Row],[Revenue]]&gt;=20000,"Medium",Sales_Table[[#This Row],[Revenue]]&lt;20000,"Low")</f>
        <v>Low</v>
      </c>
      <c r="Y111" t="str">
        <f>IF(Sales_Table[[#This Row],[Payment Method_clean]]="cash","Offline","Online")</f>
        <v>Online</v>
      </c>
      <c r="Z111">
        <f>IFERROR(Sales_Table[[#This Row],[Revenue]],0)</f>
        <v>5868</v>
      </c>
    </row>
    <row r="112" spans="1:26" x14ac:dyDescent="0.3">
      <c r="A112">
        <v>111</v>
      </c>
      <c r="B112" s="2">
        <f t="shared" si="7"/>
        <v>45296.583333333336</v>
      </c>
      <c r="C112" t="s">
        <v>386</v>
      </c>
      <c r="D112" t="s">
        <v>36</v>
      </c>
      <c r="E112" t="str">
        <f>PROPER(TRIM(CLEAN(Sales_Table[[#This Row],[Region]])))</f>
        <v>West</v>
      </c>
      <c r="F112" t="s">
        <v>37</v>
      </c>
      <c r="G112" t="str">
        <f t="shared" si="8"/>
        <v>Home Appliances</v>
      </c>
      <c r="H112" t="str">
        <f>PROPER(TRIM(CLEAN(Sales_Table[[#This Row],[Product Name]])))</f>
        <v>Washing Machine</v>
      </c>
      <c r="I112" t="s">
        <v>79</v>
      </c>
      <c r="J112" t="str">
        <f t="shared" si="9"/>
        <v>CUST0534</v>
      </c>
      <c r="K112" t="s">
        <v>387</v>
      </c>
      <c r="L112" t="str">
        <f>PROPER(TRIM(CLEAN(Sales_Table[[#This Row],[Salesperson]])))</f>
        <v>Rahul</v>
      </c>
      <c r="M112" t="s">
        <v>31</v>
      </c>
      <c r="N112" t="str">
        <f t="shared" si="10"/>
        <v>Cash</v>
      </c>
      <c r="O112" t="s">
        <v>32</v>
      </c>
      <c r="P112">
        <f t="shared" si="11"/>
        <v>6</v>
      </c>
      <c r="Q112" t="s">
        <v>75</v>
      </c>
      <c r="R112">
        <f t="shared" si="12"/>
        <v>2411</v>
      </c>
      <c r="S112" t="s">
        <v>388</v>
      </c>
      <c r="T112">
        <f t="shared" si="13"/>
        <v>14466</v>
      </c>
      <c r="U112">
        <f>YEAR(Sales_Table[[#This Row],[Date_clean]])</f>
        <v>2024</v>
      </c>
      <c r="V112" t="str">
        <f>TEXT(Sales_Table[[#This Row],[Date_clean]],"mmmm")</f>
        <v>January</v>
      </c>
      <c r="W112">
        <f>WEEKNUM(Sales_Table[[#This Row],[Date_clean]],2)</f>
        <v>1</v>
      </c>
      <c r="X112" t="str" cm="1">
        <f t="array" ref="X112">_xlfn.IFS(Sales_Table[[#This Row],[Revenue]]&gt;=50000,"High",Sales_Table[[#This Row],[Revenue]]&gt;=20000,"Medium",Sales_Table[[#This Row],[Revenue]]&lt;20000,"Low")</f>
        <v>Low</v>
      </c>
      <c r="Y112" t="str">
        <f>IF(Sales_Table[[#This Row],[Payment Method_clean]]="cash","Offline","Online")</f>
        <v>Offline</v>
      </c>
      <c r="Z112">
        <f>IFERROR(Sales_Table[[#This Row],[Revenue]],0)</f>
        <v>14466</v>
      </c>
    </row>
    <row r="113" spans="1:26" x14ac:dyDescent="0.3">
      <c r="A113">
        <v>112</v>
      </c>
      <c r="B113" s="2">
        <f t="shared" si="7"/>
        <v>45296.625</v>
      </c>
      <c r="C113" t="s">
        <v>389</v>
      </c>
      <c r="D113" t="s">
        <v>27</v>
      </c>
      <c r="E113" t="str">
        <f>PROPER(TRIM(CLEAN(Sales_Table[[#This Row],[Region]])))</f>
        <v>East</v>
      </c>
      <c r="F113" t="s">
        <v>78</v>
      </c>
      <c r="G113" t="str">
        <f t="shared" si="8"/>
        <v>Grocery</v>
      </c>
      <c r="H113" t="str">
        <f>PROPER(TRIM(CLEAN(Sales_Table[[#This Row],[Product Name]])))</f>
        <v>Rice 5Kg</v>
      </c>
      <c r="I113" t="s">
        <v>73</v>
      </c>
      <c r="J113" t="str">
        <f t="shared" si="9"/>
        <v>CUST0070</v>
      </c>
      <c r="K113" t="s">
        <v>390</v>
      </c>
      <c r="L113" t="str">
        <f>PROPER(TRIM(CLEAN(Sales_Table[[#This Row],[Salesperson]])))</f>
        <v>Meena</v>
      </c>
      <c r="M113" t="s">
        <v>40</v>
      </c>
      <c r="N113" t="str">
        <f t="shared" si="10"/>
        <v>Cash</v>
      </c>
      <c r="O113" t="s">
        <v>32</v>
      </c>
      <c r="P113">
        <f t="shared" si="11"/>
        <v>2</v>
      </c>
      <c r="Q113" t="s">
        <v>196</v>
      </c>
      <c r="R113">
        <f t="shared" si="12"/>
        <v>889</v>
      </c>
      <c r="S113" t="s">
        <v>391</v>
      </c>
      <c r="T113">
        <f t="shared" si="13"/>
        <v>1778</v>
      </c>
      <c r="U113">
        <f>YEAR(Sales_Table[[#This Row],[Date_clean]])</f>
        <v>2024</v>
      </c>
      <c r="V113" t="str">
        <f>TEXT(Sales_Table[[#This Row],[Date_clean]],"mmmm")</f>
        <v>January</v>
      </c>
      <c r="W113">
        <f>WEEKNUM(Sales_Table[[#This Row],[Date_clean]],2)</f>
        <v>1</v>
      </c>
      <c r="X113" t="str" cm="1">
        <f t="array" ref="X113">_xlfn.IFS(Sales_Table[[#This Row],[Revenue]]&gt;=50000,"High",Sales_Table[[#This Row],[Revenue]]&gt;=20000,"Medium",Sales_Table[[#This Row],[Revenue]]&lt;20000,"Low")</f>
        <v>Low</v>
      </c>
      <c r="Y113" t="str">
        <f>IF(Sales_Table[[#This Row],[Payment Method_clean]]="cash","Offline","Online")</f>
        <v>Offline</v>
      </c>
      <c r="Z113">
        <f>IFERROR(Sales_Table[[#This Row],[Revenue]],0)</f>
        <v>1778</v>
      </c>
    </row>
    <row r="114" spans="1:26" x14ac:dyDescent="0.3">
      <c r="A114">
        <v>113</v>
      </c>
      <c r="B114" s="2">
        <f t="shared" si="7"/>
        <v>45296.666666666664</v>
      </c>
      <c r="C114" t="s">
        <v>392</v>
      </c>
      <c r="D114" t="s">
        <v>36</v>
      </c>
      <c r="E114" t="str">
        <f>PROPER(TRIM(CLEAN(Sales_Table[[#This Row],[Region]])))</f>
        <v>West</v>
      </c>
      <c r="F114" t="s">
        <v>46</v>
      </c>
      <c r="G114" t="str">
        <f t="shared" si="8"/>
        <v>Electronics</v>
      </c>
      <c r="H114" t="str">
        <f>PROPER(TRIM(CLEAN(Sales_Table[[#This Row],[Product Name]])))</f>
        <v>Led Tv 42Inch</v>
      </c>
      <c r="I114" t="s">
        <v>58</v>
      </c>
      <c r="J114" t="str">
        <f t="shared" si="9"/>
        <v>CUST0405</v>
      </c>
      <c r="K114" t="s">
        <v>393</v>
      </c>
      <c r="L114" t="str">
        <f>PROPER(TRIM(CLEAN(Sales_Table[[#This Row],[Salesperson]])))</f>
        <v>Karthik</v>
      </c>
      <c r="M114" t="s">
        <v>70</v>
      </c>
      <c r="N114" t="str">
        <f t="shared" si="10"/>
        <v>Credit Card</v>
      </c>
      <c r="O114" t="s">
        <v>65</v>
      </c>
      <c r="P114">
        <f t="shared" si="11"/>
        <v>7</v>
      </c>
      <c r="Q114" t="s">
        <v>49</v>
      </c>
      <c r="R114">
        <f t="shared" si="12"/>
        <v>271</v>
      </c>
      <c r="S114" t="s">
        <v>394</v>
      </c>
      <c r="T114">
        <f t="shared" si="13"/>
        <v>1897</v>
      </c>
      <c r="U114">
        <f>YEAR(Sales_Table[[#This Row],[Date_clean]])</f>
        <v>2024</v>
      </c>
      <c r="V114" t="str">
        <f>TEXT(Sales_Table[[#This Row],[Date_clean]],"mmmm")</f>
        <v>January</v>
      </c>
      <c r="W114">
        <f>WEEKNUM(Sales_Table[[#This Row],[Date_clean]],2)</f>
        <v>1</v>
      </c>
      <c r="X114" t="str" cm="1">
        <f t="array" ref="X114">_xlfn.IFS(Sales_Table[[#This Row],[Revenue]]&gt;=50000,"High",Sales_Table[[#This Row],[Revenue]]&gt;=20000,"Medium",Sales_Table[[#This Row],[Revenue]]&lt;20000,"Low")</f>
        <v>Low</v>
      </c>
      <c r="Y114" t="str">
        <f>IF(Sales_Table[[#This Row],[Payment Method_clean]]="cash","Offline","Online")</f>
        <v>Online</v>
      </c>
      <c r="Z114">
        <f>IFERROR(Sales_Table[[#This Row],[Revenue]],0)</f>
        <v>1897</v>
      </c>
    </row>
    <row r="115" spans="1:26" x14ac:dyDescent="0.3">
      <c r="A115">
        <v>114</v>
      </c>
      <c r="B115" s="2">
        <f t="shared" si="7"/>
        <v>45296.708333333336</v>
      </c>
      <c r="C115" t="s">
        <v>395</v>
      </c>
      <c r="D115" t="s">
        <v>84</v>
      </c>
      <c r="E115" t="str">
        <f>PROPER(TRIM(CLEAN(Sales_Table[[#This Row],[Region]])))</f>
        <v>South</v>
      </c>
      <c r="F115" t="s">
        <v>78</v>
      </c>
      <c r="G115" t="str">
        <f t="shared" si="8"/>
        <v>Grocery</v>
      </c>
      <c r="H115" t="str">
        <f>PROPER(TRIM(CLEAN(Sales_Table[[#This Row],[Product Name]])))</f>
        <v>Mixer Grinder</v>
      </c>
      <c r="I115" t="s">
        <v>29</v>
      </c>
      <c r="J115" t="str">
        <f t="shared" si="9"/>
        <v>CUST0608</v>
      </c>
      <c r="K115" t="s">
        <v>396</v>
      </c>
      <c r="L115" t="str">
        <f>PROPER(TRIM(CLEAN(Sales_Table[[#This Row],[Salesperson]])))</f>
        <v>Rahul</v>
      </c>
      <c r="M115" t="s">
        <v>31</v>
      </c>
      <c r="N115" t="str">
        <f t="shared" si="10"/>
        <v>Credit Card</v>
      </c>
      <c r="O115" t="s">
        <v>65</v>
      </c>
      <c r="P115">
        <f t="shared" si="11"/>
        <v>13</v>
      </c>
      <c r="Q115" t="s">
        <v>81</v>
      </c>
      <c r="R115">
        <f t="shared" si="12"/>
        <v>4460</v>
      </c>
      <c r="S115" t="s">
        <v>397</v>
      </c>
      <c r="T115">
        <f t="shared" si="13"/>
        <v>57980</v>
      </c>
      <c r="U115">
        <f>YEAR(Sales_Table[[#This Row],[Date_clean]])</f>
        <v>2024</v>
      </c>
      <c r="V115" t="str">
        <f>TEXT(Sales_Table[[#This Row],[Date_clean]],"mmmm")</f>
        <v>January</v>
      </c>
      <c r="W115">
        <f>WEEKNUM(Sales_Table[[#This Row],[Date_clean]],2)</f>
        <v>1</v>
      </c>
      <c r="X115" t="str" cm="1">
        <f t="array" ref="X115">_xlfn.IFS(Sales_Table[[#This Row],[Revenue]]&gt;=50000,"High",Sales_Table[[#This Row],[Revenue]]&gt;=20000,"Medium",Sales_Table[[#This Row],[Revenue]]&lt;20000,"Low")</f>
        <v>High</v>
      </c>
      <c r="Y115" t="str">
        <f>IF(Sales_Table[[#This Row],[Payment Method_clean]]="cash","Offline","Online")</f>
        <v>Online</v>
      </c>
      <c r="Z115">
        <f>IFERROR(Sales_Table[[#This Row],[Revenue]],0)</f>
        <v>57980</v>
      </c>
    </row>
    <row r="116" spans="1:26" x14ac:dyDescent="0.3">
      <c r="A116">
        <v>115</v>
      </c>
      <c r="B116" s="2">
        <f t="shared" si="7"/>
        <v>45296.75</v>
      </c>
      <c r="C116" t="s">
        <v>398</v>
      </c>
      <c r="D116" t="s">
        <v>27</v>
      </c>
      <c r="E116" t="str">
        <f>PROPER(TRIM(CLEAN(Sales_Table[[#This Row],[Region]])))</f>
        <v>East</v>
      </c>
      <c r="F116" t="s">
        <v>78</v>
      </c>
      <c r="G116" t="str">
        <f t="shared" si="8"/>
        <v>Grocery</v>
      </c>
      <c r="H116" t="str">
        <f>PROPER(TRIM(CLEAN(Sales_Table[[#This Row],[Product Name]])))</f>
        <v>Led Tv 42Inch</v>
      </c>
      <c r="I116" t="s">
        <v>58</v>
      </c>
      <c r="J116" t="str">
        <f t="shared" si="9"/>
        <v>CUST0675</v>
      </c>
      <c r="K116" t="s">
        <v>399</v>
      </c>
      <c r="L116" t="str">
        <f>PROPER(TRIM(CLEAN(Sales_Table[[#This Row],[Salesperson]])))</f>
        <v>Anita</v>
      </c>
      <c r="M116" t="s">
        <v>64</v>
      </c>
      <c r="N116" t="str">
        <f t="shared" si="10"/>
        <v>Cash</v>
      </c>
      <c r="O116" t="s">
        <v>32</v>
      </c>
      <c r="P116">
        <f t="shared" si="11"/>
        <v>4</v>
      </c>
      <c r="Q116" t="s">
        <v>113</v>
      </c>
      <c r="R116">
        <f t="shared" si="12"/>
        <v>2086</v>
      </c>
      <c r="S116" t="s">
        <v>400</v>
      </c>
      <c r="T116">
        <f t="shared" si="13"/>
        <v>8344</v>
      </c>
      <c r="U116">
        <f>YEAR(Sales_Table[[#This Row],[Date_clean]])</f>
        <v>2024</v>
      </c>
      <c r="V116" t="str">
        <f>TEXT(Sales_Table[[#This Row],[Date_clean]],"mmmm")</f>
        <v>January</v>
      </c>
      <c r="W116">
        <f>WEEKNUM(Sales_Table[[#This Row],[Date_clean]],2)</f>
        <v>1</v>
      </c>
      <c r="X116" t="str" cm="1">
        <f t="array" ref="X116">_xlfn.IFS(Sales_Table[[#This Row],[Revenue]]&gt;=50000,"High",Sales_Table[[#This Row],[Revenue]]&gt;=20000,"Medium",Sales_Table[[#This Row],[Revenue]]&lt;20000,"Low")</f>
        <v>Low</v>
      </c>
      <c r="Y116" t="str">
        <f>IF(Sales_Table[[#This Row],[Payment Method_clean]]="cash","Offline","Online")</f>
        <v>Offline</v>
      </c>
      <c r="Z116">
        <f>IFERROR(Sales_Table[[#This Row],[Revenue]],0)</f>
        <v>8344</v>
      </c>
    </row>
    <row r="117" spans="1:26" x14ac:dyDescent="0.3">
      <c r="A117">
        <v>116</v>
      </c>
      <c r="B117" s="2">
        <f t="shared" si="7"/>
        <v>45296.791666666664</v>
      </c>
      <c r="C117" t="s">
        <v>401</v>
      </c>
      <c r="D117" t="s">
        <v>36</v>
      </c>
      <c r="E117" t="str">
        <f>PROPER(TRIM(CLEAN(Sales_Table[[#This Row],[Region]])))</f>
        <v>West</v>
      </c>
      <c r="F117" t="s">
        <v>46</v>
      </c>
      <c r="G117" t="str">
        <f t="shared" si="8"/>
        <v>Electronics</v>
      </c>
      <c r="H117" t="str">
        <f>PROPER(TRIM(CLEAN(Sales_Table[[#This Row],[Product Name]])))</f>
        <v>Rice 5Kg</v>
      </c>
      <c r="I117" t="s">
        <v>73</v>
      </c>
      <c r="J117" t="str">
        <f t="shared" si="9"/>
        <v>CUST0591</v>
      </c>
      <c r="K117" t="s">
        <v>402</v>
      </c>
      <c r="L117" t="str">
        <f>PROPER(TRIM(CLEAN(Sales_Table[[#This Row],[Salesperson]])))</f>
        <v>Anita</v>
      </c>
      <c r="M117" t="s">
        <v>64</v>
      </c>
      <c r="N117" t="str">
        <f t="shared" si="10"/>
        <v>Debit Card</v>
      </c>
      <c r="O117" t="s">
        <v>41</v>
      </c>
      <c r="P117">
        <f t="shared" si="11"/>
        <v>9</v>
      </c>
      <c r="Q117" t="s">
        <v>130</v>
      </c>
      <c r="R117">
        <f t="shared" si="12"/>
        <v>1985</v>
      </c>
      <c r="S117" t="s">
        <v>403</v>
      </c>
      <c r="T117">
        <f t="shared" si="13"/>
        <v>17865</v>
      </c>
      <c r="U117">
        <f>YEAR(Sales_Table[[#This Row],[Date_clean]])</f>
        <v>2024</v>
      </c>
      <c r="V117" t="str">
        <f>TEXT(Sales_Table[[#This Row],[Date_clean]],"mmmm")</f>
        <v>January</v>
      </c>
      <c r="W117">
        <f>WEEKNUM(Sales_Table[[#This Row],[Date_clean]],2)</f>
        <v>1</v>
      </c>
      <c r="X117" t="str" cm="1">
        <f t="array" ref="X117">_xlfn.IFS(Sales_Table[[#This Row],[Revenue]]&gt;=50000,"High",Sales_Table[[#This Row],[Revenue]]&gt;=20000,"Medium",Sales_Table[[#This Row],[Revenue]]&lt;20000,"Low")</f>
        <v>Low</v>
      </c>
      <c r="Y117" t="str">
        <f>IF(Sales_Table[[#This Row],[Payment Method_clean]]="cash","Offline","Online")</f>
        <v>Online</v>
      </c>
      <c r="Z117">
        <f>IFERROR(Sales_Table[[#This Row],[Revenue]],0)</f>
        <v>17865</v>
      </c>
    </row>
    <row r="118" spans="1:26" x14ac:dyDescent="0.3">
      <c r="A118">
        <v>117</v>
      </c>
      <c r="B118" s="2">
        <f t="shared" si="7"/>
        <v>45296.833333333336</v>
      </c>
      <c r="C118" t="s">
        <v>404</v>
      </c>
      <c r="D118" t="s">
        <v>45</v>
      </c>
      <c r="E118" t="str">
        <f>PROPER(TRIM(CLEAN(Sales_Table[[#This Row],[Region]])))</f>
        <v>North</v>
      </c>
      <c r="F118" t="s">
        <v>78</v>
      </c>
      <c r="G118" t="str">
        <f t="shared" si="8"/>
        <v>Grocery</v>
      </c>
      <c r="H118" t="str">
        <f>PROPER(TRIM(CLEAN(Sales_Table[[#This Row],[Product Name]])))</f>
        <v>Led Tv 42Inch</v>
      </c>
      <c r="I118" t="s">
        <v>58</v>
      </c>
      <c r="J118" t="str">
        <f t="shared" si="9"/>
        <v>CUST0517</v>
      </c>
      <c r="K118" t="s">
        <v>405</v>
      </c>
      <c r="L118" t="str">
        <f>PROPER(TRIM(CLEAN(Sales_Table[[#This Row],[Salesperson]])))</f>
        <v>Karthik</v>
      </c>
      <c r="M118" t="s">
        <v>70</v>
      </c>
      <c r="N118" t="str">
        <f t="shared" si="10"/>
        <v>Credit Card</v>
      </c>
      <c r="O118" t="s">
        <v>65</v>
      </c>
      <c r="P118">
        <f t="shared" si="11"/>
        <v>14</v>
      </c>
      <c r="Q118" t="s">
        <v>55</v>
      </c>
      <c r="R118">
        <f t="shared" si="12"/>
        <v>575</v>
      </c>
      <c r="S118" t="s">
        <v>406</v>
      </c>
      <c r="T118">
        <f t="shared" si="13"/>
        <v>8050</v>
      </c>
      <c r="U118">
        <f>YEAR(Sales_Table[[#This Row],[Date_clean]])</f>
        <v>2024</v>
      </c>
      <c r="V118" t="str">
        <f>TEXT(Sales_Table[[#This Row],[Date_clean]],"mmmm")</f>
        <v>January</v>
      </c>
      <c r="W118">
        <f>WEEKNUM(Sales_Table[[#This Row],[Date_clean]],2)</f>
        <v>1</v>
      </c>
      <c r="X118" t="str" cm="1">
        <f t="array" ref="X118">_xlfn.IFS(Sales_Table[[#This Row],[Revenue]]&gt;=50000,"High",Sales_Table[[#This Row],[Revenue]]&gt;=20000,"Medium",Sales_Table[[#This Row],[Revenue]]&lt;20000,"Low")</f>
        <v>Low</v>
      </c>
      <c r="Y118" t="str">
        <f>IF(Sales_Table[[#This Row],[Payment Method_clean]]="cash","Offline","Online")</f>
        <v>Online</v>
      </c>
      <c r="Z118">
        <f>IFERROR(Sales_Table[[#This Row],[Revenue]],0)</f>
        <v>8050</v>
      </c>
    </row>
    <row r="119" spans="1:26" x14ac:dyDescent="0.3">
      <c r="A119">
        <v>118</v>
      </c>
      <c r="B119" s="2">
        <f t="shared" si="7"/>
        <v>45296.875</v>
      </c>
      <c r="C119" t="s">
        <v>407</v>
      </c>
      <c r="D119" t="s">
        <v>84</v>
      </c>
      <c r="E119" t="str">
        <f>PROPER(TRIM(CLEAN(Sales_Table[[#This Row],[Region]])))</f>
        <v>South</v>
      </c>
      <c r="F119" t="s">
        <v>37</v>
      </c>
      <c r="G119" t="str">
        <f t="shared" si="8"/>
        <v>Home Appliances</v>
      </c>
      <c r="H119" t="str">
        <f>PROPER(TRIM(CLEAN(Sales_Table[[#This Row],[Product Name]])))</f>
        <v>Rice 5Kg</v>
      </c>
      <c r="I119" t="s">
        <v>73</v>
      </c>
      <c r="J119" t="str">
        <f t="shared" si="9"/>
        <v>CUST0120</v>
      </c>
      <c r="K119" t="s">
        <v>408</v>
      </c>
      <c r="L119" t="str">
        <f>PROPER(TRIM(CLEAN(Sales_Table[[#This Row],[Salesperson]])))</f>
        <v>Karthik</v>
      </c>
      <c r="M119" t="s">
        <v>70</v>
      </c>
      <c r="N119" t="str">
        <f t="shared" si="10"/>
        <v>Net Banking</v>
      </c>
      <c r="O119" t="s">
        <v>60</v>
      </c>
      <c r="P119">
        <f t="shared" si="11"/>
        <v>10</v>
      </c>
      <c r="Q119" t="s">
        <v>117</v>
      </c>
      <c r="R119">
        <f t="shared" si="12"/>
        <v>1149</v>
      </c>
      <c r="S119" t="s">
        <v>409</v>
      </c>
      <c r="T119">
        <f t="shared" si="13"/>
        <v>11490</v>
      </c>
      <c r="U119">
        <f>YEAR(Sales_Table[[#This Row],[Date_clean]])</f>
        <v>2024</v>
      </c>
      <c r="V119" t="str">
        <f>TEXT(Sales_Table[[#This Row],[Date_clean]],"mmmm")</f>
        <v>January</v>
      </c>
      <c r="W119">
        <f>WEEKNUM(Sales_Table[[#This Row],[Date_clean]],2)</f>
        <v>1</v>
      </c>
      <c r="X119" t="str" cm="1">
        <f t="array" ref="X119">_xlfn.IFS(Sales_Table[[#This Row],[Revenue]]&gt;=50000,"High",Sales_Table[[#This Row],[Revenue]]&gt;=20000,"Medium",Sales_Table[[#This Row],[Revenue]]&lt;20000,"Low")</f>
        <v>Low</v>
      </c>
      <c r="Y119" t="str">
        <f>IF(Sales_Table[[#This Row],[Payment Method_clean]]="cash","Offline","Online")</f>
        <v>Online</v>
      </c>
      <c r="Z119">
        <f>IFERROR(Sales_Table[[#This Row],[Revenue]],0)</f>
        <v>11490</v>
      </c>
    </row>
    <row r="120" spans="1:26" x14ac:dyDescent="0.3">
      <c r="A120">
        <v>119</v>
      </c>
      <c r="B120" s="2">
        <f t="shared" si="7"/>
        <v>45296.916666666664</v>
      </c>
      <c r="C120" t="s">
        <v>410</v>
      </c>
      <c r="D120" t="s">
        <v>36</v>
      </c>
      <c r="E120" t="str">
        <f>PROPER(TRIM(CLEAN(Sales_Table[[#This Row],[Region]])))</f>
        <v>West</v>
      </c>
      <c r="F120" t="s">
        <v>78</v>
      </c>
      <c r="G120" t="str">
        <f t="shared" si="8"/>
        <v>Grocery</v>
      </c>
      <c r="H120" t="str">
        <f>PROPER(TRIM(CLEAN(Sales_Table[[#This Row],[Product Name]])))</f>
        <v>Laptop</v>
      </c>
      <c r="I120" t="s">
        <v>52</v>
      </c>
      <c r="J120" t="str">
        <f t="shared" si="9"/>
        <v>CUST0690</v>
      </c>
      <c r="K120" t="s">
        <v>411</v>
      </c>
      <c r="L120" t="str">
        <f>PROPER(TRIM(CLEAN(Sales_Table[[#This Row],[Salesperson]])))</f>
        <v>Meena</v>
      </c>
      <c r="M120" t="s">
        <v>40</v>
      </c>
      <c r="N120" t="str">
        <f t="shared" si="10"/>
        <v>Upi</v>
      </c>
      <c r="O120" t="s">
        <v>48</v>
      </c>
      <c r="P120">
        <f t="shared" si="11"/>
        <v>9</v>
      </c>
      <c r="Q120" t="s">
        <v>130</v>
      </c>
      <c r="R120">
        <f t="shared" si="12"/>
        <v>4229</v>
      </c>
      <c r="S120" t="s">
        <v>412</v>
      </c>
      <c r="T120">
        <f t="shared" si="13"/>
        <v>38061</v>
      </c>
      <c r="U120">
        <f>YEAR(Sales_Table[[#This Row],[Date_clean]])</f>
        <v>2024</v>
      </c>
      <c r="V120" t="str">
        <f>TEXT(Sales_Table[[#This Row],[Date_clean]],"mmmm")</f>
        <v>January</v>
      </c>
      <c r="W120">
        <f>WEEKNUM(Sales_Table[[#This Row],[Date_clean]],2)</f>
        <v>1</v>
      </c>
      <c r="X120" t="str" cm="1">
        <f t="array" ref="X120">_xlfn.IFS(Sales_Table[[#This Row],[Revenue]]&gt;=50000,"High",Sales_Table[[#This Row],[Revenue]]&gt;=20000,"Medium",Sales_Table[[#This Row],[Revenue]]&lt;20000,"Low")</f>
        <v>Medium</v>
      </c>
      <c r="Y120" t="str">
        <f>IF(Sales_Table[[#This Row],[Payment Method_clean]]="cash","Offline","Online")</f>
        <v>Online</v>
      </c>
      <c r="Z120">
        <f>IFERROR(Sales_Table[[#This Row],[Revenue]],0)</f>
        <v>38061</v>
      </c>
    </row>
    <row r="121" spans="1:26" x14ac:dyDescent="0.3">
      <c r="A121">
        <v>120</v>
      </c>
      <c r="B121" s="2">
        <f t="shared" si="7"/>
        <v>45296.958333333336</v>
      </c>
      <c r="C121" t="s">
        <v>413</v>
      </c>
      <c r="D121" t="s">
        <v>45</v>
      </c>
      <c r="E121" t="str">
        <f>PROPER(TRIM(CLEAN(Sales_Table[[#This Row],[Region]])))</f>
        <v>North</v>
      </c>
      <c r="F121" t="s">
        <v>37</v>
      </c>
      <c r="G121" t="str">
        <f t="shared" si="8"/>
        <v>Home Appliances</v>
      </c>
      <c r="H121" t="str">
        <f>PROPER(TRIM(CLEAN(Sales_Table[[#This Row],[Product Name]])))</f>
        <v>Men T-Shirt</v>
      </c>
      <c r="I121" t="s">
        <v>38</v>
      </c>
      <c r="J121" t="str">
        <f t="shared" si="9"/>
        <v>CUST0688</v>
      </c>
      <c r="K121" t="s">
        <v>414</v>
      </c>
      <c r="L121" t="str">
        <f>PROPER(TRIM(CLEAN(Sales_Table[[#This Row],[Salesperson]])))</f>
        <v>Suresh</v>
      </c>
      <c r="M121" t="s">
        <v>54</v>
      </c>
      <c r="N121" t="str">
        <f t="shared" si="10"/>
        <v>Credit Card</v>
      </c>
      <c r="O121" t="s">
        <v>65</v>
      </c>
      <c r="P121">
        <f t="shared" si="11"/>
        <v>7</v>
      </c>
      <c r="Q121" t="s">
        <v>49</v>
      </c>
      <c r="R121">
        <f t="shared" si="12"/>
        <v>2411</v>
      </c>
      <c r="S121" t="s">
        <v>388</v>
      </c>
      <c r="T121">
        <f t="shared" si="13"/>
        <v>16877</v>
      </c>
      <c r="U121">
        <f>YEAR(Sales_Table[[#This Row],[Date_clean]])</f>
        <v>2024</v>
      </c>
      <c r="V121" t="str">
        <f>TEXT(Sales_Table[[#This Row],[Date_clean]],"mmmm")</f>
        <v>January</v>
      </c>
      <c r="W121">
        <f>WEEKNUM(Sales_Table[[#This Row],[Date_clean]],2)</f>
        <v>1</v>
      </c>
      <c r="X121" t="str" cm="1">
        <f t="array" ref="X121">_xlfn.IFS(Sales_Table[[#This Row],[Revenue]]&gt;=50000,"High",Sales_Table[[#This Row],[Revenue]]&gt;=20000,"Medium",Sales_Table[[#This Row],[Revenue]]&lt;20000,"Low")</f>
        <v>Low</v>
      </c>
      <c r="Y121" t="str">
        <f>IF(Sales_Table[[#This Row],[Payment Method_clean]]="cash","Offline","Online")</f>
        <v>Online</v>
      </c>
      <c r="Z121">
        <f>IFERROR(Sales_Table[[#This Row],[Revenue]],0)</f>
        <v>16877</v>
      </c>
    </row>
    <row r="122" spans="1:26" x14ac:dyDescent="0.3">
      <c r="A122">
        <v>121</v>
      </c>
      <c r="B122" s="2">
        <f t="shared" si="7"/>
        <v>45297</v>
      </c>
      <c r="C122" t="s">
        <v>415</v>
      </c>
      <c r="D122" t="s">
        <v>36</v>
      </c>
      <c r="E122" t="str">
        <f>PROPER(TRIM(CLEAN(Sales_Table[[#This Row],[Region]])))</f>
        <v>West</v>
      </c>
      <c r="F122" t="s">
        <v>37</v>
      </c>
      <c r="G122" t="str">
        <f t="shared" si="8"/>
        <v>Home Appliances</v>
      </c>
      <c r="H122" t="str">
        <f>PROPER(TRIM(CLEAN(Sales_Table[[#This Row],[Product Name]])))</f>
        <v>Mixer Grinder</v>
      </c>
      <c r="I122" t="s">
        <v>29</v>
      </c>
      <c r="J122" t="str">
        <f t="shared" si="9"/>
        <v>CUST0217</v>
      </c>
      <c r="K122" t="s">
        <v>416</v>
      </c>
      <c r="L122" t="str">
        <f>PROPER(TRIM(CLEAN(Sales_Table[[#This Row],[Salesperson]])))</f>
        <v>Anita</v>
      </c>
      <c r="M122" t="s">
        <v>64</v>
      </c>
      <c r="N122" t="str">
        <f t="shared" si="10"/>
        <v>Cash</v>
      </c>
      <c r="O122" t="s">
        <v>32</v>
      </c>
      <c r="P122">
        <f t="shared" si="11"/>
        <v>12</v>
      </c>
      <c r="Q122" t="s">
        <v>33</v>
      </c>
      <c r="R122">
        <f t="shared" si="12"/>
        <v>1261</v>
      </c>
      <c r="S122" t="s">
        <v>417</v>
      </c>
      <c r="T122">
        <f t="shared" si="13"/>
        <v>15132</v>
      </c>
      <c r="U122">
        <f>YEAR(Sales_Table[[#This Row],[Date_clean]])</f>
        <v>2024</v>
      </c>
      <c r="V122" t="str">
        <f>TEXT(Sales_Table[[#This Row],[Date_clean]],"mmmm")</f>
        <v>January</v>
      </c>
      <c r="W122">
        <f>WEEKNUM(Sales_Table[[#This Row],[Date_clean]],2)</f>
        <v>1</v>
      </c>
      <c r="X122" t="str" cm="1">
        <f t="array" ref="X122">_xlfn.IFS(Sales_Table[[#This Row],[Revenue]]&gt;=50000,"High",Sales_Table[[#This Row],[Revenue]]&gt;=20000,"Medium",Sales_Table[[#This Row],[Revenue]]&lt;20000,"Low")</f>
        <v>Low</v>
      </c>
      <c r="Y122" t="str">
        <f>IF(Sales_Table[[#This Row],[Payment Method_clean]]="cash","Offline","Online")</f>
        <v>Offline</v>
      </c>
      <c r="Z122">
        <f>IFERROR(Sales_Table[[#This Row],[Revenue]],0)</f>
        <v>15132</v>
      </c>
    </row>
    <row r="123" spans="1:26" x14ac:dyDescent="0.3">
      <c r="A123">
        <v>122</v>
      </c>
      <c r="B123" s="2">
        <f t="shared" si="7"/>
        <v>45297.041666666664</v>
      </c>
      <c r="C123" t="s">
        <v>418</v>
      </c>
      <c r="D123" t="s">
        <v>45</v>
      </c>
      <c r="E123" t="str">
        <f>PROPER(TRIM(CLEAN(Sales_Table[[#This Row],[Region]])))</f>
        <v>North</v>
      </c>
      <c r="F123" t="s">
        <v>37</v>
      </c>
      <c r="G123" t="str">
        <f t="shared" si="8"/>
        <v>Home Appliances</v>
      </c>
      <c r="H123" t="str">
        <f>PROPER(TRIM(CLEAN(Sales_Table[[#This Row],[Product Name]])))</f>
        <v>Rice 5Kg</v>
      </c>
      <c r="I123" t="s">
        <v>73</v>
      </c>
      <c r="J123" t="str">
        <f t="shared" si="9"/>
        <v>CUST0056</v>
      </c>
      <c r="K123" t="s">
        <v>419</v>
      </c>
      <c r="L123" t="str">
        <f>PROPER(TRIM(CLEAN(Sales_Table[[#This Row],[Salesperson]])))</f>
        <v>Karthik</v>
      </c>
      <c r="M123" t="s">
        <v>70</v>
      </c>
      <c r="N123" t="str">
        <f t="shared" si="10"/>
        <v>Debit Card</v>
      </c>
      <c r="O123" t="s">
        <v>41</v>
      </c>
      <c r="P123">
        <f t="shared" si="11"/>
        <v>8</v>
      </c>
      <c r="Q123" t="s">
        <v>42</v>
      </c>
      <c r="R123">
        <f t="shared" si="12"/>
        <v>915</v>
      </c>
      <c r="S123" t="s">
        <v>420</v>
      </c>
      <c r="T123">
        <f t="shared" si="13"/>
        <v>7320</v>
      </c>
      <c r="U123">
        <f>YEAR(Sales_Table[[#This Row],[Date_clean]])</f>
        <v>2024</v>
      </c>
      <c r="V123" t="str">
        <f>TEXT(Sales_Table[[#This Row],[Date_clean]],"mmmm")</f>
        <v>January</v>
      </c>
      <c r="W123">
        <f>WEEKNUM(Sales_Table[[#This Row],[Date_clean]],2)</f>
        <v>1</v>
      </c>
      <c r="X123" t="str" cm="1">
        <f t="array" ref="X123">_xlfn.IFS(Sales_Table[[#This Row],[Revenue]]&gt;=50000,"High",Sales_Table[[#This Row],[Revenue]]&gt;=20000,"Medium",Sales_Table[[#This Row],[Revenue]]&lt;20000,"Low")</f>
        <v>Low</v>
      </c>
      <c r="Y123" t="str">
        <f>IF(Sales_Table[[#This Row],[Payment Method_clean]]="cash","Offline","Online")</f>
        <v>Online</v>
      </c>
      <c r="Z123">
        <f>IFERROR(Sales_Table[[#This Row],[Revenue]],0)</f>
        <v>7320</v>
      </c>
    </row>
    <row r="124" spans="1:26" x14ac:dyDescent="0.3">
      <c r="A124">
        <v>123</v>
      </c>
      <c r="B124" s="2">
        <f t="shared" si="7"/>
        <v>45297.083333333336</v>
      </c>
      <c r="C124" t="s">
        <v>421</v>
      </c>
      <c r="D124" t="s">
        <v>84</v>
      </c>
      <c r="E124" t="str">
        <f>PROPER(TRIM(CLEAN(Sales_Table[[#This Row],[Region]])))</f>
        <v>South</v>
      </c>
      <c r="F124" t="s">
        <v>28</v>
      </c>
      <c r="G124" t="str">
        <f t="shared" si="8"/>
        <v>Clothing</v>
      </c>
      <c r="H124" t="str">
        <f>PROPER(TRIM(CLEAN(Sales_Table[[#This Row],[Product Name]])))</f>
        <v>Led Tv 42Inch</v>
      </c>
      <c r="I124" t="s">
        <v>58</v>
      </c>
      <c r="J124" t="str">
        <f t="shared" si="9"/>
        <v>CUST0366</v>
      </c>
      <c r="K124" t="s">
        <v>422</v>
      </c>
      <c r="L124" t="str">
        <f>PROPER(TRIM(CLEAN(Sales_Table[[#This Row],[Salesperson]])))</f>
        <v>Anita</v>
      </c>
      <c r="M124" t="s">
        <v>64</v>
      </c>
      <c r="N124" t="str">
        <f t="shared" si="10"/>
        <v>Upi</v>
      </c>
      <c r="O124" t="s">
        <v>48</v>
      </c>
      <c r="P124">
        <f t="shared" si="11"/>
        <v>3</v>
      </c>
      <c r="Q124" t="s">
        <v>66</v>
      </c>
      <c r="R124">
        <f t="shared" si="12"/>
        <v>3866</v>
      </c>
      <c r="S124" t="s">
        <v>423</v>
      </c>
      <c r="T124">
        <f t="shared" si="13"/>
        <v>11598</v>
      </c>
      <c r="U124">
        <f>YEAR(Sales_Table[[#This Row],[Date_clean]])</f>
        <v>2024</v>
      </c>
      <c r="V124" t="str">
        <f>TEXT(Sales_Table[[#This Row],[Date_clean]],"mmmm")</f>
        <v>January</v>
      </c>
      <c r="W124">
        <f>WEEKNUM(Sales_Table[[#This Row],[Date_clean]],2)</f>
        <v>1</v>
      </c>
      <c r="X124" t="str" cm="1">
        <f t="array" ref="X124">_xlfn.IFS(Sales_Table[[#This Row],[Revenue]]&gt;=50000,"High",Sales_Table[[#This Row],[Revenue]]&gt;=20000,"Medium",Sales_Table[[#This Row],[Revenue]]&lt;20000,"Low")</f>
        <v>Low</v>
      </c>
      <c r="Y124" t="str">
        <f>IF(Sales_Table[[#This Row],[Payment Method_clean]]="cash","Offline","Online")</f>
        <v>Online</v>
      </c>
      <c r="Z124">
        <f>IFERROR(Sales_Table[[#This Row],[Revenue]],0)</f>
        <v>11598</v>
      </c>
    </row>
    <row r="125" spans="1:26" x14ac:dyDescent="0.3">
      <c r="A125">
        <v>124</v>
      </c>
      <c r="B125" s="2">
        <f t="shared" si="7"/>
        <v>45297.125</v>
      </c>
      <c r="C125" t="s">
        <v>424</v>
      </c>
      <c r="D125" t="s">
        <v>27</v>
      </c>
      <c r="E125" t="str">
        <f>PROPER(TRIM(CLEAN(Sales_Table[[#This Row],[Region]])))</f>
        <v>East</v>
      </c>
      <c r="F125" t="s">
        <v>78</v>
      </c>
      <c r="G125" t="str">
        <f t="shared" si="8"/>
        <v>Grocery</v>
      </c>
      <c r="H125" t="str">
        <f>PROPER(TRIM(CLEAN(Sales_Table[[#This Row],[Product Name]])))</f>
        <v>Mixer Grinder</v>
      </c>
      <c r="I125" t="s">
        <v>29</v>
      </c>
      <c r="J125" t="str">
        <f t="shared" si="9"/>
        <v>CUST0699</v>
      </c>
      <c r="K125" t="s">
        <v>425</v>
      </c>
      <c r="L125" t="str">
        <f>PROPER(TRIM(CLEAN(Sales_Table[[#This Row],[Salesperson]])))</f>
        <v>Karthik</v>
      </c>
      <c r="M125" t="s">
        <v>70</v>
      </c>
      <c r="N125" t="str">
        <f t="shared" si="10"/>
        <v>Credit Card</v>
      </c>
      <c r="O125" t="s">
        <v>65</v>
      </c>
      <c r="P125">
        <f t="shared" si="11"/>
        <v>11</v>
      </c>
      <c r="Q125" t="s">
        <v>97</v>
      </c>
      <c r="R125">
        <f t="shared" si="12"/>
        <v>3022</v>
      </c>
      <c r="S125" t="s">
        <v>166</v>
      </c>
      <c r="T125">
        <f t="shared" si="13"/>
        <v>33242</v>
      </c>
      <c r="U125">
        <f>YEAR(Sales_Table[[#This Row],[Date_clean]])</f>
        <v>2024</v>
      </c>
      <c r="V125" t="str">
        <f>TEXT(Sales_Table[[#This Row],[Date_clean]],"mmmm")</f>
        <v>January</v>
      </c>
      <c r="W125">
        <f>WEEKNUM(Sales_Table[[#This Row],[Date_clean]],2)</f>
        <v>1</v>
      </c>
      <c r="X125" t="str" cm="1">
        <f t="array" ref="X125">_xlfn.IFS(Sales_Table[[#This Row],[Revenue]]&gt;=50000,"High",Sales_Table[[#This Row],[Revenue]]&gt;=20000,"Medium",Sales_Table[[#This Row],[Revenue]]&lt;20000,"Low")</f>
        <v>Medium</v>
      </c>
      <c r="Y125" t="str">
        <f>IF(Sales_Table[[#This Row],[Payment Method_clean]]="cash","Offline","Online")</f>
        <v>Online</v>
      </c>
      <c r="Z125">
        <f>IFERROR(Sales_Table[[#This Row],[Revenue]],0)</f>
        <v>33242</v>
      </c>
    </row>
    <row r="126" spans="1:26" x14ac:dyDescent="0.3">
      <c r="A126">
        <v>125</v>
      </c>
      <c r="B126" s="2">
        <f t="shared" si="7"/>
        <v>45297.166666666664</v>
      </c>
      <c r="C126" t="s">
        <v>426</v>
      </c>
      <c r="D126" t="s">
        <v>45</v>
      </c>
      <c r="E126" t="str">
        <f>PROPER(TRIM(CLEAN(Sales_Table[[#This Row],[Region]])))</f>
        <v>North</v>
      </c>
      <c r="F126" t="s">
        <v>46</v>
      </c>
      <c r="G126" t="str">
        <f t="shared" si="8"/>
        <v>Electronics</v>
      </c>
      <c r="H126" t="str">
        <f>PROPER(TRIM(CLEAN(Sales_Table[[#This Row],[Product Name]])))</f>
        <v>Men T-Shirt</v>
      </c>
      <c r="I126" t="s">
        <v>38</v>
      </c>
      <c r="J126" t="str">
        <f t="shared" si="9"/>
        <v>CUST0504</v>
      </c>
      <c r="K126" t="s">
        <v>100</v>
      </c>
      <c r="L126" t="str">
        <f>PROPER(TRIM(CLEAN(Sales_Table[[#This Row],[Salesperson]])))</f>
        <v>Rahul</v>
      </c>
      <c r="M126" t="s">
        <v>31</v>
      </c>
      <c r="N126" t="str">
        <f t="shared" si="10"/>
        <v>Debit Card</v>
      </c>
      <c r="O126" t="s">
        <v>41</v>
      </c>
      <c r="P126">
        <f t="shared" si="11"/>
        <v>5</v>
      </c>
      <c r="Q126" t="s">
        <v>89</v>
      </c>
      <c r="R126">
        <f t="shared" si="12"/>
        <v>853</v>
      </c>
      <c r="S126" t="s">
        <v>427</v>
      </c>
      <c r="T126">
        <f t="shared" si="13"/>
        <v>4265</v>
      </c>
      <c r="U126">
        <f>YEAR(Sales_Table[[#This Row],[Date_clean]])</f>
        <v>2024</v>
      </c>
      <c r="V126" t="str">
        <f>TEXT(Sales_Table[[#This Row],[Date_clean]],"mmmm")</f>
        <v>January</v>
      </c>
      <c r="W126">
        <f>WEEKNUM(Sales_Table[[#This Row],[Date_clean]],2)</f>
        <v>1</v>
      </c>
      <c r="X126" t="str" cm="1">
        <f t="array" ref="X126">_xlfn.IFS(Sales_Table[[#This Row],[Revenue]]&gt;=50000,"High",Sales_Table[[#This Row],[Revenue]]&gt;=20000,"Medium",Sales_Table[[#This Row],[Revenue]]&lt;20000,"Low")</f>
        <v>Low</v>
      </c>
      <c r="Y126" t="str">
        <f>IF(Sales_Table[[#This Row],[Payment Method_clean]]="cash","Offline","Online")</f>
        <v>Online</v>
      </c>
      <c r="Z126">
        <f>IFERROR(Sales_Table[[#This Row],[Revenue]],0)</f>
        <v>4265</v>
      </c>
    </row>
    <row r="127" spans="1:26" x14ac:dyDescent="0.3">
      <c r="A127">
        <v>126</v>
      </c>
      <c r="B127" s="2">
        <f t="shared" si="7"/>
        <v>45297.208333333336</v>
      </c>
      <c r="C127" t="s">
        <v>428</v>
      </c>
      <c r="D127" t="s">
        <v>36</v>
      </c>
      <c r="E127" t="str">
        <f>PROPER(TRIM(CLEAN(Sales_Table[[#This Row],[Region]])))</f>
        <v>West</v>
      </c>
      <c r="F127" t="s">
        <v>46</v>
      </c>
      <c r="G127" t="str">
        <f t="shared" si="8"/>
        <v>Electronics</v>
      </c>
      <c r="H127" t="str">
        <f>PROPER(TRIM(CLEAN(Sales_Table[[#This Row],[Product Name]])))</f>
        <v>Laptop</v>
      </c>
      <c r="I127" t="s">
        <v>52</v>
      </c>
      <c r="J127" t="str">
        <f t="shared" si="9"/>
        <v>CUST0744</v>
      </c>
      <c r="K127" t="s">
        <v>429</v>
      </c>
      <c r="L127" t="str">
        <f>PROPER(TRIM(CLEAN(Sales_Table[[#This Row],[Salesperson]])))</f>
        <v>Anita</v>
      </c>
      <c r="M127" t="s">
        <v>64</v>
      </c>
      <c r="N127" t="str">
        <f t="shared" si="10"/>
        <v>Debit Card</v>
      </c>
      <c r="O127" t="s">
        <v>41</v>
      </c>
      <c r="P127">
        <f t="shared" si="11"/>
        <v>2</v>
      </c>
      <c r="Q127" t="s">
        <v>196</v>
      </c>
      <c r="R127">
        <f t="shared" si="12"/>
        <v>4761</v>
      </c>
      <c r="S127" t="s">
        <v>430</v>
      </c>
      <c r="T127">
        <f t="shared" si="13"/>
        <v>9522</v>
      </c>
      <c r="U127">
        <f>YEAR(Sales_Table[[#This Row],[Date_clean]])</f>
        <v>2024</v>
      </c>
      <c r="V127" t="str">
        <f>TEXT(Sales_Table[[#This Row],[Date_clean]],"mmmm")</f>
        <v>January</v>
      </c>
      <c r="W127">
        <f>WEEKNUM(Sales_Table[[#This Row],[Date_clean]],2)</f>
        <v>1</v>
      </c>
      <c r="X127" t="str" cm="1">
        <f t="array" ref="X127">_xlfn.IFS(Sales_Table[[#This Row],[Revenue]]&gt;=50000,"High",Sales_Table[[#This Row],[Revenue]]&gt;=20000,"Medium",Sales_Table[[#This Row],[Revenue]]&lt;20000,"Low")</f>
        <v>Low</v>
      </c>
      <c r="Y127" t="str">
        <f>IF(Sales_Table[[#This Row],[Payment Method_clean]]="cash","Offline","Online")</f>
        <v>Online</v>
      </c>
      <c r="Z127">
        <f>IFERROR(Sales_Table[[#This Row],[Revenue]],0)</f>
        <v>9522</v>
      </c>
    </row>
    <row r="128" spans="1:26" x14ac:dyDescent="0.3">
      <c r="A128">
        <v>127</v>
      </c>
      <c r="B128" s="2">
        <f t="shared" si="7"/>
        <v>45297.25</v>
      </c>
      <c r="C128" t="s">
        <v>431</v>
      </c>
      <c r="D128" t="s">
        <v>84</v>
      </c>
      <c r="E128" t="str">
        <f>PROPER(TRIM(CLEAN(Sales_Table[[#This Row],[Region]])))</f>
        <v>South</v>
      </c>
      <c r="F128" t="s">
        <v>78</v>
      </c>
      <c r="G128" t="str">
        <f t="shared" si="8"/>
        <v>Grocery</v>
      </c>
      <c r="H128" t="str">
        <f>PROPER(TRIM(CLEAN(Sales_Table[[#This Row],[Product Name]])))</f>
        <v>Mixer Grinder</v>
      </c>
      <c r="I128" t="s">
        <v>29</v>
      </c>
      <c r="J128" t="str">
        <f t="shared" si="9"/>
        <v>CUST0767</v>
      </c>
      <c r="K128" t="s">
        <v>432</v>
      </c>
      <c r="L128" t="str">
        <f>PROPER(TRIM(CLEAN(Sales_Table[[#This Row],[Salesperson]])))</f>
        <v>Rahul</v>
      </c>
      <c r="M128" t="s">
        <v>31</v>
      </c>
      <c r="N128" t="str">
        <f t="shared" si="10"/>
        <v>Debit Card</v>
      </c>
      <c r="O128" t="s">
        <v>41</v>
      </c>
      <c r="P128">
        <f t="shared" si="11"/>
        <v>10</v>
      </c>
      <c r="Q128" t="s">
        <v>117</v>
      </c>
      <c r="R128">
        <f t="shared" si="12"/>
        <v>561</v>
      </c>
      <c r="S128" t="s">
        <v>433</v>
      </c>
      <c r="T128">
        <f t="shared" si="13"/>
        <v>5610</v>
      </c>
      <c r="U128">
        <f>YEAR(Sales_Table[[#This Row],[Date_clean]])</f>
        <v>2024</v>
      </c>
      <c r="V128" t="str">
        <f>TEXT(Sales_Table[[#This Row],[Date_clean]],"mmmm")</f>
        <v>January</v>
      </c>
      <c r="W128">
        <f>WEEKNUM(Sales_Table[[#This Row],[Date_clean]],2)</f>
        <v>1</v>
      </c>
      <c r="X128" t="str" cm="1">
        <f t="array" ref="X128">_xlfn.IFS(Sales_Table[[#This Row],[Revenue]]&gt;=50000,"High",Sales_Table[[#This Row],[Revenue]]&gt;=20000,"Medium",Sales_Table[[#This Row],[Revenue]]&lt;20000,"Low")</f>
        <v>Low</v>
      </c>
      <c r="Y128" t="str">
        <f>IF(Sales_Table[[#This Row],[Payment Method_clean]]="cash","Offline","Online")</f>
        <v>Online</v>
      </c>
      <c r="Z128">
        <f>IFERROR(Sales_Table[[#This Row],[Revenue]],0)</f>
        <v>5610</v>
      </c>
    </row>
    <row r="129" spans="1:26" x14ac:dyDescent="0.3">
      <c r="A129">
        <v>128</v>
      </c>
      <c r="B129" s="2">
        <f t="shared" si="7"/>
        <v>45297.291666666664</v>
      </c>
      <c r="C129" t="s">
        <v>434</v>
      </c>
      <c r="D129" t="s">
        <v>45</v>
      </c>
      <c r="E129" t="str">
        <f>PROPER(TRIM(CLEAN(Sales_Table[[#This Row],[Region]])))</f>
        <v>North</v>
      </c>
      <c r="F129" t="s">
        <v>28</v>
      </c>
      <c r="G129" t="str">
        <f t="shared" si="8"/>
        <v>Clothing</v>
      </c>
      <c r="H129" t="str">
        <f>PROPER(TRIM(CLEAN(Sales_Table[[#This Row],[Product Name]])))</f>
        <v>Rice 5Kg</v>
      </c>
      <c r="I129" t="s">
        <v>73</v>
      </c>
      <c r="J129" t="str">
        <f t="shared" si="9"/>
        <v>CUST0455</v>
      </c>
      <c r="K129" t="s">
        <v>435</v>
      </c>
      <c r="L129" t="str">
        <f>PROPER(TRIM(CLEAN(Sales_Table[[#This Row],[Salesperson]])))</f>
        <v>Anita</v>
      </c>
      <c r="M129" t="s">
        <v>64</v>
      </c>
      <c r="N129" t="str">
        <f t="shared" si="10"/>
        <v>Cash</v>
      </c>
      <c r="O129" t="s">
        <v>32</v>
      </c>
      <c r="P129">
        <f t="shared" si="11"/>
        <v>7</v>
      </c>
      <c r="Q129" t="s">
        <v>49</v>
      </c>
      <c r="R129">
        <f t="shared" si="12"/>
        <v>3339</v>
      </c>
      <c r="S129" t="s">
        <v>436</v>
      </c>
      <c r="T129">
        <f t="shared" si="13"/>
        <v>23373</v>
      </c>
      <c r="U129">
        <f>YEAR(Sales_Table[[#This Row],[Date_clean]])</f>
        <v>2024</v>
      </c>
      <c r="V129" t="str">
        <f>TEXT(Sales_Table[[#This Row],[Date_clean]],"mmmm")</f>
        <v>January</v>
      </c>
      <c r="W129">
        <f>WEEKNUM(Sales_Table[[#This Row],[Date_clean]],2)</f>
        <v>1</v>
      </c>
      <c r="X129" t="str" cm="1">
        <f t="array" ref="X129">_xlfn.IFS(Sales_Table[[#This Row],[Revenue]]&gt;=50000,"High",Sales_Table[[#This Row],[Revenue]]&gt;=20000,"Medium",Sales_Table[[#This Row],[Revenue]]&lt;20000,"Low")</f>
        <v>Medium</v>
      </c>
      <c r="Y129" t="str">
        <f>IF(Sales_Table[[#This Row],[Payment Method_clean]]="cash","Offline","Online")</f>
        <v>Offline</v>
      </c>
      <c r="Z129">
        <f>IFERROR(Sales_Table[[#This Row],[Revenue]],0)</f>
        <v>23373</v>
      </c>
    </row>
    <row r="130" spans="1:26" x14ac:dyDescent="0.3">
      <c r="A130">
        <v>129</v>
      </c>
      <c r="B130" s="2">
        <f t="shared" si="7"/>
        <v>45297.333333333336</v>
      </c>
      <c r="C130" t="s">
        <v>437</v>
      </c>
      <c r="D130" t="s">
        <v>36</v>
      </c>
      <c r="E130" t="str">
        <f>PROPER(TRIM(CLEAN(Sales_Table[[#This Row],[Region]])))</f>
        <v>West</v>
      </c>
      <c r="F130" t="s">
        <v>28</v>
      </c>
      <c r="G130" t="str">
        <f t="shared" si="8"/>
        <v>Clothing</v>
      </c>
      <c r="H130" t="str">
        <f>PROPER(TRIM(CLEAN(Sales_Table[[#This Row],[Product Name]])))</f>
        <v>Men T-Shirt</v>
      </c>
      <c r="I130" t="s">
        <v>38</v>
      </c>
      <c r="J130" t="str">
        <f t="shared" si="9"/>
        <v>CUST0104</v>
      </c>
      <c r="K130" t="s">
        <v>438</v>
      </c>
      <c r="L130" t="str">
        <f>PROPER(TRIM(CLEAN(Sales_Table[[#This Row],[Salesperson]])))</f>
        <v>Suresh</v>
      </c>
      <c r="M130" t="s">
        <v>54</v>
      </c>
      <c r="N130" t="str">
        <f t="shared" si="10"/>
        <v>Net Banking</v>
      </c>
      <c r="O130" t="s">
        <v>60</v>
      </c>
      <c r="P130">
        <f t="shared" si="11"/>
        <v>13</v>
      </c>
      <c r="Q130" t="s">
        <v>81</v>
      </c>
      <c r="R130">
        <f t="shared" si="12"/>
        <v>2802</v>
      </c>
      <c r="S130" t="s">
        <v>439</v>
      </c>
      <c r="T130">
        <f t="shared" si="13"/>
        <v>36426</v>
      </c>
      <c r="U130">
        <f>YEAR(Sales_Table[[#This Row],[Date_clean]])</f>
        <v>2024</v>
      </c>
      <c r="V130" t="str">
        <f>TEXT(Sales_Table[[#This Row],[Date_clean]],"mmmm")</f>
        <v>January</v>
      </c>
      <c r="W130">
        <f>WEEKNUM(Sales_Table[[#This Row],[Date_clean]],2)</f>
        <v>1</v>
      </c>
      <c r="X130" t="str" cm="1">
        <f t="array" ref="X130">_xlfn.IFS(Sales_Table[[#This Row],[Revenue]]&gt;=50000,"High",Sales_Table[[#This Row],[Revenue]]&gt;=20000,"Medium",Sales_Table[[#This Row],[Revenue]]&lt;20000,"Low")</f>
        <v>Medium</v>
      </c>
      <c r="Y130" t="str">
        <f>IF(Sales_Table[[#This Row],[Payment Method_clean]]="cash","Offline","Online")</f>
        <v>Online</v>
      </c>
      <c r="Z130">
        <f>IFERROR(Sales_Table[[#This Row],[Revenue]],0)</f>
        <v>36426</v>
      </c>
    </row>
    <row r="131" spans="1:26" x14ac:dyDescent="0.3">
      <c r="A131">
        <v>130</v>
      </c>
      <c r="B131" s="2">
        <f t="shared" ref="B131:B194" si="14">DATEVALUE(LEFT(C131,10))+TIMEVALUE(MID(C131,12,8))</f>
        <v>45297.375</v>
      </c>
      <c r="C131" t="s">
        <v>440</v>
      </c>
      <c r="D131" t="s">
        <v>36</v>
      </c>
      <c r="E131" t="str">
        <f>PROPER(TRIM(CLEAN(Sales_Table[[#This Row],[Region]])))</f>
        <v>West</v>
      </c>
      <c r="F131" t="s">
        <v>37</v>
      </c>
      <c r="G131" t="str">
        <f t="shared" ref="G131:G194" si="15">PROPER(TRIM(CLEAN(F131)))</f>
        <v>Home Appliances</v>
      </c>
      <c r="H131" t="str">
        <f>PROPER(TRIM(CLEAN(Sales_Table[[#This Row],[Product Name]])))</f>
        <v>Led Tv 42Inch</v>
      </c>
      <c r="I131" t="s">
        <v>58</v>
      </c>
      <c r="J131" t="str">
        <f t="shared" ref="J131:J194" si="16">TRIM(K131)</f>
        <v>CUST0077</v>
      </c>
      <c r="K131" t="s">
        <v>441</v>
      </c>
      <c r="L131" t="str">
        <f>PROPER(TRIM(CLEAN(Sales_Table[[#This Row],[Salesperson]])))</f>
        <v>Meena</v>
      </c>
      <c r="M131" t="s">
        <v>40</v>
      </c>
      <c r="N131" t="str">
        <f t="shared" ref="N131:N194" si="17">PROPER(TRIM(O131))</f>
        <v>Debit Card</v>
      </c>
      <c r="O131" t="s">
        <v>41</v>
      </c>
      <c r="P131">
        <f t="shared" ref="P131:P194" si="18">VALUE(Q131)</f>
        <v>8</v>
      </c>
      <c r="Q131" t="s">
        <v>42</v>
      </c>
      <c r="R131">
        <f t="shared" ref="R131:R194" si="19">VALUE(S131)</f>
        <v>180</v>
      </c>
      <c r="S131" t="s">
        <v>442</v>
      </c>
      <c r="T131">
        <f t="shared" ref="T131:T194" si="20">P131*R131</f>
        <v>1440</v>
      </c>
      <c r="U131">
        <f>YEAR(Sales_Table[[#This Row],[Date_clean]])</f>
        <v>2024</v>
      </c>
      <c r="V131" t="str">
        <f>TEXT(Sales_Table[[#This Row],[Date_clean]],"mmmm")</f>
        <v>January</v>
      </c>
      <c r="W131">
        <f>WEEKNUM(Sales_Table[[#This Row],[Date_clean]],2)</f>
        <v>1</v>
      </c>
      <c r="X131" t="str" cm="1">
        <f t="array" ref="X131">_xlfn.IFS(Sales_Table[[#This Row],[Revenue]]&gt;=50000,"High",Sales_Table[[#This Row],[Revenue]]&gt;=20000,"Medium",Sales_Table[[#This Row],[Revenue]]&lt;20000,"Low")</f>
        <v>Low</v>
      </c>
      <c r="Y131" t="str">
        <f>IF(Sales_Table[[#This Row],[Payment Method_clean]]="cash","Offline","Online")</f>
        <v>Online</v>
      </c>
      <c r="Z131">
        <f>IFERROR(Sales_Table[[#This Row],[Revenue]],0)</f>
        <v>1440</v>
      </c>
    </row>
    <row r="132" spans="1:26" x14ac:dyDescent="0.3">
      <c r="A132">
        <v>131</v>
      </c>
      <c r="B132" s="2">
        <f t="shared" si="14"/>
        <v>45297.416666666664</v>
      </c>
      <c r="C132" t="s">
        <v>443</v>
      </c>
      <c r="D132" t="s">
        <v>36</v>
      </c>
      <c r="E132" t="str">
        <f>PROPER(TRIM(CLEAN(Sales_Table[[#This Row],[Region]])))</f>
        <v>West</v>
      </c>
      <c r="F132" t="s">
        <v>78</v>
      </c>
      <c r="G132" t="str">
        <f t="shared" si="15"/>
        <v>Grocery</v>
      </c>
      <c r="H132" t="str">
        <f>PROPER(TRIM(CLEAN(Sales_Table[[#This Row],[Product Name]])))</f>
        <v>Men T-Shirt</v>
      </c>
      <c r="I132" t="s">
        <v>38</v>
      </c>
      <c r="J132" t="str">
        <f t="shared" si="16"/>
        <v>CUST0230</v>
      </c>
      <c r="K132" t="s">
        <v>444</v>
      </c>
      <c r="L132" t="str">
        <f>PROPER(TRIM(CLEAN(Sales_Table[[#This Row],[Salesperson]])))</f>
        <v>Rahul</v>
      </c>
      <c r="M132" t="s">
        <v>31</v>
      </c>
      <c r="N132" t="str">
        <f t="shared" si="17"/>
        <v>Upi</v>
      </c>
      <c r="O132" t="s">
        <v>48</v>
      </c>
      <c r="P132">
        <f t="shared" si="18"/>
        <v>9</v>
      </c>
      <c r="Q132" t="s">
        <v>130</v>
      </c>
      <c r="R132">
        <f t="shared" si="19"/>
        <v>2904</v>
      </c>
      <c r="S132" t="s">
        <v>445</v>
      </c>
      <c r="T132">
        <f t="shared" si="20"/>
        <v>26136</v>
      </c>
      <c r="U132">
        <f>YEAR(Sales_Table[[#This Row],[Date_clean]])</f>
        <v>2024</v>
      </c>
      <c r="V132" t="str">
        <f>TEXT(Sales_Table[[#This Row],[Date_clean]],"mmmm")</f>
        <v>January</v>
      </c>
      <c r="W132">
        <f>WEEKNUM(Sales_Table[[#This Row],[Date_clean]],2)</f>
        <v>1</v>
      </c>
      <c r="X132" t="str" cm="1">
        <f t="array" ref="X132">_xlfn.IFS(Sales_Table[[#This Row],[Revenue]]&gt;=50000,"High",Sales_Table[[#This Row],[Revenue]]&gt;=20000,"Medium",Sales_Table[[#This Row],[Revenue]]&lt;20000,"Low")</f>
        <v>Medium</v>
      </c>
      <c r="Y132" t="str">
        <f>IF(Sales_Table[[#This Row],[Payment Method_clean]]="cash","Offline","Online")</f>
        <v>Online</v>
      </c>
      <c r="Z132">
        <f>IFERROR(Sales_Table[[#This Row],[Revenue]],0)</f>
        <v>26136</v>
      </c>
    </row>
    <row r="133" spans="1:26" x14ac:dyDescent="0.3">
      <c r="A133">
        <v>132</v>
      </c>
      <c r="B133" s="2">
        <f t="shared" si="14"/>
        <v>45297.458333333336</v>
      </c>
      <c r="C133" t="s">
        <v>446</v>
      </c>
      <c r="D133" t="s">
        <v>45</v>
      </c>
      <c r="E133" t="str">
        <f>PROPER(TRIM(CLEAN(Sales_Table[[#This Row],[Region]])))</f>
        <v>North</v>
      </c>
      <c r="F133" t="s">
        <v>78</v>
      </c>
      <c r="G133" t="str">
        <f t="shared" si="15"/>
        <v>Grocery</v>
      </c>
      <c r="H133" t="str">
        <f>PROPER(TRIM(CLEAN(Sales_Table[[#This Row],[Product Name]])))</f>
        <v>Men T-Shirt</v>
      </c>
      <c r="I133" t="s">
        <v>38</v>
      </c>
      <c r="J133" t="str">
        <f t="shared" si="16"/>
        <v>CUST0258</v>
      </c>
      <c r="K133" t="s">
        <v>447</v>
      </c>
      <c r="L133" t="str">
        <f>PROPER(TRIM(CLEAN(Sales_Table[[#This Row],[Salesperson]])))</f>
        <v>Karthik</v>
      </c>
      <c r="M133" t="s">
        <v>70</v>
      </c>
      <c r="N133" t="str">
        <f t="shared" si="17"/>
        <v>Credit Card</v>
      </c>
      <c r="O133" t="s">
        <v>65</v>
      </c>
      <c r="P133">
        <f t="shared" si="18"/>
        <v>11</v>
      </c>
      <c r="Q133" t="s">
        <v>97</v>
      </c>
      <c r="R133">
        <f t="shared" si="19"/>
        <v>969</v>
      </c>
      <c r="S133" t="s">
        <v>448</v>
      </c>
      <c r="T133">
        <f t="shared" si="20"/>
        <v>10659</v>
      </c>
      <c r="U133">
        <f>YEAR(Sales_Table[[#This Row],[Date_clean]])</f>
        <v>2024</v>
      </c>
      <c r="V133" t="str">
        <f>TEXT(Sales_Table[[#This Row],[Date_clean]],"mmmm")</f>
        <v>January</v>
      </c>
      <c r="W133">
        <f>WEEKNUM(Sales_Table[[#This Row],[Date_clean]],2)</f>
        <v>1</v>
      </c>
      <c r="X133" t="str" cm="1">
        <f t="array" ref="X133">_xlfn.IFS(Sales_Table[[#This Row],[Revenue]]&gt;=50000,"High",Sales_Table[[#This Row],[Revenue]]&gt;=20000,"Medium",Sales_Table[[#This Row],[Revenue]]&lt;20000,"Low")</f>
        <v>Low</v>
      </c>
      <c r="Y133" t="str">
        <f>IF(Sales_Table[[#This Row],[Payment Method_clean]]="cash","Offline","Online")</f>
        <v>Online</v>
      </c>
      <c r="Z133">
        <f>IFERROR(Sales_Table[[#This Row],[Revenue]],0)</f>
        <v>10659</v>
      </c>
    </row>
    <row r="134" spans="1:26" x14ac:dyDescent="0.3">
      <c r="A134">
        <v>133</v>
      </c>
      <c r="B134" s="2">
        <f t="shared" si="14"/>
        <v>45297.5</v>
      </c>
      <c r="C134" t="s">
        <v>449</v>
      </c>
      <c r="D134" t="s">
        <v>45</v>
      </c>
      <c r="E134" t="str">
        <f>PROPER(TRIM(CLEAN(Sales_Table[[#This Row],[Region]])))</f>
        <v>North</v>
      </c>
      <c r="F134" t="s">
        <v>46</v>
      </c>
      <c r="G134" t="str">
        <f t="shared" si="15"/>
        <v>Electronics</v>
      </c>
      <c r="H134" t="str">
        <f>PROPER(TRIM(CLEAN(Sales_Table[[#This Row],[Product Name]])))</f>
        <v>Washing Machine</v>
      </c>
      <c r="I134" t="s">
        <v>79</v>
      </c>
      <c r="J134" t="str">
        <f t="shared" si="16"/>
        <v>CUST0264</v>
      </c>
      <c r="K134" t="s">
        <v>450</v>
      </c>
      <c r="L134" t="str">
        <f>PROPER(TRIM(CLEAN(Sales_Table[[#This Row],[Salesperson]])))</f>
        <v>Suresh</v>
      </c>
      <c r="M134" t="s">
        <v>54</v>
      </c>
      <c r="N134" t="str">
        <f t="shared" si="17"/>
        <v>Upi</v>
      </c>
      <c r="O134" t="s">
        <v>48</v>
      </c>
      <c r="P134">
        <f t="shared" si="18"/>
        <v>11</v>
      </c>
      <c r="Q134" t="s">
        <v>97</v>
      </c>
      <c r="R134">
        <f t="shared" si="19"/>
        <v>4794</v>
      </c>
      <c r="S134" t="s">
        <v>451</v>
      </c>
      <c r="T134">
        <f t="shared" si="20"/>
        <v>52734</v>
      </c>
      <c r="U134">
        <f>YEAR(Sales_Table[[#This Row],[Date_clean]])</f>
        <v>2024</v>
      </c>
      <c r="V134" t="str">
        <f>TEXT(Sales_Table[[#This Row],[Date_clean]],"mmmm")</f>
        <v>January</v>
      </c>
      <c r="W134">
        <f>WEEKNUM(Sales_Table[[#This Row],[Date_clean]],2)</f>
        <v>1</v>
      </c>
      <c r="X134" t="str" cm="1">
        <f t="array" ref="X134">_xlfn.IFS(Sales_Table[[#This Row],[Revenue]]&gt;=50000,"High",Sales_Table[[#This Row],[Revenue]]&gt;=20000,"Medium",Sales_Table[[#This Row],[Revenue]]&lt;20000,"Low")</f>
        <v>High</v>
      </c>
      <c r="Y134" t="str">
        <f>IF(Sales_Table[[#This Row],[Payment Method_clean]]="cash","Offline","Online")</f>
        <v>Online</v>
      </c>
      <c r="Z134">
        <f>IFERROR(Sales_Table[[#This Row],[Revenue]],0)</f>
        <v>52734</v>
      </c>
    </row>
    <row r="135" spans="1:26" x14ac:dyDescent="0.3">
      <c r="A135">
        <v>134</v>
      </c>
      <c r="B135" s="2">
        <f t="shared" si="14"/>
        <v>45297.541666666664</v>
      </c>
      <c r="C135" t="s">
        <v>452</v>
      </c>
      <c r="D135" t="s">
        <v>45</v>
      </c>
      <c r="E135" t="str">
        <f>PROPER(TRIM(CLEAN(Sales_Table[[#This Row],[Region]])))</f>
        <v>North</v>
      </c>
      <c r="F135" t="s">
        <v>78</v>
      </c>
      <c r="G135" t="str">
        <f t="shared" si="15"/>
        <v>Grocery</v>
      </c>
      <c r="H135" t="str">
        <f>PROPER(TRIM(CLEAN(Sales_Table[[#This Row],[Product Name]])))</f>
        <v>Men T-Shirt</v>
      </c>
      <c r="I135" t="s">
        <v>38</v>
      </c>
      <c r="J135" t="str">
        <f t="shared" si="16"/>
        <v>CUST0331</v>
      </c>
      <c r="K135" t="s">
        <v>453</v>
      </c>
      <c r="L135" t="str">
        <f>PROPER(TRIM(CLEAN(Sales_Table[[#This Row],[Salesperson]])))</f>
        <v>Anita</v>
      </c>
      <c r="M135" t="s">
        <v>64</v>
      </c>
      <c r="N135" t="str">
        <f t="shared" si="17"/>
        <v>Cash</v>
      </c>
      <c r="O135" t="s">
        <v>32</v>
      </c>
      <c r="P135">
        <f t="shared" si="18"/>
        <v>7</v>
      </c>
      <c r="Q135" t="s">
        <v>49</v>
      </c>
      <c r="R135">
        <f t="shared" si="19"/>
        <v>906</v>
      </c>
      <c r="S135" t="s">
        <v>454</v>
      </c>
      <c r="T135">
        <f t="shared" si="20"/>
        <v>6342</v>
      </c>
      <c r="U135">
        <f>YEAR(Sales_Table[[#This Row],[Date_clean]])</f>
        <v>2024</v>
      </c>
      <c r="V135" t="str">
        <f>TEXT(Sales_Table[[#This Row],[Date_clean]],"mmmm")</f>
        <v>January</v>
      </c>
      <c r="W135">
        <f>WEEKNUM(Sales_Table[[#This Row],[Date_clean]],2)</f>
        <v>1</v>
      </c>
      <c r="X135" t="str" cm="1">
        <f t="array" ref="X135">_xlfn.IFS(Sales_Table[[#This Row],[Revenue]]&gt;=50000,"High",Sales_Table[[#This Row],[Revenue]]&gt;=20000,"Medium",Sales_Table[[#This Row],[Revenue]]&lt;20000,"Low")</f>
        <v>Low</v>
      </c>
      <c r="Y135" t="str">
        <f>IF(Sales_Table[[#This Row],[Payment Method_clean]]="cash","Offline","Online")</f>
        <v>Offline</v>
      </c>
      <c r="Z135">
        <f>IFERROR(Sales_Table[[#This Row],[Revenue]],0)</f>
        <v>6342</v>
      </c>
    </row>
    <row r="136" spans="1:26" x14ac:dyDescent="0.3">
      <c r="A136">
        <v>135</v>
      </c>
      <c r="B136" s="2">
        <f t="shared" si="14"/>
        <v>45297.583333333336</v>
      </c>
      <c r="C136" t="s">
        <v>455</v>
      </c>
      <c r="D136" t="s">
        <v>27</v>
      </c>
      <c r="E136" t="str">
        <f>PROPER(TRIM(CLEAN(Sales_Table[[#This Row],[Region]])))</f>
        <v>East</v>
      </c>
      <c r="F136" t="s">
        <v>28</v>
      </c>
      <c r="G136" t="str">
        <f t="shared" si="15"/>
        <v>Clothing</v>
      </c>
      <c r="H136" t="str">
        <f>PROPER(TRIM(CLEAN(Sales_Table[[#This Row],[Product Name]])))</f>
        <v>Men T-Shirt</v>
      </c>
      <c r="I136" t="s">
        <v>38</v>
      </c>
      <c r="J136" t="str">
        <f t="shared" si="16"/>
        <v>CUST0182</v>
      </c>
      <c r="K136" t="s">
        <v>456</v>
      </c>
      <c r="L136" t="str">
        <f>PROPER(TRIM(CLEAN(Sales_Table[[#This Row],[Salesperson]])))</f>
        <v>Rahul</v>
      </c>
      <c r="M136" t="s">
        <v>31</v>
      </c>
      <c r="N136" t="str">
        <f t="shared" si="17"/>
        <v>Cash</v>
      </c>
      <c r="O136" t="s">
        <v>32</v>
      </c>
      <c r="P136">
        <f t="shared" si="18"/>
        <v>10</v>
      </c>
      <c r="Q136" t="s">
        <v>117</v>
      </c>
      <c r="R136">
        <f t="shared" si="19"/>
        <v>2034</v>
      </c>
      <c r="S136" t="s">
        <v>457</v>
      </c>
      <c r="T136">
        <f t="shared" si="20"/>
        <v>20340</v>
      </c>
      <c r="U136">
        <f>YEAR(Sales_Table[[#This Row],[Date_clean]])</f>
        <v>2024</v>
      </c>
      <c r="V136" t="str">
        <f>TEXT(Sales_Table[[#This Row],[Date_clean]],"mmmm")</f>
        <v>January</v>
      </c>
      <c r="W136">
        <f>WEEKNUM(Sales_Table[[#This Row],[Date_clean]],2)</f>
        <v>1</v>
      </c>
      <c r="X136" t="str" cm="1">
        <f t="array" ref="X136">_xlfn.IFS(Sales_Table[[#This Row],[Revenue]]&gt;=50000,"High",Sales_Table[[#This Row],[Revenue]]&gt;=20000,"Medium",Sales_Table[[#This Row],[Revenue]]&lt;20000,"Low")</f>
        <v>Medium</v>
      </c>
      <c r="Y136" t="str">
        <f>IF(Sales_Table[[#This Row],[Payment Method_clean]]="cash","Offline","Online")</f>
        <v>Offline</v>
      </c>
      <c r="Z136">
        <f>IFERROR(Sales_Table[[#This Row],[Revenue]],0)</f>
        <v>20340</v>
      </c>
    </row>
    <row r="137" spans="1:26" x14ac:dyDescent="0.3">
      <c r="A137">
        <v>136</v>
      </c>
      <c r="B137" s="2">
        <f t="shared" si="14"/>
        <v>45297.625</v>
      </c>
      <c r="C137" t="s">
        <v>458</v>
      </c>
      <c r="D137" t="s">
        <v>45</v>
      </c>
      <c r="E137" t="str">
        <f>PROPER(TRIM(CLEAN(Sales_Table[[#This Row],[Region]])))</f>
        <v>North</v>
      </c>
      <c r="F137" t="s">
        <v>78</v>
      </c>
      <c r="G137" t="str">
        <f t="shared" si="15"/>
        <v>Grocery</v>
      </c>
      <c r="H137" t="str">
        <f>PROPER(TRIM(CLEAN(Sales_Table[[#This Row],[Product Name]])))</f>
        <v>Mixer Grinder</v>
      </c>
      <c r="I137" t="s">
        <v>29</v>
      </c>
      <c r="J137" t="str">
        <f t="shared" si="16"/>
        <v>CUST0768</v>
      </c>
      <c r="K137" t="s">
        <v>459</v>
      </c>
      <c r="L137" t="str">
        <f>PROPER(TRIM(CLEAN(Sales_Table[[#This Row],[Salesperson]])))</f>
        <v>Anita</v>
      </c>
      <c r="M137" t="s">
        <v>64</v>
      </c>
      <c r="N137" t="str">
        <f t="shared" si="17"/>
        <v>Upi</v>
      </c>
      <c r="O137" t="s">
        <v>48</v>
      </c>
      <c r="P137">
        <f t="shared" si="18"/>
        <v>10</v>
      </c>
      <c r="Q137" t="s">
        <v>117</v>
      </c>
      <c r="R137">
        <f t="shared" si="19"/>
        <v>803</v>
      </c>
      <c r="S137" t="s">
        <v>460</v>
      </c>
      <c r="T137">
        <f t="shared" si="20"/>
        <v>8030</v>
      </c>
      <c r="U137">
        <f>YEAR(Sales_Table[[#This Row],[Date_clean]])</f>
        <v>2024</v>
      </c>
      <c r="V137" t="str">
        <f>TEXT(Sales_Table[[#This Row],[Date_clean]],"mmmm")</f>
        <v>January</v>
      </c>
      <c r="W137">
        <f>WEEKNUM(Sales_Table[[#This Row],[Date_clean]],2)</f>
        <v>1</v>
      </c>
      <c r="X137" t="str" cm="1">
        <f t="array" ref="X137">_xlfn.IFS(Sales_Table[[#This Row],[Revenue]]&gt;=50000,"High",Sales_Table[[#This Row],[Revenue]]&gt;=20000,"Medium",Sales_Table[[#This Row],[Revenue]]&lt;20000,"Low")</f>
        <v>Low</v>
      </c>
      <c r="Y137" t="str">
        <f>IF(Sales_Table[[#This Row],[Payment Method_clean]]="cash","Offline","Online")</f>
        <v>Online</v>
      </c>
      <c r="Z137">
        <f>IFERROR(Sales_Table[[#This Row],[Revenue]],0)</f>
        <v>8030</v>
      </c>
    </row>
    <row r="138" spans="1:26" x14ac:dyDescent="0.3">
      <c r="A138">
        <v>137</v>
      </c>
      <c r="B138" s="2">
        <f t="shared" si="14"/>
        <v>45297.666666666664</v>
      </c>
      <c r="C138" t="s">
        <v>461</v>
      </c>
      <c r="D138" t="s">
        <v>45</v>
      </c>
      <c r="E138" t="str">
        <f>PROPER(TRIM(CLEAN(Sales_Table[[#This Row],[Region]])))</f>
        <v>North</v>
      </c>
      <c r="F138" t="s">
        <v>46</v>
      </c>
      <c r="G138" t="str">
        <f t="shared" si="15"/>
        <v>Electronics</v>
      </c>
      <c r="H138" t="str">
        <f>PROPER(TRIM(CLEAN(Sales_Table[[#This Row],[Product Name]])))</f>
        <v>Led Tv 42Inch</v>
      </c>
      <c r="I138" t="s">
        <v>58</v>
      </c>
      <c r="J138" t="str">
        <f t="shared" si="16"/>
        <v>CUST0550</v>
      </c>
      <c r="K138" t="s">
        <v>462</v>
      </c>
      <c r="L138" t="str">
        <f>PROPER(TRIM(CLEAN(Sales_Table[[#This Row],[Salesperson]])))</f>
        <v>Anita</v>
      </c>
      <c r="M138" t="s">
        <v>64</v>
      </c>
      <c r="N138" t="str">
        <f t="shared" si="17"/>
        <v>Net Banking</v>
      </c>
      <c r="O138" t="s">
        <v>60</v>
      </c>
      <c r="P138">
        <f t="shared" si="18"/>
        <v>13</v>
      </c>
      <c r="Q138" t="s">
        <v>81</v>
      </c>
      <c r="R138">
        <f t="shared" si="19"/>
        <v>2623</v>
      </c>
      <c r="S138" t="s">
        <v>463</v>
      </c>
      <c r="T138">
        <f t="shared" si="20"/>
        <v>34099</v>
      </c>
      <c r="U138">
        <f>YEAR(Sales_Table[[#This Row],[Date_clean]])</f>
        <v>2024</v>
      </c>
      <c r="V138" t="str">
        <f>TEXT(Sales_Table[[#This Row],[Date_clean]],"mmmm")</f>
        <v>January</v>
      </c>
      <c r="W138">
        <f>WEEKNUM(Sales_Table[[#This Row],[Date_clean]],2)</f>
        <v>1</v>
      </c>
      <c r="X138" t="str" cm="1">
        <f t="array" ref="X138">_xlfn.IFS(Sales_Table[[#This Row],[Revenue]]&gt;=50000,"High",Sales_Table[[#This Row],[Revenue]]&gt;=20000,"Medium",Sales_Table[[#This Row],[Revenue]]&lt;20000,"Low")</f>
        <v>Medium</v>
      </c>
      <c r="Y138" t="str">
        <f>IF(Sales_Table[[#This Row],[Payment Method_clean]]="cash","Offline","Online")</f>
        <v>Online</v>
      </c>
      <c r="Z138">
        <f>IFERROR(Sales_Table[[#This Row],[Revenue]],0)</f>
        <v>34099</v>
      </c>
    </row>
    <row r="139" spans="1:26" x14ac:dyDescent="0.3">
      <c r="A139">
        <v>138</v>
      </c>
      <c r="B139" s="2">
        <f t="shared" si="14"/>
        <v>45297.708333333336</v>
      </c>
      <c r="C139" t="s">
        <v>464</v>
      </c>
      <c r="D139" t="s">
        <v>45</v>
      </c>
      <c r="E139" t="str">
        <f>PROPER(TRIM(CLEAN(Sales_Table[[#This Row],[Region]])))</f>
        <v>North</v>
      </c>
      <c r="F139" t="s">
        <v>37</v>
      </c>
      <c r="G139" t="str">
        <f t="shared" si="15"/>
        <v>Home Appliances</v>
      </c>
      <c r="H139" t="str">
        <f>PROPER(TRIM(CLEAN(Sales_Table[[#This Row],[Product Name]])))</f>
        <v>Mixer Grinder</v>
      </c>
      <c r="I139" t="s">
        <v>29</v>
      </c>
      <c r="J139" t="str">
        <f t="shared" si="16"/>
        <v>CUST0688</v>
      </c>
      <c r="K139" t="s">
        <v>414</v>
      </c>
      <c r="L139" t="str">
        <f>PROPER(TRIM(CLEAN(Sales_Table[[#This Row],[Salesperson]])))</f>
        <v>Anita</v>
      </c>
      <c r="M139" t="s">
        <v>64</v>
      </c>
      <c r="N139" t="str">
        <f t="shared" si="17"/>
        <v>Cash</v>
      </c>
      <c r="O139" t="s">
        <v>32</v>
      </c>
      <c r="P139">
        <f t="shared" si="18"/>
        <v>8</v>
      </c>
      <c r="Q139" t="s">
        <v>42</v>
      </c>
      <c r="R139">
        <f t="shared" si="19"/>
        <v>2739</v>
      </c>
      <c r="S139" t="s">
        <v>465</v>
      </c>
      <c r="T139">
        <f t="shared" si="20"/>
        <v>21912</v>
      </c>
      <c r="U139">
        <f>YEAR(Sales_Table[[#This Row],[Date_clean]])</f>
        <v>2024</v>
      </c>
      <c r="V139" t="str">
        <f>TEXT(Sales_Table[[#This Row],[Date_clean]],"mmmm")</f>
        <v>January</v>
      </c>
      <c r="W139">
        <f>WEEKNUM(Sales_Table[[#This Row],[Date_clean]],2)</f>
        <v>1</v>
      </c>
      <c r="X139" t="str" cm="1">
        <f t="array" ref="X139">_xlfn.IFS(Sales_Table[[#This Row],[Revenue]]&gt;=50000,"High",Sales_Table[[#This Row],[Revenue]]&gt;=20000,"Medium",Sales_Table[[#This Row],[Revenue]]&lt;20000,"Low")</f>
        <v>Medium</v>
      </c>
      <c r="Y139" t="str">
        <f>IF(Sales_Table[[#This Row],[Payment Method_clean]]="cash","Offline","Online")</f>
        <v>Offline</v>
      </c>
      <c r="Z139">
        <f>IFERROR(Sales_Table[[#This Row],[Revenue]],0)</f>
        <v>21912</v>
      </c>
    </row>
    <row r="140" spans="1:26" x14ac:dyDescent="0.3">
      <c r="A140">
        <v>139</v>
      </c>
      <c r="B140" s="2">
        <f t="shared" si="14"/>
        <v>45297.75</v>
      </c>
      <c r="C140" t="s">
        <v>466</v>
      </c>
      <c r="D140" t="s">
        <v>27</v>
      </c>
      <c r="E140" t="str">
        <f>PROPER(TRIM(CLEAN(Sales_Table[[#This Row],[Region]])))</f>
        <v>East</v>
      </c>
      <c r="F140" t="s">
        <v>46</v>
      </c>
      <c r="G140" t="str">
        <f t="shared" si="15"/>
        <v>Electronics</v>
      </c>
      <c r="H140" t="str">
        <f>PROPER(TRIM(CLEAN(Sales_Table[[#This Row],[Product Name]])))</f>
        <v>Mixer Grinder</v>
      </c>
      <c r="I140" t="s">
        <v>29</v>
      </c>
      <c r="J140" t="str">
        <f t="shared" si="16"/>
        <v>CUST0027</v>
      </c>
      <c r="K140" t="s">
        <v>467</v>
      </c>
      <c r="L140" t="str">
        <f>PROPER(TRIM(CLEAN(Sales_Table[[#This Row],[Salesperson]])))</f>
        <v>Meena</v>
      </c>
      <c r="M140" t="s">
        <v>40</v>
      </c>
      <c r="N140" t="str">
        <f t="shared" si="17"/>
        <v>Cash</v>
      </c>
      <c r="O140" t="s">
        <v>32</v>
      </c>
      <c r="P140">
        <f t="shared" si="18"/>
        <v>12</v>
      </c>
      <c r="Q140" t="s">
        <v>33</v>
      </c>
      <c r="R140">
        <f t="shared" si="19"/>
        <v>4682</v>
      </c>
      <c r="S140" t="s">
        <v>468</v>
      </c>
      <c r="T140">
        <f t="shared" si="20"/>
        <v>56184</v>
      </c>
      <c r="U140">
        <f>YEAR(Sales_Table[[#This Row],[Date_clean]])</f>
        <v>2024</v>
      </c>
      <c r="V140" t="str">
        <f>TEXT(Sales_Table[[#This Row],[Date_clean]],"mmmm")</f>
        <v>January</v>
      </c>
      <c r="W140">
        <f>WEEKNUM(Sales_Table[[#This Row],[Date_clean]],2)</f>
        <v>1</v>
      </c>
      <c r="X140" t="str" cm="1">
        <f t="array" ref="X140">_xlfn.IFS(Sales_Table[[#This Row],[Revenue]]&gt;=50000,"High",Sales_Table[[#This Row],[Revenue]]&gt;=20000,"Medium",Sales_Table[[#This Row],[Revenue]]&lt;20000,"Low")</f>
        <v>High</v>
      </c>
      <c r="Y140" t="str">
        <f>IF(Sales_Table[[#This Row],[Payment Method_clean]]="cash","Offline","Online")</f>
        <v>Offline</v>
      </c>
      <c r="Z140">
        <f>IFERROR(Sales_Table[[#This Row],[Revenue]],0)</f>
        <v>56184</v>
      </c>
    </row>
    <row r="141" spans="1:26" x14ac:dyDescent="0.3">
      <c r="A141">
        <v>140</v>
      </c>
      <c r="B141" s="2">
        <f t="shared" si="14"/>
        <v>45297.791666666664</v>
      </c>
      <c r="C141" t="s">
        <v>469</v>
      </c>
      <c r="D141" t="s">
        <v>45</v>
      </c>
      <c r="E141" t="str">
        <f>PROPER(TRIM(CLEAN(Sales_Table[[#This Row],[Region]])))</f>
        <v>North</v>
      </c>
      <c r="F141" t="s">
        <v>46</v>
      </c>
      <c r="G141" t="str">
        <f t="shared" si="15"/>
        <v>Electronics</v>
      </c>
      <c r="H141" t="str">
        <f>PROPER(TRIM(CLEAN(Sales_Table[[#This Row],[Product Name]])))</f>
        <v>Rice 5Kg</v>
      </c>
      <c r="I141" t="s">
        <v>73</v>
      </c>
      <c r="J141" t="str">
        <f t="shared" si="16"/>
        <v>CUST0276</v>
      </c>
      <c r="K141" t="s">
        <v>470</v>
      </c>
      <c r="L141" t="str">
        <f>PROPER(TRIM(CLEAN(Sales_Table[[#This Row],[Salesperson]])))</f>
        <v>Meena</v>
      </c>
      <c r="M141" t="s">
        <v>40</v>
      </c>
      <c r="N141" t="str">
        <f t="shared" si="17"/>
        <v>Upi</v>
      </c>
      <c r="O141" t="s">
        <v>48</v>
      </c>
      <c r="P141">
        <f t="shared" si="18"/>
        <v>9</v>
      </c>
      <c r="Q141" t="s">
        <v>130</v>
      </c>
      <c r="R141">
        <f t="shared" si="19"/>
        <v>4009</v>
      </c>
      <c r="S141" t="s">
        <v>471</v>
      </c>
      <c r="T141">
        <f t="shared" si="20"/>
        <v>36081</v>
      </c>
      <c r="U141">
        <f>YEAR(Sales_Table[[#This Row],[Date_clean]])</f>
        <v>2024</v>
      </c>
      <c r="V141" t="str">
        <f>TEXT(Sales_Table[[#This Row],[Date_clean]],"mmmm")</f>
        <v>January</v>
      </c>
      <c r="W141">
        <f>WEEKNUM(Sales_Table[[#This Row],[Date_clean]],2)</f>
        <v>1</v>
      </c>
      <c r="X141" t="str" cm="1">
        <f t="array" ref="X141">_xlfn.IFS(Sales_Table[[#This Row],[Revenue]]&gt;=50000,"High",Sales_Table[[#This Row],[Revenue]]&gt;=20000,"Medium",Sales_Table[[#This Row],[Revenue]]&lt;20000,"Low")</f>
        <v>Medium</v>
      </c>
      <c r="Y141" t="str">
        <f>IF(Sales_Table[[#This Row],[Payment Method_clean]]="cash","Offline","Online")</f>
        <v>Online</v>
      </c>
      <c r="Z141">
        <f>IFERROR(Sales_Table[[#This Row],[Revenue]],0)</f>
        <v>36081</v>
      </c>
    </row>
    <row r="142" spans="1:26" x14ac:dyDescent="0.3">
      <c r="A142">
        <v>141</v>
      </c>
      <c r="B142" s="2">
        <f t="shared" si="14"/>
        <v>45297.833333333336</v>
      </c>
      <c r="C142" t="s">
        <v>472</v>
      </c>
      <c r="D142" t="s">
        <v>36</v>
      </c>
      <c r="E142" t="str">
        <f>PROPER(TRIM(CLEAN(Sales_Table[[#This Row],[Region]])))</f>
        <v>West</v>
      </c>
      <c r="F142" t="s">
        <v>37</v>
      </c>
      <c r="G142" t="str">
        <f t="shared" si="15"/>
        <v>Home Appliances</v>
      </c>
      <c r="H142" t="str">
        <f>PROPER(TRIM(CLEAN(Sales_Table[[#This Row],[Product Name]])))</f>
        <v>Mixer Grinder</v>
      </c>
      <c r="I142" t="s">
        <v>29</v>
      </c>
      <c r="J142" t="str">
        <f t="shared" si="16"/>
        <v>CUST0652</v>
      </c>
      <c r="K142" t="s">
        <v>473</v>
      </c>
      <c r="L142" t="str">
        <f>PROPER(TRIM(CLEAN(Sales_Table[[#This Row],[Salesperson]])))</f>
        <v>Karthik</v>
      </c>
      <c r="M142" t="s">
        <v>70</v>
      </c>
      <c r="N142" t="str">
        <f t="shared" si="17"/>
        <v>Cash</v>
      </c>
      <c r="O142" t="s">
        <v>32</v>
      </c>
      <c r="P142">
        <f t="shared" si="18"/>
        <v>6</v>
      </c>
      <c r="Q142" t="s">
        <v>75</v>
      </c>
      <c r="R142">
        <f t="shared" si="19"/>
        <v>4901</v>
      </c>
      <c r="S142" t="s">
        <v>474</v>
      </c>
      <c r="T142">
        <f t="shared" si="20"/>
        <v>29406</v>
      </c>
      <c r="U142">
        <f>YEAR(Sales_Table[[#This Row],[Date_clean]])</f>
        <v>2024</v>
      </c>
      <c r="V142" t="str">
        <f>TEXT(Sales_Table[[#This Row],[Date_clean]],"mmmm")</f>
        <v>January</v>
      </c>
      <c r="W142">
        <f>WEEKNUM(Sales_Table[[#This Row],[Date_clean]],2)</f>
        <v>1</v>
      </c>
      <c r="X142" t="str" cm="1">
        <f t="array" ref="X142">_xlfn.IFS(Sales_Table[[#This Row],[Revenue]]&gt;=50000,"High",Sales_Table[[#This Row],[Revenue]]&gt;=20000,"Medium",Sales_Table[[#This Row],[Revenue]]&lt;20000,"Low")</f>
        <v>Medium</v>
      </c>
      <c r="Y142" t="str">
        <f>IF(Sales_Table[[#This Row],[Payment Method_clean]]="cash","Offline","Online")</f>
        <v>Offline</v>
      </c>
      <c r="Z142">
        <f>IFERROR(Sales_Table[[#This Row],[Revenue]],0)</f>
        <v>29406</v>
      </c>
    </row>
    <row r="143" spans="1:26" x14ac:dyDescent="0.3">
      <c r="A143">
        <v>142</v>
      </c>
      <c r="B143" s="2">
        <f t="shared" si="14"/>
        <v>45297.875</v>
      </c>
      <c r="C143" t="s">
        <v>475</v>
      </c>
      <c r="D143" t="s">
        <v>45</v>
      </c>
      <c r="E143" t="str">
        <f>PROPER(TRIM(CLEAN(Sales_Table[[#This Row],[Region]])))</f>
        <v>North</v>
      </c>
      <c r="F143" t="s">
        <v>46</v>
      </c>
      <c r="G143" t="str">
        <f t="shared" si="15"/>
        <v>Electronics</v>
      </c>
      <c r="H143" t="str">
        <f>PROPER(TRIM(CLEAN(Sales_Table[[#This Row],[Product Name]])))</f>
        <v>Washing Machine</v>
      </c>
      <c r="I143" t="s">
        <v>79</v>
      </c>
      <c r="J143" t="str">
        <f t="shared" si="16"/>
        <v>CUST0299</v>
      </c>
      <c r="K143" t="s">
        <v>476</v>
      </c>
      <c r="L143" t="str">
        <f>PROPER(TRIM(CLEAN(Sales_Table[[#This Row],[Salesperson]])))</f>
        <v>Rahul</v>
      </c>
      <c r="M143" t="s">
        <v>31</v>
      </c>
      <c r="N143" t="str">
        <f t="shared" si="17"/>
        <v>Net Banking</v>
      </c>
      <c r="O143" t="s">
        <v>60</v>
      </c>
      <c r="P143">
        <f t="shared" si="18"/>
        <v>12</v>
      </c>
      <c r="Q143" t="s">
        <v>33</v>
      </c>
      <c r="R143">
        <f t="shared" si="19"/>
        <v>1264</v>
      </c>
      <c r="S143" t="s">
        <v>477</v>
      </c>
      <c r="T143">
        <f t="shared" si="20"/>
        <v>15168</v>
      </c>
      <c r="U143">
        <f>YEAR(Sales_Table[[#This Row],[Date_clean]])</f>
        <v>2024</v>
      </c>
      <c r="V143" t="str">
        <f>TEXT(Sales_Table[[#This Row],[Date_clean]],"mmmm")</f>
        <v>January</v>
      </c>
      <c r="W143">
        <f>WEEKNUM(Sales_Table[[#This Row],[Date_clean]],2)</f>
        <v>1</v>
      </c>
      <c r="X143" t="str" cm="1">
        <f t="array" ref="X143">_xlfn.IFS(Sales_Table[[#This Row],[Revenue]]&gt;=50000,"High",Sales_Table[[#This Row],[Revenue]]&gt;=20000,"Medium",Sales_Table[[#This Row],[Revenue]]&lt;20000,"Low")</f>
        <v>Low</v>
      </c>
      <c r="Y143" t="str">
        <f>IF(Sales_Table[[#This Row],[Payment Method_clean]]="cash","Offline","Online")</f>
        <v>Online</v>
      </c>
      <c r="Z143">
        <f>IFERROR(Sales_Table[[#This Row],[Revenue]],0)</f>
        <v>15168</v>
      </c>
    </row>
    <row r="144" spans="1:26" x14ac:dyDescent="0.3">
      <c r="A144">
        <v>143</v>
      </c>
      <c r="B144" s="2">
        <f t="shared" si="14"/>
        <v>45297.916666666664</v>
      </c>
      <c r="C144" t="s">
        <v>478</v>
      </c>
      <c r="D144" t="s">
        <v>36</v>
      </c>
      <c r="E144" t="str">
        <f>PROPER(TRIM(CLEAN(Sales_Table[[#This Row],[Region]])))</f>
        <v>West</v>
      </c>
      <c r="F144" t="s">
        <v>46</v>
      </c>
      <c r="G144" t="str">
        <f t="shared" si="15"/>
        <v>Electronics</v>
      </c>
      <c r="H144" t="str">
        <f>PROPER(TRIM(CLEAN(Sales_Table[[#This Row],[Product Name]])))</f>
        <v>Washing Machine</v>
      </c>
      <c r="I144" t="s">
        <v>79</v>
      </c>
      <c r="J144" t="str">
        <f t="shared" si="16"/>
        <v>CUST0799</v>
      </c>
      <c r="K144" t="s">
        <v>479</v>
      </c>
      <c r="L144" t="str">
        <f>PROPER(TRIM(CLEAN(Sales_Table[[#This Row],[Salesperson]])))</f>
        <v>Suresh</v>
      </c>
      <c r="M144" t="s">
        <v>54</v>
      </c>
      <c r="N144" t="str">
        <f t="shared" si="17"/>
        <v>Net Banking</v>
      </c>
      <c r="O144" t="s">
        <v>60</v>
      </c>
      <c r="P144">
        <f t="shared" si="18"/>
        <v>12</v>
      </c>
      <c r="Q144" t="s">
        <v>33</v>
      </c>
      <c r="R144">
        <f t="shared" si="19"/>
        <v>719</v>
      </c>
      <c r="S144" t="s">
        <v>480</v>
      </c>
      <c r="T144">
        <f t="shared" si="20"/>
        <v>8628</v>
      </c>
      <c r="U144">
        <f>YEAR(Sales_Table[[#This Row],[Date_clean]])</f>
        <v>2024</v>
      </c>
      <c r="V144" t="str">
        <f>TEXT(Sales_Table[[#This Row],[Date_clean]],"mmmm")</f>
        <v>January</v>
      </c>
      <c r="W144">
        <f>WEEKNUM(Sales_Table[[#This Row],[Date_clean]],2)</f>
        <v>1</v>
      </c>
      <c r="X144" t="str" cm="1">
        <f t="array" ref="X144">_xlfn.IFS(Sales_Table[[#This Row],[Revenue]]&gt;=50000,"High",Sales_Table[[#This Row],[Revenue]]&gt;=20000,"Medium",Sales_Table[[#This Row],[Revenue]]&lt;20000,"Low")</f>
        <v>Low</v>
      </c>
      <c r="Y144" t="str">
        <f>IF(Sales_Table[[#This Row],[Payment Method_clean]]="cash","Offline","Online")</f>
        <v>Online</v>
      </c>
      <c r="Z144">
        <f>IFERROR(Sales_Table[[#This Row],[Revenue]],0)</f>
        <v>8628</v>
      </c>
    </row>
    <row r="145" spans="1:26" x14ac:dyDescent="0.3">
      <c r="A145">
        <v>144</v>
      </c>
      <c r="B145" s="2">
        <f t="shared" si="14"/>
        <v>45297.958333333336</v>
      </c>
      <c r="C145" t="s">
        <v>481</v>
      </c>
      <c r="D145" t="s">
        <v>36</v>
      </c>
      <c r="E145" t="str">
        <f>PROPER(TRIM(CLEAN(Sales_Table[[#This Row],[Region]])))</f>
        <v>West</v>
      </c>
      <c r="F145" t="s">
        <v>78</v>
      </c>
      <c r="G145" t="str">
        <f t="shared" si="15"/>
        <v>Grocery</v>
      </c>
      <c r="H145" t="str">
        <f>PROPER(TRIM(CLEAN(Sales_Table[[#This Row],[Product Name]])))</f>
        <v>Rice 5Kg</v>
      </c>
      <c r="I145" t="s">
        <v>73</v>
      </c>
      <c r="J145" t="str">
        <f t="shared" si="16"/>
        <v>CUST0091</v>
      </c>
      <c r="K145" t="s">
        <v>482</v>
      </c>
      <c r="L145" t="str">
        <f>PROPER(TRIM(CLEAN(Sales_Table[[#This Row],[Salesperson]])))</f>
        <v>Suresh</v>
      </c>
      <c r="M145" t="s">
        <v>54</v>
      </c>
      <c r="N145" t="str">
        <f t="shared" si="17"/>
        <v>Net Banking</v>
      </c>
      <c r="O145" t="s">
        <v>60</v>
      </c>
      <c r="P145">
        <f t="shared" si="18"/>
        <v>10</v>
      </c>
      <c r="Q145" t="s">
        <v>117</v>
      </c>
      <c r="R145">
        <f t="shared" si="19"/>
        <v>3166</v>
      </c>
      <c r="S145" t="s">
        <v>483</v>
      </c>
      <c r="T145">
        <f t="shared" si="20"/>
        <v>31660</v>
      </c>
      <c r="U145">
        <f>YEAR(Sales_Table[[#This Row],[Date_clean]])</f>
        <v>2024</v>
      </c>
      <c r="V145" t="str">
        <f>TEXT(Sales_Table[[#This Row],[Date_clean]],"mmmm")</f>
        <v>January</v>
      </c>
      <c r="W145">
        <f>WEEKNUM(Sales_Table[[#This Row],[Date_clean]],2)</f>
        <v>1</v>
      </c>
      <c r="X145" t="str" cm="1">
        <f t="array" ref="X145">_xlfn.IFS(Sales_Table[[#This Row],[Revenue]]&gt;=50000,"High",Sales_Table[[#This Row],[Revenue]]&gt;=20000,"Medium",Sales_Table[[#This Row],[Revenue]]&lt;20000,"Low")</f>
        <v>Medium</v>
      </c>
      <c r="Y145" t="str">
        <f>IF(Sales_Table[[#This Row],[Payment Method_clean]]="cash","Offline","Online")</f>
        <v>Online</v>
      </c>
      <c r="Z145">
        <f>IFERROR(Sales_Table[[#This Row],[Revenue]],0)</f>
        <v>31660</v>
      </c>
    </row>
    <row r="146" spans="1:26" x14ac:dyDescent="0.3">
      <c r="A146">
        <v>145</v>
      </c>
      <c r="B146" s="2">
        <f t="shared" si="14"/>
        <v>45298</v>
      </c>
      <c r="C146" t="s">
        <v>484</v>
      </c>
      <c r="D146" t="s">
        <v>36</v>
      </c>
      <c r="E146" t="str">
        <f>PROPER(TRIM(CLEAN(Sales_Table[[#This Row],[Region]])))</f>
        <v>West</v>
      </c>
      <c r="F146" t="s">
        <v>78</v>
      </c>
      <c r="G146" t="str">
        <f t="shared" si="15"/>
        <v>Grocery</v>
      </c>
      <c r="H146" t="str">
        <f>PROPER(TRIM(CLEAN(Sales_Table[[#This Row],[Product Name]])))</f>
        <v>Laptop</v>
      </c>
      <c r="I146" t="s">
        <v>52</v>
      </c>
      <c r="J146" t="str">
        <f t="shared" si="16"/>
        <v>CUST0480</v>
      </c>
      <c r="K146" t="s">
        <v>133</v>
      </c>
      <c r="L146" t="str">
        <f>PROPER(TRIM(CLEAN(Sales_Table[[#This Row],[Salesperson]])))</f>
        <v>Suresh</v>
      </c>
      <c r="M146" t="s">
        <v>54</v>
      </c>
      <c r="N146" t="str">
        <f t="shared" si="17"/>
        <v>Credit Card</v>
      </c>
      <c r="O146" t="s">
        <v>65</v>
      </c>
      <c r="P146">
        <f t="shared" si="18"/>
        <v>2</v>
      </c>
      <c r="Q146" t="s">
        <v>196</v>
      </c>
      <c r="R146">
        <f t="shared" si="19"/>
        <v>4972</v>
      </c>
      <c r="S146" t="s">
        <v>485</v>
      </c>
      <c r="T146">
        <f t="shared" si="20"/>
        <v>9944</v>
      </c>
      <c r="U146">
        <f>YEAR(Sales_Table[[#This Row],[Date_clean]])</f>
        <v>2024</v>
      </c>
      <c r="V146" t="str">
        <f>TEXT(Sales_Table[[#This Row],[Date_clean]],"mmmm")</f>
        <v>January</v>
      </c>
      <c r="W146">
        <f>WEEKNUM(Sales_Table[[#This Row],[Date_clean]],2)</f>
        <v>1</v>
      </c>
      <c r="X146" t="str" cm="1">
        <f t="array" ref="X146">_xlfn.IFS(Sales_Table[[#This Row],[Revenue]]&gt;=50000,"High",Sales_Table[[#This Row],[Revenue]]&gt;=20000,"Medium",Sales_Table[[#This Row],[Revenue]]&lt;20000,"Low")</f>
        <v>Low</v>
      </c>
      <c r="Y146" t="str">
        <f>IF(Sales_Table[[#This Row],[Payment Method_clean]]="cash","Offline","Online")</f>
        <v>Online</v>
      </c>
      <c r="Z146">
        <f>IFERROR(Sales_Table[[#This Row],[Revenue]],0)</f>
        <v>9944</v>
      </c>
    </row>
    <row r="147" spans="1:26" x14ac:dyDescent="0.3">
      <c r="A147">
        <v>146</v>
      </c>
      <c r="B147" s="2">
        <f t="shared" si="14"/>
        <v>45298.041666666664</v>
      </c>
      <c r="C147" t="s">
        <v>486</v>
      </c>
      <c r="D147" t="s">
        <v>27</v>
      </c>
      <c r="E147" t="str">
        <f>PROPER(TRIM(CLEAN(Sales_Table[[#This Row],[Region]])))</f>
        <v>East</v>
      </c>
      <c r="F147" t="s">
        <v>37</v>
      </c>
      <c r="G147" t="str">
        <f t="shared" si="15"/>
        <v>Home Appliances</v>
      </c>
      <c r="H147" t="str">
        <f>PROPER(TRIM(CLEAN(Sales_Table[[#This Row],[Product Name]])))</f>
        <v>Led Tv 42Inch</v>
      </c>
      <c r="I147" t="s">
        <v>58</v>
      </c>
      <c r="J147" t="str">
        <f t="shared" si="16"/>
        <v>CUST0573</v>
      </c>
      <c r="K147" t="s">
        <v>487</v>
      </c>
      <c r="L147" t="str">
        <f>PROPER(TRIM(CLEAN(Sales_Table[[#This Row],[Salesperson]])))</f>
        <v>Anita</v>
      </c>
      <c r="M147" t="s">
        <v>64</v>
      </c>
      <c r="N147" t="str">
        <f t="shared" si="17"/>
        <v>Net Banking</v>
      </c>
      <c r="O147" t="s">
        <v>60</v>
      </c>
      <c r="P147">
        <f t="shared" si="18"/>
        <v>2</v>
      </c>
      <c r="Q147" t="s">
        <v>196</v>
      </c>
      <c r="R147">
        <f t="shared" si="19"/>
        <v>546</v>
      </c>
      <c r="S147" t="s">
        <v>488</v>
      </c>
      <c r="T147">
        <f t="shared" si="20"/>
        <v>1092</v>
      </c>
      <c r="U147">
        <f>YEAR(Sales_Table[[#This Row],[Date_clean]])</f>
        <v>2024</v>
      </c>
      <c r="V147" t="str">
        <f>TEXT(Sales_Table[[#This Row],[Date_clean]],"mmmm")</f>
        <v>January</v>
      </c>
      <c r="W147">
        <f>WEEKNUM(Sales_Table[[#This Row],[Date_clean]],2)</f>
        <v>1</v>
      </c>
      <c r="X147" t="str" cm="1">
        <f t="array" ref="X147">_xlfn.IFS(Sales_Table[[#This Row],[Revenue]]&gt;=50000,"High",Sales_Table[[#This Row],[Revenue]]&gt;=20000,"Medium",Sales_Table[[#This Row],[Revenue]]&lt;20000,"Low")</f>
        <v>Low</v>
      </c>
      <c r="Y147" t="str">
        <f>IF(Sales_Table[[#This Row],[Payment Method_clean]]="cash","Offline","Online")</f>
        <v>Online</v>
      </c>
      <c r="Z147">
        <f>IFERROR(Sales_Table[[#This Row],[Revenue]],0)</f>
        <v>1092</v>
      </c>
    </row>
    <row r="148" spans="1:26" x14ac:dyDescent="0.3">
      <c r="A148">
        <v>147</v>
      </c>
      <c r="B148" s="2">
        <f t="shared" si="14"/>
        <v>45298.083333333336</v>
      </c>
      <c r="C148" t="s">
        <v>489</v>
      </c>
      <c r="D148" t="s">
        <v>27</v>
      </c>
      <c r="E148" t="str">
        <f>PROPER(TRIM(CLEAN(Sales_Table[[#This Row],[Region]])))</f>
        <v>East</v>
      </c>
      <c r="F148" t="s">
        <v>78</v>
      </c>
      <c r="G148" t="str">
        <f t="shared" si="15"/>
        <v>Grocery</v>
      </c>
      <c r="H148" t="str">
        <f>PROPER(TRIM(CLEAN(Sales_Table[[#This Row],[Product Name]])))</f>
        <v>Led Tv 42Inch</v>
      </c>
      <c r="I148" t="s">
        <v>58</v>
      </c>
      <c r="J148" t="str">
        <f t="shared" si="16"/>
        <v>CUST0458</v>
      </c>
      <c r="K148" t="s">
        <v>490</v>
      </c>
      <c r="L148" t="str">
        <f>PROPER(TRIM(CLEAN(Sales_Table[[#This Row],[Salesperson]])))</f>
        <v>Meena</v>
      </c>
      <c r="M148" t="s">
        <v>40</v>
      </c>
      <c r="N148" t="str">
        <f t="shared" si="17"/>
        <v>Net Banking</v>
      </c>
      <c r="O148" t="s">
        <v>60</v>
      </c>
      <c r="P148">
        <f t="shared" si="18"/>
        <v>4</v>
      </c>
      <c r="Q148" t="s">
        <v>113</v>
      </c>
      <c r="R148">
        <f t="shared" si="19"/>
        <v>2437</v>
      </c>
      <c r="S148" t="s">
        <v>491</v>
      </c>
      <c r="T148">
        <f t="shared" si="20"/>
        <v>9748</v>
      </c>
      <c r="U148">
        <f>YEAR(Sales_Table[[#This Row],[Date_clean]])</f>
        <v>2024</v>
      </c>
      <c r="V148" t="str">
        <f>TEXT(Sales_Table[[#This Row],[Date_clean]],"mmmm")</f>
        <v>January</v>
      </c>
      <c r="W148">
        <f>WEEKNUM(Sales_Table[[#This Row],[Date_clean]],2)</f>
        <v>1</v>
      </c>
      <c r="X148" t="str" cm="1">
        <f t="array" ref="X148">_xlfn.IFS(Sales_Table[[#This Row],[Revenue]]&gt;=50000,"High",Sales_Table[[#This Row],[Revenue]]&gt;=20000,"Medium",Sales_Table[[#This Row],[Revenue]]&lt;20000,"Low")</f>
        <v>Low</v>
      </c>
      <c r="Y148" t="str">
        <f>IF(Sales_Table[[#This Row],[Payment Method_clean]]="cash","Offline","Online")</f>
        <v>Online</v>
      </c>
      <c r="Z148">
        <f>IFERROR(Sales_Table[[#This Row],[Revenue]],0)</f>
        <v>9748</v>
      </c>
    </row>
    <row r="149" spans="1:26" x14ac:dyDescent="0.3">
      <c r="A149">
        <v>148</v>
      </c>
      <c r="B149" s="2">
        <f t="shared" si="14"/>
        <v>45298.125</v>
      </c>
      <c r="C149" t="s">
        <v>492</v>
      </c>
      <c r="D149" t="s">
        <v>27</v>
      </c>
      <c r="E149" t="str">
        <f>PROPER(TRIM(CLEAN(Sales_Table[[#This Row],[Region]])))</f>
        <v>East</v>
      </c>
      <c r="F149" t="s">
        <v>78</v>
      </c>
      <c r="G149" t="str">
        <f t="shared" si="15"/>
        <v>Grocery</v>
      </c>
      <c r="H149" t="str">
        <f>PROPER(TRIM(CLEAN(Sales_Table[[#This Row],[Product Name]])))</f>
        <v>Mixer Grinder</v>
      </c>
      <c r="I149" t="s">
        <v>29</v>
      </c>
      <c r="J149" t="str">
        <f t="shared" si="16"/>
        <v>CUST0451</v>
      </c>
      <c r="K149" t="s">
        <v>493</v>
      </c>
      <c r="L149" t="str">
        <f>PROPER(TRIM(CLEAN(Sales_Table[[#This Row],[Salesperson]])))</f>
        <v>Rahul</v>
      </c>
      <c r="M149" t="s">
        <v>31</v>
      </c>
      <c r="N149" t="str">
        <f t="shared" si="17"/>
        <v>Credit Card</v>
      </c>
      <c r="O149" t="s">
        <v>65</v>
      </c>
      <c r="P149">
        <f t="shared" si="18"/>
        <v>9</v>
      </c>
      <c r="Q149" t="s">
        <v>130</v>
      </c>
      <c r="R149">
        <f t="shared" si="19"/>
        <v>308</v>
      </c>
      <c r="S149" t="s">
        <v>494</v>
      </c>
      <c r="T149">
        <f t="shared" si="20"/>
        <v>2772</v>
      </c>
      <c r="U149">
        <f>YEAR(Sales_Table[[#This Row],[Date_clean]])</f>
        <v>2024</v>
      </c>
      <c r="V149" t="str">
        <f>TEXT(Sales_Table[[#This Row],[Date_clean]],"mmmm")</f>
        <v>January</v>
      </c>
      <c r="W149">
        <f>WEEKNUM(Sales_Table[[#This Row],[Date_clean]],2)</f>
        <v>1</v>
      </c>
      <c r="X149" t="str" cm="1">
        <f t="array" ref="X149">_xlfn.IFS(Sales_Table[[#This Row],[Revenue]]&gt;=50000,"High",Sales_Table[[#This Row],[Revenue]]&gt;=20000,"Medium",Sales_Table[[#This Row],[Revenue]]&lt;20000,"Low")</f>
        <v>Low</v>
      </c>
      <c r="Y149" t="str">
        <f>IF(Sales_Table[[#This Row],[Payment Method_clean]]="cash","Offline","Online")</f>
        <v>Online</v>
      </c>
      <c r="Z149">
        <f>IFERROR(Sales_Table[[#This Row],[Revenue]],0)</f>
        <v>2772</v>
      </c>
    </row>
    <row r="150" spans="1:26" x14ac:dyDescent="0.3">
      <c r="A150">
        <v>149</v>
      </c>
      <c r="B150" s="2">
        <f t="shared" si="14"/>
        <v>45298.166666666664</v>
      </c>
      <c r="C150" t="s">
        <v>495</v>
      </c>
      <c r="D150" t="s">
        <v>45</v>
      </c>
      <c r="E150" t="str">
        <f>PROPER(TRIM(CLEAN(Sales_Table[[#This Row],[Region]])))</f>
        <v>North</v>
      </c>
      <c r="F150" t="s">
        <v>46</v>
      </c>
      <c r="G150" t="str">
        <f t="shared" si="15"/>
        <v>Electronics</v>
      </c>
      <c r="H150" t="str">
        <f>PROPER(TRIM(CLEAN(Sales_Table[[#This Row],[Product Name]])))</f>
        <v>Mixer Grinder</v>
      </c>
      <c r="I150" t="s">
        <v>29</v>
      </c>
      <c r="J150" t="str">
        <f t="shared" si="16"/>
        <v>CUST0365</v>
      </c>
      <c r="K150" t="s">
        <v>496</v>
      </c>
      <c r="L150" t="str">
        <f>PROPER(TRIM(CLEAN(Sales_Table[[#This Row],[Salesperson]])))</f>
        <v>Anita</v>
      </c>
      <c r="M150" t="s">
        <v>64</v>
      </c>
      <c r="N150" t="str">
        <f t="shared" si="17"/>
        <v>Debit Card</v>
      </c>
      <c r="O150" t="s">
        <v>41</v>
      </c>
      <c r="P150">
        <f t="shared" si="18"/>
        <v>7</v>
      </c>
      <c r="Q150" t="s">
        <v>49</v>
      </c>
      <c r="R150">
        <f t="shared" si="19"/>
        <v>2560</v>
      </c>
      <c r="S150" t="s">
        <v>497</v>
      </c>
      <c r="T150">
        <f t="shared" si="20"/>
        <v>17920</v>
      </c>
      <c r="U150">
        <f>YEAR(Sales_Table[[#This Row],[Date_clean]])</f>
        <v>2024</v>
      </c>
      <c r="V150" t="str">
        <f>TEXT(Sales_Table[[#This Row],[Date_clean]],"mmmm")</f>
        <v>January</v>
      </c>
      <c r="W150">
        <f>WEEKNUM(Sales_Table[[#This Row],[Date_clean]],2)</f>
        <v>1</v>
      </c>
      <c r="X150" t="str" cm="1">
        <f t="array" ref="X150">_xlfn.IFS(Sales_Table[[#This Row],[Revenue]]&gt;=50000,"High",Sales_Table[[#This Row],[Revenue]]&gt;=20000,"Medium",Sales_Table[[#This Row],[Revenue]]&lt;20000,"Low")</f>
        <v>Low</v>
      </c>
      <c r="Y150" t="str">
        <f>IF(Sales_Table[[#This Row],[Payment Method_clean]]="cash","Offline","Online")</f>
        <v>Online</v>
      </c>
      <c r="Z150">
        <f>IFERROR(Sales_Table[[#This Row],[Revenue]],0)</f>
        <v>17920</v>
      </c>
    </row>
    <row r="151" spans="1:26" x14ac:dyDescent="0.3">
      <c r="A151">
        <v>150</v>
      </c>
      <c r="B151" s="2">
        <f t="shared" si="14"/>
        <v>45298.208333333336</v>
      </c>
      <c r="C151" t="s">
        <v>498</v>
      </c>
      <c r="D151" t="s">
        <v>36</v>
      </c>
      <c r="E151" t="str">
        <f>PROPER(TRIM(CLEAN(Sales_Table[[#This Row],[Region]])))</f>
        <v>West</v>
      </c>
      <c r="F151" t="s">
        <v>28</v>
      </c>
      <c r="G151" t="str">
        <f t="shared" si="15"/>
        <v>Clothing</v>
      </c>
      <c r="H151" t="str">
        <f>PROPER(TRIM(CLEAN(Sales_Table[[#This Row],[Product Name]])))</f>
        <v>Laptop</v>
      </c>
      <c r="I151" t="s">
        <v>52</v>
      </c>
      <c r="J151" t="str">
        <f t="shared" si="16"/>
        <v>CUST0675</v>
      </c>
      <c r="K151" t="s">
        <v>399</v>
      </c>
      <c r="L151" t="str">
        <f>PROPER(TRIM(CLEAN(Sales_Table[[#This Row],[Salesperson]])))</f>
        <v>Meena</v>
      </c>
      <c r="M151" t="s">
        <v>40</v>
      </c>
      <c r="N151" t="str">
        <f t="shared" si="17"/>
        <v>Cash</v>
      </c>
      <c r="O151" t="s">
        <v>32</v>
      </c>
      <c r="P151">
        <f t="shared" si="18"/>
        <v>2</v>
      </c>
      <c r="Q151" t="s">
        <v>196</v>
      </c>
      <c r="R151">
        <f t="shared" si="19"/>
        <v>3542</v>
      </c>
      <c r="S151" t="s">
        <v>499</v>
      </c>
      <c r="T151">
        <f t="shared" si="20"/>
        <v>7084</v>
      </c>
      <c r="U151">
        <f>YEAR(Sales_Table[[#This Row],[Date_clean]])</f>
        <v>2024</v>
      </c>
      <c r="V151" t="str">
        <f>TEXT(Sales_Table[[#This Row],[Date_clean]],"mmmm")</f>
        <v>January</v>
      </c>
      <c r="W151">
        <f>WEEKNUM(Sales_Table[[#This Row],[Date_clean]],2)</f>
        <v>1</v>
      </c>
      <c r="X151" t="str" cm="1">
        <f t="array" ref="X151">_xlfn.IFS(Sales_Table[[#This Row],[Revenue]]&gt;=50000,"High",Sales_Table[[#This Row],[Revenue]]&gt;=20000,"Medium",Sales_Table[[#This Row],[Revenue]]&lt;20000,"Low")</f>
        <v>Low</v>
      </c>
      <c r="Y151" t="str">
        <f>IF(Sales_Table[[#This Row],[Payment Method_clean]]="cash","Offline","Online")</f>
        <v>Offline</v>
      </c>
      <c r="Z151">
        <f>IFERROR(Sales_Table[[#This Row],[Revenue]],0)</f>
        <v>7084</v>
      </c>
    </row>
    <row r="152" spans="1:26" x14ac:dyDescent="0.3">
      <c r="A152">
        <v>151</v>
      </c>
      <c r="B152" s="2">
        <f t="shared" si="14"/>
        <v>45298.25</v>
      </c>
      <c r="C152" t="s">
        <v>500</v>
      </c>
      <c r="D152" t="s">
        <v>27</v>
      </c>
      <c r="E152" t="str">
        <f>PROPER(TRIM(CLEAN(Sales_Table[[#This Row],[Region]])))</f>
        <v>East</v>
      </c>
      <c r="F152" t="s">
        <v>78</v>
      </c>
      <c r="G152" t="str">
        <f t="shared" si="15"/>
        <v>Grocery</v>
      </c>
      <c r="H152" t="str">
        <f>PROPER(TRIM(CLEAN(Sales_Table[[#This Row],[Product Name]])))</f>
        <v>Mixer Grinder</v>
      </c>
      <c r="I152" t="s">
        <v>29</v>
      </c>
      <c r="J152" t="str">
        <f t="shared" si="16"/>
        <v>CUST0351</v>
      </c>
      <c r="K152" t="s">
        <v>501</v>
      </c>
      <c r="L152" t="str">
        <f>PROPER(TRIM(CLEAN(Sales_Table[[#This Row],[Salesperson]])))</f>
        <v>Meena</v>
      </c>
      <c r="M152" t="s">
        <v>40</v>
      </c>
      <c r="N152" t="str">
        <f t="shared" si="17"/>
        <v>Net Banking</v>
      </c>
      <c r="O152" t="s">
        <v>60</v>
      </c>
      <c r="P152">
        <f t="shared" si="18"/>
        <v>8</v>
      </c>
      <c r="Q152" t="s">
        <v>42</v>
      </c>
      <c r="R152">
        <f t="shared" si="19"/>
        <v>2811</v>
      </c>
      <c r="S152" t="s">
        <v>502</v>
      </c>
      <c r="T152">
        <f t="shared" si="20"/>
        <v>22488</v>
      </c>
      <c r="U152">
        <f>YEAR(Sales_Table[[#This Row],[Date_clean]])</f>
        <v>2024</v>
      </c>
      <c r="V152" t="str">
        <f>TEXT(Sales_Table[[#This Row],[Date_clean]],"mmmm")</f>
        <v>January</v>
      </c>
      <c r="W152">
        <f>WEEKNUM(Sales_Table[[#This Row],[Date_clean]],2)</f>
        <v>1</v>
      </c>
      <c r="X152" t="str" cm="1">
        <f t="array" ref="X152">_xlfn.IFS(Sales_Table[[#This Row],[Revenue]]&gt;=50000,"High",Sales_Table[[#This Row],[Revenue]]&gt;=20000,"Medium",Sales_Table[[#This Row],[Revenue]]&lt;20000,"Low")</f>
        <v>Medium</v>
      </c>
      <c r="Y152" t="str">
        <f>IF(Sales_Table[[#This Row],[Payment Method_clean]]="cash","Offline","Online")</f>
        <v>Online</v>
      </c>
      <c r="Z152">
        <f>IFERROR(Sales_Table[[#This Row],[Revenue]],0)</f>
        <v>22488</v>
      </c>
    </row>
    <row r="153" spans="1:26" x14ac:dyDescent="0.3">
      <c r="A153">
        <v>152</v>
      </c>
      <c r="B153" s="2">
        <f t="shared" si="14"/>
        <v>45298.291666666664</v>
      </c>
      <c r="C153" t="s">
        <v>503</v>
      </c>
      <c r="D153" t="s">
        <v>27</v>
      </c>
      <c r="E153" t="str">
        <f>PROPER(TRIM(CLEAN(Sales_Table[[#This Row],[Region]])))</f>
        <v>East</v>
      </c>
      <c r="F153" t="s">
        <v>28</v>
      </c>
      <c r="G153" t="str">
        <f t="shared" si="15"/>
        <v>Clothing</v>
      </c>
      <c r="H153" t="str">
        <f>PROPER(TRIM(CLEAN(Sales_Table[[#This Row],[Product Name]])))</f>
        <v>Led Tv 42Inch</v>
      </c>
      <c r="I153" t="s">
        <v>58</v>
      </c>
      <c r="J153" t="str">
        <f t="shared" si="16"/>
        <v>CUST0655</v>
      </c>
      <c r="K153" t="s">
        <v>504</v>
      </c>
      <c r="L153" t="str">
        <f>PROPER(TRIM(CLEAN(Sales_Table[[#This Row],[Salesperson]])))</f>
        <v>Rahul</v>
      </c>
      <c r="M153" t="s">
        <v>31</v>
      </c>
      <c r="N153" t="str">
        <f t="shared" si="17"/>
        <v>Cash</v>
      </c>
      <c r="O153" t="s">
        <v>32</v>
      </c>
      <c r="P153">
        <f t="shared" si="18"/>
        <v>11</v>
      </c>
      <c r="Q153" t="s">
        <v>97</v>
      </c>
      <c r="R153">
        <f t="shared" si="19"/>
        <v>2437</v>
      </c>
      <c r="S153" t="s">
        <v>491</v>
      </c>
      <c r="T153">
        <f t="shared" si="20"/>
        <v>26807</v>
      </c>
      <c r="U153">
        <f>YEAR(Sales_Table[[#This Row],[Date_clean]])</f>
        <v>2024</v>
      </c>
      <c r="V153" t="str">
        <f>TEXT(Sales_Table[[#This Row],[Date_clean]],"mmmm")</f>
        <v>January</v>
      </c>
      <c r="W153">
        <f>WEEKNUM(Sales_Table[[#This Row],[Date_clean]],2)</f>
        <v>1</v>
      </c>
      <c r="X153" t="str" cm="1">
        <f t="array" ref="X153">_xlfn.IFS(Sales_Table[[#This Row],[Revenue]]&gt;=50000,"High",Sales_Table[[#This Row],[Revenue]]&gt;=20000,"Medium",Sales_Table[[#This Row],[Revenue]]&lt;20000,"Low")</f>
        <v>Medium</v>
      </c>
      <c r="Y153" t="str">
        <f>IF(Sales_Table[[#This Row],[Payment Method_clean]]="cash","Offline","Online")</f>
        <v>Offline</v>
      </c>
      <c r="Z153">
        <f>IFERROR(Sales_Table[[#This Row],[Revenue]],0)</f>
        <v>26807</v>
      </c>
    </row>
    <row r="154" spans="1:26" x14ac:dyDescent="0.3">
      <c r="A154">
        <v>153</v>
      </c>
      <c r="B154" s="2">
        <f t="shared" si="14"/>
        <v>45298.333333333336</v>
      </c>
      <c r="C154" t="s">
        <v>505</v>
      </c>
      <c r="D154" t="s">
        <v>45</v>
      </c>
      <c r="E154" t="str">
        <f>PROPER(TRIM(CLEAN(Sales_Table[[#This Row],[Region]])))</f>
        <v>North</v>
      </c>
      <c r="F154" t="s">
        <v>78</v>
      </c>
      <c r="G154" t="str">
        <f t="shared" si="15"/>
        <v>Grocery</v>
      </c>
      <c r="H154" t="str">
        <f>PROPER(TRIM(CLEAN(Sales_Table[[#This Row],[Product Name]])))</f>
        <v>Men T-Shirt</v>
      </c>
      <c r="I154" t="s">
        <v>38</v>
      </c>
      <c r="J154" t="str">
        <f t="shared" si="16"/>
        <v>CUST0400</v>
      </c>
      <c r="K154" t="s">
        <v>183</v>
      </c>
      <c r="L154" t="str">
        <f>PROPER(TRIM(CLEAN(Sales_Table[[#This Row],[Salesperson]])))</f>
        <v>Rahul</v>
      </c>
      <c r="M154" t="s">
        <v>31</v>
      </c>
      <c r="N154" t="str">
        <f t="shared" si="17"/>
        <v>Upi</v>
      </c>
      <c r="O154" t="s">
        <v>48</v>
      </c>
      <c r="P154">
        <f t="shared" si="18"/>
        <v>7</v>
      </c>
      <c r="Q154" t="s">
        <v>49</v>
      </c>
      <c r="R154">
        <f t="shared" si="19"/>
        <v>1391</v>
      </c>
      <c r="S154" t="s">
        <v>506</v>
      </c>
      <c r="T154">
        <f t="shared" si="20"/>
        <v>9737</v>
      </c>
      <c r="U154">
        <f>YEAR(Sales_Table[[#This Row],[Date_clean]])</f>
        <v>2024</v>
      </c>
      <c r="V154" t="str">
        <f>TEXT(Sales_Table[[#This Row],[Date_clean]],"mmmm")</f>
        <v>January</v>
      </c>
      <c r="W154">
        <f>WEEKNUM(Sales_Table[[#This Row],[Date_clean]],2)</f>
        <v>1</v>
      </c>
      <c r="X154" t="str" cm="1">
        <f t="array" ref="X154">_xlfn.IFS(Sales_Table[[#This Row],[Revenue]]&gt;=50000,"High",Sales_Table[[#This Row],[Revenue]]&gt;=20000,"Medium",Sales_Table[[#This Row],[Revenue]]&lt;20000,"Low")</f>
        <v>Low</v>
      </c>
      <c r="Y154" t="str">
        <f>IF(Sales_Table[[#This Row],[Payment Method_clean]]="cash","Offline","Online")</f>
        <v>Online</v>
      </c>
      <c r="Z154">
        <f>IFERROR(Sales_Table[[#This Row],[Revenue]],0)</f>
        <v>9737</v>
      </c>
    </row>
    <row r="155" spans="1:26" x14ac:dyDescent="0.3">
      <c r="A155">
        <v>154</v>
      </c>
      <c r="B155" s="2">
        <f t="shared" si="14"/>
        <v>45298.375</v>
      </c>
      <c r="C155" t="s">
        <v>507</v>
      </c>
      <c r="D155" t="s">
        <v>27</v>
      </c>
      <c r="E155" t="str">
        <f>PROPER(TRIM(CLEAN(Sales_Table[[#This Row],[Region]])))</f>
        <v>East</v>
      </c>
      <c r="F155" t="s">
        <v>78</v>
      </c>
      <c r="G155" t="str">
        <f t="shared" si="15"/>
        <v>Grocery</v>
      </c>
      <c r="H155" t="str">
        <f>PROPER(TRIM(CLEAN(Sales_Table[[#This Row],[Product Name]])))</f>
        <v>Washing Machine</v>
      </c>
      <c r="I155" t="s">
        <v>79</v>
      </c>
      <c r="J155" t="str">
        <f t="shared" si="16"/>
        <v>CUST0253</v>
      </c>
      <c r="K155" t="s">
        <v>508</v>
      </c>
      <c r="L155" t="str">
        <f>PROPER(TRIM(CLEAN(Sales_Table[[#This Row],[Salesperson]])))</f>
        <v>Rahul</v>
      </c>
      <c r="M155" t="s">
        <v>31</v>
      </c>
      <c r="N155" t="str">
        <f t="shared" si="17"/>
        <v>Cash</v>
      </c>
      <c r="O155" t="s">
        <v>32</v>
      </c>
      <c r="P155">
        <f t="shared" si="18"/>
        <v>9</v>
      </c>
      <c r="Q155" t="s">
        <v>130</v>
      </c>
      <c r="R155">
        <f t="shared" si="19"/>
        <v>2298</v>
      </c>
      <c r="S155" t="s">
        <v>509</v>
      </c>
      <c r="T155">
        <f t="shared" si="20"/>
        <v>20682</v>
      </c>
      <c r="U155">
        <f>YEAR(Sales_Table[[#This Row],[Date_clean]])</f>
        <v>2024</v>
      </c>
      <c r="V155" t="str">
        <f>TEXT(Sales_Table[[#This Row],[Date_clean]],"mmmm")</f>
        <v>January</v>
      </c>
      <c r="W155">
        <f>WEEKNUM(Sales_Table[[#This Row],[Date_clean]],2)</f>
        <v>1</v>
      </c>
      <c r="X155" t="str" cm="1">
        <f t="array" ref="X155">_xlfn.IFS(Sales_Table[[#This Row],[Revenue]]&gt;=50000,"High",Sales_Table[[#This Row],[Revenue]]&gt;=20000,"Medium",Sales_Table[[#This Row],[Revenue]]&lt;20000,"Low")</f>
        <v>Medium</v>
      </c>
      <c r="Y155" t="str">
        <f>IF(Sales_Table[[#This Row],[Payment Method_clean]]="cash","Offline","Online")</f>
        <v>Offline</v>
      </c>
      <c r="Z155">
        <f>IFERROR(Sales_Table[[#This Row],[Revenue]],0)</f>
        <v>20682</v>
      </c>
    </row>
    <row r="156" spans="1:26" x14ac:dyDescent="0.3">
      <c r="A156">
        <v>155</v>
      </c>
      <c r="B156" s="2">
        <f t="shared" si="14"/>
        <v>45298.416666666664</v>
      </c>
      <c r="C156" t="s">
        <v>510</v>
      </c>
      <c r="D156" t="s">
        <v>45</v>
      </c>
      <c r="E156" t="str">
        <f>PROPER(TRIM(CLEAN(Sales_Table[[#This Row],[Region]])))</f>
        <v>North</v>
      </c>
      <c r="F156" t="s">
        <v>37</v>
      </c>
      <c r="G156" t="str">
        <f t="shared" si="15"/>
        <v>Home Appliances</v>
      </c>
      <c r="H156" t="str">
        <f>PROPER(TRIM(CLEAN(Sales_Table[[#This Row],[Product Name]])))</f>
        <v>Men T-Shirt</v>
      </c>
      <c r="I156" t="s">
        <v>38</v>
      </c>
      <c r="J156" t="str">
        <f t="shared" si="16"/>
        <v>CUST0781</v>
      </c>
      <c r="K156" t="s">
        <v>341</v>
      </c>
      <c r="L156" t="str">
        <f>PROPER(TRIM(CLEAN(Sales_Table[[#This Row],[Salesperson]])))</f>
        <v>Anita</v>
      </c>
      <c r="M156" t="s">
        <v>64</v>
      </c>
      <c r="N156" t="str">
        <f t="shared" si="17"/>
        <v>Credit Card</v>
      </c>
      <c r="O156" t="s">
        <v>65</v>
      </c>
      <c r="P156">
        <f t="shared" si="18"/>
        <v>8</v>
      </c>
      <c r="Q156" t="s">
        <v>42</v>
      </c>
      <c r="R156">
        <f t="shared" si="19"/>
        <v>1500</v>
      </c>
      <c r="S156" t="s">
        <v>511</v>
      </c>
      <c r="T156">
        <f t="shared" si="20"/>
        <v>12000</v>
      </c>
      <c r="U156">
        <f>YEAR(Sales_Table[[#This Row],[Date_clean]])</f>
        <v>2024</v>
      </c>
      <c r="V156" t="str">
        <f>TEXT(Sales_Table[[#This Row],[Date_clean]],"mmmm")</f>
        <v>January</v>
      </c>
      <c r="W156">
        <f>WEEKNUM(Sales_Table[[#This Row],[Date_clean]],2)</f>
        <v>1</v>
      </c>
      <c r="X156" t="str" cm="1">
        <f t="array" ref="X156">_xlfn.IFS(Sales_Table[[#This Row],[Revenue]]&gt;=50000,"High",Sales_Table[[#This Row],[Revenue]]&gt;=20000,"Medium",Sales_Table[[#This Row],[Revenue]]&lt;20000,"Low")</f>
        <v>Low</v>
      </c>
      <c r="Y156" t="str">
        <f>IF(Sales_Table[[#This Row],[Payment Method_clean]]="cash","Offline","Online")</f>
        <v>Online</v>
      </c>
      <c r="Z156">
        <f>IFERROR(Sales_Table[[#This Row],[Revenue]],0)</f>
        <v>12000</v>
      </c>
    </row>
    <row r="157" spans="1:26" x14ac:dyDescent="0.3">
      <c r="A157">
        <v>156</v>
      </c>
      <c r="B157" s="2">
        <f t="shared" si="14"/>
        <v>45298.458333333336</v>
      </c>
      <c r="C157" t="s">
        <v>512</v>
      </c>
      <c r="D157" t="s">
        <v>84</v>
      </c>
      <c r="E157" t="str">
        <f>PROPER(TRIM(CLEAN(Sales_Table[[#This Row],[Region]])))</f>
        <v>South</v>
      </c>
      <c r="F157" t="s">
        <v>37</v>
      </c>
      <c r="G157" t="str">
        <f t="shared" si="15"/>
        <v>Home Appliances</v>
      </c>
      <c r="H157" t="str">
        <f>PROPER(TRIM(CLEAN(Sales_Table[[#This Row],[Product Name]])))</f>
        <v>Men T-Shirt</v>
      </c>
      <c r="I157" t="s">
        <v>38</v>
      </c>
      <c r="J157" t="str">
        <f t="shared" si="16"/>
        <v>CUST0459</v>
      </c>
      <c r="K157" t="s">
        <v>513</v>
      </c>
      <c r="L157" t="str">
        <f>PROPER(TRIM(CLEAN(Sales_Table[[#This Row],[Salesperson]])))</f>
        <v>Karthik</v>
      </c>
      <c r="M157" t="s">
        <v>70</v>
      </c>
      <c r="N157" t="str">
        <f t="shared" si="17"/>
        <v>Cash</v>
      </c>
      <c r="O157" t="s">
        <v>32</v>
      </c>
      <c r="P157">
        <f t="shared" si="18"/>
        <v>3</v>
      </c>
      <c r="Q157" t="s">
        <v>66</v>
      </c>
      <c r="R157">
        <f t="shared" si="19"/>
        <v>2755</v>
      </c>
      <c r="S157" t="s">
        <v>514</v>
      </c>
      <c r="T157">
        <f t="shared" si="20"/>
        <v>8265</v>
      </c>
      <c r="U157">
        <f>YEAR(Sales_Table[[#This Row],[Date_clean]])</f>
        <v>2024</v>
      </c>
      <c r="V157" t="str">
        <f>TEXT(Sales_Table[[#This Row],[Date_clean]],"mmmm")</f>
        <v>January</v>
      </c>
      <c r="W157">
        <f>WEEKNUM(Sales_Table[[#This Row],[Date_clean]],2)</f>
        <v>1</v>
      </c>
      <c r="X157" t="str" cm="1">
        <f t="array" ref="X157">_xlfn.IFS(Sales_Table[[#This Row],[Revenue]]&gt;=50000,"High",Sales_Table[[#This Row],[Revenue]]&gt;=20000,"Medium",Sales_Table[[#This Row],[Revenue]]&lt;20000,"Low")</f>
        <v>Low</v>
      </c>
      <c r="Y157" t="str">
        <f>IF(Sales_Table[[#This Row],[Payment Method_clean]]="cash","Offline","Online")</f>
        <v>Offline</v>
      </c>
      <c r="Z157">
        <f>IFERROR(Sales_Table[[#This Row],[Revenue]],0)</f>
        <v>8265</v>
      </c>
    </row>
    <row r="158" spans="1:26" x14ac:dyDescent="0.3">
      <c r="A158">
        <v>157</v>
      </c>
      <c r="B158" s="2">
        <f t="shared" si="14"/>
        <v>45298.5</v>
      </c>
      <c r="C158" t="s">
        <v>515</v>
      </c>
      <c r="D158" t="s">
        <v>27</v>
      </c>
      <c r="E158" t="str">
        <f>PROPER(TRIM(CLEAN(Sales_Table[[#This Row],[Region]])))</f>
        <v>East</v>
      </c>
      <c r="F158" t="s">
        <v>37</v>
      </c>
      <c r="G158" t="str">
        <f t="shared" si="15"/>
        <v>Home Appliances</v>
      </c>
      <c r="H158" t="str">
        <f>PROPER(TRIM(CLEAN(Sales_Table[[#This Row],[Product Name]])))</f>
        <v>Led Tv 42Inch</v>
      </c>
      <c r="I158" t="s">
        <v>58</v>
      </c>
      <c r="J158" t="str">
        <f t="shared" si="16"/>
        <v>CUST0699</v>
      </c>
      <c r="K158" t="s">
        <v>425</v>
      </c>
      <c r="L158" t="str">
        <f>PROPER(TRIM(CLEAN(Sales_Table[[#This Row],[Salesperson]])))</f>
        <v>Rahul</v>
      </c>
      <c r="M158" t="s">
        <v>31</v>
      </c>
      <c r="N158" t="str">
        <f t="shared" si="17"/>
        <v>Cash</v>
      </c>
      <c r="O158" t="s">
        <v>32</v>
      </c>
      <c r="P158">
        <f t="shared" si="18"/>
        <v>1</v>
      </c>
      <c r="Q158" t="s">
        <v>93</v>
      </c>
      <c r="R158">
        <f t="shared" si="19"/>
        <v>4112</v>
      </c>
      <c r="S158" t="s">
        <v>516</v>
      </c>
      <c r="T158">
        <f t="shared" si="20"/>
        <v>4112</v>
      </c>
      <c r="U158">
        <f>YEAR(Sales_Table[[#This Row],[Date_clean]])</f>
        <v>2024</v>
      </c>
      <c r="V158" t="str">
        <f>TEXT(Sales_Table[[#This Row],[Date_clean]],"mmmm")</f>
        <v>January</v>
      </c>
      <c r="W158">
        <f>WEEKNUM(Sales_Table[[#This Row],[Date_clean]],2)</f>
        <v>1</v>
      </c>
      <c r="X158" t="str" cm="1">
        <f t="array" ref="X158">_xlfn.IFS(Sales_Table[[#This Row],[Revenue]]&gt;=50000,"High",Sales_Table[[#This Row],[Revenue]]&gt;=20000,"Medium",Sales_Table[[#This Row],[Revenue]]&lt;20000,"Low")</f>
        <v>Low</v>
      </c>
      <c r="Y158" t="str">
        <f>IF(Sales_Table[[#This Row],[Payment Method_clean]]="cash","Offline","Online")</f>
        <v>Offline</v>
      </c>
      <c r="Z158">
        <f>IFERROR(Sales_Table[[#This Row],[Revenue]],0)</f>
        <v>4112</v>
      </c>
    </row>
    <row r="159" spans="1:26" x14ac:dyDescent="0.3">
      <c r="A159">
        <v>158</v>
      </c>
      <c r="B159" s="2">
        <f t="shared" si="14"/>
        <v>45298.541666666664</v>
      </c>
      <c r="C159" t="s">
        <v>517</v>
      </c>
      <c r="D159" t="s">
        <v>84</v>
      </c>
      <c r="E159" t="str">
        <f>PROPER(TRIM(CLEAN(Sales_Table[[#This Row],[Region]])))</f>
        <v>South</v>
      </c>
      <c r="F159" t="s">
        <v>28</v>
      </c>
      <c r="G159" t="str">
        <f t="shared" si="15"/>
        <v>Clothing</v>
      </c>
      <c r="H159" t="str">
        <f>PROPER(TRIM(CLEAN(Sales_Table[[#This Row],[Product Name]])))</f>
        <v>Men T-Shirt</v>
      </c>
      <c r="I159" t="s">
        <v>38</v>
      </c>
      <c r="J159" t="str">
        <f t="shared" si="16"/>
        <v>CUST0499</v>
      </c>
      <c r="K159" t="s">
        <v>518</v>
      </c>
      <c r="L159" t="str">
        <f>PROPER(TRIM(CLEAN(Sales_Table[[#This Row],[Salesperson]])))</f>
        <v>Karthik</v>
      </c>
      <c r="M159" t="s">
        <v>70</v>
      </c>
      <c r="N159" t="str">
        <f t="shared" si="17"/>
        <v>Cash</v>
      </c>
      <c r="O159" t="s">
        <v>32</v>
      </c>
      <c r="P159">
        <f t="shared" si="18"/>
        <v>2</v>
      </c>
      <c r="Q159" t="s">
        <v>196</v>
      </c>
      <c r="R159">
        <f t="shared" si="19"/>
        <v>804</v>
      </c>
      <c r="S159" t="s">
        <v>519</v>
      </c>
      <c r="T159">
        <f t="shared" si="20"/>
        <v>1608</v>
      </c>
      <c r="U159">
        <f>YEAR(Sales_Table[[#This Row],[Date_clean]])</f>
        <v>2024</v>
      </c>
      <c r="V159" t="str">
        <f>TEXT(Sales_Table[[#This Row],[Date_clean]],"mmmm")</f>
        <v>January</v>
      </c>
      <c r="W159">
        <f>WEEKNUM(Sales_Table[[#This Row],[Date_clean]],2)</f>
        <v>1</v>
      </c>
      <c r="X159" t="str" cm="1">
        <f t="array" ref="X159">_xlfn.IFS(Sales_Table[[#This Row],[Revenue]]&gt;=50000,"High",Sales_Table[[#This Row],[Revenue]]&gt;=20000,"Medium",Sales_Table[[#This Row],[Revenue]]&lt;20000,"Low")</f>
        <v>Low</v>
      </c>
      <c r="Y159" t="str">
        <f>IF(Sales_Table[[#This Row],[Payment Method_clean]]="cash","Offline","Online")</f>
        <v>Offline</v>
      </c>
      <c r="Z159">
        <f>IFERROR(Sales_Table[[#This Row],[Revenue]],0)</f>
        <v>1608</v>
      </c>
    </row>
    <row r="160" spans="1:26" x14ac:dyDescent="0.3">
      <c r="A160">
        <v>159</v>
      </c>
      <c r="B160" s="2">
        <f t="shared" si="14"/>
        <v>45298.583333333336</v>
      </c>
      <c r="C160" t="s">
        <v>520</v>
      </c>
      <c r="D160" t="s">
        <v>45</v>
      </c>
      <c r="E160" t="str">
        <f>PROPER(TRIM(CLEAN(Sales_Table[[#This Row],[Region]])))</f>
        <v>North</v>
      </c>
      <c r="F160" t="s">
        <v>46</v>
      </c>
      <c r="G160" t="str">
        <f t="shared" si="15"/>
        <v>Electronics</v>
      </c>
      <c r="H160" t="str">
        <f>PROPER(TRIM(CLEAN(Sales_Table[[#This Row],[Product Name]])))</f>
        <v>Laptop</v>
      </c>
      <c r="I160" t="s">
        <v>52</v>
      </c>
      <c r="J160" t="str">
        <f t="shared" si="16"/>
        <v>CUST0508</v>
      </c>
      <c r="K160" t="s">
        <v>521</v>
      </c>
      <c r="L160" t="str">
        <f>PROPER(TRIM(CLEAN(Sales_Table[[#This Row],[Salesperson]])))</f>
        <v>Anita</v>
      </c>
      <c r="M160" t="s">
        <v>64</v>
      </c>
      <c r="N160" t="str">
        <f t="shared" si="17"/>
        <v>Debit Card</v>
      </c>
      <c r="O160" t="s">
        <v>41</v>
      </c>
      <c r="P160">
        <f t="shared" si="18"/>
        <v>14</v>
      </c>
      <c r="Q160" t="s">
        <v>55</v>
      </c>
      <c r="R160">
        <f t="shared" si="19"/>
        <v>925</v>
      </c>
      <c r="S160" t="s">
        <v>522</v>
      </c>
      <c r="T160">
        <f t="shared" si="20"/>
        <v>12950</v>
      </c>
      <c r="U160">
        <f>YEAR(Sales_Table[[#This Row],[Date_clean]])</f>
        <v>2024</v>
      </c>
      <c r="V160" t="str">
        <f>TEXT(Sales_Table[[#This Row],[Date_clean]],"mmmm")</f>
        <v>January</v>
      </c>
      <c r="W160">
        <f>WEEKNUM(Sales_Table[[#This Row],[Date_clean]],2)</f>
        <v>1</v>
      </c>
      <c r="X160" t="str" cm="1">
        <f t="array" ref="X160">_xlfn.IFS(Sales_Table[[#This Row],[Revenue]]&gt;=50000,"High",Sales_Table[[#This Row],[Revenue]]&gt;=20000,"Medium",Sales_Table[[#This Row],[Revenue]]&lt;20000,"Low")</f>
        <v>Low</v>
      </c>
      <c r="Y160" t="str">
        <f>IF(Sales_Table[[#This Row],[Payment Method_clean]]="cash","Offline","Online")</f>
        <v>Online</v>
      </c>
      <c r="Z160">
        <f>IFERROR(Sales_Table[[#This Row],[Revenue]],0)</f>
        <v>12950</v>
      </c>
    </row>
    <row r="161" spans="1:26" x14ac:dyDescent="0.3">
      <c r="A161">
        <v>160</v>
      </c>
      <c r="B161" s="2">
        <f t="shared" si="14"/>
        <v>45298.625</v>
      </c>
      <c r="C161" t="s">
        <v>523</v>
      </c>
      <c r="D161" t="s">
        <v>36</v>
      </c>
      <c r="E161" t="str">
        <f>PROPER(TRIM(CLEAN(Sales_Table[[#This Row],[Region]])))</f>
        <v>West</v>
      </c>
      <c r="F161" t="s">
        <v>78</v>
      </c>
      <c r="G161" t="str">
        <f t="shared" si="15"/>
        <v>Grocery</v>
      </c>
      <c r="H161" t="str">
        <f>PROPER(TRIM(CLEAN(Sales_Table[[#This Row],[Product Name]])))</f>
        <v>Rice 5Kg</v>
      </c>
      <c r="I161" t="s">
        <v>73</v>
      </c>
      <c r="J161" t="str">
        <f t="shared" si="16"/>
        <v>CUST0304</v>
      </c>
      <c r="K161" t="s">
        <v>524</v>
      </c>
      <c r="L161" t="str">
        <f>PROPER(TRIM(CLEAN(Sales_Table[[#This Row],[Salesperson]])))</f>
        <v>Karthik</v>
      </c>
      <c r="M161" t="s">
        <v>70</v>
      </c>
      <c r="N161" t="str">
        <f t="shared" si="17"/>
        <v>Debit Card</v>
      </c>
      <c r="O161" t="s">
        <v>41</v>
      </c>
      <c r="P161">
        <f t="shared" si="18"/>
        <v>13</v>
      </c>
      <c r="Q161" t="s">
        <v>81</v>
      </c>
      <c r="R161">
        <f t="shared" si="19"/>
        <v>1104</v>
      </c>
      <c r="S161" t="s">
        <v>525</v>
      </c>
      <c r="T161">
        <f t="shared" si="20"/>
        <v>14352</v>
      </c>
      <c r="U161">
        <f>YEAR(Sales_Table[[#This Row],[Date_clean]])</f>
        <v>2024</v>
      </c>
      <c r="V161" t="str">
        <f>TEXT(Sales_Table[[#This Row],[Date_clean]],"mmmm")</f>
        <v>January</v>
      </c>
      <c r="W161">
        <f>WEEKNUM(Sales_Table[[#This Row],[Date_clean]],2)</f>
        <v>1</v>
      </c>
      <c r="X161" t="str" cm="1">
        <f t="array" ref="X161">_xlfn.IFS(Sales_Table[[#This Row],[Revenue]]&gt;=50000,"High",Sales_Table[[#This Row],[Revenue]]&gt;=20000,"Medium",Sales_Table[[#This Row],[Revenue]]&lt;20000,"Low")</f>
        <v>Low</v>
      </c>
      <c r="Y161" t="str">
        <f>IF(Sales_Table[[#This Row],[Payment Method_clean]]="cash","Offline","Online")</f>
        <v>Online</v>
      </c>
      <c r="Z161">
        <f>IFERROR(Sales_Table[[#This Row],[Revenue]],0)</f>
        <v>14352</v>
      </c>
    </row>
    <row r="162" spans="1:26" x14ac:dyDescent="0.3">
      <c r="A162">
        <v>161</v>
      </c>
      <c r="B162" s="2">
        <f t="shared" si="14"/>
        <v>45298.666666666664</v>
      </c>
      <c r="C162" t="s">
        <v>526</v>
      </c>
      <c r="D162" t="s">
        <v>27</v>
      </c>
      <c r="E162" t="str">
        <f>PROPER(TRIM(CLEAN(Sales_Table[[#This Row],[Region]])))</f>
        <v>East</v>
      </c>
      <c r="F162" t="s">
        <v>78</v>
      </c>
      <c r="G162" t="str">
        <f t="shared" si="15"/>
        <v>Grocery</v>
      </c>
      <c r="H162" t="str">
        <f>PROPER(TRIM(CLEAN(Sales_Table[[#This Row],[Product Name]])))</f>
        <v>Mixer Grinder</v>
      </c>
      <c r="I162" t="s">
        <v>29</v>
      </c>
      <c r="J162" t="str">
        <f t="shared" si="16"/>
        <v>CUST0501</v>
      </c>
      <c r="K162" t="s">
        <v>527</v>
      </c>
      <c r="L162" t="str">
        <f>PROPER(TRIM(CLEAN(Sales_Table[[#This Row],[Salesperson]])))</f>
        <v>Suresh</v>
      </c>
      <c r="M162" t="s">
        <v>54</v>
      </c>
      <c r="N162" t="str">
        <f t="shared" si="17"/>
        <v>Upi</v>
      </c>
      <c r="O162" t="s">
        <v>48</v>
      </c>
      <c r="P162">
        <f t="shared" si="18"/>
        <v>2</v>
      </c>
      <c r="Q162" t="s">
        <v>196</v>
      </c>
      <c r="R162">
        <f t="shared" si="19"/>
        <v>3560</v>
      </c>
      <c r="S162" t="s">
        <v>528</v>
      </c>
      <c r="T162">
        <f t="shared" si="20"/>
        <v>7120</v>
      </c>
      <c r="U162">
        <f>YEAR(Sales_Table[[#This Row],[Date_clean]])</f>
        <v>2024</v>
      </c>
      <c r="V162" t="str">
        <f>TEXT(Sales_Table[[#This Row],[Date_clean]],"mmmm")</f>
        <v>January</v>
      </c>
      <c r="W162">
        <f>WEEKNUM(Sales_Table[[#This Row],[Date_clean]],2)</f>
        <v>1</v>
      </c>
      <c r="X162" t="str" cm="1">
        <f t="array" ref="X162">_xlfn.IFS(Sales_Table[[#This Row],[Revenue]]&gt;=50000,"High",Sales_Table[[#This Row],[Revenue]]&gt;=20000,"Medium",Sales_Table[[#This Row],[Revenue]]&lt;20000,"Low")</f>
        <v>Low</v>
      </c>
      <c r="Y162" t="str">
        <f>IF(Sales_Table[[#This Row],[Payment Method_clean]]="cash","Offline","Online")</f>
        <v>Online</v>
      </c>
      <c r="Z162">
        <f>IFERROR(Sales_Table[[#This Row],[Revenue]],0)</f>
        <v>7120</v>
      </c>
    </row>
    <row r="163" spans="1:26" x14ac:dyDescent="0.3">
      <c r="A163">
        <v>162</v>
      </c>
      <c r="B163" s="2">
        <f t="shared" si="14"/>
        <v>45298.708333333336</v>
      </c>
      <c r="C163" t="s">
        <v>529</v>
      </c>
      <c r="D163" t="s">
        <v>45</v>
      </c>
      <c r="E163" t="str">
        <f>PROPER(TRIM(CLEAN(Sales_Table[[#This Row],[Region]])))</f>
        <v>North</v>
      </c>
      <c r="F163" t="s">
        <v>78</v>
      </c>
      <c r="G163" t="str">
        <f t="shared" si="15"/>
        <v>Grocery</v>
      </c>
      <c r="H163" t="str">
        <f>PROPER(TRIM(CLEAN(Sales_Table[[#This Row],[Product Name]])))</f>
        <v>Rice 5Kg</v>
      </c>
      <c r="I163" t="s">
        <v>73</v>
      </c>
      <c r="J163" t="str">
        <f t="shared" si="16"/>
        <v>CUST0598</v>
      </c>
      <c r="K163" t="s">
        <v>530</v>
      </c>
      <c r="L163" t="str">
        <f>PROPER(TRIM(CLEAN(Sales_Table[[#This Row],[Salesperson]])))</f>
        <v>Karthik</v>
      </c>
      <c r="M163" t="s">
        <v>70</v>
      </c>
      <c r="N163" t="str">
        <f t="shared" si="17"/>
        <v>Credit Card</v>
      </c>
      <c r="O163" t="s">
        <v>65</v>
      </c>
      <c r="P163">
        <f t="shared" si="18"/>
        <v>4</v>
      </c>
      <c r="Q163" t="s">
        <v>113</v>
      </c>
      <c r="R163">
        <f t="shared" si="19"/>
        <v>476</v>
      </c>
      <c r="S163" t="s">
        <v>531</v>
      </c>
      <c r="T163">
        <f t="shared" si="20"/>
        <v>1904</v>
      </c>
      <c r="U163">
        <f>YEAR(Sales_Table[[#This Row],[Date_clean]])</f>
        <v>2024</v>
      </c>
      <c r="V163" t="str">
        <f>TEXT(Sales_Table[[#This Row],[Date_clean]],"mmmm")</f>
        <v>January</v>
      </c>
      <c r="W163">
        <f>WEEKNUM(Sales_Table[[#This Row],[Date_clean]],2)</f>
        <v>1</v>
      </c>
      <c r="X163" t="str" cm="1">
        <f t="array" ref="X163">_xlfn.IFS(Sales_Table[[#This Row],[Revenue]]&gt;=50000,"High",Sales_Table[[#This Row],[Revenue]]&gt;=20000,"Medium",Sales_Table[[#This Row],[Revenue]]&lt;20000,"Low")</f>
        <v>Low</v>
      </c>
      <c r="Y163" t="str">
        <f>IF(Sales_Table[[#This Row],[Payment Method_clean]]="cash","Offline","Online")</f>
        <v>Online</v>
      </c>
      <c r="Z163">
        <f>IFERROR(Sales_Table[[#This Row],[Revenue]],0)</f>
        <v>1904</v>
      </c>
    </row>
    <row r="164" spans="1:26" x14ac:dyDescent="0.3">
      <c r="A164">
        <v>163</v>
      </c>
      <c r="B164" s="2">
        <f t="shared" si="14"/>
        <v>45298.75</v>
      </c>
      <c r="C164" t="s">
        <v>532</v>
      </c>
      <c r="D164" t="s">
        <v>36</v>
      </c>
      <c r="E164" t="str">
        <f>PROPER(TRIM(CLEAN(Sales_Table[[#This Row],[Region]])))</f>
        <v>West</v>
      </c>
      <c r="F164" t="s">
        <v>28</v>
      </c>
      <c r="G164" t="str">
        <f t="shared" si="15"/>
        <v>Clothing</v>
      </c>
      <c r="H164" t="str">
        <f>PROPER(TRIM(CLEAN(Sales_Table[[#This Row],[Product Name]])))</f>
        <v>Washing Machine</v>
      </c>
      <c r="I164" t="s">
        <v>79</v>
      </c>
      <c r="J164" t="str">
        <f t="shared" si="16"/>
        <v>CUST0166</v>
      </c>
      <c r="K164" t="s">
        <v>533</v>
      </c>
      <c r="L164" t="str">
        <f>PROPER(TRIM(CLEAN(Sales_Table[[#This Row],[Salesperson]])))</f>
        <v>Rahul</v>
      </c>
      <c r="M164" t="s">
        <v>31</v>
      </c>
      <c r="N164" t="str">
        <f t="shared" si="17"/>
        <v>Cash</v>
      </c>
      <c r="O164" t="s">
        <v>32</v>
      </c>
      <c r="P164">
        <f t="shared" si="18"/>
        <v>6</v>
      </c>
      <c r="Q164" t="s">
        <v>75</v>
      </c>
      <c r="R164">
        <f t="shared" si="19"/>
        <v>1072</v>
      </c>
      <c r="S164" t="s">
        <v>534</v>
      </c>
      <c r="T164">
        <f t="shared" si="20"/>
        <v>6432</v>
      </c>
      <c r="U164">
        <f>YEAR(Sales_Table[[#This Row],[Date_clean]])</f>
        <v>2024</v>
      </c>
      <c r="V164" t="str">
        <f>TEXT(Sales_Table[[#This Row],[Date_clean]],"mmmm")</f>
        <v>January</v>
      </c>
      <c r="W164">
        <f>WEEKNUM(Sales_Table[[#This Row],[Date_clean]],2)</f>
        <v>1</v>
      </c>
      <c r="X164" t="str" cm="1">
        <f t="array" ref="X164">_xlfn.IFS(Sales_Table[[#This Row],[Revenue]]&gt;=50000,"High",Sales_Table[[#This Row],[Revenue]]&gt;=20000,"Medium",Sales_Table[[#This Row],[Revenue]]&lt;20000,"Low")</f>
        <v>Low</v>
      </c>
      <c r="Y164" t="str">
        <f>IF(Sales_Table[[#This Row],[Payment Method_clean]]="cash","Offline","Online")</f>
        <v>Offline</v>
      </c>
      <c r="Z164">
        <f>IFERROR(Sales_Table[[#This Row],[Revenue]],0)</f>
        <v>6432</v>
      </c>
    </row>
    <row r="165" spans="1:26" x14ac:dyDescent="0.3">
      <c r="A165">
        <v>164</v>
      </c>
      <c r="B165" s="2">
        <f t="shared" si="14"/>
        <v>45298.791666666664</v>
      </c>
      <c r="C165" t="s">
        <v>535</v>
      </c>
      <c r="D165" t="s">
        <v>36</v>
      </c>
      <c r="E165" t="str">
        <f>PROPER(TRIM(CLEAN(Sales_Table[[#This Row],[Region]])))</f>
        <v>West</v>
      </c>
      <c r="F165" t="s">
        <v>37</v>
      </c>
      <c r="G165" t="str">
        <f t="shared" si="15"/>
        <v>Home Appliances</v>
      </c>
      <c r="H165" t="str">
        <f>PROPER(TRIM(CLEAN(Sales_Table[[#This Row],[Product Name]])))</f>
        <v>Mixer Grinder</v>
      </c>
      <c r="I165" t="s">
        <v>29</v>
      </c>
      <c r="J165" t="str">
        <f t="shared" si="16"/>
        <v>CUST0415</v>
      </c>
      <c r="K165" t="s">
        <v>536</v>
      </c>
      <c r="L165" t="str">
        <f>PROPER(TRIM(CLEAN(Sales_Table[[#This Row],[Salesperson]])))</f>
        <v>Anita</v>
      </c>
      <c r="M165" t="s">
        <v>64</v>
      </c>
      <c r="N165" t="str">
        <f t="shared" si="17"/>
        <v>Cash</v>
      </c>
      <c r="O165" t="s">
        <v>32</v>
      </c>
      <c r="P165">
        <f t="shared" si="18"/>
        <v>4</v>
      </c>
      <c r="Q165" t="s">
        <v>113</v>
      </c>
      <c r="R165">
        <f t="shared" si="19"/>
        <v>4313</v>
      </c>
      <c r="S165" t="s">
        <v>537</v>
      </c>
      <c r="T165">
        <f t="shared" si="20"/>
        <v>17252</v>
      </c>
      <c r="U165">
        <f>YEAR(Sales_Table[[#This Row],[Date_clean]])</f>
        <v>2024</v>
      </c>
      <c r="V165" t="str">
        <f>TEXT(Sales_Table[[#This Row],[Date_clean]],"mmmm")</f>
        <v>January</v>
      </c>
      <c r="W165">
        <f>WEEKNUM(Sales_Table[[#This Row],[Date_clean]],2)</f>
        <v>1</v>
      </c>
      <c r="X165" t="str" cm="1">
        <f t="array" ref="X165">_xlfn.IFS(Sales_Table[[#This Row],[Revenue]]&gt;=50000,"High",Sales_Table[[#This Row],[Revenue]]&gt;=20000,"Medium",Sales_Table[[#This Row],[Revenue]]&lt;20000,"Low")</f>
        <v>Low</v>
      </c>
      <c r="Y165" t="str">
        <f>IF(Sales_Table[[#This Row],[Payment Method_clean]]="cash","Offline","Online")</f>
        <v>Offline</v>
      </c>
      <c r="Z165">
        <f>IFERROR(Sales_Table[[#This Row],[Revenue]],0)</f>
        <v>17252</v>
      </c>
    </row>
    <row r="166" spans="1:26" x14ac:dyDescent="0.3">
      <c r="A166">
        <v>165</v>
      </c>
      <c r="B166" s="2">
        <f t="shared" si="14"/>
        <v>45298.833333333336</v>
      </c>
      <c r="C166" t="s">
        <v>538</v>
      </c>
      <c r="D166" t="s">
        <v>84</v>
      </c>
      <c r="E166" t="str">
        <f>PROPER(TRIM(CLEAN(Sales_Table[[#This Row],[Region]])))</f>
        <v>South</v>
      </c>
      <c r="F166" t="s">
        <v>46</v>
      </c>
      <c r="G166" t="str">
        <f t="shared" si="15"/>
        <v>Electronics</v>
      </c>
      <c r="H166" t="str">
        <f>PROPER(TRIM(CLEAN(Sales_Table[[#This Row],[Product Name]])))</f>
        <v>Men T-Shirt</v>
      </c>
      <c r="I166" t="s">
        <v>38</v>
      </c>
      <c r="J166" t="str">
        <f t="shared" si="16"/>
        <v>CUST0462</v>
      </c>
      <c r="K166" t="s">
        <v>539</v>
      </c>
      <c r="L166" t="str">
        <f>PROPER(TRIM(CLEAN(Sales_Table[[#This Row],[Salesperson]])))</f>
        <v>Rahul</v>
      </c>
      <c r="M166" t="s">
        <v>31</v>
      </c>
      <c r="N166" t="str">
        <f t="shared" si="17"/>
        <v>Cash</v>
      </c>
      <c r="O166" t="s">
        <v>32</v>
      </c>
      <c r="P166">
        <f t="shared" si="18"/>
        <v>9</v>
      </c>
      <c r="Q166" t="s">
        <v>130</v>
      </c>
      <c r="R166">
        <f t="shared" si="19"/>
        <v>3176</v>
      </c>
      <c r="S166" t="s">
        <v>540</v>
      </c>
      <c r="T166">
        <f t="shared" si="20"/>
        <v>28584</v>
      </c>
      <c r="U166">
        <f>YEAR(Sales_Table[[#This Row],[Date_clean]])</f>
        <v>2024</v>
      </c>
      <c r="V166" t="str">
        <f>TEXT(Sales_Table[[#This Row],[Date_clean]],"mmmm")</f>
        <v>January</v>
      </c>
      <c r="W166">
        <f>WEEKNUM(Sales_Table[[#This Row],[Date_clean]],2)</f>
        <v>1</v>
      </c>
      <c r="X166" t="str" cm="1">
        <f t="array" ref="X166">_xlfn.IFS(Sales_Table[[#This Row],[Revenue]]&gt;=50000,"High",Sales_Table[[#This Row],[Revenue]]&gt;=20000,"Medium",Sales_Table[[#This Row],[Revenue]]&lt;20000,"Low")</f>
        <v>Medium</v>
      </c>
      <c r="Y166" t="str">
        <f>IF(Sales_Table[[#This Row],[Payment Method_clean]]="cash","Offline","Online")</f>
        <v>Offline</v>
      </c>
      <c r="Z166">
        <f>IFERROR(Sales_Table[[#This Row],[Revenue]],0)</f>
        <v>28584</v>
      </c>
    </row>
    <row r="167" spans="1:26" x14ac:dyDescent="0.3">
      <c r="A167">
        <v>166</v>
      </c>
      <c r="B167" s="2">
        <f t="shared" si="14"/>
        <v>45298.875</v>
      </c>
      <c r="C167" t="s">
        <v>541</v>
      </c>
      <c r="D167" t="s">
        <v>45</v>
      </c>
      <c r="E167" t="str">
        <f>PROPER(TRIM(CLEAN(Sales_Table[[#This Row],[Region]])))</f>
        <v>North</v>
      </c>
      <c r="F167" t="s">
        <v>28</v>
      </c>
      <c r="G167" t="str">
        <f t="shared" si="15"/>
        <v>Clothing</v>
      </c>
      <c r="H167" t="str">
        <f>PROPER(TRIM(CLEAN(Sales_Table[[#This Row],[Product Name]])))</f>
        <v>Washing Machine</v>
      </c>
      <c r="I167" t="s">
        <v>79</v>
      </c>
      <c r="J167" t="str">
        <f t="shared" si="16"/>
        <v>CUST0114</v>
      </c>
      <c r="K167" t="s">
        <v>542</v>
      </c>
      <c r="L167" t="str">
        <f>PROPER(TRIM(CLEAN(Sales_Table[[#This Row],[Salesperson]])))</f>
        <v>Suresh</v>
      </c>
      <c r="M167" t="s">
        <v>54</v>
      </c>
      <c r="N167" t="str">
        <f t="shared" si="17"/>
        <v>Cash</v>
      </c>
      <c r="O167" t="s">
        <v>32</v>
      </c>
      <c r="P167">
        <f t="shared" si="18"/>
        <v>4</v>
      </c>
      <c r="Q167" t="s">
        <v>113</v>
      </c>
      <c r="R167">
        <f t="shared" si="19"/>
        <v>543</v>
      </c>
      <c r="S167" t="s">
        <v>543</v>
      </c>
      <c r="T167">
        <f t="shared" si="20"/>
        <v>2172</v>
      </c>
      <c r="U167">
        <f>YEAR(Sales_Table[[#This Row],[Date_clean]])</f>
        <v>2024</v>
      </c>
      <c r="V167" t="str">
        <f>TEXT(Sales_Table[[#This Row],[Date_clean]],"mmmm")</f>
        <v>January</v>
      </c>
      <c r="W167">
        <f>WEEKNUM(Sales_Table[[#This Row],[Date_clean]],2)</f>
        <v>1</v>
      </c>
      <c r="X167" t="str" cm="1">
        <f t="array" ref="X167">_xlfn.IFS(Sales_Table[[#This Row],[Revenue]]&gt;=50000,"High",Sales_Table[[#This Row],[Revenue]]&gt;=20000,"Medium",Sales_Table[[#This Row],[Revenue]]&lt;20000,"Low")</f>
        <v>Low</v>
      </c>
      <c r="Y167" t="str">
        <f>IF(Sales_Table[[#This Row],[Payment Method_clean]]="cash","Offline","Online")</f>
        <v>Offline</v>
      </c>
      <c r="Z167">
        <f>IFERROR(Sales_Table[[#This Row],[Revenue]],0)</f>
        <v>2172</v>
      </c>
    </row>
    <row r="168" spans="1:26" x14ac:dyDescent="0.3">
      <c r="A168">
        <v>167</v>
      </c>
      <c r="B168" s="2">
        <f t="shared" si="14"/>
        <v>45298.916666666664</v>
      </c>
      <c r="C168" t="s">
        <v>544</v>
      </c>
      <c r="D168" t="s">
        <v>36</v>
      </c>
      <c r="E168" t="str">
        <f>PROPER(TRIM(CLEAN(Sales_Table[[#This Row],[Region]])))</f>
        <v>West</v>
      </c>
      <c r="F168" t="s">
        <v>37</v>
      </c>
      <c r="G168" t="str">
        <f t="shared" si="15"/>
        <v>Home Appliances</v>
      </c>
      <c r="H168" t="str">
        <f>PROPER(TRIM(CLEAN(Sales_Table[[#This Row],[Product Name]])))</f>
        <v>Mixer Grinder</v>
      </c>
      <c r="I168" t="s">
        <v>29</v>
      </c>
      <c r="J168" t="str">
        <f t="shared" si="16"/>
        <v>CUST0433</v>
      </c>
      <c r="K168" t="s">
        <v>545</v>
      </c>
      <c r="L168" t="str">
        <f>PROPER(TRIM(CLEAN(Sales_Table[[#This Row],[Salesperson]])))</f>
        <v>Rahul</v>
      </c>
      <c r="M168" t="s">
        <v>31</v>
      </c>
      <c r="N168" t="str">
        <f t="shared" si="17"/>
        <v>Debit Card</v>
      </c>
      <c r="O168" t="s">
        <v>41</v>
      </c>
      <c r="P168">
        <f t="shared" si="18"/>
        <v>6</v>
      </c>
      <c r="Q168" t="s">
        <v>75</v>
      </c>
      <c r="R168">
        <f t="shared" si="19"/>
        <v>854</v>
      </c>
      <c r="S168" t="s">
        <v>546</v>
      </c>
      <c r="T168">
        <f t="shared" si="20"/>
        <v>5124</v>
      </c>
      <c r="U168">
        <f>YEAR(Sales_Table[[#This Row],[Date_clean]])</f>
        <v>2024</v>
      </c>
      <c r="V168" t="str">
        <f>TEXT(Sales_Table[[#This Row],[Date_clean]],"mmmm")</f>
        <v>January</v>
      </c>
      <c r="W168">
        <f>WEEKNUM(Sales_Table[[#This Row],[Date_clean]],2)</f>
        <v>1</v>
      </c>
      <c r="X168" t="str" cm="1">
        <f t="array" ref="X168">_xlfn.IFS(Sales_Table[[#This Row],[Revenue]]&gt;=50000,"High",Sales_Table[[#This Row],[Revenue]]&gt;=20000,"Medium",Sales_Table[[#This Row],[Revenue]]&lt;20000,"Low")</f>
        <v>Low</v>
      </c>
      <c r="Y168" t="str">
        <f>IF(Sales_Table[[#This Row],[Payment Method_clean]]="cash","Offline","Online")</f>
        <v>Online</v>
      </c>
      <c r="Z168">
        <f>IFERROR(Sales_Table[[#This Row],[Revenue]],0)</f>
        <v>5124</v>
      </c>
    </row>
    <row r="169" spans="1:26" x14ac:dyDescent="0.3">
      <c r="A169">
        <v>168</v>
      </c>
      <c r="B169" s="2">
        <f t="shared" si="14"/>
        <v>45298.958333333336</v>
      </c>
      <c r="C169" t="s">
        <v>547</v>
      </c>
      <c r="D169" t="s">
        <v>27</v>
      </c>
      <c r="E169" t="str">
        <f>PROPER(TRIM(CLEAN(Sales_Table[[#This Row],[Region]])))</f>
        <v>East</v>
      </c>
      <c r="F169" t="s">
        <v>28</v>
      </c>
      <c r="G169" t="str">
        <f t="shared" si="15"/>
        <v>Clothing</v>
      </c>
      <c r="H169" t="str">
        <f>PROPER(TRIM(CLEAN(Sales_Table[[#This Row],[Product Name]])))</f>
        <v>Laptop</v>
      </c>
      <c r="I169" t="s">
        <v>52</v>
      </c>
      <c r="J169" t="str">
        <f t="shared" si="16"/>
        <v>CUST0356</v>
      </c>
      <c r="K169" t="s">
        <v>548</v>
      </c>
      <c r="L169" t="str">
        <f>PROPER(TRIM(CLEAN(Sales_Table[[#This Row],[Salesperson]])))</f>
        <v>Rahul</v>
      </c>
      <c r="M169" t="s">
        <v>31</v>
      </c>
      <c r="N169" t="str">
        <f t="shared" si="17"/>
        <v>Upi</v>
      </c>
      <c r="O169" t="s">
        <v>48</v>
      </c>
      <c r="P169">
        <f t="shared" si="18"/>
        <v>6</v>
      </c>
      <c r="Q169" t="s">
        <v>75</v>
      </c>
      <c r="R169">
        <f t="shared" si="19"/>
        <v>3704</v>
      </c>
      <c r="S169" t="s">
        <v>549</v>
      </c>
      <c r="T169">
        <f t="shared" si="20"/>
        <v>22224</v>
      </c>
      <c r="U169">
        <f>YEAR(Sales_Table[[#This Row],[Date_clean]])</f>
        <v>2024</v>
      </c>
      <c r="V169" t="str">
        <f>TEXT(Sales_Table[[#This Row],[Date_clean]],"mmmm")</f>
        <v>January</v>
      </c>
      <c r="W169">
        <f>WEEKNUM(Sales_Table[[#This Row],[Date_clean]],2)</f>
        <v>1</v>
      </c>
      <c r="X169" t="str" cm="1">
        <f t="array" ref="X169">_xlfn.IFS(Sales_Table[[#This Row],[Revenue]]&gt;=50000,"High",Sales_Table[[#This Row],[Revenue]]&gt;=20000,"Medium",Sales_Table[[#This Row],[Revenue]]&lt;20000,"Low")</f>
        <v>Medium</v>
      </c>
      <c r="Y169" t="str">
        <f>IF(Sales_Table[[#This Row],[Payment Method_clean]]="cash","Offline","Online")</f>
        <v>Online</v>
      </c>
      <c r="Z169">
        <f>IFERROR(Sales_Table[[#This Row],[Revenue]],0)</f>
        <v>22224</v>
      </c>
    </row>
    <row r="170" spans="1:26" x14ac:dyDescent="0.3">
      <c r="A170">
        <v>169</v>
      </c>
      <c r="B170" s="2">
        <f t="shared" si="14"/>
        <v>45299</v>
      </c>
      <c r="C170" t="s">
        <v>550</v>
      </c>
      <c r="D170" t="s">
        <v>27</v>
      </c>
      <c r="E170" t="str">
        <f>PROPER(TRIM(CLEAN(Sales_Table[[#This Row],[Region]])))</f>
        <v>East</v>
      </c>
      <c r="F170" t="s">
        <v>46</v>
      </c>
      <c r="G170" t="str">
        <f t="shared" si="15"/>
        <v>Electronics</v>
      </c>
      <c r="H170" t="str">
        <f>PROPER(TRIM(CLEAN(Sales_Table[[#This Row],[Product Name]])))</f>
        <v>Laptop</v>
      </c>
      <c r="I170" t="s">
        <v>52</v>
      </c>
      <c r="J170" t="str">
        <f t="shared" si="16"/>
        <v>CUST0695</v>
      </c>
      <c r="K170" t="s">
        <v>551</v>
      </c>
      <c r="L170" t="str">
        <f>PROPER(TRIM(CLEAN(Sales_Table[[#This Row],[Salesperson]])))</f>
        <v>Rahul</v>
      </c>
      <c r="M170" t="s">
        <v>31</v>
      </c>
      <c r="N170" t="str">
        <f t="shared" si="17"/>
        <v>Net Banking</v>
      </c>
      <c r="O170" t="s">
        <v>60</v>
      </c>
      <c r="P170">
        <f t="shared" si="18"/>
        <v>10</v>
      </c>
      <c r="Q170" t="s">
        <v>117</v>
      </c>
      <c r="R170">
        <f t="shared" si="19"/>
        <v>4835</v>
      </c>
      <c r="S170" t="s">
        <v>552</v>
      </c>
      <c r="T170">
        <f t="shared" si="20"/>
        <v>48350</v>
      </c>
      <c r="U170">
        <f>YEAR(Sales_Table[[#This Row],[Date_clean]])</f>
        <v>2024</v>
      </c>
      <c r="V170" t="str">
        <f>TEXT(Sales_Table[[#This Row],[Date_clean]],"mmmm")</f>
        <v>January</v>
      </c>
      <c r="W170">
        <f>WEEKNUM(Sales_Table[[#This Row],[Date_clean]],2)</f>
        <v>2</v>
      </c>
      <c r="X170" t="str" cm="1">
        <f t="array" ref="X170">_xlfn.IFS(Sales_Table[[#This Row],[Revenue]]&gt;=50000,"High",Sales_Table[[#This Row],[Revenue]]&gt;=20000,"Medium",Sales_Table[[#This Row],[Revenue]]&lt;20000,"Low")</f>
        <v>Medium</v>
      </c>
      <c r="Y170" t="str">
        <f>IF(Sales_Table[[#This Row],[Payment Method_clean]]="cash","Offline","Online")</f>
        <v>Online</v>
      </c>
      <c r="Z170">
        <f>IFERROR(Sales_Table[[#This Row],[Revenue]],0)</f>
        <v>48350</v>
      </c>
    </row>
    <row r="171" spans="1:26" x14ac:dyDescent="0.3">
      <c r="A171">
        <v>170</v>
      </c>
      <c r="B171" s="2">
        <f t="shared" si="14"/>
        <v>45299.041666666664</v>
      </c>
      <c r="C171" t="s">
        <v>553</v>
      </c>
      <c r="D171" t="s">
        <v>84</v>
      </c>
      <c r="E171" t="str">
        <f>PROPER(TRIM(CLEAN(Sales_Table[[#This Row],[Region]])))</f>
        <v>South</v>
      </c>
      <c r="F171" t="s">
        <v>37</v>
      </c>
      <c r="G171" t="str">
        <f t="shared" si="15"/>
        <v>Home Appliances</v>
      </c>
      <c r="H171" t="str">
        <f>PROPER(TRIM(CLEAN(Sales_Table[[#This Row],[Product Name]])))</f>
        <v>Laptop</v>
      </c>
      <c r="I171" t="s">
        <v>52</v>
      </c>
      <c r="J171" t="str">
        <f t="shared" si="16"/>
        <v>CUST0207</v>
      </c>
      <c r="K171" t="s">
        <v>264</v>
      </c>
      <c r="L171" t="str">
        <f>PROPER(TRIM(CLEAN(Sales_Table[[#This Row],[Salesperson]])))</f>
        <v>Meena</v>
      </c>
      <c r="M171" t="s">
        <v>40</v>
      </c>
      <c r="N171" t="str">
        <f t="shared" si="17"/>
        <v>Credit Card</v>
      </c>
      <c r="O171" t="s">
        <v>65</v>
      </c>
      <c r="P171">
        <f t="shared" si="18"/>
        <v>11</v>
      </c>
      <c r="Q171" t="s">
        <v>97</v>
      </c>
      <c r="R171">
        <f t="shared" si="19"/>
        <v>2271</v>
      </c>
      <c r="S171" t="s">
        <v>554</v>
      </c>
      <c r="T171">
        <f t="shared" si="20"/>
        <v>24981</v>
      </c>
      <c r="U171">
        <f>YEAR(Sales_Table[[#This Row],[Date_clean]])</f>
        <v>2024</v>
      </c>
      <c r="V171" t="str">
        <f>TEXT(Sales_Table[[#This Row],[Date_clean]],"mmmm")</f>
        <v>January</v>
      </c>
      <c r="W171">
        <f>WEEKNUM(Sales_Table[[#This Row],[Date_clean]],2)</f>
        <v>2</v>
      </c>
      <c r="X171" t="str" cm="1">
        <f t="array" ref="X171">_xlfn.IFS(Sales_Table[[#This Row],[Revenue]]&gt;=50000,"High",Sales_Table[[#This Row],[Revenue]]&gt;=20000,"Medium",Sales_Table[[#This Row],[Revenue]]&lt;20000,"Low")</f>
        <v>Medium</v>
      </c>
      <c r="Y171" t="str">
        <f>IF(Sales_Table[[#This Row],[Payment Method_clean]]="cash","Offline","Online")</f>
        <v>Online</v>
      </c>
      <c r="Z171">
        <f>IFERROR(Sales_Table[[#This Row],[Revenue]],0)</f>
        <v>24981</v>
      </c>
    </row>
    <row r="172" spans="1:26" x14ac:dyDescent="0.3">
      <c r="A172">
        <v>171</v>
      </c>
      <c r="B172" s="2">
        <f t="shared" si="14"/>
        <v>45299.083333333336</v>
      </c>
      <c r="C172" t="s">
        <v>555</v>
      </c>
      <c r="D172" t="s">
        <v>36</v>
      </c>
      <c r="E172" t="str">
        <f>PROPER(TRIM(CLEAN(Sales_Table[[#This Row],[Region]])))</f>
        <v>West</v>
      </c>
      <c r="F172" t="s">
        <v>28</v>
      </c>
      <c r="G172" t="str">
        <f t="shared" si="15"/>
        <v>Clothing</v>
      </c>
      <c r="H172" t="str">
        <f>PROPER(TRIM(CLEAN(Sales_Table[[#This Row],[Product Name]])))</f>
        <v>Laptop</v>
      </c>
      <c r="I172" t="s">
        <v>52</v>
      </c>
      <c r="J172" t="str">
        <f t="shared" si="16"/>
        <v>CUST0768</v>
      </c>
      <c r="K172" t="s">
        <v>459</v>
      </c>
      <c r="L172" t="str">
        <f>PROPER(TRIM(CLEAN(Sales_Table[[#This Row],[Salesperson]])))</f>
        <v>Suresh</v>
      </c>
      <c r="M172" t="s">
        <v>54</v>
      </c>
      <c r="N172" t="str">
        <f t="shared" si="17"/>
        <v>Cash</v>
      </c>
      <c r="O172" t="s">
        <v>32</v>
      </c>
      <c r="P172">
        <f t="shared" si="18"/>
        <v>10</v>
      </c>
      <c r="Q172" t="s">
        <v>117</v>
      </c>
      <c r="R172">
        <f t="shared" si="19"/>
        <v>2805</v>
      </c>
      <c r="S172" t="s">
        <v>556</v>
      </c>
      <c r="T172">
        <f t="shared" si="20"/>
        <v>28050</v>
      </c>
      <c r="U172">
        <f>YEAR(Sales_Table[[#This Row],[Date_clean]])</f>
        <v>2024</v>
      </c>
      <c r="V172" t="str">
        <f>TEXT(Sales_Table[[#This Row],[Date_clean]],"mmmm")</f>
        <v>January</v>
      </c>
      <c r="W172">
        <f>WEEKNUM(Sales_Table[[#This Row],[Date_clean]],2)</f>
        <v>2</v>
      </c>
      <c r="X172" t="str" cm="1">
        <f t="array" ref="X172">_xlfn.IFS(Sales_Table[[#This Row],[Revenue]]&gt;=50000,"High",Sales_Table[[#This Row],[Revenue]]&gt;=20000,"Medium",Sales_Table[[#This Row],[Revenue]]&lt;20000,"Low")</f>
        <v>Medium</v>
      </c>
      <c r="Y172" t="str">
        <f>IF(Sales_Table[[#This Row],[Payment Method_clean]]="cash","Offline","Online")</f>
        <v>Offline</v>
      </c>
      <c r="Z172">
        <f>IFERROR(Sales_Table[[#This Row],[Revenue]],0)</f>
        <v>28050</v>
      </c>
    </row>
    <row r="173" spans="1:26" x14ac:dyDescent="0.3">
      <c r="A173">
        <v>172</v>
      </c>
      <c r="B173" s="2">
        <f t="shared" si="14"/>
        <v>45299.125</v>
      </c>
      <c r="C173" t="s">
        <v>557</v>
      </c>
      <c r="D173" t="s">
        <v>45</v>
      </c>
      <c r="E173" t="str">
        <f>PROPER(TRIM(CLEAN(Sales_Table[[#This Row],[Region]])))</f>
        <v>North</v>
      </c>
      <c r="F173" t="s">
        <v>46</v>
      </c>
      <c r="G173" t="str">
        <f t="shared" si="15"/>
        <v>Electronics</v>
      </c>
      <c r="H173" t="str">
        <f>PROPER(TRIM(CLEAN(Sales_Table[[#This Row],[Product Name]])))</f>
        <v>Men T-Shirt</v>
      </c>
      <c r="I173" t="s">
        <v>38</v>
      </c>
      <c r="J173" t="str">
        <f t="shared" si="16"/>
        <v>CUST0235</v>
      </c>
      <c r="K173" t="s">
        <v>59</v>
      </c>
      <c r="L173" t="str">
        <f>PROPER(TRIM(CLEAN(Sales_Table[[#This Row],[Salesperson]])))</f>
        <v>Rahul</v>
      </c>
      <c r="M173" t="s">
        <v>31</v>
      </c>
      <c r="N173" t="str">
        <f t="shared" si="17"/>
        <v>Upi</v>
      </c>
      <c r="O173" t="s">
        <v>48</v>
      </c>
      <c r="P173">
        <f t="shared" si="18"/>
        <v>1</v>
      </c>
      <c r="Q173" t="s">
        <v>93</v>
      </c>
      <c r="R173">
        <f t="shared" si="19"/>
        <v>3565</v>
      </c>
      <c r="S173" t="s">
        <v>558</v>
      </c>
      <c r="T173">
        <f t="shared" si="20"/>
        <v>3565</v>
      </c>
      <c r="U173">
        <f>YEAR(Sales_Table[[#This Row],[Date_clean]])</f>
        <v>2024</v>
      </c>
      <c r="V173" t="str">
        <f>TEXT(Sales_Table[[#This Row],[Date_clean]],"mmmm")</f>
        <v>January</v>
      </c>
      <c r="W173">
        <f>WEEKNUM(Sales_Table[[#This Row],[Date_clean]],2)</f>
        <v>2</v>
      </c>
      <c r="X173" t="str" cm="1">
        <f t="array" ref="X173">_xlfn.IFS(Sales_Table[[#This Row],[Revenue]]&gt;=50000,"High",Sales_Table[[#This Row],[Revenue]]&gt;=20000,"Medium",Sales_Table[[#This Row],[Revenue]]&lt;20000,"Low")</f>
        <v>Low</v>
      </c>
      <c r="Y173" t="str">
        <f>IF(Sales_Table[[#This Row],[Payment Method_clean]]="cash","Offline","Online")</f>
        <v>Online</v>
      </c>
      <c r="Z173">
        <f>IFERROR(Sales_Table[[#This Row],[Revenue]],0)</f>
        <v>3565</v>
      </c>
    </row>
    <row r="174" spans="1:26" x14ac:dyDescent="0.3">
      <c r="A174">
        <v>173</v>
      </c>
      <c r="B174" s="2">
        <f t="shared" si="14"/>
        <v>45299.166666666664</v>
      </c>
      <c r="C174" t="s">
        <v>559</v>
      </c>
      <c r="D174" t="s">
        <v>27</v>
      </c>
      <c r="E174" t="str">
        <f>PROPER(TRIM(CLEAN(Sales_Table[[#This Row],[Region]])))</f>
        <v>East</v>
      </c>
      <c r="F174" t="s">
        <v>78</v>
      </c>
      <c r="G174" t="str">
        <f t="shared" si="15"/>
        <v>Grocery</v>
      </c>
      <c r="H174" t="str">
        <f>PROPER(TRIM(CLEAN(Sales_Table[[#This Row],[Product Name]])))</f>
        <v>Rice 5Kg</v>
      </c>
      <c r="I174" t="s">
        <v>73</v>
      </c>
      <c r="J174" t="str">
        <f t="shared" si="16"/>
        <v>CUST0442</v>
      </c>
      <c r="K174" t="s">
        <v>177</v>
      </c>
      <c r="L174" t="str">
        <f>PROPER(TRIM(CLEAN(Sales_Table[[#This Row],[Salesperson]])))</f>
        <v>Rahul</v>
      </c>
      <c r="M174" t="s">
        <v>31</v>
      </c>
      <c r="N174" t="str">
        <f t="shared" si="17"/>
        <v>Net Banking</v>
      </c>
      <c r="O174" t="s">
        <v>60</v>
      </c>
      <c r="P174">
        <f t="shared" si="18"/>
        <v>8</v>
      </c>
      <c r="Q174" t="s">
        <v>42</v>
      </c>
      <c r="R174">
        <f t="shared" si="19"/>
        <v>2811</v>
      </c>
      <c r="S174" t="s">
        <v>502</v>
      </c>
      <c r="T174">
        <f t="shared" si="20"/>
        <v>22488</v>
      </c>
      <c r="U174">
        <f>YEAR(Sales_Table[[#This Row],[Date_clean]])</f>
        <v>2024</v>
      </c>
      <c r="V174" t="str">
        <f>TEXT(Sales_Table[[#This Row],[Date_clean]],"mmmm")</f>
        <v>January</v>
      </c>
      <c r="W174">
        <f>WEEKNUM(Sales_Table[[#This Row],[Date_clean]],2)</f>
        <v>2</v>
      </c>
      <c r="X174" t="str" cm="1">
        <f t="array" ref="X174">_xlfn.IFS(Sales_Table[[#This Row],[Revenue]]&gt;=50000,"High",Sales_Table[[#This Row],[Revenue]]&gt;=20000,"Medium",Sales_Table[[#This Row],[Revenue]]&lt;20000,"Low")</f>
        <v>Medium</v>
      </c>
      <c r="Y174" t="str">
        <f>IF(Sales_Table[[#This Row],[Payment Method_clean]]="cash","Offline","Online")</f>
        <v>Online</v>
      </c>
      <c r="Z174">
        <f>IFERROR(Sales_Table[[#This Row],[Revenue]],0)</f>
        <v>22488</v>
      </c>
    </row>
    <row r="175" spans="1:26" x14ac:dyDescent="0.3">
      <c r="A175">
        <v>174</v>
      </c>
      <c r="B175" s="2">
        <f t="shared" si="14"/>
        <v>45299.208333333336</v>
      </c>
      <c r="C175" t="s">
        <v>560</v>
      </c>
      <c r="D175" t="s">
        <v>36</v>
      </c>
      <c r="E175" t="str">
        <f>PROPER(TRIM(CLEAN(Sales_Table[[#This Row],[Region]])))</f>
        <v>West</v>
      </c>
      <c r="F175" t="s">
        <v>46</v>
      </c>
      <c r="G175" t="str">
        <f t="shared" si="15"/>
        <v>Electronics</v>
      </c>
      <c r="H175" t="str">
        <f>PROPER(TRIM(CLEAN(Sales_Table[[#This Row],[Product Name]])))</f>
        <v>Mixer Grinder</v>
      </c>
      <c r="I175" t="s">
        <v>29</v>
      </c>
      <c r="J175" t="str">
        <f t="shared" si="16"/>
        <v>CUST0355</v>
      </c>
      <c r="K175" t="s">
        <v>144</v>
      </c>
      <c r="L175" t="str">
        <f>PROPER(TRIM(CLEAN(Sales_Table[[#This Row],[Salesperson]])))</f>
        <v>Rahul</v>
      </c>
      <c r="M175" t="s">
        <v>31</v>
      </c>
      <c r="N175" t="str">
        <f t="shared" si="17"/>
        <v>Upi</v>
      </c>
      <c r="O175" t="s">
        <v>48</v>
      </c>
      <c r="P175">
        <f t="shared" si="18"/>
        <v>12</v>
      </c>
      <c r="Q175" t="s">
        <v>33</v>
      </c>
      <c r="R175">
        <f t="shared" si="19"/>
        <v>2507</v>
      </c>
      <c r="S175" t="s">
        <v>561</v>
      </c>
      <c r="T175">
        <f t="shared" si="20"/>
        <v>30084</v>
      </c>
      <c r="U175">
        <f>YEAR(Sales_Table[[#This Row],[Date_clean]])</f>
        <v>2024</v>
      </c>
      <c r="V175" t="str">
        <f>TEXT(Sales_Table[[#This Row],[Date_clean]],"mmmm")</f>
        <v>January</v>
      </c>
      <c r="W175">
        <f>WEEKNUM(Sales_Table[[#This Row],[Date_clean]],2)</f>
        <v>2</v>
      </c>
      <c r="X175" t="str" cm="1">
        <f t="array" ref="X175">_xlfn.IFS(Sales_Table[[#This Row],[Revenue]]&gt;=50000,"High",Sales_Table[[#This Row],[Revenue]]&gt;=20000,"Medium",Sales_Table[[#This Row],[Revenue]]&lt;20000,"Low")</f>
        <v>Medium</v>
      </c>
      <c r="Y175" t="str">
        <f>IF(Sales_Table[[#This Row],[Payment Method_clean]]="cash","Offline","Online")</f>
        <v>Online</v>
      </c>
      <c r="Z175">
        <f>IFERROR(Sales_Table[[#This Row],[Revenue]],0)</f>
        <v>30084</v>
      </c>
    </row>
    <row r="176" spans="1:26" x14ac:dyDescent="0.3">
      <c r="A176">
        <v>175</v>
      </c>
      <c r="B176" s="2">
        <f t="shared" si="14"/>
        <v>45299.25</v>
      </c>
      <c r="C176" t="s">
        <v>562</v>
      </c>
      <c r="D176" t="s">
        <v>36</v>
      </c>
      <c r="E176" t="str">
        <f>PROPER(TRIM(CLEAN(Sales_Table[[#This Row],[Region]])))</f>
        <v>West</v>
      </c>
      <c r="F176" t="s">
        <v>78</v>
      </c>
      <c r="G176" t="str">
        <f t="shared" si="15"/>
        <v>Grocery</v>
      </c>
      <c r="H176" t="str">
        <f>PROPER(TRIM(CLEAN(Sales_Table[[#This Row],[Product Name]])))</f>
        <v>Men T-Shirt</v>
      </c>
      <c r="I176" t="s">
        <v>38</v>
      </c>
      <c r="J176" t="str">
        <f t="shared" si="16"/>
        <v>CUST0515</v>
      </c>
      <c r="K176" t="s">
        <v>563</v>
      </c>
      <c r="L176" t="str">
        <f>PROPER(TRIM(CLEAN(Sales_Table[[#This Row],[Salesperson]])))</f>
        <v>Anita</v>
      </c>
      <c r="M176" t="s">
        <v>64</v>
      </c>
      <c r="N176" t="str">
        <f t="shared" si="17"/>
        <v>Debit Card</v>
      </c>
      <c r="O176" t="s">
        <v>41</v>
      </c>
      <c r="P176">
        <f t="shared" si="18"/>
        <v>3</v>
      </c>
      <c r="Q176" t="s">
        <v>66</v>
      </c>
      <c r="R176">
        <f t="shared" si="19"/>
        <v>722</v>
      </c>
      <c r="S176" t="s">
        <v>564</v>
      </c>
      <c r="T176">
        <f t="shared" si="20"/>
        <v>2166</v>
      </c>
      <c r="U176">
        <f>YEAR(Sales_Table[[#This Row],[Date_clean]])</f>
        <v>2024</v>
      </c>
      <c r="V176" t="str">
        <f>TEXT(Sales_Table[[#This Row],[Date_clean]],"mmmm")</f>
        <v>January</v>
      </c>
      <c r="W176">
        <f>WEEKNUM(Sales_Table[[#This Row],[Date_clean]],2)</f>
        <v>2</v>
      </c>
      <c r="X176" t="str" cm="1">
        <f t="array" ref="X176">_xlfn.IFS(Sales_Table[[#This Row],[Revenue]]&gt;=50000,"High",Sales_Table[[#This Row],[Revenue]]&gt;=20000,"Medium",Sales_Table[[#This Row],[Revenue]]&lt;20000,"Low")</f>
        <v>Low</v>
      </c>
      <c r="Y176" t="str">
        <f>IF(Sales_Table[[#This Row],[Payment Method_clean]]="cash","Offline","Online")</f>
        <v>Online</v>
      </c>
      <c r="Z176">
        <f>IFERROR(Sales_Table[[#This Row],[Revenue]],0)</f>
        <v>2166</v>
      </c>
    </row>
    <row r="177" spans="1:26" x14ac:dyDescent="0.3">
      <c r="A177">
        <v>176</v>
      </c>
      <c r="B177" s="2">
        <f t="shared" si="14"/>
        <v>45299.291666666664</v>
      </c>
      <c r="C177" t="s">
        <v>565</v>
      </c>
      <c r="D177" t="s">
        <v>84</v>
      </c>
      <c r="E177" t="str">
        <f>PROPER(TRIM(CLEAN(Sales_Table[[#This Row],[Region]])))</f>
        <v>South</v>
      </c>
      <c r="F177" t="s">
        <v>28</v>
      </c>
      <c r="G177" t="str">
        <f t="shared" si="15"/>
        <v>Clothing</v>
      </c>
      <c r="H177" t="str">
        <f>PROPER(TRIM(CLEAN(Sales_Table[[#This Row],[Product Name]])))</f>
        <v>Laptop</v>
      </c>
      <c r="I177" t="s">
        <v>52</v>
      </c>
      <c r="J177" t="str">
        <f t="shared" si="16"/>
        <v>CUST0208</v>
      </c>
      <c r="K177" t="s">
        <v>566</v>
      </c>
      <c r="L177" t="str">
        <f>PROPER(TRIM(CLEAN(Sales_Table[[#This Row],[Salesperson]])))</f>
        <v>Meena</v>
      </c>
      <c r="M177" t="s">
        <v>40</v>
      </c>
      <c r="N177" t="str">
        <f t="shared" si="17"/>
        <v>Net Banking</v>
      </c>
      <c r="O177" t="s">
        <v>60</v>
      </c>
      <c r="P177">
        <f t="shared" si="18"/>
        <v>13</v>
      </c>
      <c r="Q177" t="s">
        <v>81</v>
      </c>
      <c r="R177">
        <f t="shared" si="19"/>
        <v>1823</v>
      </c>
      <c r="S177" t="s">
        <v>567</v>
      </c>
      <c r="T177">
        <f t="shared" si="20"/>
        <v>23699</v>
      </c>
      <c r="U177">
        <f>YEAR(Sales_Table[[#This Row],[Date_clean]])</f>
        <v>2024</v>
      </c>
      <c r="V177" t="str">
        <f>TEXT(Sales_Table[[#This Row],[Date_clean]],"mmmm")</f>
        <v>January</v>
      </c>
      <c r="W177">
        <f>WEEKNUM(Sales_Table[[#This Row],[Date_clean]],2)</f>
        <v>2</v>
      </c>
      <c r="X177" t="str" cm="1">
        <f t="array" ref="X177">_xlfn.IFS(Sales_Table[[#This Row],[Revenue]]&gt;=50000,"High",Sales_Table[[#This Row],[Revenue]]&gt;=20000,"Medium",Sales_Table[[#This Row],[Revenue]]&lt;20000,"Low")</f>
        <v>Medium</v>
      </c>
      <c r="Y177" t="str">
        <f>IF(Sales_Table[[#This Row],[Payment Method_clean]]="cash","Offline","Online")</f>
        <v>Online</v>
      </c>
      <c r="Z177">
        <f>IFERROR(Sales_Table[[#This Row],[Revenue]],0)</f>
        <v>23699</v>
      </c>
    </row>
    <row r="178" spans="1:26" x14ac:dyDescent="0.3">
      <c r="A178">
        <v>177</v>
      </c>
      <c r="B178" s="2">
        <f t="shared" si="14"/>
        <v>45299.333333333336</v>
      </c>
      <c r="C178" t="s">
        <v>568</v>
      </c>
      <c r="D178" t="s">
        <v>27</v>
      </c>
      <c r="E178" t="str">
        <f>PROPER(TRIM(CLEAN(Sales_Table[[#This Row],[Region]])))</f>
        <v>East</v>
      </c>
      <c r="F178" t="s">
        <v>37</v>
      </c>
      <c r="G178" t="str">
        <f t="shared" si="15"/>
        <v>Home Appliances</v>
      </c>
      <c r="H178" t="str">
        <f>PROPER(TRIM(CLEAN(Sales_Table[[#This Row],[Product Name]])))</f>
        <v>Rice 5Kg</v>
      </c>
      <c r="I178" t="s">
        <v>73</v>
      </c>
      <c r="J178" t="str">
        <f t="shared" si="16"/>
        <v>CUST0709</v>
      </c>
      <c r="K178" t="s">
        <v>569</v>
      </c>
      <c r="L178" t="str">
        <f>PROPER(TRIM(CLEAN(Sales_Table[[#This Row],[Salesperson]])))</f>
        <v>Anita</v>
      </c>
      <c r="M178" t="s">
        <v>64</v>
      </c>
      <c r="N178" t="str">
        <f t="shared" si="17"/>
        <v>Upi</v>
      </c>
      <c r="O178" t="s">
        <v>48</v>
      </c>
      <c r="P178">
        <f t="shared" si="18"/>
        <v>6</v>
      </c>
      <c r="Q178" t="s">
        <v>75</v>
      </c>
      <c r="R178">
        <f t="shared" si="19"/>
        <v>3422</v>
      </c>
      <c r="S178" t="s">
        <v>570</v>
      </c>
      <c r="T178">
        <f t="shared" si="20"/>
        <v>20532</v>
      </c>
      <c r="U178">
        <f>YEAR(Sales_Table[[#This Row],[Date_clean]])</f>
        <v>2024</v>
      </c>
      <c r="V178" t="str">
        <f>TEXT(Sales_Table[[#This Row],[Date_clean]],"mmmm")</f>
        <v>January</v>
      </c>
      <c r="W178">
        <f>WEEKNUM(Sales_Table[[#This Row],[Date_clean]],2)</f>
        <v>2</v>
      </c>
      <c r="X178" t="str" cm="1">
        <f t="array" ref="X178">_xlfn.IFS(Sales_Table[[#This Row],[Revenue]]&gt;=50000,"High",Sales_Table[[#This Row],[Revenue]]&gt;=20000,"Medium",Sales_Table[[#This Row],[Revenue]]&lt;20000,"Low")</f>
        <v>Medium</v>
      </c>
      <c r="Y178" t="str">
        <f>IF(Sales_Table[[#This Row],[Payment Method_clean]]="cash","Offline","Online")</f>
        <v>Online</v>
      </c>
      <c r="Z178">
        <f>IFERROR(Sales_Table[[#This Row],[Revenue]],0)</f>
        <v>20532</v>
      </c>
    </row>
    <row r="179" spans="1:26" x14ac:dyDescent="0.3">
      <c r="A179">
        <v>178</v>
      </c>
      <c r="B179" s="2">
        <f t="shared" si="14"/>
        <v>45299.375</v>
      </c>
      <c r="C179" t="s">
        <v>571</v>
      </c>
      <c r="D179" t="s">
        <v>27</v>
      </c>
      <c r="E179" t="str">
        <f>PROPER(TRIM(CLEAN(Sales_Table[[#This Row],[Region]])))</f>
        <v>East</v>
      </c>
      <c r="F179" t="s">
        <v>37</v>
      </c>
      <c r="G179" t="str">
        <f t="shared" si="15"/>
        <v>Home Appliances</v>
      </c>
      <c r="H179" t="str">
        <f>PROPER(TRIM(CLEAN(Sales_Table[[#This Row],[Product Name]])))</f>
        <v>Washing Machine</v>
      </c>
      <c r="I179" t="s">
        <v>79</v>
      </c>
      <c r="J179" t="str">
        <f t="shared" si="16"/>
        <v>CUST0125</v>
      </c>
      <c r="K179" t="s">
        <v>572</v>
      </c>
      <c r="L179" t="str">
        <f>PROPER(TRIM(CLEAN(Sales_Table[[#This Row],[Salesperson]])))</f>
        <v>Meena</v>
      </c>
      <c r="M179" t="s">
        <v>40</v>
      </c>
      <c r="N179" t="str">
        <f t="shared" si="17"/>
        <v>Debit Card</v>
      </c>
      <c r="O179" t="s">
        <v>41</v>
      </c>
      <c r="P179">
        <f t="shared" si="18"/>
        <v>3</v>
      </c>
      <c r="Q179" t="s">
        <v>66</v>
      </c>
      <c r="R179">
        <f t="shared" si="19"/>
        <v>2019</v>
      </c>
      <c r="S179" t="s">
        <v>573</v>
      </c>
      <c r="T179">
        <f t="shared" si="20"/>
        <v>6057</v>
      </c>
      <c r="U179">
        <f>YEAR(Sales_Table[[#This Row],[Date_clean]])</f>
        <v>2024</v>
      </c>
      <c r="V179" t="str">
        <f>TEXT(Sales_Table[[#This Row],[Date_clean]],"mmmm")</f>
        <v>January</v>
      </c>
      <c r="W179">
        <f>WEEKNUM(Sales_Table[[#This Row],[Date_clean]],2)</f>
        <v>2</v>
      </c>
      <c r="X179" t="str" cm="1">
        <f t="array" ref="X179">_xlfn.IFS(Sales_Table[[#This Row],[Revenue]]&gt;=50000,"High",Sales_Table[[#This Row],[Revenue]]&gt;=20000,"Medium",Sales_Table[[#This Row],[Revenue]]&lt;20000,"Low")</f>
        <v>Low</v>
      </c>
      <c r="Y179" t="str">
        <f>IF(Sales_Table[[#This Row],[Payment Method_clean]]="cash","Offline","Online")</f>
        <v>Online</v>
      </c>
      <c r="Z179">
        <f>IFERROR(Sales_Table[[#This Row],[Revenue]],0)</f>
        <v>6057</v>
      </c>
    </row>
    <row r="180" spans="1:26" x14ac:dyDescent="0.3">
      <c r="A180">
        <v>179</v>
      </c>
      <c r="B180" s="2">
        <f t="shared" si="14"/>
        <v>45299.416666666664</v>
      </c>
      <c r="C180" t="s">
        <v>574</v>
      </c>
      <c r="D180" t="s">
        <v>45</v>
      </c>
      <c r="E180" t="str">
        <f>PROPER(TRIM(CLEAN(Sales_Table[[#This Row],[Region]])))</f>
        <v>North</v>
      </c>
      <c r="F180" t="s">
        <v>28</v>
      </c>
      <c r="G180" t="str">
        <f t="shared" si="15"/>
        <v>Clothing</v>
      </c>
      <c r="H180" t="str">
        <f>PROPER(TRIM(CLEAN(Sales_Table[[#This Row],[Product Name]])))</f>
        <v>Washing Machine</v>
      </c>
      <c r="I180" t="s">
        <v>79</v>
      </c>
      <c r="J180" t="str">
        <f t="shared" si="16"/>
        <v>CUST0138</v>
      </c>
      <c r="K180" t="s">
        <v>575</v>
      </c>
      <c r="L180" t="str">
        <f>PROPER(TRIM(CLEAN(Sales_Table[[#This Row],[Salesperson]])))</f>
        <v>Rahul</v>
      </c>
      <c r="M180" t="s">
        <v>31</v>
      </c>
      <c r="N180" t="str">
        <f t="shared" si="17"/>
        <v>Upi</v>
      </c>
      <c r="O180" t="s">
        <v>48</v>
      </c>
      <c r="P180">
        <f t="shared" si="18"/>
        <v>11</v>
      </c>
      <c r="Q180" t="s">
        <v>97</v>
      </c>
      <c r="R180">
        <f t="shared" si="19"/>
        <v>1018</v>
      </c>
      <c r="S180" t="s">
        <v>576</v>
      </c>
      <c r="T180">
        <f t="shared" si="20"/>
        <v>11198</v>
      </c>
      <c r="U180">
        <f>YEAR(Sales_Table[[#This Row],[Date_clean]])</f>
        <v>2024</v>
      </c>
      <c r="V180" t="str">
        <f>TEXT(Sales_Table[[#This Row],[Date_clean]],"mmmm")</f>
        <v>January</v>
      </c>
      <c r="W180">
        <f>WEEKNUM(Sales_Table[[#This Row],[Date_clean]],2)</f>
        <v>2</v>
      </c>
      <c r="X180" t="str" cm="1">
        <f t="array" ref="X180">_xlfn.IFS(Sales_Table[[#This Row],[Revenue]]&gt;=50000,"High",Sales_Table[[#This Row],[Revenue]]&gt;=20000,"Medium",Sales_Table[[#This Row],[Revenue]]&lt;20000,"Low")</f>
        <v>Low</v>
      </c>
      <c r="Y180" t="str">
        <f>IF(Sales_Table[[#This Row],[Payment Method_clean]]="cash","Offline","Online")</f>
        <v>Online</v>
      </c>
      <c r="Z180">
        <f>IFERROR(Sales_Table[[#This Row],[Revenue]],0)</f>
        <v>11198</v>
      </c>
    </row>
    <row r="181" spans="1:26" x14ac:dyDescent="0.3">
      <c r="A181">
        <v>180</v>
      </c>
      <c r="B181" s="2">
        <f t="shared" si="14"/>
        <v>45299.458333333336</v>
      </c>
      <c r="C181" t="s">
        <v>577</v>
      </c>
      <c r="D181" t="s">
        <v>27</v>
      </c>
      <c r="E181" t="str">
        <f>PROPER(TRIM(CLEAN(Sales_Table[[#This Row],[Region]])))</f>
        <v>East</v>
      </c>
      <c r="F181" t="s">
        <v>37</v>
      </c>
      <c r="G181" t="str">
        <f t="shared" si="15"/>
        <v>Home Appliances</v>
      </c>
      <c r="H181" t="str">
        <f>PROPER(TRIM(CLEAN(Sales_Table[[#This Row],[Product Name]])))</f>
        <v>Washing Machine</v>
      </c>
      <c r="I181" t="s">
        <v>79</v>
      </c>
      <c r="J181" t="str">
        <f t="shared" si="16"/>
        <v>CUST0339</v>
      </c>
      <c r="K181" t="s">
        <v>578</v>
      </c>
      <c r="L181" t="str">
        <f>PROPER(TRIM(CLEAN(Sales_Table[[#This Row],[Salesperson]])))</f>
        <v>Suresh</v>
      </c>
      <c r="M181" t="s">
        <v>54</v>
      </c>
      <c r="N181" t="str">
        <f t="shared" si="17"/>
        <v>Upi</v>
      </c>
      <c r="O181" t="s">
        <v>48</v>
      </c>
      <c r="P181">
        <f t="shared" si="18"/>
        <v>2</v>
      </c>
      <c r="Q181" t="s">
        <v>196</v>
      </c>
      <c r="R181">
        <f t="shared" si="19"/>
        <v>4315</v>
      </c>
      <c r="S181" t="s">
        <v>579</v>
      </c>
      <c r="T181">
        <f t="shared" si="20"/>
        <v>8630</v>
      </c>
      <c r="U181">
        <f>YEAR(Sales_Table[[#This Row],[Date_clean]])</f>
        <v>2024</v>
      </c>
      <c r="V181" t="str">
        <f>TEXT(Sales_Table[[#This Row],[Date_clean]],"mmmm")</f>
        <v>January</v>
      </c>
      <c r="W181">
        <f>WEEKNUM(Sales_Table[[#This Row],[Date_clean]],2)</f>
        <v>2</v>
      </c>
      <c r="X181" t="str" cm="1">
        <f t="array" ref="X181">_xlfn.IFS(Sales_Table[[#This Row],[Revenue]]&gt;=50000,"High",Sales_Table[[#This Row],[Revenue]]&gt;=20000,"Medium",Sales_Table[[#This Row],[Revenue]]&lt;20000,"Low")</f>
        <v>Low</v>
      </c>
      <c r="Y181" t="str">
        <f>IF(Sales_Table[[#This Row],[Payment Method_clean]]="cash","Offline","Online")</f>
        <v>Online</v>
      </c>
      <c r="Z181">
        <f>IFERROR(Sales_Table[[#This Row],[Revenue]],0)</f>
        <v>8630</v>
      </c>
    </row>
    <row r="182" spans="1:26" x14ac:dyDescent="0.3">
      <c r="A182">
        <v>181</v>
      </c>
      <c r="B182" s="2">
        <f t="shared" si="14"/>
        <v>45299.5</v>
      </c>
      <c r="C182" t="s">
        <v>580</v>
      </c>
      <c r="D182" t="s">
        <v>45</v>
      </c>
      <c r="E182" t="str">
        <f>PROPER(TRIM(CLEAN(Sales_Table[[#This Row],[Region]])))</f>
        <v>North</v>
      </c>
      <c r="F182" t="s">
        <v>37</v>
      </c>
      <c r="G182" t="str">
        <f t="shared" si="15"/>
        <v>Home Appliances</v>
      </c>
      <c r="H182" t="str">
        <f>PROPER(TRIM(CLEAN(Sales_Table[[#This Row],[Product Name]])))</f>
        <v>Laptop</v>
      </c>
      <c r="I182" t="s">
        <v>52</v>
      </c>
      <c r="J182" t="str">
        <f t="shared" si="16"/>
        <v>CUST0537</v>
      </c>
      <c r="K182" t="s">
        <v>581</v>
      </c>
      <c r="L182" t="str">
        <f>PROPER(TRIM(CLEAN(Sales_Table[[#This Row],[Salesperson]])))</f>
        <v>Karthik</v>
      </c>
      <c r="M182" t="s">
        <v>70</v>
      </c>
      <c r="N182" t="str">
        <f t="shared" si="17"/>
        <v>Net Banking</v>
      </c>
      <c r="O182" t="s">
        <v>60</v>
      </c>
      <c r="P182">
        <f t="shared" si="18"/>
        <v>5</v>
      </c>
      <c r="Q182" t="s">
        <v>89</v>
      </c>
      <c r="R182">
        <f t="shared" si="19"/>
        <v>681</v>
      </c>
      <c r="S182" t="s">
        <v>582</v>
      </c>
      <c r="T182">
        <f t="shared" si="20"/>
        <v>3405</v>
      </c>
      <c r="U182">
        <f>YEAR(Sales_Table[[#This Row],[Date_clean]])</f>
        <v>2024</v>
      </c>
      <c r="V182" t="str">
        <f>TEXT(Sales_Table[[#This Row],[Date_clean]],"mmmm")</f>
        <v>January</v>
      </c>
      <c r="W182">
        <f>WEEKNUM(Sales_Table[[#This Row],[Date_clean]],2)</f>
        <v>2</v>
      </c>
      <c r="X182" t="str" cm="1">
        <f t="array" ref="X182">_xlfn.IFS(Sales_Table[[#This Row],[Revenue]]&gt;=50000,"High",Sales_Table[[#This Row],[Revenue]]&gt;=20000,"Medium",Sales_Table[[#This Row],[Revenue]]&lt;20000,"Low")</f>
        <v>Low</v>
      </c>
      <c r="Y182" t="str">
        <f>IF(Sales_Table[[#This Row],[Payment Method_clean]]="cash","Offline","Online")</f>
        <v>Online</v>
      </c>
      <c r="Z182">
        <f>IFERROR(Sales_Table[[#This Row],[Revenue]],0)</f>
        <v>3405</v>
      </c>
    </row>
    <row r="183" spans="1:26" x14ac:dyDescent="0.3">
      <c r="A183">
        <v>182</v>
      </c>
      <c r="B183" s="2">
        <f t="shared" si="14"/>
        <v>45299.541666666664</v>
      </c>
      <c r="C183" t="s">
        <v>583</v>
      </c>
      <c r="D183" t="s">
        <v>27</v>
      </c>
      <c r="E183" t="str">
        <f>PROPER(TRIM(CLEAN(Sales_Table[[#This Row],[Region]])))</f>
        <v>East</v>
      </c>
      <c r="F183" t="s">
        <v>78</v>
      </c>
      <c r="G183" t="str">
        <f t="shared" si="15"/>
        <v>Grocery</v>
      </c>
      <c r="H183" t="str">
        <f>PROPER(TRIM(CLEAN(Sales_Table[[#This Row],[Product Name]])))</f>
        <v>Washing Machine</v>
      </c>
      <c r="I183" t="s">
        <v>79</v>
      </c>
      <c r="J183" t="str">
        <f t="shared" si="16"/>
        <v>CUST0068</v>
      </c>
      <c r="K183" t="s">
        <v>584</v>
      </c>
      <c r="L183" t="str">
        <f>PROPER(TRIM(CLEAN(Sales_Table[[#This Row],[Salesperson]])))</f>
        <v>Karthik</v>
      </c>
      <c r="M183" t="s">
        <v>70</v>
      </c>
      <c r="N183" t="str">
        <f t="shared" si="17"/>
        <v>Debit Card</v>
      </c>
      <c r="O183" t="s">
        <v>41</v>
      </c>
      <c r="P183">
        <f t="shared" si="18"/>
        <v>14</v>
      </c>
      <c r="Q183" t="s">
        <v>55</v>
      </c>
      <c r="R183">
        <f t="shared" si="19"/>
        <v>3981</v>
      </c>
      <c r="S183" t="s">
        <v>585</v>
      </c>
      <c r="T183">
        <f t="shared" si="20"/>
        <v>55734</v>
      </c>
      <c r="U183">
        <f>YEAR(Sales_Table[[#This Row],[Date_clean]])</f>
        <v>2024</v>
      </c>
      <c r="V183" t="str">
        <f>TEXT(Sales_Table[[#This Row],[Date_clean]],"mmmm")</f>
        <v>January</v>
      </c>
      <c r="W183">
        <f>WEEKNUM(Sales_Table[[#This Row],[Date_clean]],2)</f>
        <v>2</v>
      </c>
      <c r="X183" t="str" cm="1">
        <f t="array" ref="X183">_xlfn.IFS(Sales_Table[[#This Row],[Revenue]]&gt;=50000,"High",Sales_Table[[#This Row],[Revenue]]&gt;=20000,"Medium",Sales_Table[[#This Row],[Revenue]]&lt;20000,"Low")</f>
        <v>High</v>
      </c>
      <c r="Y183" t="str">
        <f>IF(Sales_Table[[#This Row],[Payment Method_clean]]="cash","Offline","Online")</f>
        <v>Online</v>
      </c>
      <c r="Z183">
        <f>IFERROR(Sales_Table[[#This Row],[Revenue]],0)</f>
        <v>55734</v>
      </c>
    </row>
    <row r="184" spans="1:26" x14ac:dyDescent="0.3">
      <c r="A184">
        <v>183</v>
      </c>
      <c r="B184" s="2">
        <f t="shared" si="14"/>
        <v>45299.583333333336</v>
      </c>
      <c r="C184" t="s">
        <v>586</v>
      </c>
      <c r="D184" t="s">
        <v>84</v>
      </c>
      <c r="E184" t="str">
        <f>PROPER(TRIM(CLEAN(Sales_Table[[#This Row],[Region]])))</f>
        <v>South</v>
      </c>
      <c r="F184" t="s">
        <v>28</v>
      </c>
      <c r="G184" t="str">
        <f t="shared" si="15"/>
        <v>Clothing</v>
      </c>
      <c r="H184" t="str">
        <f>PROPER(TRIM(CLEAN(Sales_Table[[#This Row],[Product Name]])))</f>
        <v>Led Tv 42Inch</v>
      </c>
      <c r="I184" t="s">
        <v>58</v>
      </c>
      <c r="J184" t="str">
        <f t="shared" si="16"/>
        <v>CUST0573</v>
      </c>
      <c r="K184" t="s">
        <v>487</v>
      </c>
      <c r="L184" t="str">
        <f>PROPER(TRIM(CLEAN(Sales_Table[[#This Row],[Salesperson]])))</f>
        <v>Rahul</v>
      </c>
      <c r="M184" t="s">
        <v>31</v>
      </c>
      <c r="N184" t="str">
        <f t="shared" si="17"/>
        <v>Cash</v>
      </c>
      <c r="O184" t="s">
        <v>32</v>
      </c>
      <c r="P184">
        <f t="shared" si="18"/>
        <v>1</v>
      </c>
      <c r="Q184" t="s">
        <v>93</v>
      </c>
      <c r="R184">
        <f t="shared" si="19"/>
        <v>1786</v>
      </c>
      <c r="S184" t="s">
        <v>587</v>
      </c>
      <c r="T184">
        <f t="shared" si="20"/>
        <v>1786</v>
      </c>
      <c r="U184">
        <f>YEAR(Sales_Table[[#This Row],[Date_clean]])</f>
        <v>2024</v>
      </c>
      <c r="V184" t="str">
        <f>TEXT(Sales_Table[[#This Row],[Date_clean]],"mmmm")</f>
        <v>January</v>
      </c>
      <c r="W184">
        <f>WEEKNUM(Sales_Table[[#This Row],[Date_clean]],2)</f>
        <v>2</v>
      </c>
      <c r="X184" t="str" cm="1">
        <f t="array" ref="X184">_xlfn.IFS(Sales_Table[[#This Row],[Revenue]]&gt;=50000,"High",Sales_Table[[#This Row],[Revenue]]&gt;=20000,"Medium",Sales_Table[[#This Row],[Revenue]]&lt;20000,"Low")</f>
        <v>Low</v>
      </c>
      <c r="Y184" t="str">
        <f>IF(Sales_Table[[#This Row],[Payment Method_clean]]="cash","Offline","Online")</f>
        <v>Offline</v>
      </c>
      <c r="Z184">
        <f>IFERROR(Sales_Table[[#This Row],[Revenue]],0)</f>
        <v>1786</v>
      </c>
    </row>
    <row r="185" spans="1:26" x14ac:dyDescent="0.3">
      <c r="A185">
        <v>184</v>
      </c>
      <c r="B185" s="2">
        <f t="shared" si="14"/>
        <v>45299.625</v>
      </c>
      <c r="C185" t="s">
        <v>588</v>
      </c>
      <c r="D185" t="s">
        <v>27</v>
      </c>
      <c r="E185" t="str">
        <f>PROPER(TRIM(CLEAN(Sales_Table[[#This Row],[Region]])))</f>
        <v>East</v>
      </c>
      <c r="F185" t="s">
        <v>46</v>
      </c>
      <c r="G185" t="str">
        <f t="shared" si="15"/>
        <v>Electronics</v>
      </c>
      <c r="H185" t="str">
        <f>PROPER(TRIM(CLEAN(Sales_Table[[#This Row],[Product Name]])))</f>
        <v>Mixer Grinder</v>
      </c>
      <c r="I185" t="s">
        <v>29</v>
      </c>
      <c r="J185" t="str">
        <f t="shared" si="16"/>
        <v>CUST0541</v>
      </c>
      <c r="K185" t="s">
        <v>159</v>
      </c>
      <c r="L185" t="str">
        <f>PROPER(TRIM(CLEAN(Sales_Table[[#This Row],[Salesperson]])))</f>
        <v>Anita</v>
      </c>
      <c r="M185" t="s">
        <v>64</v>
      </c>
      <c r="N185" t="str">
        <f t="shared" si="17"/>
        <v>Credit Card</v>
      </c>
      <c r="O185" t="s">
        <v>65</v>
      </c>
      <c r="P185">
        <f t="shared" si="18"/>
        <v>9</v>
      </c>
      <c r="Q185" t="s">
        <v>130</v>
      </c>
      <c r="R185">
        <f t="shared" si="19"/>
        <v>4009</v>
      </c>
      <c r="S185" t="s">
        <v>471</v>
      </c>
      <c r="T185">
        <f t="shared" si="20"/>
        <v>36081</v>
      </c>
      <c r="U185">
        <f>YEAR(Sales_Table[[#This Row],[Date_clean]])</f>
        <v>2024</v>
      </c>
      <c r="V185" t="str">
        <f>TEXT(Sales_Table[[#This Row],[Date_clean]],"mmmm")</f>
        <v>January</v>
      </c>
      <c r="W185">
        <f>WEEKNUM(Sales_Table[[#This Row],[Date_clean]],2)</f>
        <v>2</v>
      </c>
      <c r="X185" t="str" cm="1">
        <f t="array" ref="X185">_xlfn.IFS(Sales_Table[[#This Row],[Revenue]]&gt;=50000,"High",Sales_Table[[#This Row],[Revenue]]&gt;=20000,"Medium",Sales_Table[[#This Row],[Revenue]]&lt;20000,"Low")</f>
        <v>Medium</v>
      </c>
      <c r="Y185" t="str">
        <f>IF(Sales_Table[[#This Row],[Payment Method_clean]]="cash","Offline","Online")</f>
        <v>Online</v>
      </c>
      <c r="Z185">
        <f>IFERROR(Sales_Table[[#This Row],[Revenue]],0)</f>
        <v>36081</v>
      </c>
    </row>
    <row r="186" spans="1:26" x14ac:dyDescent="0.3">
      <c r="A186">
        <v>185</v>
      </c>
      <c r="B186" s="2">
        <f t="shared" si="14"/>
        <v>45299.666666666664</v>
      </c>
      <c r="C186" t="s">
        <v>589</v>
      </c>
      <c r="D186" t="s">
        <v>45</v>
      </c>
      <c r="E186" t="str">
        <f>PROPER(TRIM(CLEAN(Sales_Table[[#This Row],[Region]])))</f>
        <v>North</v>
      </c>
      <c r="F186" t="s">
        <v>78</v>
      </c>
      <c r="G186" t="str">
        <f t="shared" si="15"/>
        <v>Grocery</v>
      </c>
      <c r="H186" t="str">
        <f>PROPER(TRIM(CLEAN(Sales_Table[[#This Row],[Product Name]])))</f>
        <v>Mixer Grinder</v>
      </c>
      <c r="I186" t="s">
        <v>29</v>
      </c>
      <c r="J186" t="str">
        <f t="shared" si="16"/>
        <v>CUST0383</v>
      </c>
      <c r="K186" t="s">
        <v>590</v>
      </c>
      <c r="L186" t="str">
        <f>PROPER(TRIM(CLEAN(Sales_Table[[#This Row],[Salesperson]])))</f>
        <v>Suresh</v>
      </c>
      <c r="M186" t="s">
        <v>54</v>
      </c>
      <c r="N186" t="str">
        <f t="shared" si="17"/>
        <v>Net Banking</v>
      </c>
      <c r="O186" t="s">
        <v>60</v>
      </c>
      <c r="P186">
        <f t="shared" si="18"/>
        <v>11</v>
      </c>
      <c r="Q186" t="s">
        <v>97</v>
      </c>
      <c r="R186">
        <f t="shared" si="19"/>
        <v>2099</v>
      </c>
      <c r="S186" t="s">
        <v>591</v>
      </c>
      <c r="T186">
        <f t="shared" si="20"/>
        <v>23089</v>
      </c>
      <c r="U186">
        <f>YEAR(Sales_Table[[#This Row],[Date_clean]])</f>
        <v>2024</v>
      </c>
      <c r="V186" t="str">
        <f>TEXT(Sales_Table[[#This Row],[Date_clean]],"mmmm")</f>
        <v>January</v>
      </c>
      <c r="W186">
        <f>WEEKNUM(Sales_Table[[#This Row],[Date_clean]],2)</f>
        <v>2</v>
      </c>
      <c r="X186" t="str" cm="1">
        <f t="array" ref="X186">_xlfn.IFS(Sales_Table[[#This Row],[Revenue]]&gt;=50000,"High",Sales_Table[[#This Row],[Revenue]]&gt;=20000,"Medium",Sales_Table[[#This Row],[Revenue]]&lt;20000,"Low")</f>
        <v>Medium</v>
      </c>
      <c r="Y186" t="str">
        <f>IF(Sales_Table[[#This Row],[Payment Method_clean]]="cash","Offline","Online")</f>
        <v>Online</v>
      </c>
      <c r="Z186">
        <f>IFERROR(Sales_Table[[#This Row],[Revenue]],0)</f>
        <v>23089</v>
      </c>
    </row>
    <row r="187" spans="1:26" x14ac:dyDescent="0.3">
      <c r="A187">
        <v>186</v>
      </c>
      <c r="B187" s="2">
        <f t="shared" si="14"/>
        <v>45299.708333333336</v>
      </c>
      <c r="C187" t="s">
        <v>592</v>
      </c>
      <c r="D187" t="s">
        <v>45</v>
      </c>
      <c r="E187" t="str">
        <f>PROPER(TRIM(CLEAN(Sales_Table[[#This Row],[Region]])))</f>
        <v>North</v>
      </c>
      <c r="F187" t="s">
        <v>28</v>
      </c>
      <c r="G187" t="str">
        <f t="shared" si="15"/>
        <v>Clothing</v>
      </c>
      <c r="H187" t="str">
        <f>PROPER(TRIM(CLEAN(Sales_Table[[#This Row],[Product Name]])))</f>
        <v>Laptop</v>
      </c>
      <c r="I187" t="s">
        <v>52</v>
      </c>
      <c r="J187" t="str">
        <f t="shared" si="16"/>
        <v>CUST0019</v>
      </c>
      <c r="K187" t="s">
        <v>593</v>
      </c>
      <c r="L187" t="str">
        <f>PROPER(TRIM(CLEAN(Sales_Table[[#This Row],[Salesperson]])))</f>
        <v>Meena</v>
      </c>
      <c r="M187" t="s">
        <v>40</v>
      </c>
      <c r="N187" t="str">
        <f t="shared" si="17"/>
        <v>Debit Card</v>
      </c>
      <c r="O187" t="s">
        <v>41</v>
      </c>
      <c r="P187">
        <f t="shared" si="18"/>
        <v>7</v>
      </c>
      <c r="Q187" t="s">
        <v>49</v>
      </c>
      <c r="R187">
        <f t="shared" si="19"/>
        <v>2811</v>
      </c>
      <c r="S187" t="s">
        <v>502</v>
      </c>
      <c r="T187">
        <f t="shared" si="20"/>
        <v>19677</v>
      </c>
      <c r="U187">
        <f>YEAR(Sales_Table[[#This Row],[Date_clean]])</f>
        <v>2024</v>
      </c>
      <c r="V187" t="str">
        <f>TEXT(Sales_Table[[#This Row],[Date_clean]],"mmmm")</f>
        <v>January</v>
      </c>
      <c r="W187">
        <f>WEEKNUM(Sales_Table[[#This Row],[Date_clean]],2)</f>
        <v>2</v>
      </c>
      <c r="X187" t="str" cm="1">
        <f t="array" ref="X187">_xlfn.IFS(Sales_Table[[#This Row],[Revenue]]&gt;=50000,"High",Sales_Table[[#This Row],[Revenue]]&gt;=20000,"Medium",Sales_Table[[#This Row],[Revenue]]&lt;20000,"Low")</f>
        <v>Low</v>
      </c>
      <c r="Y187" t="str">
        <f>IF(Sales_Table[[#This Row],[Payment Method_clean]]="cash","Offline","Online")</f>
        <v>Online</v>
      </c>
      <c r="Z187">
        <f>IFERROR(Sales_Table[[#This Row],[Revenue]],0)</f>
        <v>19677</v>
      </c>
    </row>
    <row r="188" spans="1:26" x14ac:dyDescent="0.3">
      <c r="A188">
        <v>187</v>
      </c>
      <c r="B188" s="2">
        <f t="shared" si="14"/>
        <v>45299.75</v>
      </c>
      <c r="C188" t="s">
        <v>594</v>
      </c>
      <c r="D188" t="s">
        <v>84</v>
      </c>
      <c r="E188" t="str">
        <f>PROPER(TRIM(CLEAN(Sales_Table[[#This Row],[Region]])))</f>
        <v>South</v>
      </c>
      <c r="F188" t="s">
        <v>78</v>
      </c>
      <c r="G188" t="str">
        <f t="shared" si="15"/>
        <v>Grocery</v>
      </c>
      <c r="H188" t="str">
        <f>PROPER(TRIM(CLEAN(Sales_Table[[#This Row],[Product Name]])))</f>
        <v>Led Tv 42Inch</v>
      </c>
      <c r="I188" t="s">
        <v>58</v>
      </c>
      <c r="J188" t="str">
        <f t="shared" si="16"/>
        <v>CUST0683</v>
      </c>
      <c r="K188" t="s">
        <v>595</v>
      </c>
      <c r="L188" t="str">
        <f>PROPER(TRIM(CLEAN(Sales_Table[[#This Row],[Salesperson]])))</f>
        <v>Rahul</v>
      </c>
      <c r="M188" t="s">
        <v>31</v>
      </c>
      <c r="N188" t="str">
        <f t="shared" si="17"/>
        <v>Upi</v>
      </c>
      <c r="O188" t="s">
        <v>48</v>
      </c>
      <c r="P188">
        <f t="shared" si="18"/>
        <v>3</v>
      </c>
      <c r="Q188" t="s">
        <v>66</v>
      </c>
      <c r="R188">
        <f t="shared" si="19"/>
        <v>500</v>
      </c>
      <c r="S188" t="s">
        <v>596</v>
      </c>
      <c r="T188">
        <f t="shared" si="20"/>
        <v>1500</v>
      </c>
      <c r="U188">
        <f>YEAR(Sales_Table[[#This Row],[Date_clean]])</f>
        <v>2024</v>
      </c>
      <c r="V188" t="str">
        <f>TEXT(Sales_Table[[#This Row],[Date_clean]],"mmmm")</f>
        <v>January</v>
      </c>
      <c r="W188">
        <f>WEEKNUM(Sales_Table[[#This Row],[Date_clean]],2)</f>
        <v>2</v>
      </c>
      <c r="X188" t="str" cm="1">
        <f t="array" ref="X188">_xlfn.IFS(Sales_Table[[#This Row],[Revenue]]&gt;=50000,"High",Sales_Table[[#This Row],[Revenue]]&gt;=20000,"Medium",Sales_Table[[#This Row],[Revenue]]&lt;20000,"Low")</f>
        <v>Low</v>
      </c>
      <c r="Y188" t="str">
        <f>IF(Sales_Table[[#This Row],[Payment Method_clean]]="cash","Offline","Online")</f>
        <v>Online</v>
      </c>
      <c r="Z188">
        <f>IFERROR(Sales_Table[[#This Row],[Revenue]],0)</f>
        <v>1500</v>
      </c>
    </row>
    <row r="189" spans="1:26" x14ac:dyDescent="0.3">
      <c r="A189">
        <v>188</v>
      </c>
      <c r="B189" s="2">
        <f t="shared" si="14"/>
        <v>45299.791666666664</v>
      </c>
      <c r="C189" t="s">
        <v>597</v>
      </c>
      <c r="D189" t="s">
        <v>27</v>
      </c>
      <c r="E189" t="str">
        <f>PROPER(TRIM(CLEAN(Sales_Table[[#This Row],[Region]])))</f>
        <v>East</v>
      </c>
      <c r="F189" t="s">
        <v>46</v>
      </c>
      <c r="G189" t="str">
        <f t="shared" si="15"/>
        <v>Electronics</v>
      </c>
      <c r="H189" t="str">
        <f>PROPER(TRIM(CLEAN(Sales_Table[[#This Row],[Product Name]])))</f>
        <v>Men T-Shirt</v>
      </c>
      <c r="I189" t="s">
        <v>38</v>
      </c>
      <c r="J189" t="str">
        <f t="shared" si="16"/>
        <v>CUST0450</v>
      </c>
      <c r="K189" t="s">
        <v>598</v>
      </c>
      <c r="L189" t="str">
        <f>PROPER(TRIM(CLEAN(Sales_Table[[#This Row],[Salesperson]])))</f>
        <v>Suresh</v>
      </c>
      <c r="M189" t="s">
        <v>54</v>
      </c>
      <c r="N189" t="str">
        <f t="shared" si="17"/>
        <v>Debit Card</v>
      </c>
      <c r="O189" t="s">
        <v>41</v>
      </c>
      <c r="P189">
        <f t="shared" si="18"/>
        <v>4</v>
      </c>
      <c r="Q189" t="s">
        <v>113</v>
      </c>
      <c r="R189">
        <f t="shared" si="19"/>
        <v>3748</v>
      </c>
      <c r="S189" t="s">
        <v>599</v>
      </c>
      <c r="T189">
        <f t="shared" si="20"/>
        <v>14992</v>
      </c>
      <c r="U189">
        <f>YEAR(Sales_Table[[#This Row],[Date_clean]])</f>
        <v>2024</v>
      </c>
      <c r="V189" t="str">
        <f>TEXT(Sales_Table[[#This Row],[Date_clean]],"mmmm")</f>
        <v>January</v>
      </c>
      <c r="W189">
        <f>WEEKNUM(Sales_Table[[#This Row],[Date_clean]],2)</f>
        <v>2</v>
      </c>
      <c r="X189" t="str" cm="1">
        <f t="array" ref="X189">_xlfn.IFS(Sales_Table[[#This Row],[Revenue]]&gt;=50000,"High",Sales_Table[[#This Row],[Revenue]]&gt;=20000,"Medium",Sales_Table[[#This Row],[Revenue]]&lt;20000,"Low")</f>
        <v>Low</v>
      </c>
      <c r="Y189" t="str">
        <f>IF(Sales_Table[[#This Row],[Payment Method_clean]]="cash","Offline","Online")</f>
        <v>Online</v>
      </c>
      <c r="Z189">
        <f>IFERROR(Sales_Table[[#This Row],[Revenue]],0)</f>
        <v>14992</v>
      </c>
    </row>
    <row r="190" spans="1:26" x14ac:dyDescent="0.3">
      <c r="A190">
        <v>189</v>
      </c>
      <c r="B190" s="2">
        <f t="shared" si="14"/>
        <v>45299.833333333336</v>
      </c>
      <c r="C190" t="s">
        <v>600</v>
      </c>
      <c r="D190" t="s">
        <v>27</v>
      </c>
      <c r="E190" t="str">
        <f>PROPER(TRIM(CLEAN(Sales_Table[[#This Row],[Region]])))</f>
        <v>East</v>
      </c>
      <c r="F190" t="s">
        <v>46</v>
      </c>
      <c r="G190" t="str">
        <f t="shared" si="15"/>
        <v>Electronics</v>
      </c>
      <c r="H190" t="str">
        <f>PROPER(TRIM(CLEAN(Sales_Table[[#This Row],[Product Name]])))</f>
        <v>Men T-Shirt</v>
      </c>
      <c r="I190" t="s">
        <v>38</v>
      </c>
      <c r="J190" t="str">
        <f t="shared" si="16"/>
        <v>CUST0074</v>
      </c>
      <c r="K190" t="s">
        <v>601</v>
      </c>
      <c r="L190" t="str">
        <f>PROPER(TRIM(CLEAN(Sales_Table[[#This Row],[Salesperson]])))</f>
        <v>Suresh</v>
      </c>
      <c r="M190" t="s">
        <v>54</v>
      </c>
      <c r="N190" t="str">
        <f t="shared" si="17"/>
        <v>Credit Card</v>
      </c>
      <c r="O190" t="s">
        <v>65</v>
      </c>
      <c r="P190">
        <f t="shared" si="18"/>
        <v>13</v>
      </c>
      <c r="Q190" t="s">
        <v>81</v>
      </c>
      <c r="R190">
        <f t="shared" si="19"/>
        <v>2728</v>
      </c>
      <c r="S190" t="s">
        <v>602</v>
      </c>
      <c r="T190">
        <f t="shared" si="20"/>
        <v>35464</v>
      </c>
      <c r="U190">
        <f>YEAR(Sales_Table[[#This Row],[Date_clean]])</f>
        <v>2024</v>
      </c>
      <c r="V190" t="str">
        <f>TEXT(Sales_Table[[#This Row],[Date_clean]],"mmmm")</f>
        <v>January</v>
      </c>
      <c r="W190">
        <f>WEEKNUM(Sales_Table[[#This Row],[Date_clean]],2)</f>
        <v>2</v>
      </c>
      <c r="X190" t="str" cm="1">
        <f t="array" ref="X190">_xlfn.IFS(Sales_Table[[#This Row],[Revenue]]&gt;=50000,"High",Sales_Table[[#This Row],[Revenue]]&gt;=20000,"Medium",Sales_Table[[#This Row],[Revenue]]&lt;20000,"Low")</f>
        <v>Medium</v>
      </c>
      <c r="Y190" t="str">
        <f>IF(Sales_Table[[#This Row],[Payment Method_clean]]="cash","Offline","Online")</f>
        <v>Online</v>
      </c>
      <c r="Z190">
        <f>IFERROR(Sales_Table[[#This Row],[Revenue]],0)</f>
        <v>35464</v>
      </c>
    </row>
    <row r="191" spans="1:26" x14ac:dyDescent="0.3">
      <c r="A191">
        <v>190</v>
      </c>
      <c r="B191" s="2">
        <f t="shared" si="14"/>
        <v>45299.875</v>
      </c>
      <c r="C191" t="s">
        <v>603</v>
      </c>
      <c r="D191" t="s">
        <v>84</v>
      </c>
      <c r="E191" t="str">
        <f>PROPER(TRIM(CLEAN(Sales_Table[[#This Row],[Region]])))</f>
        <v>South</v>
      </c>
      <c r="F191" t="s">
        <v>28</v>
      </c>
      <c r="G191" t="str">
        <f t="shared" si="15"/>
        <v>Clothing</v>
      </c>
      <c r="H191" t="str">
        <f>PROPER(TRIM(CLEAN(Sales_Table[[#This Row],[Product Name]])))</f>
        <v>Washing Machine</v>
      </c>
      <c r="I191" t="s">
        <v>79</v>
      </c>
      <c r="J191" t="str">
        <f t="shared" si="16"/>
        <v>CUST0573</v>
      </c>
      <c r="K191" t="s">
        <v>487</v>
      </c>
      <c r="L191" t="str">
        <f>PROPER(TRIM(CLEAN(Sales_Table[[#This Row],[Salesperson]])))</f>
        <v>Meena</v>
      </c>
      <c r="M191" t="s">
        <v>40</v>
      </c>
      <c r="N191" t="str">
        <f t="shared" si="17"/>
        <v>Credit Card</v>
      </c>
      <c r="O191" t="s">
        <v>65</v>
      </c>
      <c r="P191">
        <f t="shared" si="18"/>
        <v>6</v>
      </c>
      <c r="Q191" t="s">
        <v>75</v>
      </c>
      <c r="R191">
        <f t="shared" si="19"/>
        <v>1756</v>
      </c>
      <c r="S191" t="s">
        <v>604</v>
      </c>
      <c r="T191">
        <f t="shared" si="20"/>
        <v>10536</v>
      </c>
      <c r="U191">
        <f>YEAR(Sales_Table[[#This Row],[Date_clean]])</f>
        <v>2024</v>
      </c>
      <c r="V191" t="str">
        <f>TEXT(Sales_Table[[#This Row],[Date_clean]],"mmmm")</f>
        <v>January</v>
      </c>
      <c r="W191">
        <f>WEEKNUM(Sales_Table[[#This Row],[Date_clean]],2)</f>
        <v>2</v>
      </c>
      <c r="X191" t="str" cm="1">
        <f t="array" ref="X191">_xlfn.IFS(Sales_Table[[#This Row],[Revenue]]&gt;=50000,"High",Sales_Table[[#This Row],[Revenue]]&gt;=20000,"Medium",Sales_Table[[#This Row],[Revenue]]&lt;20000,"Low")</f>
        <v>Low</v>
      </c>
      <c r="Y191" t="str">
        <f>IF(Sales_Table[[#This Row],[Payment Method_clean]]="cash","Offline","Online")</f>
        <v>Online</v>
      </c>
      <c r="Z191">
        <f>IFERROR(Sales_Table[[#This Row],[Revenue]],0)</f>
        <v>10536</v>
      </c>
    </row>
    <row r="192" spans="1:26" x14ac:dyDescent="0.3">
      <c r="A192">
        <v>191</v>
      </c>
      <c r="B192" s="2">
        <f t="shared" si="14"/>
        <v>45299.916666666664</v>
      </c>
      <c r="C192" t="s">
        <v>605</v>
      </c>
      <c r="D192" t="s">
        <v>27</v>
      </c>
      <c r="E192" t="str">
        <f>PROPER(TRIM(CLEAN(Sales_Table[[#This Row],[Region]])))</f>
        <v>East</v>
      </c>
      <c r="F192" t="s">
        <v>46</v>
      </c>
      <c r="G192" t="str">
        <f t="shared" si="15"/>
        <v>Electronics</v>
      </c>
      <c r="H192" t="str">
        <f>PROPER(TRIM(CLEAN(Sales_Table[[#This Row],[Product Name]])))</f>
        <v>Rice 5Kg</v>
      </c>
      <c r="I192" t="s">
        <v>73</v>
      </c>
      <c r="J192" t="str">
        <f t="shared" si="16"/>
        <v>CUST0665</v>
      </c>
      <c r="K192" t="s">
        <v>606</v>
      </c>
      <c r="L192" t="str">
        <f>PROPER(TRIM(CLEAN(Sales_Table[[#This Row],[Salesperson]])))</f>
        <v>Suresh</v>
      </c>
      <c r="M192" t="s">
        <v>54</v>
      </c>
      <c r="N192" t="str">
        <f t="shared" si="17"/>
        <v>Cash</v>
      </c>
      <c r="O192" t="s">
        <v>32</v>
      </c>
      <c r="P192">
        <f t="shared" si="18"/>
        <v>3</v>
      </c>
      <c r="Q192" t="s">
        <v>66</v>
      </c>
      <c r="R192">
        <f t="shared" si="19"/>
        <v>720</v>
      </c>
      <c r="S192" t="s">
        <v>607</v>
      </c>
      <c r="T192">
        <f t="shared" si="20"/>
        <v>2160</v>
      </c>
      <c r="U192">
        <f>YEAR(Sales_Table[[#This Row],[Date_clean]])</f>
        <v>2024</v>
      </c>
      <c r="V192" t="str">
        <f>TEXT(Sales_Table[[#This Row],[Date_clean]],"mmmm")</f>
        <v>January</v>
      </c>
      <c r="W192">
        <f>WEEKNUM(Sales_Table[[#This Row],[Date_clean]],2)</f>
        <v>2</v>
      </c>
      <c r="X192" t="str" cm="1">
        <f t="array" ref="X192">_xlfn.IFS(Sales_Table[[#This Row],[Revenue]]&gt;=50000,"High",Sales_Table[[#This Row],[Revenue]]&gt;=20000,"Medium",Sales_Table[[#This Row],[Revenue]]&lt;20000,"Low")</f>
        <v>Low</v>
      </c>
      <c r="Y192" t="str">
        <f>IF(Sales_Table[[#This Row],[Payment Method_clean]]="cash","Offline","Online")</f>
        <v>Offline</v>
      </c>
      <c r="Z192">
        <f>IFERROR(Sales_Table[[#This Row],[Revenue]],0)</f>
        <v>2160</v>
      </c>
    </row>
    <row r="193" spans="1:26" x14ac:dyDescent="0.3">
      <c r="A193">
        <v>192</v>
      </c>
      <c r="B193" s="2">
        <f t="shared" si="14"/>
        <v>45299.958333333336</v>
      </c>
      <c r="C193" t="s">
        <v>608</v>
      </c>
      <c r="D193" t="s">
        <v>27</v>
      </c>
      <c r="E193" t="str">
        <f>PROPER(TRIM(CLEAN(Sales_Table[[#This Row],[Region]])))</f>
        <v>East</v>
      </c>
      <c r="F193" t="s">
        <v>78</v>
      </c>
      <c r="G193" t="str">
        <f t="shared" si="15"/>
        <v>Grocery</v>
      </c>
      <c r="H193" t="str">
        <f>PROPER(TRIM(CLEAN(Sales_Table[[#This Row],[Product Name]])))</f>
        <v>Men T-Shirt</v>
      </c>
      <c r="I193" t="s">
        <v>38</v>
      </c>
      <c r="J193" t="str">
        <f t="shared" si="16"/>
        <v>CUST0276</v>
      </c>
      <c r="K193" t="s">
        <v>470</v>
      </c>
      <c r="L193" t="str">
        <f>PROPER(TRIM(CLEAN(Sales_Table[[#This Row],[Salesperson]])))</f>
        <v>Anita</v>
      </c>
      <c r="M193" t="s">
        <v>64</v>
      </c>
      <c r="N193" t="str">
        <f t="shared" si="17"/>
        <v>Cash</v>
      </c>
      <c r="O193" t="s">
        <v>32</v>
      </c>
      <c r="P193">
        <f t="shared" si="18"/>
        <v>12</v>
      </c>
      <c r="Q193" t="s">
        <v>33</v>
      </c>
      <c r="R193">
        <f t="shared" si="19"/>
        <v>346</v>
      </c>
      <c r="S193" t="s">
        <v>609</v>
      </c>
      <c r="T193">
        <f t="shared" si="20"/>
        <v>4152</v>
      </c>
      <c r="U193">
        <f>YEAR(Sales_Table[[#This Row],[Date_clean]])</f>
        <v>2024</v>
      </c>
      <c r="V193" t="str">
        <f>TEXT(Sales_Table[[#This Row],[Date_clean]],"mmmm")</f>
        <v>January</v>
      </c>
      <c r="W193">
        <f>WEEKNUM(Sales_Table[[#This Row],[Date_clean]],2)</f>
        <v>2</v>
      </c>
      <c r="X193" t="str" cm="1">
        <f t="array" ref="X193">_xlfn.IFS(Sales_Table[[#This Row],[Revenue]]&gt;=50000,"High",Sales_Table[[#This Row],[Revenue]]&gt;=20000,"Medium",Sales_Table[[#This Row],[Revenue]]&lt;20000,"Low")</f>
        <v>Low</v>
      </c>
      <c r="Y193" t="str">
        <f>IF(Sales_Table[[#This Row],[Payment Method_clean]]="cash","Offline","Online")</f>
        <v>Offline</v>
      </c>
      <c r="Z193">
        <f>IFERROR(Sales_Table[[#This Row],[Revenue]],0)</f>
        <v>4152</v>
      </c>
    </row>
    <row r="194" spans="1:26" x14ac:dyDescent="0.3">
      <c r="A194">
        <v>193</v>
      </c>
      <c r="B194" s="2">
        <f t="shared" si="14"/>
        <v>45300</v>
      </c>
      <c r="C194" t="s">
        <v>610</v>
      </c>
      <c r="D194" t="s">
        <v>45</v>
      </c>
      <c r="E194" t="str">
        <f>PROPER(TRIM(CLEAN(Sales_Table[[#This Row],[Region]])))</f>
        <v>North</v>
      </c>
      <c r="F194" t="s">
        <v>46</v>
      </c>
      <c r="G194" t="str">
        <f t="shared" si="15"/>
        <v>Electronics</v>
      </c>
      <c r="H194" t="str">
        <f>PROPER(TRIM(CLEAN(Sales_Table[[#This Row],[Product Name]])))</f>
        <v>Rice 5Kg</v>
      </c>
      <c r="I194" t="s">
        <v>73</v>
      </c>
      <c r="J194" t="str">
        <f t="shared" si="16"/>
        <v>CUST0048</v>
      </c>
      <c r="K194" t="s">
        <v>106</v>
      </c>
      <c r="L194" t="str">
        <f>PROPER(TRIM(CLEAN(Sales_Table[[#This Row],[Salesperson]])))</f>
        <v>Anita</v>
      </c>
      <c r="M194" t="s">
        <v>64</v>
      </c>
      <c r="N194" t="str">
        <f t="shared" si="17"/>
        <v>Credit Card</v>
      </c>
      <c r="O194" t="s">
        <v>65</v>
      </c>
      <c r="P194">
        <f t="shared" si="18"/>
        <v>7</v>
      </c>
      <c r="Q194" t="s">
        <v>49</v>
      </c>
      <c r="R194">
        <f t="shared" si="19"/>
        <v>3439</v>
      </c>
      <c r="S194" t="s">
        <v>611</v>
      </c>
      <c r="T194">
        <f t="shared" si="20"/>
        <v>24073</v>
      </c>
      <c r="U194">
        <f>YEAR(Sales_Table[[#This Row],[Date_clean]])</f>
        <v>2024</v>
      </c>
      <c r="V194" t="str">
        <f>TEXT(Sales_Table[[#This Row],[Date_clean]],"mmmm")</f>
        <v>January</v>
      </c>
      <c r="W194">
        <f>WEEKNUM(Sales_Table[[#This Row],[Date_clean]],2)</f>
        <v>2</v>
      </c>
      <c r="X194" t="str" cm="1">
        <f t="array" ref="X194">_xlfn.IFS(Sales_Table[[#This Row],[Revenue]]&gt;=50000,"High",Sales_Table[[#This Row],[Revenue]]&gt;=20000,"Medium",Sales_Table[[#This Row],[Revenue]]&lt;20000,"Low")</f>
        <v>Medium</v>
      </c>
      <c r="Y194" t="str">
        <f>IF(Sales_Table[[#This Row],[Payment Method_clean]]="cash","Offline","Online")</f>
        <v>Online</v>
      </c>
      <c r="Z194">
        <f>IFERROR(Sales_Table[[#This Row],[Revenue]],0)</f>
        <v>24073</v>
      </c>
    </row>
    <row r="195" spans="1:26" x14ac:dyDescent="0.3">
      <c r="A195">
        <v>194</v>
      </c>
      <c r="B195" s="2">
        <f t="shared" ref="B195:B258" si="21">DATEVALUE(LEFT(C195,10))+TIMEVALUE(MID(C195,12,8))</f>
        <v>45300.041666666664</v>
      </c>
      <c r="C195" t="s">
        <v>612</v>
      </c>
      <c r="D195" t="s">
        <v>27</v>
      </c>
      <c r="E195" t="str">
        <f>PROPER(TRIM(CLEAN(Sales_Table[[#This Row],[Region]])))</f>
        <v>East</v>
      </c>
      <c r="F195" t="s">
        <v>78</v>
      </c>
      <c r="G195" t="str">
        <f t="shared" ref="G195:G258" si="22">PROPER(TRIM(CLEAN(F195)))</f>
        <v>Grocery</v>
      </c>
      <c r="H195" t="str">
        <f>PROPER(TRIM(CLEAN(Sales_Table[[#This Row],[Product Name]])))</f>
        <v>Mixer Grinder</v>
      </c>
      <c r="I195" t="s">
        <v>29</v>
      </c>
      <c r="J195" t="str">
        <f t="shared" ref="J195:J258" si="23">TRIM(K195)</f>
        <v>CUST0211</v>
      </c>
      <c r="K195" t="s">
        <v>150</v>
      </c>
      <c r="L195" t="str">
        <f>PROPER(TRIM(CLEAN(Sales_Table[[#This Row],[Salesperson]])))</f>
        <v>Anita</v>
      </c>
      <c r="M195" t="s">
        <v>64</v>
      </c>
      <c r="N195" t="str">
        <f t="shared" ref="N195:N258" si="24">PROPER(TRIM(O195))</f>
        <v>Net Banking</v>
      </c>
      <c r="O195" t="s">
        <v>60</v>
      </c>
      <c r="P195">
        <f t="shared" ref="P195:P258" si="25">VALUE(Q195)</f>
        <v>13</v>
      </c>
      <c r="Q195" t="s">
        <v>81</v>
      </c>
      <c r="R195">
        <f t="shared" ref="R195:R258" si="26">VALUE(S195)</f>
        <v>3110</v>
      </c>
      <c r="S195" t="s">
        <v>613</v>
      </c>
      <c r="T195">
        <f t="shared" ref="T195:T258" si="27">P195*R195</f>
        <v>40430</v>
      </c>
      <c r="U195">
        <f>YEAR(Sales_Table[[#This Row],[Date_clean]])</f>
        <v>2024</v>
      </c>
      <c r="V195" t="str">
        <f>TEXT(Sales_Table[[#This Row],[Date_clean]],"mmmm")</f>
        <v>January</v>
      </c>
      <c r="W195">
        <f>WEEKNUM(Sales_Table[[#This Row],[Date_clean]],2)</f>
        <v>2</v>
      </c>
      <c r="X195" t="str" cm="1">
        <f t="array" ref="X195">_xlfn.IFS(Sales_Table[[#This Row],[Revenue]]&gt;=50000,"High",Sales_Table[[#This Row],[Revenue]]&gt;=20000,"Medium",Sales_Table[[#This Row],[Revenue]]&lt;20000,"Low")</f>
        <v>Medium</v>
      </c>
      <c r="Y195" t="str">
        <f>IF(Sales_Table[[#This Row],[Payment Method_clean]]="cash","Offline","Online")</f>
        <v>Online</v>
      </c>
      <c r="Z195">
        <f>IFERROR(Sales_Table[[#This Row],[Revenue]],0)</f>
        <v>40430</v>
      </c>
    </row>
    <row r="196" spans="1:26" x14ac:dyDescent="0.3">
      <c r="A196">
        <v>195</v>
      </c>
      <c r="B196" s="2">
        <f t="shared" si="21"/>
        <v>45300.083333333336</v>
      </c>
      <c r="C196" t="s">
        <v>614</v>
      </c>
      <c r="D196" t="s">
        <v>27</v>
      </c>
      <c r="E196" t="str">
        <f>PROPER(TRIM(CLEAN(Sales_Table[[#This Row],[Region]])))</f>
        <v>East</v>
      </c>
      <c r="F196" t="s">
        <v>78</v>
      </c>
      <c r="G196" t="str">
        <f t="shared" si="22"/>
        <v>Grocery</v>
      </c>
      <c r="H196" t="str">
        <f>PROPER(TRIM(CLEAN(Sales_Table[[#This Row],[Product Name]])))</f>
        <v>Rice 5Kg</v>
      </c>
      <c r="I196" t="s">
        <v>73</v>
      </c>
      <c r="J196" t="str">
        <f t="shared" si="23"/>
        <v>CUST0651</v>
      </c>
      <c r="K196" t="s">
        <v>615</v>
      </c>
      <c r="L196" t="str">
        <f>PROPER(TRIM(CLEAN(Sales_Table[[#This Row],[Salesperson]])))</f>
        <v>Suresh</v>
      </c>
      <c r="M196" t="s">
        <v>54</v>
      </c>
      <c r="N196" t="str">
        <f t="shared" si="24"/>
        <v>Net Banking</v>
      </c>
      <c r="O196" t="s">
        <v>60</v>
      </c>
      <c r="P196">
        <f t="shared" si="25"/>
        <v>6</v>
      </c>
      <c r="Q196" t="s">
        <v>75</v>
      </c>
      <c r="R196">
        <f t="shared" si="26"/>
        <v>4819</v>
      </c>
      <c r="S196" t="s">
        <v>616</v>
      </c>
      <c r="T196">
        <f t="shared" si="27"/>
        <v>28914</v>
      </c>
      <c r="U196">
        <f>YEAR(Sales_Table[[#This Row],[Date_clean]])</f>
        <v>2024</v>
      </c>
      <c r="V196" t="str">
        <f>TEXT(Sales_Table[[#This Row],[Date_clean]],"mmmm")</f>
        <v>January</v>
      </c>
      <c r="W196">
        <f>WEEKNUM(Sales_Table[[#This Row],[Date_clean]],2)</f>
        <v>2</v>
      </c>
      <c r="X196" t="str" cm="1">
        <f t="array" ref="X196">_xlfn.IFS(Sales_Table[[#This Row],[Revenue]]&gt;=50000,"High",Sales_Table[[#This Row],[Revenue]]&gt;=20000,"Medium",Sales_Table[[#This Row],[Revenue]]&lt;20000,"Low")</f>
        <v>Medium</v>
      </c>
      <c r="Y196" t="str">
        <f>IF(Sales_Table[[#This Row],[Payment Method_clean]]="cash","Offline","Online")</f>
        <v>Online</v>
      </c>
      <c r="Z196">
        <f>IFERROR(Sales_Table[[#This Row],[Revenue]],0)</f>
        <v>28914</v>
      </c>
    </row>
    <row r="197" spans="1:26" x14ac:dyDescent="0.3">
      <c r="A197">
        <v>196</v>
      </c>
      <c r="B197" s="2">
        <f t="shared" si="21"/>
        <v>45300.125</v>
      </c>
      <c r="C197" t="s">
        <v>617</v>
      </c>
      <c r="D197" t="s">
        <v>84</v>
      </c>
      <c r="E197" t="str">
        <f>PROPER(TRIM(CLEAN(Sales_Table[[#This Row],[Region]])))</f>
        <v>South</v>
      </c>
      <c r="F197" t="s">
        <v>46</v>
      </c>
      <c r="G197" t="str">
        <f t="shared" si="22"/>
        <v>Electronics</v>
      </c>
      <c r="H197" t="str">
        <f>PROPER(TRIM(CLEAN(Sales_Table[[#This Row],[Product Name]])))</f>
        <v>Mixer Grinder</v>
      </c>
      <c r="I197" t="s">
        <v>29</v>
      </c>
      <c r="J197" t="str">
        <f t="shared" si="23"/>
        <v>CUST0622</v>
      </c>
      <c r="K197" t="s">
        <v>338</v>
      </c>
      <c r="L197" t="str">
        <f>PROPER(TRIM(CLEAN(Sales_Table[[#This Row],[Salesperson]])))</f>
        <v>Anita</v>
      </c>
      <c r="M197" t="s">
        <v>64</v>
      </c>
      <c r="N197" t="str">
        <f t="shared" si="24"/>
        <v>Upi</v>
      </c>
      <c r="O197" t="s">
        <v>48</v>
      </c>
      <c r="P197">
        <f t="shared" si="25"/>
        <v>9</v>
      </c>
      <c r="Q197" t="s">
        <v>130</v>
      </c>
      <c r="R197">
        <f t="shared" si="26"/>
        <v>2468</v>
      </c>
      <c r="S197" t="s">
        <v>178</v>
      </c>
      <c r="T197">
        <f t="shared" si="27"/>
        <v>22212</v>
      </c>
      <c r="U197">
        <f>YEAR(Sales_Table[[#This Row],[Date_clean]])</f>
        <v>2024</v>
      </c>
      <c r="V197" t="str">
        <f>TEXT(Sales_Table[[#This Row],[Date_clean]],"mmmm")</f>
        <v>January</v>
      </c>
      <c r="W197">
        <f>WEEKNUM(Sales_Table[[#This Row],[Date_clean]],2)</f>
        <v>2</v>
      </c>
      <c r="X197" t="str" cm="1">
        <f t="array" ref="X197">_xlfn.IFS(Sales_Table[[#This Row],[Revenue]]&gt;=50000,"High",Sales_Table[[#This Row],[Revenue]]&gt;=20000,"Medium",Sales_Table[[#This Row],[Revenue]]&lt;20000,"Low")</f>
        <v>Medium</v>
      </c>
      <c r="Y197" t="str">
        <f>IF(Sales_Table[[#This Row],[Payment Method_clean]]="cash","Offline","Online")</f>
        <v>Online</v>
      </c>
      <c r="Z197">
        <f>IFERROR(Sales_Table[[#This Row],[Revenue]],0)</f>
        <v>22212</v>
      </c>
    </row>
    <row r="198" spans="1:26" x14ac:dyDescent="0.3">
      <c r="A198">
        <v>197</v>
      </c>
      <c r="B198" s="2">
        <f t="shared" si="21"/>
        <v>45300.166666666664</v>
      </c>
      <c r="C198" t="s">
        <v>618</v>
      </c>
      <c r="D198" t="s">
        <v>84</v>
      </c>
      <c r="E198" t="str">
        <f>PROPER(TRIM(CLEAN(Sales_Table[[#This Row],[Region]])))</f>
        <v>South</v>
      </c>
      <c r="F198" t="s">
        <v>28</v>
      </c>
      <c r="G198" t="str">
        <f t="shared" si="22"/>
        <v>Clothing</v>
      </c>
      <c r="H198" t="str">
        <f>PROPER(TRIM(CLEAN(Sales_Table[[#This Row],[Product Name]])))</f>
        <v>Led Tv 42Inch</v>
      </c>
      <c r="I198" t="s">
        <v>58</v>
      </c>
      <c r="J198" t="str">
        <f t="shared" si="23"/>
        <v>CUST0695</v>
      </c>
      <c r="K198" t="s">
        <v>551</v>
      </c>
      <c r="L198" t="str">
        <f>PROPER(TRIM(CLEAN(Sales_Table[[#This Row],[Salesperson]])))</f>
        <v>Meena</v>
      </c>
      <c r="M198" t="s">
        <v>40</v>
      </c>
      <c r="N198" t="str">
        <f t="shared" si="24"/>
        <v>Cash</v>
      </c>
      <c r="O198" t="s">
        <v>32</v>
      </c>
      <c r="P198">
        <f t="shared" si="25"/>
        <v>12</v>
      </c>
      <c r="Q198" t="s">
        <v>33</v>
      </c>
      <c r="R198">
        <f t="shared" si="26"/>
        <v>4094</v>
      </c>
      <c r="S198" t="s">
        <v>619</v>
      </c>
      <c r="T198">
        <f t="shared" si="27"/>
        <v>49128</v>
      </c>
      <c r="U198">
        <f>YEAR(Sales_Table[[#This Row],[Date_clean]])</f>
        <v>2024</v>
      </c>
      <c r="V198" t="str">
        <f>TEXT(Sales_Table[[#This Row],[Date_clean]],"mmmm")</f>
        <v>January</v>
      </c>
      <c r="W198">
        <f>WEEKNUM(Sales_Table[[#This Row],[Date_clean]],2)</f>
        <v>2</v>
      </c>
      <c r="X198" t="str" cm="1">
        <f t="array" ref="X198">_xlfn.IFS(Sales_Table[[#This Row],[Revenue]]&gt;=50000,"High",Sales_Table[[#This Row],[Revenue]]&gt;=20000,"Medium",Sales_Table[[#This Row],[Revenue]]&lt;20000,"Low")</f>
        <v>Medium</v>
      </c>
      <c r="Y198" t="str">
        <f>IF(Sales_Table[[#This Row],[Payment Method_clean]]="cash","Offline","Online")</f>
        <v>Offline</v>
      </c>
      <c r="Z198">
        <f>IFERROR(Sales_Table[[#This Row],[Revenue]],0)</f>
        <v>49128</v>
      </c>
    </row>
    <row r="199" spans="1:26" x14ac:dyDescent="0.3">
      <c r="A199">
        <v>198</v>
      </c>
      <c r="B199" s="2">
        <f t="shared" si="21"/>
        <v>45300.208333333336</v>
      </c>
      <c r="C199" t="s">
        <v>620</v>
      </c>
      <c r="D199" t="s">
        <v>36</v>
      </c>
      <c r="E199" t="str">
        <f>PROPER(TRIM(CLEAN(Sales_Table[[#This Row],[Region]])))</f>
        <v>West</v>
      </c>
      <c r="F199" t="s">
        <v>37</v>
      </c>
      <c r="G199" t="str">
        <f t="shared" si="22"/>
        <v>Home Appliances</v>
      </c>
      <c r="H199" t="str">
        <f>PROPER(TRIM(CLEAN(Sales_Table[[#This Row],[Product Name]])))</f>
        <v>Led Tv 42Inch</v>
      </c>
      <c r="I199" t="s">
        <v>58</v>
      </c>
      <c r="J199" t="str">
        <f t="shared" si="23"/>
        <v>CUST0540</v>
      </c>
      <c r="K199" t="s">
        <v>372</v>
      </c>
      <c r="L199" t="str">
        <f>PROPER(TRIM(CLEAN(Sales_Table[[#This Row],[Salesperson]])))</f>
        <v>Suresh</v>
      </c>
      <c r="M199" t="s">
        <v>54</v>
      </c>
      <c r="N199" t="str">
        <f t="shared" si="24"/>
        <v>Upi</v>
      </c>
      <c r="O199" t="s">
        <v>48</v>
      </c>
      <c r="P199">
        <f t="shared" si="25"/>
        <v>5</v>
      </c>
      <c r="Q199" t="s">
        <v>89</v>
      </c>
      <c r="R199">
        <f t="shared" si="26"/>
        <v>1939</v>
      </c>
      <c r="S199" t="s">
        <v>621</v>
      </c>
      <c r="T199">
        <f t="shared" si="27"/>
        <v>9695</v>
      </c>
      <c r="U199">
        <f>YEAR(Sales_Table[[#This Row],[Date_clean]])</f>
        <v>2024</v>
      </c>
      <c r="V199" t="str">
        <f>TEXT(Sales_Table[[#This Row],[Date_clean]],"mmmm")</f>
        <v>January</v>
      </c>
      <c r="W199">
        <f>WEEKNUM(Sales_Table[[#This Row],[Date_clean]],2)</f>
        <v>2</v>
      </c>
      <c r="X199" t="str" cm="1">
        <f t="array" ref="X199">_xlfn.IFS(Sales_Table[[#This Row],[Revenue]]&gt;=50000,"High",Sales_Table[[#This Row],[Revenue]]&gt;=20000,"Medium",Sales_Table[[#This Row],[Revenue]]&lt;20000,"Low")</f>
        <v>Low</v>
      </c>
      <c r="Y199" t="str">
        <f>IF(Sales_Table[[#This Row],[Payment Method_clean]]="cash","Offline","Online")</f>
        <v>Online</v>
      </c>
      <c r="Z199">
        <f>IFERROR(Sales_Table[[#This Row],[Revenue]],0)</f>
        <v>9695</v>
      </c>
    </row>
    <row r="200" spans="1:26" x14ac:dyDescent="0.3">
      <c r="A200">
        <v>199</v>
      </c>
      <c r="B200" s="2">
        <f t="shared" si="21"/>
        <v>45300.25</v>
      </c>
      <c r="C200" t="s">
        <v>622</v>
      </c>
      <c r="D200" t="s">
        <v>45</v>
      </c>
      <c r="E200" t="str">
        <f>PROPER(TRIM(CLEAN(Sales_Table[[#This Row],[Region]])))</f>
        <v>North</v>
      </c>
      <c r="F200" t="s">
        <v>46</v>
      </c>
      <c r="G200" t="str">
        <f t="shared" si="22"/>
        <v>Electronics</v>
      </c>
      <c r="H200" t="str">
        <f>PROPER(TRIM(CLEAN(Sales_Table[[#This Row],[Product Name]])))</f>
        <v>Laptop</v>
      </c>
      <c r="I200" t="s">
        <v>52</v>
      </c>
      <c r="J200" t="str">
        <f t="shared" si="23"/>
        <v>CUST0709</v>
      </c>
      <c r="K200" t="s">
        <v>569</v>
      </c>
      <c r="L200" t="str">
        <f>PROPER(TRIM(CLEAN(Sales_Table[[#This Row],[Salesperson]])))</f>
        <v>Karthik</v>
      </c>
      <c r="M200" t="s">
        <v>70</v>
      </c>
      <c r="N200" t="str">
        <f t="shared" si="24"/>
        <v>Cash</v>
      </c>
      <c r="O200" t="s">
        <v>32</v>
      </c>
      <c r="P200">
        <f t="shared" si="25"/>
        <v>4</v>
      </c>
      <c r="Q200" t="s">
        <v>113</v>
      </c>
      <c r="R200">
        <f t="shared" si="26"/>
        <v>3003</v>
      </c>
      <c r="S200" t="s">
        <v>623</v>
      </c>
      <c r="T200">
        <f t="shared" si="27"/>
        <v>12012</v>
      </c>
      <c r="U200">
        <f>YEAR(Sales_Table[[#This Row],[Date_clean]])</f>
        <v>2024</v>
      </c>
      <c r="V200" t="str">
        <f>TEXT(Sales_Table[[#This Row],[Date_clean]],"mmmm")</f>
        <v>January</v>
      </c>
      <c r="W200">
        <f>WEEKNUM(Sales_Table[[#This Row],[Date_clean]],2)</f>
        <v>2</v>
      </c>
      <c r="X200" t="str" cm="1">
        <f t="array" ref="X200">_xlfn.IFS(Sales_Table[[#This Row],[Revenue]]&gt;=50000,"High",Sales_Table[[#This Row],[Revenue]]&gt;=20000,"Medium",Sales_Table[[#This Row],[Revenue]]&lt;20000,"Low")</f>
        <v>Low</v>
      </c>
      <c r="Y200" t="str">
        <f>IF(Sales_Table[[#This Row],[Payment Method_clean]]="cash","Offline","Online")</f>
        <v>Offline</v>
      </c>
      <c r="Z200">
        <f>IFERROR(Sales_Table[[#This Row],[Revenue]],0)</f>
        <v>12012</v>
      </c>
    </row>
    <row r="201" spans="1:26" x14ac:dyDescent="0.3">
      <c r="A201">
        <v>200</v>
      </c>
      <c r="B201" s="2">
        <f t="shared" si="21"/>
        <v>45300.291666666664</v>
      </c>
      <c r="C201" t="s">
        <v>624</v>
      </c>
      <c r="D201" t="s">
        <v>27</v>
      </c>
      <c r="E201" t="str">
        <f>PROPER(TRIM(CLEAN(Sales_Table[[#This Row],[Region]])))</f>
        <v>East</v>
      </c>
      <c r="F201" t="s">
        <v>78</v>
      </c>
      <c r="G201" t="str">
        <f t="shared" si="22"/>
        <v>Grocery</v>
      </c>
      <c r="H201" t="str">
        <f>PROPER(TRIM(CLEAN(Sales_Table[[#This Row],[Product Name]])))</f>
        <v>Laptop</v>
      </c>
      <c r="I201" t="s">
        <v>52</v>
      </c>
      <c r="J201" t="str">
        <f t="shared" si="23"/>
        <v>CUST0191</v>
      </c>
      <c r="K201" t="s">
        <v>625</v>
      </c>
      <c r="L201" t="str">
        <f>PROPER(TRIM(CLEAN(Sales_Table[[#This Row],[Salesperson]])))</f>
        <v>Suresh</v>
      </c>
      <c r="M201" t="s">
        <v>54</v>
      </c>
      <c r="N201" t="str">
        <f t="shared" si="24"/>
        <v>Credit Card</v>
      </c>
      <c r="O201" t="s">
        <v>65</v>
      </c>
      <c r="P201">
        <f t="shared" si="25"/>
        <v>3</v>
      </c>
      <c r="Q201" t="s">
        <v>66</v>
      </c>
      <c r="R201">
        <f t="shared" si="26"/>
        <v>4495</v>
      </c>
      <c r="S201" t="s">
        <v>626</v>
      </c>
      <c r="T201">
        <f t="shared" si="27"/>
        <v>13485</v>
      </c>
      <c r="U201">
        <f>YEAR(Sales_Table[[#This Row],[Date_clean]])</f>
        <v>2024</v>
      </c>
      <c r="V201" t="str">
        <f>TEXT(Sales_Table[[#This Row],[Date_clean]],"mmmm")</f>
        <v>January</v>
      </c>
      <c r="W201">
        <f>WEEKNUM(Sales_Table[[#This Row],[Date_clean]],2)</f>
        <v>2</v>
      </c>
      <c r="X201" t="str" cm="1">
        <f t="array" ref="X201">_xlfn.IFS(Sales_Table[[#This Row],[Revenue]]&gt;=50000,"High",Sales_Table[[#This Row],[Revenue]]&gt;=20000,"Medium",Sales_Table[[#This Row],[Revenue]]&lt;20000,"Low")</f>
        <v>Low</v>
      </c>
      <c r="Y201" t="str">
        <f>IF(Sales_Table[[#This Row],[Payment Method_clean]]="cash","Offline","Online")</f>
        <v>Online</v>
      </c>
      <c r="Z201">
        <f>IFERROR(Sales_Table[[#This Row],[Revenue]],0)</f>
        <v>13485</v>
      </c>
    </row>
    <row r="202" spans="1:26" x14ac:dyDescent="0.3">
      <c r="A202">
        <v>201</v>
      </c>
      <c r="B202" s="2">
        <f t="shared" si="21"/>
        <v>45300.333333333336</v>
      </c>
      <c r="C202" t="s">
        <v>627</v>
      </c>
      <c r="D202" t="s">
        <v>27</v>
      </c>
      <c r="E202" t="str">
        <f>PROPER(TRIM(CLEAN(Sales_Table[[#This Row],[Region]])))</f>
        <v>East</v>
      </c>
      <c r="F202" t="s">
        <v>78</v>
      </c>
      <c r="G202" t="str">
        <f t="shared" si="22"/>
        <v>Grocery</v>
      </c>
      <c r="H202" t="str">
        <f>PROPER(TRIM(CLEAN(Sales_Table[[#This Row],[Product Name]])))</f>
        <v>Washing Machine</v>
      </c>
      <c r="I202" t="s">
        <v>79</v>
      </c>
      <c r="J202" t="str">
        <f t="shared" si="23"/>
        <v>CUST0315</v>
      </c>
      <c r="K202" t="s">
        <v>628</v>
      </c>
      <c r="L202" t="str">
        <f>PROPER(TRIM(CLEAN(Sales_Table[[#This Row],[Salesperson]])))</f>
        <v>Meena</v>
      </c>
      <c r="M202" t="s">
        <v>40</v>
      </c>
      <c r="N202" t="str">
        <f t="shared" si="24"/>
        <v>Net Banking</v>
      </c>
      <c r="O202" t="s">
        <v>60</v>
      </c>
      <c r="P202">
        <f t="shared" si="25"/>
        <v>10</v>
      </c>
      <c r="Q202" t="s">
        <v>117</v>
      </c>
      <c r="R202">
        <f t="shared" si="26"/>
        <v>4598</v>
      </c>
      <c r="S202" t="s">
        <v>629</v>
      </c>
      <c r="T202">
        <f t="shared" si="27"/>
        <v>45980</v>
      </c>
      <c r="U202">
        <f>YEAR(Sales_Table[[#This Row],[Date_clean]])</f>
        <v>2024</v>
      </c>
      <c r="V202" t="str">
        <f>TEXT(Sales_Table[[#This Row],[Date_clean]],"mmmm")</f>
        <v>January</v>
      </c>
      <c r="W202">
        <f>WEEKNUM(Sales_Table[[#This Row],[Date_clean]],2)</f>
        <v>2</v>
      </c>
      <c r="X202" t="str" cm="1">
        <f t="array" ref="X202">_xlfn.IFS(Sales_Table[[#This Row],[Revenue]]&gt;=50000,"High",Sales_Table[[#This Row],[Revenue]]&gt;=20000,"Medium",Sales_Table[[#This Row],[Revenue]]&lt;20000,"Low")</f>
        <v>Medium</v>
      </c>
      <c r="Y202" t="str">
        <f>IF(Sales_Table[[#This Row],[Payment Method_clean]]="cash","Offline","Online")</f>
        <v>Online</v>
      </c>
      <c r="Z202">
        <f>IFERROR(Sales_Table[[#This Row],[Revenue]],0)</f>
        <v>45980</v>
      </c>
    </row>
    <row r="203" spans="1:26" x14ac:dyDescent="0.3">
      <c r="A203">
        <v>202</v>
      </c>
      <c r="B203" s="2">
        <f t="shared" si="21"/>
        <v>45300.375</v>
      </c>
      <c r="C203" t="s">
        <v>630</v>
      </c>
      <c r="D203" t="s">
        <v>36</v>
      </c>
      <c r="E203" t="str">
        <f>PROPER(TRIM(CLEAN(Sales_Table[[#This Row],[Region]])))</f>
        <v>West</v>
      </c>
      <c r="F203" t="s">
        <v>46</v>
      </c>
      <c r="G203" t="str">
        <f t="shared" si="22"/>
        <v>Electronics</v>
      </c>
      <c r="H203" t="str">
        <f>PROPER(TRIM(CLEAN(Sales_Table[[#This Row],[Product Name]])))</f>
        <v>Men T-Shirt</v>
      </c>
      <c r="I203" t="s">
        <v>38</v>
      </c>
      <c r="J203" t="str">
        <f t="shared" si="23"/>
        <v>CUST0563</v>
      </c>
      <c r="K203" t="s">
        <v>631</v>
      </c>
      <c r="L203" t="str">
        <f>PROPER(TRIM(CLEAN(Sales_Table[[#This Row],[Salesperson]])))</f>
        <v>Karthik</v>
      </c>
      <c r="M203" t="s">
        <v>70</v>
      </c>
      <c r="N203" t="str">
        <f t="shared" si="24"/>
        <v>Net Banking</v>
      </c>
      <c r="O203" t="s">
        <v>60</v>
      </c>
      <c r="P203">
        <f t="shared" si="25"/>
        <v>1</v>
      </c>
      <c r="Q203" t="s">
        <v>93</v>
      </c>
      <c r="R203">
        <f t="shared" si="26"/>
        <v>3791</v>
      </c>
      <c r="S203" t="s">
        <v>632</v>
      </c>
      <c r="T203">
        <f t="shared" si="27"/>
        <v>3791</v>
      </c>
      <c r="U203">
        <f>YEAR(Sales_Table[[#This Row],[Date_clean]])</f>
        <v>2024</v>
      </c>
      <c r="V203" t="str">
        <f>TEXT(Sales_Table[[#This Row],[Date_clean]],"mmmm")</f>
        <v>January</v>
      </c>
      <c r="W203">
        <f>WEEKNUM(Sales_Table[[#This Row],[Date_clean]],2)</f>
        <v>2</v>
      </c>
      <c r="X203" t="str" cm="1">
        <f t="array" ref="X203">_xlfn.IFS(Sales_Table[[#This Row],[Revenue]]&gt;=50000,"High",Sales_Table[[#This Row],[Revenue]]&gt;=20000,"Medium",Sales_Table[[#This Row],[Revenue]]&lt;20000,"Low")</f>
        <v>Low</v>
      </c>
      <c r="Y203" t="str">
        <f>IF(Sales_Table[[#This Row],[Payment Method_clean]]="cash","Offline","Online")</f>
        <v>Online</v>
      </c>
      <c r="Z203">
        <f>IFERROR(Sales_Table[[#This Row],[Revenue]],0)</f>
        <v>3791</v>
      </c>
    </row>
    <row r="204" spans="1:26" x14ac:dyDescent="0.3">
      <c r="A204">
        <v>203</v>
      </c>
      <c r="B204" s="2">
        <f t="shared" si="21"/>
        <v>45300.416666666664</v>
      </c>
      <c r="C204" t="s">
        <v>633</v>
      </c>
      <c r="D204" t="s">
        <v>27</v>
      </c>
      <c r="E204" t="str">
        <f>PROPER(TRIM(CLEAN(Sales_Table[[#This Row],[Region]])))</f>
        <v>East</v>
      </c>
      <c r="F204" t="s">
        <v>28</v>
      </c>
      <c r="G204" t="str">
        <f t="shared" si="22"/>
        <v>Clothing</v>
      </c>
      <c r="H204" t="str">
        <f>PROPER(TRIM(CLEAN(Sales_Table[[#This Row],[Product Name]])))</f>
        <v>Washing Machine</v>
      </c>
      <c r="I204" t="s">
        <v>79</v>
      </c>
      <c r="J204" t="str">
        <f t="shared" si="23"/>
        <v>CUST0661</v>
      </c>
      <c r="K204" t="s">
        <v>634</v>
      </c>
      <c r="L204" t="str">
        <f>PROPER(TRIM(CLEAN(Sales_Table[[#This Row],[Salesperson]])))</f>
        <v>Suresh</v>
      </c>
      <c r="M204" t="s">
        <v>54</v>
      </c>
      <c r="N204" t="str">
        <f t="shared" si="24"/>
        <v>Credit Card</v>
      </c>
      <c r="O204" t="s">
        <v>65</v>
      </c>
      <c r="P204">
        <f t="shared" si="25"/>
        <v>3</v>
      </c>
      <c r="Q204" t="s">
        <v>66</v>
      </c>
      <c r="R204">
        <f t="shared" si="26"/>
        <v>3941</v>
      </c>
      <c r="S204" t="s">
        <v>635</v>
      </c>
      <c r="T204">
        <f t="shared" si="27"/>
        <v>11823</v>
      </c>
      <c r="U204">
        <f>YEAR(Sales_Table[[#This Row],[Date_clean]])</f>
        <v>2024</v>
      </c>
      <c r="V204" t="str">
        <f>TEXT(Sales_Table[[#This Row],[Date_clean]],"mmmm")</f>
        <v>January</v>
      </c>
      <c r="W204">
        <f>WEEKNUM(Sales_Table[[#This Row],[Date_clean]],2)</f>
        <v>2</v>
      </c>
      <c r="X204" t="str" cm="1">
        <f t="array" ref="X204">_xlfn.IFS(Sales_Table[[#This Row],[Revenue]]&gt;=50000,"High",Sales_Table[[#This Row],[Revenue]]&gt;=20000,"Medium",Sales_Table[[#This Row],[Revenue]]&lt;20000,"Low")</f>
        <v>Low</v>
      </c>
      <c r="Y204" t="str">
        <f>IF(Sales_Table[[#This Row],[Payment Method_clean]]="cash","Offline","Online")</f>
        <v>Online</v>
      </c>
      <c r="Z204">
        <f>IFERROR(Sales_Table[[#This Row],[Revenue]],0)</f>
        <v>11823</v>
      </c>
    </row>
    <row r="205" spans="1:26" x14ac:dyDescent="0.3">
      <c r="A205">
        <v>204</v>
      </c>
      <c r="B205" s="2">
        <f t="shared" si="21"/>
        <v>45300.458333333336</v>
      </c>
      <c r="C205" t="s">
        <v>636</v>
      </c>
      <c r="D205" t="s">
        <v>45</v>
      </c>
      <c r="E205" t="str">
        <f>PROPER(TRIM(CLEAN(Sales_Table[[#This Row],[Region]])))</f>
        <v>North</v>
      </c>
      <c r="F205" t="s">
        <v>28</v>
      </c>
      <c r="G205" t="str">
        <f t="shared" si="22"/>
        <v>Clothing</v>
      </c>
      <c r="H205" t="str">
        <f>PROPER(TRIM(CLEAN(Sales_Table[[#This Row],[Product Name]])))</f>
        <v>Mixer Grinder</v>
      </c>
      <c r="I205" t="s">
        <v>29</v>
      </c>
      <c r="J205" t="str">
        <f t="shared" si="23"/>
        <v>CUST0780</v>
      </c>
      <c r="K205" t="s">
        <v>637</v>
      </c>
      <c r="L205" t="str">
        <f>PROPER(TRIM(CLEAN(Sales_Table[[#This Row],[Salesperson]])))</f>
        <v>Anita</v>
      </c>
      <c r="M205" t="s">
        <v>64</v>
      </c>
      <c r="N205" t="str">
        <f t="shared" si="24"/>
        <v>Upi</v>
      </c>
      <c r="O205" t="s">
        <v>48</v>
      </c>
      <c r="P205">
        <f t="shared" si="25"/>
        <v>3</v>
      </c>
      <c r="Q205" t="s">
        <v>66</v>
      </c>
      <c r="R205">
        <f t="shared" si="26"/>
        <v>4448</v>
      </c>
      <c r="S205" t="s">
        <v>638</v>
      </c>
      <c r="T205">
        <f t="shared" si="27"/>
        <v>13344</v>
      </c>
      <c r="U205">
        <f>YEAR(Sales_Table[[#This Row],[Date_clean]])</f>
        <v>2024</v>
      </c>
      <c r="V205" t="str">
        <f>TEXT(Sales_Table[[#This Row],[Date_clean]],"mmmm")</f>
        <v>January</v>
      </c>
      <c r="W205">
        <f>WEEKNUM(Sales_Table[[#This Row],[Date_clean]],2)</f>
        <v>2</v>
      </c>
      <c r="X205" t="str" cm="1">
        <f t="array" ref="X205">_xlfn.IFS(Sales_Table[[#This Row],[Revenue]]&gt;=50000,"High",Sales_Table[[#This Row],[Revenue]]&gt;=20000,"Medium",Sales_Table[[#This Row],[Revenue]]&lt;20000,"Low")</f>
        <v>Low</v>
      </c>
      <c r="Y205" t="str">
        <f>IF(Sales_Table[[#This Row],[Payment Method_clean]]="cash","Offline","Online")</f>
        <v>Online</v>
      </c>
      <c r="Z205">
        <f>IFERROR(Sales_Table[[#This Row],[Revenue]],0)</f>
        <v>13344</v>
      </c>
    </row>
    <row r="206" spans="1:26" x14ac:dyDescent="0.3">
      <c r="A206">
        <v>205</v>
      </c>
      <c r="B206" s="2">
        <f t="shared" si="21"/>
        <v>45300.5</v>
      </c>
      <c r="C206" t="s">
        <v>639</v>
      </c>
      <c r="D206" t="s">
        <v>36</v>
      </c>
      <c r="E206" t="str">
        <f>PROPER(TRIM(CLEAN(Sales_Table[[#This Row],[Region]])))</f>
        <v>West</v>
      </c>
      <c r="F206" t="s">
        <v>78</v>
      </c>
      <c r="G206" t="str">
        <f t="shared" si="22"/>
        <v>Grocery</v>
      </c>
      <c r="H206" t="str">
        <f>PROPER(TRIM(CLEAN(Sales_Table[[#This Row],[Product Name]])))</f>
        <v>Washing Machine</v>
      </c>
      <c r="I206" t="s">
        <v>79</v>
      </c>
      <c r="J206" t="str">
        <f t="shared" si="23"/>
        <v>CUST0562</v>
      </c>
      <c r="K206" t="s">
        <v>640</v>
      </c>
      <c r="L206" t="str">
        <f>PROPER(TRIM(CLEAN(Sales_Table[[#This Row],[Salesperson]])))</f>
        <v>Rahul</v>
      </c>
      <c r="M206" t="s">
        <v>31</v>
      </c>
      <c r="N206" t="str">
        <f t="shared" si="24"/>
        <v>Upi</v>
      </c>
      <c r="O206" t="s">
        <v>48</v>
      </c>
      <c r="P206">
        <f t="shared" si="25"/>
        <v>7</v>
      </c>
      <c r="Q206" t="s">
        <v>49</v>
      </c>
      <c r="R206">
        <f t="shared" si="26"/>
        <v>1492</v>
      </c>
      <c r="S206" t="s">
        <v>641</v>
      </c>
      <c r="T206">
        <f t="shared" si="27"/>
        <v>10444</v>
      </c>
      <c r="U206">
        <f>YEAR(Sales_Table[[#This Row],[Date_clean]])</f>
        <v>2024</v>
      </c>
      <c r="V206" t="str">
        <f>TEXT(Sales_Table[[#This Row],[Date_clean]],"mmmm")</f>
        <v>January</v>
      </c>
      <c r="W206">
        <f>WEEKNUM(Sales_Table[[#This Row],[Date_clean]],2)</f>
        <v>2</v>
      </c>
      <c r="X206" t="str" cm="1">
        <f t="array" ref="X206">_xlfn.IFS(Sales_Table[[#This Row],[Revenue]]&gt;=50000,"High",Sales_Table[[#This Row],[Revenue]]&gt;=20000,"Medium",Sales_Table[[#This Row],[Revenue]]&lt;20000,"Low")</f>
        <v>Low</v>
      </c>
      <c r="Y206" t="str">
        <f>IF(Sales_Table[[#This Row],[Payment Method_clean]]="cash","Offline","Online")</f>
        <v>Online</v>
      </c>
      <c r="Z206">
        <f>IFERROR(Sales_Table[[#This Row],[Revenue]],0)</f>
        <v>10444</v>
      </c>
    </row>
    <row r="207" spans="1:26" x14ac:dyDescent="0.3">
      <c r="A207">
        <v>206</v>
      </c>
      <c r="B207" s="2">
        <f t="shared" si="21"/>
        <v>45300.541666666664</v>
      </c>
      <c r="C207" t="s">
        <v>642</v>
      </c>
      <c r="D207" t="s">
        <v>45</v>
      </c>
      <c r="E207" t="str">
        <f>PROPER(TRIM(CLEAN(Sales_Table[[#This Row],[Region]])))</f>
        <v>North</v>
      </c>
      <c r="F207" t="s">
        <v>78</v>
      </c>
      <c r="G207" t="str">
        <f t="shared" si="22"/>
        <v>Grocery</v>
      </c>
      <c r="H207" t="str">
        <f>PROPER(TRIM(CLEAN(Sales_Table[[#This Row],[Product Name]])))</f>
        <v>Rice 5Kg</v>
      </c>
      <c r="I207" t="s">
        <v>73</v>
      </c>
      <c r="J207" t="str">
        <f t="shared" si="23"/>
        <v>CUST0758</v>
      </c>
      <c r="K207" t="s">
        <v>643</v>
      </c>
      <c r="L207" t="str">
        <f>PROPER(TRIM(CLEAN(Sales_Table[[#This Row],[Salesperson]])))</f>
        <v>Rahul</v>
      </c>
      <c r="M207" t="s">
        <v>31</v>
      </c>
      <c r="N207" t="str">
        <f t="shared" si="24"/>
        <v>Debit Card</v>
      </c>
      <c r="O207" t="s">
        <v>41</v>
      </c>
      <c r="P207">
        <f t="shared" si="25"/>
        <v>7</v>
      </c>
      <c r="Q207" t="s">
        <v>49</v>
      </c>
      <c r="R207">
        <f t="shared" si="26"/>
        <v>3850</v>
      </c>
      <c r="S207" t="s">
        <v>644</v>
      </c>
      <c r="T207">
        <f t="shared" si="27"/>
        <v>26950</v>
      </c>
      <c r="U207">
        <f>YEAR(Sales_Table[[#This Row],[Date_clean]])</f>
        <v>2024</v>
      </c>
      <c r="V207" t="str">
        <f>TEXT(Sales_Table[[#This Row],[Date_clean]],"mmmm")</f>
        <v>January</v>
      </c>
      <c r="W207">
        <f>WEEKNUM(Sales_Table[[#This Row],[Date_clean]],2)</f>
        <v>2</v>
      </c>
      <c r="X207" t="str" cm="1">
        <f t="array" ref="X207">_xlfn.IFS(Sales_Table[[#This Row],[Revenue]]&gt;=50000,"High",Sales_Table[[#This Row],[Revenue]]&gt;=20000,"Medium",Sales_Table[[#This Row],[Revenue]]&lt;20000,"Low")</f>
        <v>Medium</v>
      </c>
      <c r="Y207" t="str">
        <f>IF(Sales_Table[[#This Row],[Payment Method_clean]]="cash","Offline","Online")</f>
        <v>Online</v>
      </c>
      <c r="Z207">
        <f>IFERROR(Sales_Table[[#This Row],[Revenue]],0)</f>
        <v>26950</v>
      </c>
    </row>
    <row r="208" spans="1:26" x14ac:dyDescent="0.3">
      <c r="A208">
        <v>207</v>
      </c>
      <c r="B208" s="2">
        <f t="shared" si="21"/>
        <v>45300.583333333336</v>
      </c>
      <c r="C208" t="s">
        <v>645</v>
      </c>
      <c r="D208" t="s">
        <v>36</v>
      </c>
      <c r="E208" t="str">
        <f>PROPER(TRIM(CLEAN(Sales_Table[[#This Row],[Region]])))</f>
        <v>West</v>
      </c>
      <c r="F208" t="s">
        <v>28</v>
      </c>
      <c r="G208" t="str">
        <f t="shared" si="22"/>
        <v>Clothing</v>
      </c>
      <c r="H208" t="str">
        <f>PROPER(TRIM(CLEAN(Sales_Table[[#This Row],[Product Name]])))</f>
        <v>Mixer Grinder</v>
      </c>
      <c r="I208" t="s">
        <v>29</v>
      </c>
      <c r="J208" t="str">
        <f t="shared" si="23"/>
        <v>CUST0113</v>
      </c>
      <c r="K208" t="s">
        <v>646</v>
      </c>
      <c r="L208" t="str">
        <f>PROPER(TRIM(CLEAN(Sales_Table[[#This Row],[Salesperson]])))</f>
        <v>Anita</v>
      </c>
      <c r="M208" t="s">
        <v>64</v>
      </c>
      <c r="N208" t="str">
        <f t="shared" si="24"/>
        <v>Cash</v>
      </c>
      <c r="O208" t="s">
        <v>32</v>
      </c>
      <c r="P208">
        <f t="shared" si="25"/>
        <v>13</v>
      </c>
      <c r="Q208" t="s">
        <v>81</v>
      </c>
      <c r="R208">
        <f t="shared" si="26"/>
        <v>4355</v>
      </c>
      <c r="S208" t="s">
        <v>647</v>
      </c>
      <c r="T208">
        <f t="shared" si="27"/>
        <v>56615</v>
      </c>
      <c r="U208">
        <f>YEAR(Sales_Table[[#This Row],[Date_clean]])</f>
        <v>2024</v>
      </c>
      <c r="V208" t="str">
        <f>TEXT(Sales_Table[[#This Row],[Date_clean]],"mmmm")</f>
        <v>January</v>
      </c>
      <c r="W208">
        <f>WEEKNUM(Sales_Table[[#This Row],[Date_clean]],2)</f>
        <v>2</v>
      </c>
      <c r="X208" t="str" cm="1">
        <f t="array" ref="X208">_xlfn.IFS(Sales_Table[[#This Row],[Revenue]]&gt;=50000,"High",Sales_Table[[#This Row],[Revenue]]&gt;=20000,"Medium",Sales_Table[[#This Row],[Revenue]]&lt;20000,"Low")</f>
        <v>High</v>
      </c>
      <c r="Y208" t="str">
        <f>IF(Sales_Table[[#This Row],[Payment Method_clean]]="cash","Offline","Online")</f>
        <v>Offline</v>
      </c>
      <c r="Z208">
        <f>IFERROR(Sales_Table[[#This Row],[Revenue]],0)</f>
        <v>56615</v>
      </c>
    </row>
    <row r="209" spans="1:26" x14ac:dyDescent="0.3">
      <c r="A209">
        <v>208</v>
      </c>
      <c r="B209" s="2">
        <f t="shared" si="21"/>
        <v>45300.625</v>
      </c>
      <c r="C209" t="s">
        <v>648</v>
      </c>
      <c r="D209" t="s">
        <v>36</v>
      </c>
      <c r="E209" t="str">
        <f>PROPER(TRIM(CLEAN(Sales_Table[[#This Row],[Region]])))</f>
        <v>West</v>
      </c>
      <c r="F209" t="s">
        <v>37</v>
      </c>
      <c r="G209" t="str">
        <f t="shared" si="22"/>
        <v>Home Appliances</v>
      </c>
      <c r="H209" t="str">
        <f>PROPER(TRIM(CLEAN(Sales_Table[[#This Row],[Product Name]])))</f>
        <v>Laptop</v>
      </c>
      <c r="I209" t="s">
        <v>52</v>
      </c>
      <c r="J209" t="str">
        <f t="shared" si="23"/>
        <v>CUST0170</v>
      </c>
      <c r="K209" t="s">
        <v>649</v>
      </c>
      <c r="L209" t="str">
        <f>PROPER(TRIM(CLEAN(Sales_Table[[#This Row],[Salesperson]])))</f>
        <v>Rahul</v>
      </c>
      <c r="M209" t="s">
        <v>31</v>
      </c>
      <c r="N209" t="str">
        <f t="shared" si="24"/>
        <v>Upi</v>
      </c>
      <c r="O209" t="s">
        <v>48</v>
      </c>
      <c r="P209">
        <f t="shared" si="25"/>
        <v>12</v>
      </c>
      <c r="Q209" t="s">
        <v>33</v>
      </c>
      <c r="R209">
        <f t="shared" si="26"/>
        <v>3108</v>
      </c>
      <c r="S209" t="s">
        <v>650</v>
      </c>
      <c r="T209">
        <f t="shared" si="27"/>
        <v>37296</v>
      </c>
      <c r="U209">
        <f>YEAR(Sales_Table[[#This Row],[Date_clean]])</f>
        <v>2024</v>
      </c>
      <c r="V209" t="str">
        <f>TEXT(Sales_Table[[#This Row],[Date_clean]],"mmmm")</f>
        <v>January</v>
      </c>
      <c r="W209">
        <f>WEEKNUM(Sales_Table[[#This Row],[Date_clean]],2)</f>
        <v>2</v>
      </c>
      <c r="X209" t="str" cm="1">
        <f t="array" ref="X209">_xlfn.IFS(Sales_Table[[#This Row],[Revenue]]&gt;=50000,"High",Sales_Table[[#This Row],[Revenue]]&gt;=20000,"Medium",Sales_Table[[#This Row],[Revenue]]&lt;20000,"Low")</f>
        <v>Medium</v>
      </c>
      <c r="Y209" t="str">
        <f>IF(Sales_Table[[#This Row],[Payment Method_clean]]="cash","Offline","Online")</f>
        <v>Online</v>
      </c>
      <c r="Z209">
        <f>IFERROR(Sales_Table[[#This Row],[Revenue]],0)</f>
        <v>37296</v>
      </c>
    </row>
    <row r="210" spans="1:26" x14ac:dyDescent="0.3">
      <c r="A210">
        <v>209</v>
      </c>
      <c r="B210" s="2">
        <f t="shared" si="21"/>
        <v>45300.666666666664</v>
      </c>
      <c r="C210" t="s">
        <v>651</v>
      </c>
      <c r="D210" t="s">
        <v>84</v>
      </c>
      <c r="E210" t="str">
        <f>PROPER(TRIM(CLEAN(Sales_Table[[#This Row],[Region]])))</f>
        <v>South</v>
      </c>
      <c r="F210" t="s">
        <v>46</v>
      </c>
      <c r="G210" t="str">
        <f t="shared" si="22"/>
        <v>Electronics</v>
      </c>
      <c r="H210" t="str">
        <f>PROPER(TRIM(CLEAN(Sales_Table[[#This Row],[Product Name]])))</f>
        <v>Led Tv 42Inch</v>
      </c>
      <c r="I210" t="s">
        <v>58</v>
      </c>
      <c r="J210" t="str">
        <f t="shared" si="23"/>
        <v>CUST0468</v>
      </c>
      <c r="K210" t="s">
        <v>652</v>
      </c>
      <c r="L210" t="str">
        <f>PROPER(TRIM(CLEAN(Sales_Table[[#This Row],[Salesperson]])))</f>
        <v>Rahul</v>
      </c>
      <c r="M210" t="s">
        <v>31</v>
      </c>
      <c r="N210" t="str">
        <f t="shared" si="24"/>
        <v>Credit Card</v>
      </c>
      <c r="O210" t="s">
        <v>65</v>
      </c>
      <c r="P210">
        <f t="shared" si="25"/>
        <v>1</v>
      </c>
      <c r="Q210" t="s">
        <v>93</v>
      </c>
      <c r="R210">
        <f t="shared" si="26"/>
        <v>4400</v>
      </c>
      <c r="S210" t="s">
        <v>653</v>
      </c>
      <c r="T210">
        <f t="shared" si="27"/>
        <v>4400</v>
      </c>
      <c r="U210">
        <f>YEAR(Sales_Table[[#This Row],[Date_clean]])</f>
        <v>2024</v>
      </c>
      <c r="V210" t="str">
        <f>TEXT(Sales_Table[[#This Row],[Date_clean]],"mmmm")</f>
        <v>January</v>
      </c>
      <c r="W210">
        <f>WEEKNUM(Sales_Table[[#This Row],[Date_clean]],2)</f>
        <v>2</v>
      </c>
      <c r="X210" t="str" cm="1">
        <f t="array" ref="X210">_xlfn.IFS(Sales_Table[[#This Row],[Revenue]]&gt;=50000,"High",Sales_Table[[#This Row],[Revenue]]&gt;=20000,"Medium",Sales_Table[[#This Row],[Revenue]]&lt;20000,"Low")</f>
        <v>Low</v>
      </c>
      <c r="Y210" t="str">
        <f>IF(Sales_Table[[#This Row],[Payment Method_clean]]="cash","Offline","Online")</f>
        <v>Online</v>
      </c>
      <c r="Z210">
        <f>IFERROR(Sales_Table[[#This Row],[Revenue]],0)</f>
        <v>4400</v>
      </c>
    </row>
    <row r="211" spans="1:26" x14ac:dyDescent="0.3">
      <c r="A211">
        <v>210</v>
      </c>
      <c r="B211" s="2">
        <f t="shared" si="21"/>
        <v>45300.708333333336</v>
      </c>
      <c r="C211" t="s">
        <v>654</v>
      </c>
      <c r="D211" t="s">
        <v>45</v>
      </c>
      <c r="E211" t="str">
        <f>PROPER(TRIM(CLEAN(Sales_Table[[#This Row],[Region]])))</f>
        <v>North</v>
      </c>
      <c r="F211" t="s">
        <v>78</v>
      </c>
      <c r="G211" t="str">
        <f t="shared" si="22"/>
        <v>Grocery</v>
      </c>
      <c r="H211" t="str">
        <f>PROPER(TRIM(CLEAN(Sales_Table[[#This Row],[Product Name]])))</f>
        <v>Laptop</v>
      </c>
      <c r="I211" t="s">
        <v>52</v>
      </c>
      <c r="J211" t="str">
        <f t="shared" si="23"/>
        <v>CUST0678</v>
      </c>
      <c r="K211" t="s">
        <v>317</v>
      </c>
      <c r="L211" t="str">
        <f>PROPER(TRIM(CLEAN(Sales_Table[[#This Row],[Salesperson]])))</f>
        <v>Anita</v>
      </c>
      <c r="M211" t="s">
        <v>64</v>
      </c>
      <c r="N211" t="str">
        <f t="shared" si="24"/>
        <v>Upi</v>
      </c>
      <c r="O211" t="s">
        <v>48</v>
      </c>
      <c r="P211">
        <f t="shared" si="25"/>
        <v>3</v>
      </c>
      <c r="Q211" t="s">
        <v>66</v>
      </c>
      <c r="R211">
        <f t="shared" si="26"/>
        <v>3438</v>
      </c>
      <c r="S211" t="s">
        <v>655</v>
      </c>
      <c r="T211">
        <f t="shared" si="27"/>
        <v>10314</v>
      </c>
      <c r="U211">
        <f>YEAR(Sales_Table[[#This Row],[Date_clean]])</f>
        <v>2024</v>
      </c>
      <c r="V211" t="str">
        <f>TEXT(Sales_Table[[#This Row],[Date_clean]],"mmmm")</f>
        <v>January</v>
      </c>
      <c r="W211">
        <f>WEEKNUM(Sales_Table[[#This Row],[Date_clean]],2)</f>
        <v>2</v>
      </c>
      <c r="X211" t="str" cm="1">
        <f t="array" ref="X211">_xlfn.IFS(Sales_Table[[#This Row],[Revenue]]&gt;=50000,"High",Sales_Table[[#This Row],[Revenue]]&gt;=20000,"Medium",Sales_Table[[#This Row],[Revenue]]&lt;20000,"Low")</f>
        <v>Low</v>
      </c>
      <c r="Y211" t="str">
        <f>IF(Sales_Table[[#This Row],[Payment Method_clean]]="cash","Offline","Online")</f>
        <v>Online</v>
      </c>
      <c r="Z211">
        <f>IFERROR(Sales_Table[[#This Row],[Revenue]],0)</f>
        <v>10314</v>
      </c>
    </row>
    <row r="212" spans="1:26" x14ac:dyDescent="0.3">
      <c r="A212">
        <v>211</v>
      </c>
      <c r="B212" s="2">
        <f t="shared" si="21"/>
        <v>45300.75</v>
      </c>
      <c r="C212" t="s">
        <v>656</v>
      </c>
      <c r="D212" t="s">
        <v>27</v>
      </c>
      <c r="E212" t="str">
        <f>PROPER(TRIM(CLEAN(Sales_Table[[#This Row],[Region]])))</f>
        <v>East</v>
      </c>
      <c r="F212" t="s">
        <v>78</v>
      </c>
      <c r="G212" t="str">
        <f t="shared" si="22"/>
        <v>Grocery</v>
      </c>
      <c r="H212" t="str">
        <f>PROPER(TRIM(CLEAN(Sales_Table[[#This Row],[Product Name]])))</f>
        <v>Men T-Shirt</v>
      </c>
      <c r="I212" t="s">
        <v>38</v>
      </c>
      <c r="J212" t="str">
        <f t="shared" si="23"/>
        <v>CUST0014</v>
      </c>
      <c r="K212" t="s">
        <v>657</v>
      </c>
      <c r="L212" t="str">
        <f>PROPER(TRIM(CLEAN(Sales_Table[[#This Row],[Salesperson]])))</f>
        <v>Anita</v>
      </c>
      <c r="M212" t="s">
        <v>64</v>
      </c>
      <c r="N212" t="str">
        <f t="shared" si="24"/>
        <v>Net Banking</v>
      </c>
      <c r="O212" t="s">
        <v>60</v>
      </c>
      <c r="P212">
        <f t="shared" si="25"/>
        <v>13</v>
      </c>
      <c r="Q212" t="s">
        <v>81</v>
      </c>
      <c r="R212">
        <f t="shared" si="26"/>
        <v>3614</v>
      </c>
      <c r="S212" t="s">
        <v>658</v>
      </c>
      <c r="T212">
        <f t="shared" si="27"/>
        <v>46982</v>
      </c>
      <c r="U212">
        <f>YEAR(Sales_Table[[#This Row],[Date_clean]])</f>
        <v>2024</v>
      </c>
      <c r="V212" t="str">
        <f>TEXT(Sales_Table[[#This Row],[Date_clean]],"mmmm")</f>
        <v>January</v>
      </c>
      <c r="W212">
        <f>WEEKNUM(Sales_Table[[#This Row],[Date_clean]],2)</f>
        <v>2</v>
      </c>
      <c r="X212" t="str" cm="1">
        <f t="array" ref="X212">_xlfn.IFS(Sales_Table[[#This Row],[Revenue]]&gt;=50000,"High",Sales_Table[[#This Row],[Revenue]]&gt;=20000,"Medium",Sales_Table[[#This Row],[Revenue]]&lt;20000,"Low")</f>
        <v>Medium</v>
      </c>
      <c r="Y212" t="str">
        <f>IF(Sales_Table[[#This Row],[Payment Method_clean]]="cash","Offline","Online")</f>
        <v>Online</v>
      </c>
      <c r="Z212">
        <f>IFERROR(Sales_Table[[#This Row],[Revenue]],0)</f>
        <v>46982</v>
      </c>
    </row>
    <row r="213" spans="1:26" x14ac:dyDescent="0.3">
      <c r="A213">
        <v>212</v>
      </c>
      <c r="B213" s="2">
        <f t="shared" si="21"/>
        <v>45300.791666666664</v>
      </c>
      <c r="C213" t="s">
        <v>659</v>
      </c>
      <c r="D213" t="s">
        <v>27</v>
      </c>
      <c r="E213" t="str">
        <f>PROPER(TRIM(CLEAN(Sales_Table[[#This Row],[Region]])))</f>
        <v>East</v>
      </c>
      <c r="F213" t="s">
        <v>28</v>
      </c>
      <c r="G213" t="str">
        <f t="shared" si="22"/>
        <v>Clothing</v>
      </c>
      <c r="H213" t="str">
        <f>PROPER(TRIM(CLEAN(Sales_Table[[#This Row],[Product Name]])))</f>
        <v>Mixer Grinder</v>
      </c>
      <c r="I213" t="s">
        <v>29</v>
      </c>
      <c r="J213" t="str">
        <f t="shared" si="23"/>
        <v>CUST0715</v>
      </c>
      <c r="K213" t="s">
        <v>660</v>
      </c>
      <c r="L213" t="str">
        <f>PROPER(TRIM(CLEAN(Sales_Table[[#This Row],[Salesperson]])))</f>
        <v>Suresh</v>
      </c>
      <c r="M213" t="s">
        <v>54</v>
      </c>
      <c r="N213" t="str">
        <f t="shared" si="24"/>
        <v>Cash</v>
      </c>
      <c r="O213" t="s">
        <v>32</v>
      </c>
      <c r="P213">
        <f t="shared" si="25"/>
        <v>8</v>
      </c>
      <c r="Q213" t="s">
        <v>42</v>
      </c>
      <c r="R213">
        <f t="shared" si="26"/>
        <v>859</v>
      </c>
      <c r="S213" t="s">
        <v>661</v>
      </c>
      <c r="T213">
        <f t="shared" si="27"/>
        <v>6872</v>
      </c>
      <c r="U213">
        <f>YEAR(Sales_Table[[#This Row],[Date_clean]])</f>
        <v>2024</v>
      </c>
      <c r="V213" t="str">
        <f>TEXT(Sales_Table[[#This Row],[Date_clean]],"mmmm")</f>
        <v>January</v>
      </c>
      <c r="W213">
        <f>WEEKNUM(Sales_Table[[#This Row],[Date_clean]],2)</f>
        <v>2</v>
      </c>
      <c r="X213" t="str" cm="1">
        <f t="array" ref="X213">_xlfn.IFS(Sales_Table[[#This Row],[Revenue]]&gt;=50000,"High",Sales_Table[[#This Row],[Revenue]]&gt;=20000,"Medium",Sales_Table[[#This Row],[Revenue]]&lt;20000,"Low")</f>
        <v>Low</v>
      </c>
      <c r="Y213" t="str">
        <f>IF(Sales_Table[[#This Row],[Payment Method_clean]]="cash","Offline","Online")</f>
        <v>Offline</v>
      </c>
      <c r="Z213">
        <f>IFERROR(Sales_Table[[#This Row],[Revenue]],0)</f>
        <v>6872</v>
      </c>
    </row>
    <row r="214" spans="1:26" x14ac:dyDescent="0.3">
      <c r="A214">
        <v>213</v>
      </c>
      <c r="B214" s="2">
        <f t="shared" si="21"/>
        <v>45300.833333333336</v>
      </c>
      <c r="C214" t="s">
        <v>662</v>
      </c>
      <c r="D214" t="s">
        <v>45</v>
      </c>
      <c r="E214" t="str">
        <f>PROPER(TRIM(CLEAN(Sales_Table[[#This Row],[Region]])))</f>
        <v>North</v>
      </c>
      <c r="F214" t="s">
        <v>46</v>
      </c>
      <c r="G214" t="str">
        <f t="shared" si="22"/>
        <v>Electronics</v>
      </c>
      <c r="H214" t="str">
        <f>PROPER(TRIM(CLEAN(Sales_Table[[#This Row],[Product Name]])))</f>
        <v>Mixer Grinder</v>
      </c>
      <c r="I214" t="s">
        <v>29</v>
      </c>
      <c r="J214" t="str">
        <f t="shared" si="23"/>
        <v>CUST0288</v>
      </c>
      <c r="K214" t="s">
        <v>663</v>
      </c>
      <c r="L214" t="str">
        <f>PROPER(TRIM(CLEAN(Sales_Table[[#This Row],[Salesperson]])))</f>
        <v>Suresh</v>
      </c>
      <c r="M214" t="s">
        <v>54</v>
      </c>
      <c r="N214" t="str">
        <f t="shared" si="24"/>
        <v>Debit Card</v>
      </c>
      <c r="O214" t="s">
        <v>41</v>
      </c>
      <c r="P214">
        <f t="shared" si="25"/>
        <v>9</v>
      </c>
      <c r="Q214" t="s">
        <v>130</v>
      </c>
      <c r="R214">
        <f t="shared" si="26"/>
        <v>2868</v>
      </c>
      <c r="S214" t="s">
        <v>664</v>
      </c>
      <c r="T214">
        <f t="shared" si="27"/>
        <v>25812</v>
      </c>
      <c r="U214">
        <f>YEAR(Sales_Table[[#This Row],[Date_clean]])</f>
        <v>2024</v>
      </c>
      <c r="V214" t="str">
        <f>TEXT(Sales_Table[[#This Row],[Date_clean]],"mmmm")</f>
        <v>January</v>
      </c>
      <c r="W214">
        <f>WEEKNUM(Sales_Table[[#This Row],[Date_clean]],2)</f>
        <v>2</v>
      </c>
      <c r="X214" t="str" cm="1">
        <f t="array" ref="X214">_xlfn.IFS(Sales_Table[[#This Row],[Revenue]]&gt;=50000,"High",Sales_Table[[#This Row],[Revenue]]&gt;=20000,"Medium",Sales_Table[[#This Row],[Revenue]]&lt;20000,"Low")</f>
        <v>Medium</v>
      </c>
      <c r="Y214" t="str">
        <f>IF(Sales_Table[[#This Row],[Payment Method_clean]]="cash","Offline","Online")</f>
        <v>Online</v>
      </c>
      <c r="Z214">
        <f>IFERROR(Sales_Table[[#This Row],[Revenue]],0)</f>
        <v>25812</v>
      </c>
    </row>
    <row r="215" spans="1:26" x14ac:dyDescent="0.3">
      <c r="A215">
        <v>214</v>
      </c>
      <c r="B215" s="2">
        <f t="shared" si="21"/>
        <v>45300.875</v>
      </c>
      <c r="C215" t="s">
        <v>665</v>
      </c>
      <c r="D215" t="s">
        <v>27</v>
      </c>
      <c r="E215" t="str">
        <f>PROPER(TRIM(CLEAN(Sales_Table[[#This Row],[Region]])))</f>
        <v>East</v>
      </c>
      <c r="F215" t="s">
        <v>28</v>
      </c>
      <c r="G215" t="str">
        <f t="shared" si="22"/>
        <v>Clothing</v>
      </c>
      <c r="H215" t="str">
        <f>PROPER(TRIM(CLEAN(Sales_Table[[#This Row],[Product Name]])))</f>
        <v>Rice 5Kg</v>
      </c>
      <c r="I215" t="s">
        <v>73</v>
      </c>
      <c r="J215" t="str">
        <f t="shared" si="23"/>
        <v>CUST0189</v>
      </c>
      <c r="K215" t="s">
        <v>666</v>
      </c>
      <c r="L215" t="str">
        <f>PROPER(TRIM(CLEAN(Sales_Table[[#This Row],[Salesperson]])))</f>
        <v>Anita</v>
      </c>
      <c r="M215" t="s">
        <v>64</v>
      </c>
      <c r="N215" t="str">
        <f t="shared" si="24"/>
        <v>Cash</v>
      </c>
      <c r="O215" t="s">
        <v>32</v>
      </c>
      <c r="P215">
        <f t="shared" si="25"/>
        <v>7</v>
      </c>
      <c r="Q215" t="s">
        <v>49</v>
      </c>
      <c r="R215">
        <f t="shared" si="26"/>
        <v>3188</v>
      </c>
      <c r="S215" t="s">
        <v>667</v>
      </c>
      <c r="T215">
        <f t="shared" si="27"/>
        <v>22316</v>
      </c>
      <c r="U215">
        <f>YEAR(Sales_Table[[#This Row],[Date_clean]])</f>
        <v>2024</v>
      </c>
      <c r="V215" t="str">
        <f>TEXT(Sales_Table[[#This Row],[Date_clean]],"mmmm")</f>
        <v>January</v>
      </c>
      <c r="W215">
        <f>WEEKNUM(Sales_Table[[#This Row],[Date_clean]],2)</f>
        <v>2</v>
      </c>
      <c r="X215" t="str" cm="1">
        <f t="array" ref="X215">_xlfn.IFS(Sales_Table[[#This Row],[Revenue]]&gt;=50000,"High",Sales_Table[[#This Row],[Revenue]]&gt;=20000,"Medium",Sales_Table[[#This Row],[Revenue]]&lt;20000,"Low")</f>
        <v>Medium</v>
      </c>
      <c r="Y215" t="str">
        <f>IF(Sales_Table[[#This Row],[Payment Method_clean]]="cash","Offline","Online")</f>
        <v>Offline</v>
      </c>
      <c r="Z215">
        <f>IFERROR(Sales_Table[[#This Row],[Revenue]],0)</f>
        <v>22316</v>
      </c>
    </row>
    <row r="216" spans="1:26" x14ac:dyDescent="0.3">
      <c r="A216">
        <v>215</v>
      </c>
      <c r="B216" s="2">
        <f t="shared" si="21"/>
        <v>45300.916666666664</v>
      </c>
      <c r="C216" t="s">
        <v>668</v>
      </c>
      <c r="D216" t="s">
        <v>27</v>
      </c>
      <c r="E216" t="str">
        <f>PROPER(TRIM(CLEAN(Sales_Table[[#This Row],[Region]])))</f>
        <v>East</v>
      </c>
      <c r="F216" t="s">
        <v>46</v>
      </c>
      <c r="G216" t="str">
        <f t="shared" si="22"/>
        <v>Electronics</v>
      </c>
      <c r="H216" t="str">
        <f>PROPER(TRIM(CLEAN(Sales_Table[[#This Row],[Product Name]])))</f>
        <v>Men T-Shirt</v>
      </c>
      <c r="I216" t="s">
        <v>38</v>
      </c>
      <c r="J216" t="str">
        <f t="shared" si="23"/>
        <v>CUST0155</v>
      </c>
      <c r="K216" t="s">
        <v>669</v>
      </c>
      <c r="L216" t="str">
        <f>PROPER(TRIM(CLEAN(Sales_Table[[#This Row],[Salesperson]])))</f>
        <v>Meena</v>
      </c>
      <c r="M216" t="s">
        <v>40</v>
      </c>
      <c r="N216" t="str">
        <f t="shared" si="24"/>
        <v>Net Banking</v>
      </c>
      <c r="O216" t="s">
        <v>60</v>
      </c>
      <c r="P216">
        <f t="shared" si="25"/>
        <v>7</v>
      </c>
      <c r="Q216" t="s">
        <v>49</v>
      </c>
      <c r="R216">
        <f t="shared" si="26"/>
        <v>2215</v>
      </c>
      <c r="S216" t="s">
        <v>670</v>
      </c>
      <c r="T216">
        <f t="shared" si="27"/>
        <v>15505</v>
      </c>
      <c r="U216">
        <f>YEAR(Sales_Table[[#This Row],[Date_clean]])</f>
        <v>2024</v>
      </c>
      <c r="V216" t="str">
        <f>TEXT(Sales_Table[[#This Row],[Date_clean]],"mmmm")</f>
        <v>January</v>
      </c>
      <c r="W216">
        <f>WEEKNUM(Sales_Table[[#This Row],[Date_clean]],2)</f>
        <v>2</v>
      </c>
      <c r="X216" t="str" cm="1">
        <f t="array" ref="X216">_xlfn.IFS(Sales_Table[[#This Row],[Revenue]]&gt;=50000,"High",Sales_Table[[#This Row],[Revenue]]&gt;=20000,"Medium",Sales_Table[[#This Row],[Revenue]]&lt;20000,"Low")</f>
        <v>Low</v>
      </c>
      <c r="Y216" t="str">
        <f>IF(Sales_Table[[#This Row],[Payment Method_clean]]="cash","Offline","Online")</f>
        <v>Online</v>
      </c>
      <c r="Z216">
        <f>IFERROR(Sales_Table[[#This Row],[Revenue]],0)</f>
        <v>15505</v>
      </c>
    </row>
    <row r="217" spans="1:26" x14ac:dyDescent="0.3">
      <c r="A217">
        <v>216</v>
      </c>
      <c r="B217" s="2">
        <f t="shared" si="21"/>
        <v>45300.958333333336</v>
      </c>
      <c r="C217" t="s">
        <v>671</v>
      </c>
      <c r="D217" t="s">
        <v>45</v>
      </c>
      <c r="E217" t="str">
        <f>PROPER(TRIM(CLEAN(Sales_Table[[#This Row],[Region]])))</f>
        <v>North</v>
      </c>
      <c r="F217" t="s">
        <v>46</v>
      </c>
      <c r="G217" t="str">
        <f t="shared" si="22"/>
        <v>Electronics</v>
      </c>
      <c r="H217" t="str">
        <f>PROPER(TRIM(CLEAN(Sales_Table[[#This Row],[Product Name]])))</f>
        <v>Led Tv 42Inch</v>
      </c>
      <c r="I217" t="s">
        <v>58</v>
      </c>
      <c r="J217" t="str">
        <f t="shared" si="23"/>
        <v>CUST0567</v>
      </c>
      <c r="K217" t="s">
        <v>672</v>
      </c>
      <c r="L217" t="str">
        <f>PROPER(TRIM(CLEAN(Sales_Table[[#This Row],[Salesperson]])))</f>
        <v>Rahul</v>
      </c>
      <c r="M217" t="s">
        <v>31</v>
      </c>
      <c r="N217" t="str">
        <f t="shared" si="24"/>
        <v>Net Banking</v>
      </c>
      <c r="O217" t="s">
        <v>60</v>
      </c>
      <c r="P217">
        <f t="shared" si="25"/>
        <v>12</v>
      </c>
      <c r="Q217" t="s">
        <v>33</v>
      </c>
      <c r="R217">
        <f t="shared" si="26"/>
        <v>4328</v>
      </c>
      <c r="S217" t="s">
        <v>673</v>
      </c>
      <c r="T217">
        <f t="shared" si="27"/>
        <v>51936</v>
      </c>
      <c r="U217">
        <f>YEAR(Sales_Table[[#This Row],[Date_clean]])</f>
        <v>2024</v>
      </c>
      <c r="V217" t="str">
        <f>TEXT(Sales_Table[[#This Row],[Date_clean]],"mmmm")</f>
        <v>January</v>
      </c>
      <c r="W217">
        <f>WEEKNUM(Sales_Table[[#This Row],[Date_clean]],2)</f>
        <v>2</v>
      </c>
      <c r="X217" t="str" cm="1">
        <f t="array" ref="X217">_xlfn.IFS(Sales_Table[[#This Row],[Revenue]]&gt;=50000,"High",Sales_Table[[#This Row],[Revenue]]&gt;=20000,"Medium",Sales_Table[[#This Row],[Revenue]]&lt;20000,"Low")</f>
        <v>High</v>
      </c>
      <c r="Y217" t="str">
        <f>IF(Sales_Table[[#This Row],[Payment Method_clean]]="cash","Offline","Online")</f>
        <v>Online</v>
      </c>
      <c r="Z217">
        <f>IFERROR(Sales_Table[[#This Row],[Revenue]],0)</f>
        <v>51936</v>
      </c>
    </row>
    <row r="218" spans="1:26" x14ac:dyDescent="0.3">
      <c r="A218">
        <v>217</v>
      </c>
      <c r="B218" s="2">
        <f t="shared" si="21"/>
        <v>45301</v>
      </c>
      <c r="C218" t="s">
        <v>674</v>
      </c>
      <c r="D218" t="s">
        <v>36</v>
      </c>
      <c r="E218" t="str">
        <f>PROPER(TRIM(CLEAN(Sales_Table[[#This Row],[Region]])))</f>
        <v>West</v>
      </c>
      <c r="F218" t="s">
        <v>46</v>
      </c>
      <c r="G218" t="str">
        <f t="shared" si="22"/>
        <v>Electronics</v>
      </c>
      <c r="H218" t="str">
        <f>PROPER(TRIM(CLEAN(Sales_Table[[#This Row],[Product Name]])))</f>
        <v>Mixer Grinder</v>
      </c>
      <c r="I218" t="s">
        <v>29</v>
      </c>
      <c r="J218" t="str">
        <f t="shared" si="23"/>
        <v>CUST0694</v>
      </c>
      <c r="K218" t="s">
        <v>675</v>
      </c>
      <c r="L218" t="str">
        <f>PROPER(TRIM(CLEAN(Sales_Table[[#This Row],[Salesperson]])))</f>
        <v>Suresh</v>
      </c>
      <c r="M218" t="s">
        <v>54</v>
      </c>
      <c r="N218" t="str">
        <f t="shared" si="24"/>
        <v>Net Banking</v>
      </c>
      <c r="O218" t="s">
        <v>60</v>
      </c>
      <c r="P218">
        <f t="shared" si="25"/>
        <v>11</v>
      </c>
      <c r="Q218" t="s">
        <v>97</v>
      </c>
      <c r="R218">
        <f t="shared" si="26"/>
        <v>1823</v>
      </c>
      <c r="S218" t="s">
        <v>567</v>
      </c>
      <c r="T218">
        <f t="shared" si="27"/>
        <v>20053</v>
      </c>
      <c r="U218">
        <f>YEAR(Sales_Table[[#This Row],[Date_clean]])</f>
        <v>2024</v>
      </c>
      <c r="V218" t="str">
        <f>TEXT(Sales_Table[[#This Row],[Date_clean]],"mmmm")</f>
        <v>January</v>
      </c>
      <c r="W218">
        <f>WEEKNUM(Sales_Table[[#This Row],[Date_clean]],2)</f>
        <v>2</v>
      </c>
      <c r="X218" t="str" cm="1">
        <f t="array" ref="X218">_xlfn.IFS(Sales_Table[[#This Row],[Revenue]]&gt;=50000,"High",Sales_Table[[#This Row],[Revenue]]&gt;=20000,"Medium",Sales_Table[[#This Row],[Revenue]]&lt;20000,"Low")</f>
        <v>Medium</v>
      </c>
      <c r="Y218" t="str">
        <f>IF(Sales_Table[[#This Row],[Payment Method_clean]]="cash","Offline","Online")</f>
        <v>Online</v>
      </c>
      <c r="Z218">
        <f>IFERROR(Sales_Table[[#This Row],[Revenue]],0)</f>
        <v>20053</v>
      </c>
    </row>
    <row r="219" spans="1:26" x14ac:dyDescent="0.3">
      <c r="A219">
        <v>218</v>
      </c>
      <c r="B219" s="2">
        <f t="shared" si="21"/>
        <v>45301.041666666664</v>
      </c>
      <c r="C219" t="s">
        <v>676</v>
      </c>
      <c r="D219" t="s">
        <v>45</v>
      </c>
      <c r="E219" t="str">
        <f>PROPER(TRIM(CLEAN(Sales_Table[[#This Row],[Region]])))</f>
        <v>North</v>
      </c>
      <c r="F219" t="s">
        <v>78</v>
      </c>
      <c r="G219" t="str">
        <f t="shared" si="22"/>
        <v>Grocery</v>
      </c>
      <c r="H219" t="str">
        <f>PROPER(TRIM(CLEAN(Sales_Table[[#This Row],[Product Name]])))</f>
        <v>Mixer Grinder</v>
      </c>
      <c r="I219" t="s">
        <v>29</v>
      </c>
      <c r="J219" t="str">
        <f t="shared" si="23"/>
        <v>CUST0722</v>
      </c>
      <c r="K219" t="s">
        <v>677</v>
      </c>
      <c r="L219" t="str">
        <f>PROPER(TRIM(CLEAN(Sales_Table[[#This Row],[Salesperson]])))</f>
        <v>Rahul</v>
      </c>
      <c r="M219" t="s">
        <v>31</v>
      </c>
      <c r="N219" t="str">
        <f t="shared" si="24"/>
        <v>Net Banking</v>
      </c>
      <c r="O219" t="s">
        <v>60</v>
      </c>
      <c r="P219">
        <f t="shared" si="25"/>
        <v>8</v>
      </c>
      <c r="Q219" t="s">
        <v>42</v>
      </c>
      <c r="R219">
        <f t="shared" si="26"/>
        <v>3066</v>
      </c>
      <c r="S219" t="s">
        <v>678</v>
      </c>
      <c r="T219">
        <f t="shared" si="27"/>
        <v>24528</v>
      </c>
      <c r="U219">
        <f>YEAR(Sales_Table[[#This Row],[Date_clean]])</f>
        <v>2024</v>
      </c>
      <c r="V219" t="str">
        <f>TEXT(Sales_Table[[#This Row],[Date_clean]],"mmmm")</f>
        <v>January</v>
      </c>
      <c r="W219">
        <f>WEEKNUM(Sales_Table[[#This Row],[Date_clean]],2)</f>
        <v>2</v>
      </c>
      <c r="X219" t="str" cm="1">
        <f t="array" ref="X219">_xlfn.IFS(Sales_Table[[#This Row],[Revenue]]&gt;=50000,"High",Sales_Table[[#This Row],[Revenue]]&gt;=20000,"Medium",Sales_Table[[#This Row],[Revenue]]&lt;20000,"Low")</f>
        <v>Medium</v>
      </c>
      <c r="Y219" t="str">
        <f>IF(Sales_Table[[#This Row],[Payment Method_clean]]="cash","Offline","Online")</f>
        <v>Online</v>
      </c>
      <c r="Z219">
        <f>IFERROR(Sales_Table[[#This Row],[Revenue]],0)</f>
        <v>24528</v>
      </c>
    </row>
    <row r="220" spans="1:26" x14ac:dyDescent="0.3">
      <c r="A220">
        <v>219</v>
      </c>
      <c r="B220" s="2">
        <f t="shared" si="21"/>
        <v>45301.083333333336</v>
      </c>
      <c r="C220" t="s">
        <v>679</v>
      </c>
      <c r="D220" t="s">
        <v>36</v>
      </c>
      <c r="E220" t="str">
        <f>PROPER(TRIM(CLEAN(Sales_Table[[#This Row],[Region]])))</f>
        <v>West</v>
      </c>
      <c r="F220" t="s">
        <v>37</v>
      </c>
      <c r="G220" t="str">
        <f t="shared" si="22"/>
        <v>Home Appliances</v>
      </c>
      <c r="H220" t="str">
        <f>PROPER(TRIM(CLEAN(Sales_Table[[#This Row],[Product Name]])))</f>
        <v>Rice 5Kg</v>
      </c>
      <c r="I220" t="s">
        <v>73</v>
      </c>
      <c r="J220" t="str">
        <f t="shared" si="23"/>
        <v>CUST0471</v>
      </c>
      <c r="K220" t="s">
        <v>680</v>
      </c>
      <c r="L220" t="str">
        <f>PROPER(TRIM(CLEAN(Sales_Table[[#This Row],[Salesperson]])))</f>
        <v>Karthik</v>
      </c>
      <c r="M220" t="s">
        <v>70</v>
      </c>
      <c r="N220" t="str">
        <f t="shared" si="24"/>
        <v>Credit Card</v>
      </c>
      <c r="O220" t="s">
        <v>65</v>
      </c>
      <c r="P220">
        <f t="shared" si="25"/>
        <v>6</v>
      </c>
      <c r="Q220" t="s">
        <v>75</v>
      </c>
      <c r="R220">
        <f t="shared" si="26"/>
        <v>529</v>
      </c>
      <c r="S220" t="s">
        <v>681</v>
      </c>
      <c r="T220">
        <f t="shared" si="27"/>
        <v>3174</v>
      </c>
      <c r="U220">
        <f>YEAR(Sales_Table[[#This Row],[Date_clean]])</f>
        <v>2024</v>
      </c>
      <c r="V220" t="str">
        <f>TEXT(Sales_Table[[#This Row],[Date_clean]],"mmmm")</f>
        <v>January</v>
      </c>
      <c r="W220">
        <f>WEEKNUM(Sales_Table[[#This Row],[Date_clean]],2)</f>
        <v>2</v>
      </c>
      <c r="X220" t="str" cm="1">
        <f t="array" ref="X220">_xlfn.IFS(Sales_Table[[#This Row],[Revenue]]&gt;=50000,"High",Sales_Table[[#This Row],[Revenue]]&gt;=20000,"Medium",Sales_Table[[#This Row],[Revenue]]&lt;20000,"Low")</f>
        <v>Low</v>
      </c>
      <c r="Y220" t="str">
        <f>IF(Sales_Table[[#This Row],[Payment Method_clean]]="cash","Offline","Online")</f>
        <v>Online</v>
      </c>
      <c r="Z220">
        <f>IFERROR(Sales_Table[[#This Row],[Revenue]],0)</f>
        <v>3174</v>
      </c>
    </row>
    <row r="221" spans="1:26" x14ac:dyDescent="0.3">
      <c r="A221">
        <v>220</v>
      </c>
      <c r="B221" s="2">
        <f t="shared" si="21"/>
        <v>45301.125</v>
      </c>
      <c r="C221" t="s">
        <v>682</v>
      </c>
      <c r="D221" t="s">
        <v>27</v>
      </c>
      <c r="E221" t="str">
        <f>PROPER(TRIM(CLEAN(Sales_Table[[#This Row],[Region]])))</f>
        <v>East</v>
      </c>
      <c r="F221" t="s">
        <v>28</v>
      </c>
      <c r="G221" t="str">
        <f t="shared" si="22"/>
        <v>Clothing</v>
      </c>
      <c r="H221" t="str">
        <f>PROPER(TRIM(CLEAN(Sales_Table[[#This Row],[Product Name]])))</f>
        <v>Washing Machine</v>
      </c>
      <c r="I221" t="s">
        <v>79</v>
      </c>
      <c r="J221" t="str">
        <f t="shared" si="23"/>
        <v>CUST0075</v>
      </c>
      <c r="K221" t="s">
        <v>683</v>
      </c>
      <c r="L221" t="str">
        <f>PROPER(TRIM(CLEAN(Sales_Table[[#This Row],[Salesperson]])))</f>
        <v>Anita</v>
      </c>
      <c r="M221" t="s">
        <v>64</v>
      </c>
      <c r="N221" t="str">
        <f t="shared" si="24"/>
        <v>Debit Card</v>
      </c>
      <c r="O221" t="s">
        <v>41</v>
      </c>
      <c r="P221">
        <f t="shared" si="25"/>
        <v>11</v>
      </c>
      <c r="Q221" t="s">
        <v>97</v>
      </c>
      <c r="R221">
        <f t="shared" si="26"/>
        <v>2455</v>
      </c>
      <c r="S221" t="s">
        <v>684</v>
      </c>
      <c r="T221">
        <f t="shared" si="27"/>
        <v>27005</v>
      </c>
      <c r="U221">
        <f>YEAR(Sales_Table[[#This Row],[Date_clean]])</f>
        <v>2024</v>
      </c>
      <c r="V221" t="str">
        <f>TEXT(Sales_Table[[#This Row],[Date_clean]],"mmmm")</f>
        <v>January</v>
      </c>
      <c r="W221">
        <f>WEEKNUM(Sales_Table[[#This Row],[Date_clean]],2)</f>
        <v>2</v>
      </c>
      <c r="X221" t="str" cm="1">
        <f t="array" ref="X221">_xlfn.IFS(Sales_Table[[#This Row],[Revenue]]&gt;=50000,"High",Sales_Table[[#This Row],[Revenue]]&gt;=20000,"Medium",Sales_Table[[#This Row],[Revenue]]&lt;20000,"Low")</f>
        <v>Medium</v>
      </c>
      <c r="Y221" t="str">
        <f>IF(Sales_Table[[#This Row],[Payment Method_clean]]="cash","Offline","Online")</f>
        <v>Online</v>
      </c>
      <c r="Z221">
        <f>IFERROR(Sales_Table[[#This Row],[Revenue]],0)</f>
        <v>27005</v>
      </c>
    </row>
    <row r="222" spans="1:26" x14ac:dyDescent="0.3">
      <c r="A222">
        <v>221</v>
      </c>
      <c r="B222" s="2">
        <f t="shared" si="21"/>
        <v>45301.166666666664</v>
      </c>
      <c r="C222" t="s">
        <v>685</v>
      </c>
      <c r="D222" t="s">
        <v>27</v>
      </c>
      <c r="E222" t="str">
        <f>PROPER(TRIM(CLEAN(Sales_Table[[#This Row],[Region]])))</f>
        <v>East</v>
      </c>
      <c r="F222" t="s">
        <v>37</v>
      </c>
      <c r="G222" t="str">
        <f t="shared" si="22"/>
        <v>Home Appliances</v>
      </c>
      <c r="H222" t="str">
        <f>PROPER(TRIM(CLEAN(Sales_Table[[#This Row],[Product Name]])))</f>
        <v>Led Tv 42Inch</v>
      </c>
      <c r="I222" t="s">
        <v>58</v>
      </c>
      <c r="J222" t="str">
        <f t="shared" si="23"/>
        <v>CUST0277</v>
      </c>
      <c r="K222" t="s">
        <v>686</v>
      </c>
      <c r="L222" t="str">
        <f>PROPER(TRIM(CLEAN(Sales_Table[[#This Row],[Salesperson]])))</f>
        <v>Meena</v>
      </c>
      <c r="M222" t="s">
        <v>40</v>
      </c>
      <c r="N222" t="str">
        <f t="shared" si="24"/>
        <v>Net Banking</v>
      </c>
      <c r="O222" t="s">
        <v>60</v>
      </c>
      <c r="P222">
        <f t="shared" si="25"/>
        <v>3</v>
      </c>
      <c r="Q222" t="s">
        <v>66</v>
      </c>
      <c r="R222">
        <f t="shared" si="26"/>
        <v>2559</v>
      </c>
      <c r="S222" t="s">
        <v>687</v>
      </c>
      <c r="T222">
        <f t="shared" si="27"/>
        <v>7677</v>
      </c>
      <c r="U222">
        <f>YEAR(Sales_Table[[#This Row],[Date_clean]])</f>
        <v>2024</v>
      </c>
      <c r="V222" t="str">
        <f>TEXT(Sales_Table[[#This Row],[Date_clean]],"mmmm")</f>
        <v>January</v>
      </c>
      <c r="W222">
        <f>WEEKNUM(Sales_Table[[#This Row],[Date_clean]],2)</f>
        <v>2</v>
      </c>
      <c r="X222" t="str" cm="1">
        <f t="array" ref="X222">_xlfn.IFS(Sales_Table[[#This Row],[Revenue]]&gt;=50000,"High",Sales_Table[[#This Row],[Revenue]]&gt;=20000,"Medium",Sales_Table[[#This Row],[Revenue]]&lt;20000,"Low")</f>
        <v>Low</v>
      </c>
      <c r="Y222" t="str">
        <f>IF(Sales_Table[[#This Row],[Payment Method_clean]]="cash","Offline","Online")</f>
        <v>Online</v>
      </c>
      <c r="Z222">
        <f>IFERROR(Sales_Table[[#This Row],[Revenue]],0)</f>
        <v>7677</v>
      </c>
    </row>
    <row r="223" spans="1:26" x14ac:dyDescent="0.3">
      <c r="A223">
        <v>222</v>
      </c>
      <c r="B223" s="2">
        <f t="shared" si="21"/>
        <v>45301.208333333336</v>
      </c>
      <c r="C223" t="s">
        <v>688</v>
      </c>
      <c r="D223" t="s">
        <v>27</v>
      </c>
      <c r="E223" t="str">
        <f>PROPER(TRIM(CLEAN(Sales_Table[[#This Row],[Region]])))</f>
        <v>East</v>
      </c>
      <c r="F223" t="s">
        <v>28</v>
      </c>
      <c r="G223" t="str">
        <f t="shared" si="22"/>
        <v>Clothing</v>
      </c>
      <c r="H223" t="str">
        <f>PROPER(TRIM(CLEAN(Sales_Table[[#This Row],[Product Name]])))</f>
        <v>Laptop</v>
      </c>
      <c r="I223" t="s">
        <v>52</v>
      </c>
      <c r="J223" t="str">
        <f t="shared" si="23"/>
        <v>CUST0645</v>
      </c>
      <c r="K223" t="s">
        <v>689</v>
      </c>
      <c r="L223" t="str">
        <f>PROPER(TRIM(CLEAN(Sales_Table[[#This Row],[Salesperson]])))</f>
        <v>Karthik</v>
      </c>
      <c r="M223" t="s">
        <v>70</v>
      </c>
      <c r="N223" t="str">
        <f t="shared" si="24"/>
        <v>Net Banking</v>
      </c>
      <c r="O223" t="s">
        <v>60</v>
      </c>
      <c r="P223">
        <f t="shared" si="25"/>
        <v>1</v>
      </c>
      <c r="Q223" t="s">
        <v>93</v>
      </c>
      <c r="R223">
        <f t="shared" si="26"/>
        <v>4292</v>
      </c>
      <c r="S223" t="s">
        <v>690</v>
      </c>
      <c r="T223">
        <f t="shared" si="27"/>
        <v>4292</v>
      </c>
      <c r="U223">
        <f>YEAR(Sales_Table[[#This Row],[Date_clean]])</f>
        <v>2024</v>
      </c>
      <c r="V223" t="str">
        <f>TEXT(Sales_Table[[#This Row],[Date_clean]],"mmmm")</f>
        <v>January</v>
      </c>
      <c r="W223">
        <f>WEEKNUM(Sales_Table[[#This Row],[Date_clean]],2)</f>
        <v>2</v>
      </c>
      <c r="X223" t="str" cm="1">
        <f t="array" ref="X223">_xlfn.IFS(Sales_Table[[#This Row],[Revenue]]&gt;=50000,"High",Sales_Table[[#This Row],[Revenue]]&gt;=20000,"Medium",Sales_Table[[#This Row],[Revenue]]&lt;20000,"Low")</f>
        <v>Low</v>
      </c>
      <c r="Y223" t="str">
        <f>IF(Sales_Table[[#This Row],[Payment Method_clean]]="cash","Offline","Online")</f>
        <v>Online</v>
      </c>
      <c r="Z223">
        <f>IFERROR(Sales_Table[[#This Row],[Revenue]],0)</f>
        <v>4292</v>
      </c>
    </row>
    <row r="224" spans="1:26" x14ac:dyDescent="0.3">
      <c r="A224">
        <v>223</v>
      </c>
      <c r="B224" s="2">
        <f t="shared" si="21"/>
        <v>45301.25</v>
      </c>
      <c r="C224" t="s">
        <v>691</v>
      </c>
      <c r="D224" t="s">
        <v>84</v>
      </c>
      <c r="E224" t="str">
        <f>PROPER(TRIM(CLEAN(Sales_Table[[#This Row],[Region]])))</f>
        <v>South</v>
      </c>
      <c r="F224" t="s">
        <v>46</v>
      </c>
      <c r="G224" t="str">
        <f t="shared" si="22"/>
        <v>Electronics</v>
      </c>
      <c r="H224" t="str">
        <f>PROPER(TRIM(CLEAN(Sales_Table[[#This Row],[Product Name]])))</f>
        <v>Men T-Shirt</v>
      </c>
      <c r="I224" t="s">
        <v>38</v>
      </c>
      <c r="J224" t="str">
        <f t="shared" si="23"/>
        <v>CUST0343</v>
      </c>
      <c r="K224" t="s">
        <v>692</v>
      </c>
      <c r="L224" t="str">
        <f>PROPER(TRIM(CLEAN(Sales_Table[[#This Row],[Salesperson]])))</f>
        <v>Karthik</v>
      </c>
      <c r="M224" t="s">
        <v>70</v>
      </c>
      <c r="N224" t="str">
        <f t="shared" si="24"/>
        <v>Upi</v>
      </c>
      <c r="O224" t="s">
        <v>48</v>
      </c>
      <c r="P224">
        <f t="shared" si="25"/>
        <v>7</v>
      </c>
      <c r="Q224" t="s">
        <v>49</v>
      </c>
      <c r="R224">
        <f t="shared" si="26"/>
        <v>1818</v>
      </c>
      <c r="S224" t="s">
        <v>693</v>
      </c>
      <c r="T224">
        <f t="shared" si="27"/>
        <v>12726</v>
      </c>
      <c r="U224">
        <f>YEAR(Sales_Table[[#This Row],[Date_clean]])</f>
        <v>2024</v>
      </c>
      <c r="V224" t="str">
        <f>TEXT(Sales_Table[[#This Row],[Date_clean]],"mmmm")</f>
        <v>January</v>
      </c>
      <c r="W224">
        <f>WEEKNUM(Sales_Table[[#This Row],[Date_clean]],2)</f>
        <v>2</v>
      </c>
      <c r="X224" t="str" cm="1">
        <f t="array" ref="X224">_xlfn.IFS(Sales_Table[[#This Row],[Revenue]]&gt;=50000,"High",Sales_Table[[#This Row],[Revenue]]&gt;=20000,"Medium",Sales_Table[[#This Row],[Revenue]]&lt;20000,"Low")</f>
        <v>Low</v>
      </c>
      <c r="Y224" t="str">
        <f>IF(Sales_Table[[#This Row],[Payment Method_clean]]="cash","Offline","Online")</f>
        <v>Online</v>
      </c>
      <c r="Z224">
        <f>IFERROR(Sales_Table[[#This Row],[Revenue]],0)</f>
        <v>12726</v>
      </c>
    </row>
    <row r="225" spans="1:26" x14ac:dyDescent="0.3">
      <c r="A225">
        <v>224</v>
      </c>
      <c r="B225" s="2">
        <f t="shared" si="21"/>
        <v>45301.291666666664</v>
      </c>
      <c r="C225" t="s">
        <v>694</v>
      </c>
      <c r="D225" t="s">
        <v>36</v>
      </c>
      <c r="E225" t="str">
        <f>PROPER(TRIM(CLEAN(Sales_Table[[#This Row],[Region]])))</f>
        <v>West</v>
      </c>
      <c r="F225" t="s">
        <v>78</v>
      </c>
      <c r="G225" t="str">
        <f t="shared" si="22"/>
        <v>Grocery</v>
      </c>
      <c r="H225" t="str">
        <f>PROPER(TRIM(CLEAN(Sales_Table[[#This Row],[Product Name]])))</f>
        <v>Mixer Grinder</v>
      </c>
      <c r="I225" t="s">
        <v>29</v>
      </c>
      <c r="J225" t="str">
        <f t="shared" si="23"/>
        <v>CUST0425</v>
      </c>
      <c r="K225" t="s">
        <v>695</v>
      </c>
      <c r="L225" t="str">
        <f>PROPER(TRIM(CLEAN(Sales_Table[[#This Row],[Salesperson]])))</f>
        <v>Karthik</v>
      </c>
      <c r="M225" t="s">
        <v>70</v>
      </c>
      <c r="N225" t="str">
        <f t="shared" si="24"/>
        <v>Debit Card</v>
      </c>
      <c r="O225" t="s">
        <v>41</v>
      </c>
      <c r="P225">
        <f t="shared" si="25"/>
        <v>1</v>
      </c>
      <c r="Q225" t="s">
        <v>93</v>
      </c>
      <c r="R225">
        <f t="shared" si="26"/>
        <v>1365</v>
      </c>
      <c r="S225" t="s">
        <v>696</v>
      </c>
      <c r="T225">
        <f t="shared" si="27"/>
        <v>1365</v>
      </c>
      <c r="U225">
        <f>YEAR(Sales_Table[[#This Row],[Date_clean]])</f>
        <v>2024</v>
      </c>
      <c r="V225" t="str">
        <f>TEXT(Sales_Table[[#This Row],[Date_clean]],"mmmm")</f>
        <v>January</v>
      </c>
      <c r="W225">
        <f>WEEKNUM(Sales_Table[[#This Row],[Date_clean]],2)</f>
        <v>2</v>
      </c>
      <c r="X225" t="str" cm="1">
        <f t="array" ref="X225">_xlfn.IFS(Sales_Table[[#This Row],[Revenue]]&gt;=50000,"High",Sales_Table[[#This Row],[Revenue]]&gt;=20000,"Medium",Sales_Table[[#This Row],[Revenue]]&lt;20000,"Low")</f>
        <v>Low</v>
      </c>
      <c r="Y225" t="str">
        <f>IF(Sales_Table[[#This Row],[Payment Method_clean]]="cash","Offline","Online")</f>
        <v>Online</v>
      </c>
      <c r="Z225">
        <f>IFERROR(Sales_Table[[#This Row],[Revenue]],0)</f>
        <v>1365</v>
      </c>
    </row>
    <row r="226" spans="1:26" x14ac:dyDescent="0.3">
      <c r="A226">
        <v>225</v>
      </c>
      <c r="B226" s="2">
        <f t="shared" si="21"/>
        <v>45301.333333333336</v>
      </c>
      <c r="C226" t="s">
        <v>697</v>
      </c>
      <c r="D226" t="s">
        <v>84</v>
      </c>
      <c r="E226" t="str">
        <f>PROPER(TRIM(CLEAN(Sales_Table[[#This Row],[Region]])))</f>
        <v>South</v>
      </c>
      <c r="F226" t="s">
        <v>37</v>
      </c>
      <c r="G226" t="str">
        <f t="shared" si="22"/>
        <v>Home Appliances</v>
      </c>
      <c r="H226" t="str">
        <f>PROPER(TRIM(CLEAN(Sales_Table[[#This Row],[Product Name]])))</f>
        <v>Mixer Grinder</v>
      </c>
      <c r="I226" t="s">
        <v>29</v>
      </c>
      <c r="J226" t="str">
        <f t="shared" si="23"/>
        <v>CUST0571</v>
      </c>
      <c r="K226" t="s">
        <v>162</v>
      </c>
      <c r="L226" t="str">
        <f>PROPER(TRIM(CLEAN(Sales_Table[[#This Row],[Salesperson]])))</f>
        <v>Anita</v>
      </c>
      <c r="M226" t="s">
        <v>64</v>
      </c>
      <c r="N226" t="str">
        <f t="shared" si="24"/>
        <v>Cash</v>
      </c>
      <c r="O226" t="s">
        <v>32</v>
      </c>
      <c r="P226">
        <f t="shared" si="25"/>
        <v>1</v>
      </c>
      <c r="Q226" t="s">
        <v>93</v>
      </c>
      <c r="R226">
        <f t="shared" si="26"/>
        <v>1408</v>
      </c>
      <c r="S226" t="s">
        <v>698</v>
      </c>
      <c r="T226">
        <f t="shared" si="27"/>
        <v>1408</v>
      </c>
      <c r="U226">
        <f>YEAR(Sales_Table[[#This Row],[Date_clean]])</f>
        <v>2024</v>
      </c>
      <c r="V226" t="str">
        <f>TEXT(Sales_Table[[#This Row],[Date_clean]],"mmmm")</f>
        <v>January</v>
      </c>
      <c r="W226">
        <f>WEEKNUM(Sales_Table[[#This Row],[Date_clean]],2)</f>
        <v>2</v>
      </c>
      <c r="X226" t="str" cm="1">
        <f t="array" ref="X226">_xlfn.IFS(Sales_Table[[#This Row],[Revenue]]&gt;=50000,"High",Sales_Table[[#This Row],[Revenue]]&gt;=20000,"Medium",Sales_Table[[#This Row],[Revenue]]&lt;20000,"Low")</f>
        <v>Low</v>
      </c>
      <c r="Y226" t="str">
        <f>IF(Sales_Table[[#This Row],[Payment Method_clean]]="cash","Offline","Online")</f>
        <v>Offline</v>
      </c>
      <c r="Z226">
        <f>IFERROR(Sales_Table[[#This Row],[Revenue]],0)</f>
        <v>1408</v>
      </c>
    </row>
    <row r="227" spans="1:26" x14ac:dyDescent="0.3">
      <c r="A227">
        <v>226</v>
      </c>
      <c r="B227" s="2">
        <f t="shared" si="21"/>
        <v>45301.375</v>
      </c>
      <c r="C227" t="s">
        <v>699</v>
      </c>
      <c r="D227" t="s">
        <v>84</v>
      </c>
      <c r="E227" t="str">
        <f>PROPER(TRIM(CLEAN(Sales_Table[[#This Row],[Region]])))</f>
        <v>South</v>
      </c>
      <c r="F227" t="s">
        <v>78</v>
      </c>
      <c r="G227" t="str">
        <f t="shared" si="22"/>
        <v>Grocery</v>
      </c>
      <c r="H227" t="str">
        <f>PROPER(TRIM(CLEAN(Sales_Table[[#This Row],[Product Name]])))</f>
        <v>Laptop</v>
      </c>
      <c r="I227" t="s">
        <v>52</v>
      </c>
      <c r="J227" t="str">
        <f t="shared" si="23"/>
        <v>CUST0511</v>
      </c>
      <c r="K227" t="s">
        <v>700</v>
      </c>
      <c r="L227" t="str">
        <f>PROPER(TRIM(CLEAN(Sales_Table[[#This Row],[Salesperson]])))</f>
        <v>Suresh</v>
      </c>
      <c r="M227" t="s">
        <v>54</v>
      </c>
      <c r="N227" t="str">
        <f t="shared" si="24"/>
        <v>Debit Card</v>
      </c>
      <c r="O227" t="s">
        <v>41</v>
      </c>
      <c r="P227">
        <f t="shared" si="25"/>
        <v>9</v>
      </c>
      <c r="Q227" t="s">
        <v>130</v>
      </c>
      <c r="R227">
        <f t="shared" si="26"/>
        <v>1150</v>
      </c>
      <c r="S227" t="s">
        <v>701</v>
      </c>
      <c r="T227">
        <f t="shared" si="27"/>
        <v>10350</v>
      </c>
      <c r="U227">
        <f>YEAR(Sales_Table[[#This Row],[Date_clean]])</f>
        <v>2024</v>
      </c>
      <c r="V227" t="str">
        <f>TEXT(Sales_Table[[#This Row],[Date_clean]],"mmmm")</f>
        <v>January</v>
      </c>
      <c r="W227">
        <f>WEEKNUM(Sales_Table[[#This Row],[Date_clean]],2)</f>
        <v>2</v>
      </c>
      <c r="X227" t="str" cm="1">
        <f t="array" ref="X227">_xlfn.IFS(Sales_Table[[#This Row],[Revenue]]&gt;=50000,"High",Sales_Table[[#This Row],[Revenue]]&gt;=20000,"Medium",Sales_Table[[#This Row],[Revenue]]&lt;20000,"Low")</f>
        <v>Low</v>
      </c>
      <c r="Y227" t="str">
        <f>IF(Sales_Table[[#This Row],[Payment Method_clean]]="cash","Offline","Online")</f>
        <v>Online</v>
      </c>
      <c r="Z227">
        <f>IFERROR(Sales_Table[[#This Row],[Revenue]],0)</f>
        <v>10350</v>
      </c>
    </row>
    <row r="228" spans="1:26" x14ac:dyDescent="0.3">
      <c r="A228">
        <v>227</v>
      </c>
      <c r="B228" s="2">
        <f t="shared" si="21"/>
        <v>45301.416666666664</v>
      </c>
      <c r="C228" t="s">
        <v>702</v>
      </c>
      <c r="D228" t="s">
        <v>45</v>
      </c>
      <c r="E228" t="str">
        <f>PROPER(TRIM(CLEAN(Sales_Table[[#This Row],[Region]])))</f>
        <v>North</v>
      </c>
      <c r="F228" t="s">
        <v>28</v>
      </c>
      <c r="G228" t="str">
        <f t="shared" si="22"/>
        <v>Clothing</v>
      </c>
      <c r="H228" t="str">
        <f>PROPER(TRIM(CLEAN(Sales_Table[[#This Row],[Product Name]])))</f>
        <v>Led Tv 42Inch</v>
      </c>
      <c r="I228" t="s">
        <v>58</v>
      </c>
      <c r="J228" t="str">
        <f t="shared" si="23"/>
        <v>CUST0182</v>
      </c>
      <c r="K228" t="s">
        <v>456</v>
      </c>
      <c r="L228" t="str">
        <f>PROPER(TRIM(CLEAN(Sales_Table[[#This Row],[Salesperson]])))</f>
        <v>Anita</v>
      </c>
      <c r="M228" t="s">
        <v>64</v>
      </c>
      <c r="N228" t="str">
        <f t="shared" si="24"/>
        <v>Debit Card</v>
      </c>
      <c r="O228" t="s">
        <v>41</v>
      </c>
      <c r="P228">
        <f t="shared" si="25"/>
        <v>13</v>
      </c>
      <c r="Q228" t="s">
        <v>81</v>
      </c>
      <c r="R228">
        <f t="shared" si="26"/>
        <v>3573</v>
      </c>
      <c r="S228" t="s">
        <v>703</v>
      </c>
      <c r="T228">
        <f t="shared" si="27"/>
        <v>46449</v>
      </c>
      <c r="U228">
        <f>YEAR(Sales_Table[[#This Row],[Date_clean]])</f>
        <v>2024</v>
      </c>
      <c r="V228" t="str">
        <f>TEXT(Sales_Table[[#This Row],[Date_clean]],"mmmm")</f>
        <v>January</v>
      </c>
      <c r="W228">
        <f>WEEKNUM(Sales_Table[[#This Row],[Date_clean]],2)</f>
        <v>2</v>
      </c>
      <c r="X228" t="str" cm="1">
        <f t="array" ref="X228">_xlfn.IFS(Sales_Table[[#This Row],[Revenue]]&gt;=50000,"High",Sales_Table[[#This Row],[Revenue]]&gt;=20000,"Medium",Sales_Table[[#This Row],[Revenue]]&lt;20000,"Low")</f>
        <v>Medium</v>
      </c>
      <c r="Y228" t="str">
        <f>IF(Sales_Table[[#This Row],[Payment Method_clean]]="cash","Offline","Online")</f>
        <v>Online</v>
      </c>
      <c r="Z228">
        <f>IFERROR(Sales_Table[[#This Row],[Revenue]],0)</f>
        <v>46449</v>
      </c>
    </row>
    <row r="229" spans="1:26" x14ac:dyDescent="0.3">
      <c r="A229">
        <v>228</v>
      </c>
      <c r="B229" s="2">
        <f t="shared" si="21"/>
        <v>45301.458333333336</v>
      </c>
      <c r="C229" t="s">
        <v>704</v>
      </c>
      <c r="D229" t="s">
        <v>84</v>
      </c>
      <c r="E229" t="str">
        <f>PROPER(TRIM(CLEAN(Sales_Table[[#This Row],[Region]])))</f>
        <v>South</v>
      </c>
      <c r="F229" t="s">
        <v>78</v>
      </c>
      <c r="G229" t="str">
        <f t="shared" si="22"/>
        <v>Grocery</v>
      </c>
      <c r="H229" t="str">
        <f>PROPER(TRIM(CLEAN(Sales_Table[[#This Row],[Product Name]])))</f>
        <v>Washing Machine</v>
      </c>
      <c r="I229" t="s">
        <v>79</v>
      </c>
      <c r="J229" t="str">
        <f t="shared" si="23"/>
        <v>CUST0458</v>
      </c>
      <c r="K229" t="s">
        <v>490</v>
      </c>
      <c r="L229" t="str">
        <f>PROPER(TRIM(CLEAN(Sales_Table[[#This Row],[Salesperson]])))</f>
        <v>Suresh</v>
      </c>
      <c r="M229" t="s">
        <v>54</v>
      </c>
      <c r="N229" t="str">
        <f t="shared" si="24"/>
        <v>Debit Card</v>
      </c>
      <c r="O229" t="s">
        <v>41</v>
      </c>
      <c r="P229">
        <f t="shared" si="25"/>
        <v>10</v>
      </c>
      <c r="Q229" t="s">
        <v>117</v>
      </c>
      <c r="R229">
        <f t="shared" si="26"/>
        <v>2349</v>
      </c>
      <c r="S229" t="s">
        <v>705</v>
      </c>
      <c r="T229">
        <f t="shared" si="27"/>
        <v>23490</v>
      </c>
      <c r="U229">
        <f>YEAR(Sales_Table[[#This Row],[Date_clean]])</f>
        <v>2024</v>
      </c>
      <c r="V229" t="str">
        <f>TEXT(Sales_Table[[#This Row],[Date_clean]],"mmmm")</f>
        <v>January</v>
      </c>
      <c r="W229">
        <f>WEEKNUM(Sales_Table[[#This Row],[Date_clean]],2)</f>
        <v>2</v>
      </c>
      <c r="X229" t="str" cm="1">
        <f t="array" ref="X229">_xlfn.IFS(Sales_Table[[#This Row],[Revenue]]&gt;=50000,"High",Sales_Table[[#This Row],[Revenue]]&gt;=20000,"Medium",Sales_Table[[#This Row],[Revenue]]&lt;20000,"Low")</f>
        <v>Medium</v>
      </c>
      <c r="Y229" t="str">
        <f>IF(Sales_Table[[#This Row],[Payment Method_clean]]="cash","Offline","Online")</f>
        <v>Online</v>
      </c>
      <c r="Z229">
        <f>IFERROR(Sales_Table[[#This Row],[Revenue]],0)</f>
        <v>23490</v>
      </c>
    </row>
    <row r="230" spans="1:26" x14ac:dyDescent="0.3">
      <c r="A230">
        <v>229</v>
      </c>
      <c r="B230" s="2">
        <f t="shared" si="21"/>
        <v>45301.5</v>
      </c>
      <c r="C230" t="s">
        <v>706</v>
      </c>
      <c r="D230" t="s">
        <v>45</v>
      </c>
      <c r="E230" t="str">
        <f>PROPER(TRIM(CLEAN(Sales_Table[[#This Row],[Region]])))</f>
        <v>North</v>
      </c>
      <c r="F230" t="s">
        <v>78</v>
      </c>
      <c r="G230" t="str">
        <f t="shared" si="22"/>
        <v>Grocery</v>
      </c>
      <c r="H230" t="str">
        <f>PROPER(TRIM(CLEAN(Sales_Table[[#This Row],[Product Name]])))</f>
        <v>Mixer Grinder</v>
      </c>
      <c r="I230" t="s">
        <v>29</v>
      </c>
      <c r="J230" t="str">
        <f t="shared" si="23"/>
        <v>CUST0064</v>
      </c>
      <c r="K230" t="s">
        <v>707</v>
      </c>
      <c r="L230" t="str">
        <f>PROPER(TRIM(CLEAN(Sales_Table[[#This Row],[Salesperson]])))</f>
        <v>Karthik</v>
      </c>
      <c r="M230" t="s">
        <v>70</v>
      </c>
      <c r="N230" t="str">
        <f t="shared" si="24"/>
        <v>Net Banking</v>
      </c>
      <c r="O230" t="s">
        <v>60</v>
      </c>
      <c r="P230">
        <f t="shared" si="25"/>
        <v>7</v>
      </c>
      <c r="Q230" t="s">
        <v>49</v>
      </c>
      <c r="R230">
        <f t="shared" si="26"/>
        <v>2909</v>
      </c>
      <c r="S230" t="s">
        <v>708</v>
      </c>
      <c r="T230">
        <f t="shared" si="27"/>
        <v>20363</v>
      </c>
      <c r="U230">
        <f>YEAR(Sales_Table[[#This Row],[Date_clean]])</f>
        <v>2024</v>
      </c>
      <c r="V230" t="str">
        <f>TEXT(Sales_Table[[#This Row],[Date_clean]],"mmmm")</f>
        <v>January</v>
      </c>
      <c r="W230">
        <f>WEEKNUM(Sales_Table[[#This Row],[Date_clean]],2)</f>
        <v>2</v>
      </c>
      <c r="X230" t="str" cm="1">
        <f t="array" ref="X230">_xlfn.IFS(Sales_Table[[#This Row],[Revenue]]&gt;=50000,"High",Sales_Table[[#This Row],[Revenue]]&gt;=20000,"Medium",Sales_Table[[#This Row],[Revenue]]&lt;20000,"Low")</f>
        <v>Medium</v>
      </c>
      <c r="Y230" t="str">
        <f>IF(Sales_Table[[#This Row],[Payment Method_clean]]="cash","Offline","Online")</f>
        <v>Online</v>
      </c>
      <c r="Z230">
        <f>IFERROR(Sales_Table[[#This Row],[Revenue]],0)</f>
        <v>20363</v>
      </c>
    </row>
    <row r="231" spans="1:26" x14ac:dyDescent="0.3">
      <c r="A231">
        <v>230</v>
      </c>
      <c r="B231" s="2">
        <f t="shared" si="21"/>
        <v>45301.541666666664</v>
      </c>
      <c r="C231" t="s">
        <v>709</v>
      </c>
      <c r="D231" t="s">
        <v>45</v>
      </c>
      <c r="E231" t="str">
        <f>PROPER(TRIM(CLEAN(Sales_Table[[#This Row],[Region]])))</f>
        <v>North</v>
      </c>
      <c r="F231" t="s">
        <v>37</v>
      </c>
      <c r="G231" t="str">
        <f t="shared" si="22"/>
        <v>Home Appliances</v>
      </c>
      <c r="H231" t="str">
        <f>PROPER(TRIM(CLEAN(Sales_Table[[#This Row],[Product Name]])))</f>
        <v>Led Tv 42Inch</v>
      </c>
      <c r="I231" t="s">
        <v>58</v>
      </c>
      <c r="J231" t="str">
        <f t="shared" si="23"/>
        <v>CUST0260</v>
      </c>
      <c r="K231" t="s">
        <v>710</v>
      </c>
      <c r="L231" t="str">
        <f>PROPER(TRIM(CLEAN(Sales_Table[[#This Row],[Salesperson]])))</f>
        <v>Karthik</v>
      </c>
      <c r="M231" t="s">
        <v>70</v>
      </c>
      <c r="N231" t="str">
        <f t="shared" si="24"/>
        <v>Net Banking</v>
      </c>
      <c r="O231" t="s">
        <v>60</v>
      </c>
      <c r="P231">
        <f t="shared" si="25"/>
        <v>13</v>
      </c>
      <c r="Q231" t="s">
        <v>81</v>
      </c>
      <c r="R231">
        <f t="shared" si="26"/>
        <v>3021</v>
      </c>
      <c r="S231" t="s">
        <v>711</v>
      </c>
      <c r="T231">
        <f t="shared" si="27"/>
        <v>39273</v>
      </c>
      <c r="U231">
        <f>YEAR(Sales_Table[[#This Row],[Date_clean]])</f>
        <v>2024</v>
      </c>
      <c r="V231" t="str">
        <f>TEXT(Sales_Table[[#This Row],[Date_clean]],"mmmm")</f>
        <v>January</v>
      </c>
      <c r="W231">
        <f>WEEKNUM(Sales_Table[[#This Row],[Date_clean]],2)</f>
        <v>2</v>
      </c>
      <c r="X231" t="str" cm="1">
        <f t="array" ref="X231">_xlfn.IFS(Sales_Table[[#This Row],[Revenue]]&gt;=50000,"High",Sales_Table[[#This Row],[Revenue]]&gt;=20000,"Medium",Sales_Table[[#This Row],[Revenue]]&lt;20000,"Low")</f>
        <v>Medium</v>
      </c>
      <c r="Y231" t="str">
        <f>IF(Sales_Table[[#This Row],[Payment Method_clean]]="cash","Offline","Online")</f>
        <v>Online</v>
      </c>
      <c r="Z231">
        <f>IFERROR(Sales_Table[[#This Row],[Revenue]],0)</f>
        <v>39273</v>
      </c>
    </row>
    <row r="232" spans="1:26" x14ac:dyDescent="0.3">
      <c r="A232">
        <v>231</v>
      </c>
      <c r="B232" s="2">
        <f t="shared" si="21"/>
        <v>45301.583333333336</v>
      </c>
      <c r="C232" t="s">
        <v>712</v>
      </c>
      <c r="D232" t="s">
        <v>84</v>
      </c>
      <c r="E232" t="str">
        <f>PROPER(TRIM(CLEAN(Sales_Table[[#This Row],[Region]])))</f>
        <v>South</v>
      </c>
      <c r="F232" t="s">
        <v>46</v>
      </c>
      <c r="G232" t="str">
        <f t="shared" si="22"/>
        <v>Electronics</v>
      </c>
      <c r="H232" t="str">
        <f>PROPER(TRIM(CLEAN(Sales_Table[[#This Row],[Product Name]])))</f>
        <v>Laptop</v>
      </c>
      <c r="I232" t="s">
        <v>52</v>
      </c>
      <c r="J232" t="str">
        <f t="shared" si="23"/>
        <v>CUST0193</v>
      </c>
      <c r="K232" t="s">
        <v>713</v>
      </c>
      <c r="L232" t="str">
        <f>PROPER(TRIM(CLEAN(Sales_Table[[#This Row],[Salesperson]])))</f>
        <v>Meena</v>
      </c>
      <c r="M232" t="s">
        <v>40</v>
      </c>
      <c r="N232" t="str">
        <f t="shared" si="24"/>
        <v>Credit Card</v>
      </c>
      <c r="O232" t="s">
        <v>65</v>
      </c>
      <c r="P232">
        <f t="shared" si="25"/>
        <v>11</v>
      </c>
      <c r="Q232" t="s">
        <v>97</v>
      </c>
      <c r="R232">
        <f t="shared" si="26"/>
        <v>4776</v>
      </c>
      <c r="S232" t="s">
        <v>714</v>
      </c>
      <c r="T232">
        <f t="shared" si="27"/>
        <v>52536</v>
      </c>
      <c r="U232">
        <f>YEAR(Sales_Table[[#This Row],[Date_clean]])</f>
        <v>2024</v>
      </c>
      <c r="V232" t="str">
        <f>TEXT(Sales_Table[[#This Row],[Date_clean]],"mmmm")</f>
        <v>January</v>
      </c>
      <c r="W232">
        <f>WEEKNUM(Sales_Table[[#This Row],[Date_clean]],2)</f>
        <v>2</v>
      </c>
      <c r="X232" t="str" cm="1">
        <f t="array" ref="X232">_xlfn.IFS(Sales_Table[[#This Row],[Revenue]]&gt;=50000,"High",Sales_Table[[#This Row],[Revenue]]&gt;=20000,"Medium",Sales_Table[[#This Row],[Revenue]]&lt;20000,"Low")</f>
        <v>High</v>
      </c>
      <c r="Y232" t="str">
        <f>IF(Sales_Table[[#This Row],[Payment Method_clean]]="cash","Offline","Online")</f>
        <v>Online</v>
      </c>
      <c r="Z232">
        <f>IFERROR(Sales_Table[[#This Row],[Revenue]],0)</f>
        <v>52536</v>
      </c>
    </row>
    <row r="233" spans="1:26" x14ac:dyDescent="0.3">
      <c r="A233">
        <v>232</v>
      </c>
      <c r="B233" s="2">
        <f t="shared" si="21"/>
        <v>45301.625</v>
      </c>
      <c r="C233" t="s">
        <v>715</v>
      </c>
      <c r="D233" t="s">
        <v>36</v>
      </c>
      <c r="E233" t="str">
        <f>PROPER(TRIM(CLEAN(Sales_Table[[#This Row],[Region]])))</f>
        <v>West</v>
      </c>
      <c r="F233" t="s">
        <v>78</v>
      </c>
      <c r="G233" t="str">
        <f t="shared" si="22"/>
        <v>Grocery</v>
      </c>
      <c r="H233" t="str">
        <f>PROPER(TRIM(CLEAN(Sales_Table[[#This Row],[Product Name]])))</f>
        <v>Rice 5Kg</v>
      </c>
      <c r="I233" t="s">
        <v>73</v>
      </c>
      <c r="J233" t="str">
        <f t="shared" si="23"/>
        <v>CUST0655</v>
      </c>
      <c r="K233" t="s">
        <v>504</v>
      </c>
      <c r="L233" t="str">
        <f>PROPER(TRIM(CLEAN(Sales_Table[[#This Row],[Salesperson]])))</f>
        <v>Suresh</v>
      </c>
      <c r="M233" t="s">
        <v>54</v>
      </c>
      <c r="N233" t="str">
        <f t="shared" si="24"/>
        <v>Cash</v>
      </c>
      <c r="O233" t="s">
        <v>32</v>
      </c>
      <c r="P233">
        <f t="shared" si="25"/>
        <v>13</v>
      </c>
      <c r="Q233" t="s">
        <v>81</v>
      </c>
      <c r="R233">
        <f t="shared" si="26"/>
        <v>4141</v>
      </c>
      <c r="S233" t="s">
        <v>716</v>
      </c>
      <c r="T233">
        <f t="shared" si="27"/>
        <v>53833</v>
      </c>
      <c r="U233">
        <f>YEAR(Sales_Table[[#This Row],[Date_clean]])</f>
        <v>2024</v>
      </c>
      <c r="V233" t="str">
        <f>TEXT(Sales_Table[[#This Row],[Date_clean]],"mmmm")</f>
        <v>January</v>
      </c>
      <c r="W233">
        <f>WEEKNUM(Sales_Table[[#This Row],[Date_clean]],2)</f>
        <v>2</v>
      </c>
      <c r="X233" t="str" cm="1">
        <f t="array" ref="X233">_xlfn.IFS(Sales_Table[[#This Row],[Revenue]]&gt;=50000,"High",Sales_Table[[#This Row],[Revenue]]&gt;=20000,"Medium",Sales_Table[[#This Row],[Revenue]]&lt;20000,"Low")</f>
        <v>High</v>
      </c>
      <c r="Y233" t="str">
        <f>IF(Sales_Table[[#This Row],[Payment Method_clean]]="cash","Offline","Online")</f>
        <v>Offline</v>
      </c>
      <c r="Z233">
        <f>IFERROR(Sales_Table[[#This Row],[Revenue]],0)</f>
        <v>53833</v>
      </c>
    </row>
    <row r="234" spans="1:26" x14ac:dyDescent="0.3">
      <c r="A234">
        <v>233</v>
      </c>
      <c r="B234" s="2">
        <f t="shared" si="21"/>
        <v>45301.666666666664</v>
      </c>
      <c r="C234" t="s">
        <v>717</v>
      </c>
      <c r="D234" t="s">
        <v>36</v>
      </c>
      <c r="E234" t="str">
        <f>PROPER(TRIM(CLEAN(Sales_Table[[#This Row],[Region]])))</f>
        <v>West</v>
      </c>
      <c r="F234" t="s">
        <v>46</v>
      </c>
      <c r="G234" t="str">
        <f t="shared" si="22"/>
        <v>Electronics</v>
      </c>
      <c r="H234" t="str">
        <f>PROPER(TRIM(CLEAN(Sales_Table[[#This Row],[Product Name]])))</f>
        <v>Washing Machine</v>
      </c>
      <c r="I234" t="s">
        <v>79</v>
      </c>
      <c r="J234" t="str">
        <f t="shared" si="23"/>
        <v>CUST0616</v>
      </c>
      <c r="K234" t="s">
        <v>231</v>
      </c>
      <c r="L234" t="str">
        <f>PROPER(TRIM(CLEAN(Sales_Table[[#This Row],[Salesperson]])))</f>
        <v>Karthik</v>
      </c>
      <c r="M234" t="s">
        <v>70</v>
      </c>
      <c r="N234" t="str">
        <f t="shared" si="24"/>
        <v>Upi</v>
      </c>
      <c r="O234" t="s">
        <v>48</v>
      </c>
      <c r="P234">
        <f t="shared" si="25"/>
        <v>4</v>
      </c>
      <c r="Q234" t="s">
        <v>113</v>
      </c>
      <c r="R234">
        <f t="shared" si="26"/>
        <v>2517</v>
      </c>
      <c r="S234" t="s">
        <v>718</v>
      </c>
      <c r="T234">
        <f t="shared" si="27"/>
        <v>10068</v>
      </c>
      <c r="U234">
        <f>YEAR(Sales_Table[[#This Row],[Date_clean]])</f>
        <v>2024</v>
      </c>
      <c r="V234" t="str">
        <f>TEXT(Sales_Table[[#This Row],[Date_clean]],"mmmm")</f>
        <v>January</v>
      </c>
      <c r="W234">
        <f>WEEKNUM(Sales_Table[[#This Row],[Date_clean]],2)</f>
        <v>2</v>
      </c>
      <c r="X234" t="str" cm="1">
        <f t="array" ref="X234">_xlfn.IFS(Sales_Table[[#This Row],[Revenue]]&gt;=50000,"High",Sales_Table[[#This Row],[Revenue]]&gt;=20000,"Medium",Sales_Table[[#This Row],[Revenue]]&lt;20000,"Low")</f>
        <v>Low</v>
      </c>
      <c r="Y234" t="str">
        <f>IF(Sales_Table[[#This Row],[Payment Method_clean]]="cash","Offline","Online")</f>
        <v>Online</v>
      </c>
      <c r="Z234">
        <f>IFERROR(Sales_Table[[#This Row],[Revenue]],0)</f>
        <v>10068</v>
      </c>
    </row>
    <row r="235" spans="1:26" x14ac:dyDescent="0.3">
      <c r="A235">
        <v>234</v>
      </c>
      <c r="B235" s="2">
        <f t="shared" si="21"/>
        <v>45301.708333333336</v>
      </c>
      <c r="C235" t="s">
        <v>719</v>
      </c>
      <c r="D235" t="s">
        <v>36</v>
      </c>
      <c r="E235" t="str">
        <f>PROPER(TRIM(CLEAN(Sales_Table[[#This Row],[Region]])))</f>
        <v>West</v>
      </c>
      <c r="F235" t="s">
        <v>28</v>
      </c>
      <c r="G235" t="str">
        <f t="shared" si="22"/>
        <v>Clothing</v>
      </c>
      <c r="H235" t="str">
        <f>PROPER(TRIM(CLEAN(Sales_Table[[#This Row],[Product Name]])))</f>
        <v>Men T-Shirt</v>
      </c>
      <c r="I235" t="s">
        <v>38</v>
      </c>
      <c r="J235" t="str">
        <f t="shared" si="23"/>
        <v>CUST0406</v>
      </c>
      <c r="K235" t="s">
        <v>720</v>
      </c>
      <c r="L235" t="str">
        <f>PROPER(TRIM(CLEAN(Sales_Table[[#This Row],[Salesperson]])))</f>
        <v>Rahul</v>
      </c>
      <c r="M235" t="s">
        <v>31</v>
      </c>
      <c r="N235" t="str">
        <f t="shared" si="24"/>
        <v>Debit Card</v>
      </c>
      <c r="O235" t="s">
        <v>41</v>
      </c>
      <c r="P235">
        <f t="shared" si="25"/>
        <v>6</v>
      </c>
      <c r="Q235" t="s">
        <v>75</v>
      </c>
      <c r="R235">
        <f t="shared" si="26"/>
        <v>632</v>
      </c>
      <c r="S235" t="s">
        <v>721</v>
      </c>
      <c r="T235">
        <f t="shared" si="27"/>
        <v>3792</v>
      </c>
      <c r="U235">
        <f>YEAR(Sales_Table[[#This Row],[Date_clean]])</f>
        <v>2024</v>
      </c>
      <c r="V235" t="str">
        <f>TEXT(Sales_Table[[#This Row],[Date_clean]],"mmmm")</f>
        <v>January</v>
      </c>
      <c r="W235">
        <f>WEEKNUM(Sales_Table[[#This Row],[Date_clean]],2)</f>
        <v>2</v>
      </c>
      <c r="X235" t="str" cm="1">
        <f t="array" ref="X235">_xlfn.IFS(Sales_Table[[#This Row],[Revenue]]&gt;=50000,"High",Sales_Table[[#This Row],[Revenue]]&gt;=20000,"Medium",Sales_Table[[#This Row],[Revenue]]&lt;20000,"Low")</f>
        <v>Low</v>
      </c>
      <c r="Y235" t="str">
        <f>IF(Sales_Table[[#This Row],[Payment Method_clean]]="cash","Offline","Online")</f>
        <v>Online</v>
      </c>
      <c r="Z235">
        <f>IFERROR(Sales_Table[[#This Row],[Revenue]],0)</f>
        <v>3792</v>
      </c>
    </row>
    <row r="236" spans="1:26" x14ac:dyDescent="0.3">
      <c r="A236">
        <v>235</v>
      </c>
      <c r="B236" s="2">
        <f t="shared" si="21"/>
        <v>45301.75</v>
      </c>
      <c r="C236" t="s">
        <v>722</v>
      </c>
      <c r="D236" t="s">
        <v>36</v>
      </c>
      <c r="E236" t="str">
        <f>PROPER(TRIM(CLEAN(Sales_Table[[#This Row],[Region]])))</f>
        <v>West</v>
      </c>
      <c r="F236" t="s">
        <v>78</v>
      </c>
      <c r="G236" t="str">
        <f t="shared" si="22"/>
        <v>Grocery</v>
      </c>
      <c r="H236" t="str">
        <f>PROPER(TRIM(CLEAN(Sales_Table[[#This Row],[Product Name]])))</f>
        <v>Mixer Grinder</v>
      </c>
      <c r="I236" t="s">
        <v>29</v>
      </c>
      <c r="J236" t="str">
        <f t="shared" si="23"/>
        <v>CUST0726</v>
      </c>
      <c r="K236" t="s">
        <v>723</v>
      </c>
      <c r="L236" t="str">
        <f>PROPER(TRIM(CLEAN(Sales_Table[[#This Row],[Salesperson]])))</f>
        <v>Meena</v>
      </c>
      <c r="M236" t="s">
        <v>40</v>
      </c>
      <c r="N236" t="str">
        <f t="shared" si="24"/>
        <v>Cash</v>
      </c>
      <c r="O236" t="s">
        <v>32</v>
      </c>
      <c r="P236">
        <f t="shared" si="25"/>
        <v>1</v>
      </c>
      <c r="Q236" t="s">
        <v>93</v>
      </c>
      <c r="R236">
        <f t="shared" si="26"/>
        <v>998</v>
      </c>
      <c r="S236" t="s">
        <v>724</v>
      </c>
      <c r="T236">
        <f t="shared" si="27"/>
        <v>998</v>
      </c>
      <c r="U236">
        <f>YEAR(Sales_Table[[#This Row],[Date_clean]])</f>
        <v>2024</v>
      </c>
      <c r="V236" t="str">
        <f>TEXT(Sales_Table[[#This Row],[Date_clean]],"mmmm")</f>
        <v>January</v>
      </c>
      <c r="W236">
        <f>WEEKNUM(Sales_Table[[#This Row],[Date_clean]],2)</f>
        <v>2</v>
      </c>
      <c r="X236" t="str" cm="1">
        <f t="array" ref="X236">_xlfn.IFS(Sales_Table[[#This Row],[Revenue]]&gt;=50000,"High",Sales_Table[[#This Row],[Revenue]]&gt;=20000,"Medium",Sales_Table[[#This Row],[Revenue]]&lt;20000,"Low")</f>
        <v>Low</v>
      </c>
      <c r="Y236" t="str">
        <f>IF(Sales_Table[[#This Row],[Payment Method_clean]]="cash","Offline","Online")</f>
        <v>Offline</v>
      </c>
      <c r="Z236">
        <f>IFERROR(Sales_Table[[#This Row],[Revenue]],0)</f>
        <v>998</v>
      </c>
    </row>
    <row r="237" spans="1:26" x14ac:dyDescent="0.3">
      <c r="A237">
        <v>236</v>
      </c>
      <c r="B237" s="2">
        <f t="shared" si="21"/>
        <v>45301.791666666664</v>
      </c>
      <c r="C237" t="s">
        <v>725</v>
      </c>
      <c r="D237" t="s">
        <v>36</v>
      </c>
      <c r="E237" t="str">
        <f>PROPER(TRIM(CLEAN(Sales_Table[[#This Row],[Region]])))</f>
        <v>West</v>
      </c>
      <c r="F237" t="s">
        <v>37</v>
      </c>
      <c r="G237" t="str">
        <f t="shared" si="22"/>
        <v>Home Appliances</v>
      </c>
      <c r="H237" t="str">
        <f>PROPER(TRIM(CLEAN(Sales_Table[[#This Row],[Product Name]])))</f>
        <v>Led Tv 42Inch</v>
      </c>
      <c r="I237" t="s">
        <v>58</v>
      </c>
      <c r="J237" t="str">
        <f t="shared" si="23"/>
        <v>CUST0754</v>
      </c>
      <c r="K237" t="s">
        <v>726</v>
      </c>
      <c r="L237" t="str">
        <f>PROPER(TRIM(CLEAN(Sales_Table[[#This Row],[Salesperson]])))</f>
        <v>Anita</v>
      </c>
      <c r="M237" t="s">
        <v>64</v>
      </c>
      <c r="N237" t="str">
        <f t="shared" si="24"/>
        <v>Cash</v>
      </c>
      <c r="O237" t="s">
        <v>32</v>
      </c>
      <c r="P237">
        <f t="shared" si="25"/>
        <v>7</v>
      </c>
      <c r="Q237" t="s">
        <v>49</v>
      </c>
      <c r="R237">
        <f t="shared" si="26"/>
        <v>2754</v>
      </c>
      <c r="S237" t="s">
        <v>727</v>
      </c>
      <c r="T237">
        <f t="shared" si="27"/>
        <v>19278</v>
      </c>
      <c r="U237">
        <f>YEAR(Sales_Table[[#This Row],[Date_clean]])</f>
        <v>2024</v>
      </c>
      <c r="V237" t="str">
        <f>TEXT(Sales_Table[[#This Row],[Date_clean]],"mmmm")</f>
        <v>January</v>
      </c>
      <c r="W237">
        <f>WEEKNUM(Sales_Table[[#This Row],[Date_clean]],2)</f>
        <v>2</v>
      </c>
      <c r="X237" t="str" cm="1">
        <f t="array" ref="X237">_xlfn.IFS(Sales_Table[[#This Row],[Revenue]]&gt;=50000,"High",Sales_Table[[#This Row],[Revenue]]&gt;=20000,"Medium",Sales_Table[[#This Row],[Revenue]]&lt;20000,"Low")</f>
        <v>Low</v>
      </c>
      <c r="Y237" t="str">
        <f>IF(Sales_Table[[#This Row],[Payment Method_clean]]="cash","Offline","Online")</f>
        <v>Offline</v>
      </c>
      <c r="Z237">
        <f>IFERROR(Sales_Table[[#This Row],[Revenue]],0)</f>
        <v>19278</v>
      </c>
    </row>
    <row r="238" spans="1:26" x14ac:dyDescent="0.3">
      <c r="A238">
        <v>237</v>
      </c>
      <c r="B238" s="2">
        <f t="shared" si="21"/>
        <v>45301.833333333336</v>
      </c>
      <c r="C238" t="s">
        <v>728</v>
      </c>
      <c r="D238" t="s">
        <v>84</v>
      </c>
      <c r="E238" t="str">
        <f>PROPER(TRIM(CLEAN(Sales_Table[[#This Row],[Region]])))</f>
        <v>South</v>
      </c>
      <c r="F238" t="s">
        <v>28</v>
      </c>
      <c r="G238" t="str">
        <f t="shared" si="22"/>
        <v>Clothing</v>
      </c>
      <c r="H238" t="str">
        <f>PROPER(TRIM(CLEAN(Sales_Table[[#This Row],[Product Name]])))</f>
        <v>Rice 5Kg</v>
      </c>
      <c r="I238" t="s">
        <v>73</v>
      </c>
      <c r="J238" t="str">
        <f t="shared" si="23"/>
        <v>CUST0721</v>
      </c>
      <c r="K238" t="s">
        <v>141</v>
      </c>
      <c r="L238" t="str">
        <f>PROPER(TRIM(CLEAN(Sales_Table[[#This Row],[Salesperson]])))</f>
        <v>Meena</v>
      </c>
      <c r="M238" t="s">
        <v>40</v>
      </c>
      <c r="N238" t="str">
        <f t="shared" si="24"/>
        <v>Credit Card</v>
      </c>
      <c r="O238" t="s">
        <v>65</v>
      </c>
      <c r="P238">
        <f t="shared" si="25"/>
        <v>12</v>
      </c>
      <c r="Q238" t="s">
        <v>33</v>
      </c>
      <c r="R238">
        <f t="shared" si="26"/>
        <v>1569</v>
      </c>
      <c r="S238" t="s">
        <v>729</v>
      </c>
      <c r="T238">
        <f t="shared" si="27"/>
        <v>18828</v>
      </c>
      <c r="U238">
        <f>YEAR(Sales_Table[[#This Row],[Date_clean]])</f>
        <v>2024</v>
      </c>
      <c r="V238" t="str">
        <f>TEXT(Sales_Table[[#This Row],[Date_clean]],"mmmm")</f>
        <v>January</v>
      </c>
      <c r="W238">
        <f>WEEKNUM(Sales_Table[[#This Row],[Date_clean]],2)</f>
        <v>2</v>
      </c>
      <c r="X238" t="str" cm="1">
        <f t="array" ref="X238">_xlfn.IFS(Sales_Table[[#This Row],[Revenue]]&gt;=50000,"High",Sales_Table[[#This Row],[Revenue]]&gt;=20000,"Medium",Sales_Table[[#This Row],[Revenue]]&lt;20000,"Low")</f>
        <v>Low</v>
      </c>
      <c r="Y238" t="str">
        <f>IF(Sales_Table[[#This Row],[Payment Method_clean]]="cash","Offline","Online")</f>
        <v>Online</v>
      </c>
      <c r="Z238">
        <f>IFERROR(Sales_Table[[#This Row],[Revenue]],0)</f>
        <v>18828</v>
      </c>
    </row>
    <row r="239" spans="1:26" x14ac:dyDescent="0.3">
      <c r="A239">
        <v>238</v>
      </c>
      <c r="B239" s="2">
        <f t="shared" si="21"/>
        <v>45301.875</v>
      </c>
      <c r="C239" t="s">
        <v>730</v>
      </c>
      <c r="D239" t="s">
        <v>84</v>
      </c>
      <c r="E239" t="str">
        <f>PROPER(TRIM(CLEAN(Sales_Table[[#This Row],[Region]])))</f>
        <v>South</v>
      </c>
      <c r="F239" t="s">
        <v>28</v>
      </c>
      <c r="G239" t="str">
        <f t="shared" si="22"/>
        <v>Clothing</v>
      </c>
      <c r="H239" t="str">
        <f>PROPER(TRIM(CLEAN(Sales_Table[[#This Row],[Product Name]])))</f>
        <v>Men T-Shirt</v>
      </c>
      <c r="I239" t="s">
        <v>38</v>
      </c>
      <c r="J239" t="str">
        <f t="shared" si="23"/>
        <v>CUST0093</v>
      </c>
      <c r="K239" t="s">
        <v>731</v>
      </c>
      <c r="L239" t="str">
        <f>PROPER(TRIM(CLEAN(Sales_Table[[#This Row],[Salesperson]])))</f>
        <v>Rahul</v>
      </c>
      <c r="M239" t="s">
        <v>31</v>
      </c>
      <c r="N239" t="str">
        <f t="shared" si="24"/>
        <v>Upi</v>
      </c>
      <c r="O239" t="s">
        <v>48</v>
      </c>
      <c r="P239">
        <f t="shared" si="25"/>
        <v>6</v>
      </c>
      <c r="Q239" t="s">
        <v>75</v>
      </c>
      <c r="R239">
        <f t="shared" si="26"/>
        <v>3020</v>
      </c>
      <c r="S239" t="s">
        <v>732</v>
      </c>
      <c r="T239">
        <f t="shared" si="27"/>
        <v>18120</v>
      </c>
      <c r="U239">
        <f>YEAR(Sales_Table[[#This Row],[Date_clean]])</f>
        <v>2024</v>
      </c>
      <c r="V239" t="str">
        <f>TEXT(Sales_Table[[#This Row],[Date_clean]],"mmmm")</f>
        <v>January</v>
      </c>
      <c r="W239">
        <f>WEEKNUM(Sales_Table[[#This Row],[Date_clean]],2)</f>
        <v>2</v>
      </c>
      <c r="X239" t="str" cm="1">
        <f t="array" ref="X239">_xlfn.IFS(Sales_Table[[#This Row],[Revenue]]&gt;=50000,"High",Sales_Table[[#This Row],[Revenue]]&gt;=20000,"Medium",Sales_Table[[#This Row],[Revenue]]&lt;20000,"Low")</f>
        <v>Low</v>
      </c>
      <c r="Y239" t="str">
        <f>IF(Sales_Table[[#This Row],[Payment Method_clean]]="cash","Offline","Online")</f>
        <v>Online</v>
      </c>
      <c r="Z239">
        <f>IFERROR(Sales_Table[[#This Row],[Revenue]],0)</f>
        <v>18120</v>
      </c>
    </row>
    <row r="240" spans="1:26" x14ac:dyDescent="0.3">
      <c r="A240">
        <v>239</v>
      </c>
      <c r="B240" s="2">
        <f t="shared" si="21"/>
        <v>45301.916666666664</v>
      </c>
      <c r="C240" t="s">
        <v>733</v>
      </c>
      <c r="D240" t="s">
        <v>27</v>
      </c>
      <c r="E240" t="str">
        <f>PROPER(TRIM(CLEAN(Sales_Table[[#This Row],[Region]])))</f>
        <v>East</v>
      </c>
      <c r="F240" t="s">
        <v>37</v>
      </c>
      <c r="G240" t="str">
        <f t="shared" si="22"/>
        <v>Home Appliances</v>
      </c>
      <c r="H240" t="str">
        <f>PROPER(TRIM(CLEAN(Sales_Table[[#This Row],[Product Name]])))</f>
        <v>Led Tv 42Inch</v>
      </c>
      <c r="I240" t="s">
        <v>58</v>
      </c>
      <c r="J240" t="str">
        <f t="shared" si="23"/>
        <v>CUST0430</v>
      </c>
      <c r="K240" t="s">
        <v>734</v>
      </c>
      <c r="L240" t="str">
        <f>PROPER(TRIM(CLEAN(Sales_Table[[#This Row],[Salesperson]])))</f>
        <v>Suresh</v>
      </c>
      <c r="M240" t="s">
        <v>54</v>
      </c>
      <c r="N240" t="str">
        <f t="shared" si="24"/>
        <v>Debit Card</v>
      </c>
      <c r="O240" t="s">
        <v>41</v>
      </c>
      <c r="P240">
        <f t="shared" si="25"/>
        <v>4</v>
      </c>
      <c r="Q240" t="s">
        <v>113</v>
      </c>
      <c r="R240">
        <f t="shared" si="26"/>
        <v>1352</v>
      </c>
      <c r="S240" t="s">
        <v>735</v>
      </c>
      <c r="T240">
        <f t="shared" si="27"/>
        <v>5408</v>
      </c>
      <c r="U240">
        <f>YEAR(Sales_Table[[#This Row],[Date_clean]])</f>
        <v>2024</v>
      </c>
      <c r="V240" t="str">
        <f>TEXT(Sales_Table[[#This Row],[Date_clean]],"mmmm")</f>
        <v>January</v>
      </c>
      <c r="W240">
        <f>WEEKNUM(Sales_Table[[#This Row],[Date_clean]],2)</f>
        <v>2</v>
      </c>
      <c r="X240" t="str" cm="1">
        <f t="array" ref="X240">_xlfn.IFS(Sales_Table[[#This Row],[Revenue]]&gt;=50000,"High",Sales_Table[[#This Row],[Revenue]]&gt;=20000,"Medium",Sales_Table[[#This Row],[Revenue]]&lt;20000,"Low")</f>
        <v>Low</v>
      </c>
      <c r="Y240" t="str">
        <f>IF(Sales_Table[[#This Row],[Payment Method_clean]]="cash","Offline","Online")</f>
        <v>Online</v>
      </c>
      <c r="Z240">
        <f>IFERROR(Sales_Table[[#This Row],[Revenue]],0)</f>
        <v>5408</v>
      </c>
    </row>
    <row r="241" spans="1:26" x14ac:dyDescent="0.3">
      <c r="A241">
        <v>240</v>
      </c>
      <c r="B241" s="2">
        <f t="shared" si="21"/>
        <v>45301.958333333336</v>
      </c>
      <c r="C241" t="s">
        <v>736</v>
      </c>
      <c r="D241" t="s">
        <v>36</v>
      </c>
      <c r="E241" t="str">
        <f>PROPER(TRIM(CLEAN(Sales_Table[[#This Row],[Region]])))</f>
        <v>West</v>
      </c>
      <c r="F241" t="s">
        <v>78</v>
      </c>
      <c r="G241" t="str">
        <f t="shared" si="22"/>
        <v>Grocery</v>
      </c>
      <c r="H241" t="str">
        <f>PROPER(TRIM(CLEAN(Sales_Table[[#This Row],[Product Name]])))</f>
        <v>Led Tv 42Inch</v>
      </c>
      <c r="I241" t="s">
        <v>58</v>
      </c>
      <c r="J241" t="str">
        <f t="shared" si="23"/>
        <v>CUST0654</v>
      </c>
      <c r="K241" t="s">
        <v>737</v>
      </c>
      <c r="L241" t="str">
        <f>PROPER(TRIM(CLEAN(Sales_Table[[#This Row],[Salesperson]])))</f>
        <v>Anita</v>
      </c>
      <c r="M241" t="s">
        <v>64</v>
      </c>
      <c r="N241" t="str">
        <f t="shared" si="24"/>
        <v>Upi</v>
      </c>
      <c r="O241" t="s">
        <v>48</v>
      </c>
      <c r="P241">
        <f t="shared" si="25"/>
        <v>7</v>
      </c>
      <c r="Q241" t="s">
        <v>49</v>
      </c>
      <c r="R241">
        <f t="shared" si="26"/>
        <v>869</v>
      </c>
      <c r="S241" t="s">
        <v>738</v>
      </c>
      <c r="T241">
        <f t="shared" si="27"/>
        <v>6083</v>
      </c>
      <c r="U241">
        <f>YEAR(Sales_Table[[#This Row],[Date_clean]])</f>
        <v>2024</v>
      </c>
      <c r="V241" t="str">
        <f>TEXT(Sales_Table[[#This Row],[Date_clean]],"mmmm")</f>
        <v>January</v>
      </c>
      <c r="W241">
        <f>WEEKNUM(Sales_Table[[#This Row],[Date_clean]],2)</f>
        <v>2</v>
      </c>
      <c r="X241" t="str" cm="1">
        <f t="array" ref="X241">_xlfn.IFS(Sales_Table[[#This Row],[Revenue]]&gt;=50000,"High",Sales_Table[[#This Row],[Revenue]]&gt;=20000,"Medium",Sales_Table[[#This Row],[Revenue]]&lt;20000,"Low")</f>
        <v>Low</v>
      </c>
      <c r="Y241" t="str">
        <f>IF(Sales_Table[[#This Row],[Payment Method_clean]]="cash","Offline","Online")</f>
        <v>Online</v>
      </c>
      <c r="Z241">
        <f>IFERROR(Sales_Table[[#This Row],[Revenue]],0)</f>
        <v>6083</v>
      </c>
    </row>
    <row r="242" spans="1:26" x14ac:dyDescent="0.3">
      <c r="A242">
        <v>241</v>
      </c>
      <c r="B242" s="2">
        <f t="shared" si="21"/>
        <v>45302</v>
      </c>
      <c r="C242" t="s">
        <v>739</v>
      </c>
      <c r="D242" t="s">
        <v>84</v>
      </c>
      <c r="E242" t="str">
        <f>PROPER(TRIM(CLEAN(Sales_Table[[#This Row],[Region]])))</f>
        <v>South</v>
      </c>
      <c r="F242" t="s">
        <v>78</v>
      </c>
      <c r="G242" t="str">
        <f t="shared" si="22"/>
        <v>Grocery</v>
      </c>
      <c r="H242" t="str">
        <f>PROPER(TRIM(CLEAN(Sales_Table[[#This Row],[Product Name]])))</f>
        <v>Men T-Shirt</v>
      </c>
      <c r="I242" t="s">
        <v>38</v>
      </c>
      <c r="J242" t="str">
        <f t="shared" si="23"/>
        <v>CUST0434</v>
      </c>
      <c r="K242" t="s">
        <v>740</v>
      </c>
      <c r="L242" t="str">
        <f>PROPER(TRIM(CLEAN(Sales_Table[[#This Row],[Salesperson]])))</f>
        <v>Anita</v>
      </c>
      <c r="M242" t="s">
        <v>64</v>
      </c>
      <c r="N242" t="str">
        <f t="shared" si="24"/>
        <v>Credit Card</v>
      </c>
      <c r="O242" t="s">
        <v>65</v>
      </c>
      <c r="P242">
        <f t="shared" si="25"/>
        <v>3</v>
      </c>
      <c r="Q242" t="s">
        <v>66</v>
      </c>
      <c r="R242">
        <f t="shared" si="26"/>
        <v>933</v>
      </c>
      <c r="S242" t="s">
        <v>741</v>
      </c>
      <c r="T242">
        <f t="shared" si="27"/>
        <v>2799</v>
      </c>
      <c r="U242">
        <f>YEAR(Sales_Table[[#This Row],[Date_clean]])</f>
        <v>2024</v>
      </c>
      <c r="V242" t="str">
        <f>TEXT(Sales_Table[[#This Row],[Date_clean]],"mmmm")</f>
        <v>January</v>
      </c>
      <c r="W242">
        <f>WEEKNUM(Sales_Table[[#This Row],[Date_clean]],2)</f>
        <v>2</v>
      </c>
      <c r="X242" t="str" cm="1">
        <f t="array" ref="X242">_xlfn.IFS(Sales_Table[[#This Row],[Revenue]]&gt;=50000,"High",Sales_Table[[#This Row],[Revenue]]&gt;=20000,"Medium",Sales_Table[[#This Row],[Revenue]]&lt;20000,"Low")</f>
        <v>Low</v>
      </c>
      <c r="Y242" t="str">
        <f>IF(Sales_Table[[#This Row],[Payment Method_clean]]="cash","Offline","Online")</f>
        <v>Online</v>
      </c>
      <c r="Z242">
        <f>IFERROR(Sales_Table[[#This Row],[Revenue]],0)</f>
        <v>2799</v>
      </c>
    </row>
    <row r="243" spans="1:26" x14ac:dyDescent="0.3">
      <c r="A243">
        <v>242</v>
      </c>
      <c r="B243" s="2">
        <f t="shared" si="21"/>
        <v>45302.041666666664</v>
      </c>
      <c r="C243" t="s">
        <v>742</v>
      </c>
      <c r="D243" t="s">
        <v>27</v>
      </c>
      <c r="E243" t="str">
        <f>PROPER(TRIM(CLEAN(Sales_Table[[#This Row],[Region]])))</f>
        <v>East</v>
      </c>
      <c r="F243" t="s">
        <v>28</v>
      </c>
      <c r="G243" t="str">
        <f t="shared" si="22"/>
        <v>Clothing</v>
      </c>
      <c r="H243" t="str">
        <f>PROPER(TRIM(CLEAN(Sales_Table[[#This Row],[Product Name]])))</f>
        <v>Rice 5Kg</v>
      </c>
      <c r="I243" t="s">
        <v>73</v>
      </c>
      <c r="J243" t="str">
        <f t="shared" si="23"/>
        <v>CUST0404</v>
      </c>
      <c r="K243" t="s">
        <v>743</v>
      </c>
      <c r="L243" t="str">
        <f>PROPER(TRIM(CLEAN(Sales_Table[[#This Row],[Salesperson]])))</f>
        <v>Suresh</v>
      </c>
      <c r="M243" t="s">
        <v>54</v>
      </c>
      <c r="N243" t="str">
        <f t="shared" si="24"/>
        <v>Net Banking</v>
      </c>
      <c r="O243" t="s">
        <v>60</v>
      </c>
      <c r="P243">
        <f t="shared" si="25"/>
        <v>1</v>
      </c>
      <c r="Q243" t="s">
        <v>93</v>
      </c>
      <c r="R243">
        <f t="shared" si="26"/>
        <v>2309</v>
      </c>
      <c r="S243" t="s">
        <v>744</v>
      </c>
      <c r="T243">
        <f t="shared" si="27"/>
        <v>2309</v>
      </c>
      <c r="U243">
        <f>YEAR(Sales_Table[[#This Row],[Date_clean]])</f>
        <v>2024</v>
      </c>
      <c r="V243" t="str">
        <f>TEXT(Sales_Table[[#This Row],[Date_clean]],"mmmm")</f>
        <v>January</v>
      </c>
      <c r="W243">
        <f>WEEKNUM(Sales_Table[[#This Row],[Date_clean]],2)</f>
        <v>2</v>
      </c>
      <c r="X243" t="str" cm="1">
        <f t="array" ref="X243">_xlfn.IFS(Sales_Table[[#This Row],[Revenue]]&gt;=50000,"High",Sales_Table[[#This Row],[Revenue]]&gt;=20000,"Medium",Sales_Table[[#This Row],[Revenue]]&lt;20000,"Low")</f>
        <v>Low</v>
      </c>
      <c r="Y243" t="str">
        <f>IF(Sales_Table[[#This Row],[Payment Method_clean]]="cash","Offline","Online")</f>
        <v>Online</v>
      </c>
      <c r="Z243">
        <f>IFERROR(Sales_Table[[#This Row],[Revenue]],0)</f>
        <v>2309</v>
      </c>
    </row>
    <row r="244" spans="1:26" x14ac:dyDescent="0.3">
      <c r="A244">
        <v>243</v>
      </c>
      <c r="B244" s="2">
        <f t="shared" si="21"/>
        <v>45302.083333333336</v>
      </c>
      <c r="C244" t="s">
        <v>745</v>
      </c>
      <c r="D244" t="s">
        <v>36</v>
      </c>
      <c r="E244" t="str">
        <f>PROPER(TRIM(CLEAN(Sales_Table[[#This Row],[Region]])))</f>
        <v>West</v>
      </c>
      <c r="F244" t="s">
        <v>78</v>
      </c>
      <c r="G244" t="str">
        <f t="shared" si="22"/>
        <v>Grocery</v>
      </c>
      <c r="H244" t="str">
        <f>PROPER(TRIM(CLEAN(Sales_Table[[#This Row],[Product Name]])))</f>
        <v>Laptop</v>
      </c>
      <c r="I244" t="s">
        <v>52</v>
      </c>
      <c r="J244" t="str">
        <f t="shared" si="23"/>
        <v>CUST0434</v>
      </c>
      <c r="K244" t="s">
        <v>740</v>
      </c>
      <c r="L244" t="str">
        <f>PROPER(TRIM(CLEAN(Sales_Table[[#This Row],[Salesperson]])))</f>
        <v>Meena</v>
      </c>
      <c r="M244" t="s">
        <v>40</v>
      </c>
      <c r="N244" t="str">
        <f t="shared" si="24"/>
        <v>Cash</v>
      </c>
      <c r="O244" t="s">
        <v>32</v>
      </c>
      <c r="P244">
        <f t="shared" si="25"/>
        <v>4</v>
      </c>
      <c r="Q244" t="s">
        <v>113</v>
      </c>
      <c r="R244">
        <f t="shared" si="26"/>
        <v>4749</v>
      </c>
      <c r="S244" t="s">
        <v>746</v>
      </c>
      <c r="T244">
        <f t="shared" si="27"/>
        <v>18996</v>
      </c>
      <c r="U244">
        <f>YEAR(Sales_Table[[#This Row],[Date_clean]])</f>
        <v>2024</v>
      </c>
      <c r="V244" t="str">
        <f>TEXT(Sales_Table[[#This Row],[Date_clean]],"mmmm")</f>
        <v>January</v>
      </c>
      <c r="W244">
        <f>WEEKNUM(Sales_Table[[#This Row],[Date_clean]],2)</f>
        <v>2</v>
      </c>
      <c r="X244" t="str" cm="1">
        <f t="array" ref="X244">_xlfn.IFS(Sales_Table[[#This Row],[Revenue]]&gt;=50000,"High",Sales_Table[[#This Row],[Revenue]]&gt;=20000,"Medium",Sales_Table[[#This Row],[Revenue]]&lt;20000,"Low")</f>
        <v>Low</v>
      </c>
      <c r="Y244" t="str">
        <f>IF(Sales_Table[[#This Row],[Payment Method_clean]]="cash","Offline","Online")</f>
        <v>Offline</v>
      </c>
      <c r="Z244">
        <f>IFERROR(Sales_Table[[#This Row],[Revenue]],0)</f>
        <v>18996</v>
      </c>
    </row>
    <row r="245" spans="1:26" x14ac:dyDescent="0.3">
      <c r="A245">
        <v>244</v>
      </c>
      <c r="B245" s="2">
        <f t="shared" si="21"/>
        <v>45302.125</v>
      </c>
      <c r="C245" t="s">
        <v>747</v>
      </c>
      <c r="D245" t="s">
        <v>45</v>
      </c>
      <c r="E245" t="str">
        <f>PROPER(TRIM(CLEAN(Sales_Table[[#This Row],[Region]])))</f>
        <v>North</v>
      </c>
      <c r="F245" t="s">
        <v>46</v>
      </c>
      <c r="G245" t="str">
        <f t="shared" si="22"/>
        <v>Electronics</v>
      </c>
      <c r="H245" t="str">
        <f>PROPER(TRIM(CLEAN(Sales_Table[[#This Row],[Product Name]])))</f>
        <v>Rice 5Kg</v>
      </c>
      <c r="I245" t="s">
        <v>73</v>
      </c>
      <c r="J245" t="str">
        <f t="shared" si="23"/>
        <v>CUST0112</v>
      </c>
      <c r="K245" t="s">
        <v>748</v>
      </c>
      <c r="L245" t="str">
        <f>PROPER(TRIM(CLEAN(Sales_Table[[#This Row],[Salesperson]])))</f>
        <v>Karthik</v>
      </c>
      <c r="M245" t="s">
        <v>70</v>
      </c>
      <c r="N245" t="str">
        <f t="shared" si="24"/>
        <v>Debit Card</v>
      </c>
      <c r="O245" t="s">
        <v>41</v>
      </c>
      <c r="P245">
        <f t="shared" si="25"/>
        <v>3</v>
      </c>
      <c r="Q245" t="s">
        <v>66</v>
      </c>
      <c r="R245">
        <f t="shared" si="26"/>
        <v>3524</v>
      </c>
      <c r="S245" t="s">
        <v>749</v>
      </c>
      <c r="T245">
        <f t="shared" si="27"/>
        <v>10572</v>
      </c>
      <c r="U245">
        <f>YEAR(Sales_Table[[#This Row],[Date_clean]])</f>
        <v>2024</v>
      </c>
      <c r="V245" t="str">
        <f>TEXT(Sales_Table[[#This Row],[Date_clean]],"mmmm")</f>
        <v>January</v>
      </c>
      <c r="W245">
        <f>WEEKNUM(Sales_Table[[#This Row],[Date_clean]],2)</f>
        <v>2</v>
      </c>
      <c r="X245" t="str" cm="1">
        <f t="array" ref="X245">_xlfn.IFS(Sales_Table[[#This Row],[Revenue]]&gt;=50000,"High",Sales_Table[[#This Row],[Revenue]]&gt;=20000,"Medium",Sales_Table[[#This Row],[Revenue]]&lt;20000,"Low")</f>
        <v>Low</v>
      </c>
      <c r="Y245" t="str">
        <f>IF(Sales_Table[[#This Row],[Payment Method_clean]]="cash","Offline","Online")</f>
        <v>Online</v>
      </c>
      <c r="Z245">
        <f>IFERROR(Sales_Table[[#This Row],[Revenue]],0)</f>
        <v>10572</v>
      </c>
    </row>
    <row r="246" spans="1:26" x14ac:dyDescent="0.3">
      <c r="A246">
        <v>245</v>
      </c>
      <c r="B246" s="2">
        <f t="shared" si="21"/>
        <v>45302.166666666664</v>
      </c>
      <c r="C246" t="s">
        <v>750</v>
      </c>
      <c r="D246" t="s">
        <v>27</v>
      </c>
      <c r="E246" t="str">
        <f>PROPER(TRIM(CLEAN(Sales_Table[[#This Row],[Region]])))</f>
        <v>East</v>
      </c>
      <c r="F246" t="s">
        <v>37</v>
      </c>
      <c r="G246" t="str">
        <f t="shared" si="22"/>
        <v>Home Appliances</v>
      </c>
      <c r="H246" t="str">
        <f>PROPER(TRIM(CLEAN(Sales_Table[[#This Row],[Product Name]])))</f>
        <v>Washing Machine</v>
      </c>
      <c r="I246" t="s">
        <v>79</v>
      </c>
      <c r="J246" t="str">
        <f t="shared" si="23"/>
        <v>CUST0375</v>
      </c>
      <c r="K246" t="s">
        <v>751</v>
      </c>
      <c r="L246" t="str">
        <f>PROPER(TRIM(CLEAN(Sales_Table[[#This Row],[Salesperson]])))</f>
        <v>Meena</v>
      </c>
      <c r="M246" t="s">
        <v>40</v>
      </c>
      <c r="N246" t="str">
        <f t="shared" si="24"/>
        <v>Net Banking</v>
      </c>
      <c r="O246" t="s">
        <v>60</v>
      </c>
      <c r="P246">
        <f t="shared" si="25"/>
        <v>1</v>
      </c>
      <c r="Q246" t="s">
        <v>93</v>
      </c>
      <c r="R246">
        <f t="shared" si="26"/>
        <v>1191</v>
      </c>
      <c r="S246" t="s">
        <v>752</v>
      </c>
      <c r="T246">
        <f t="shared" si="27"/>
        <v>1191</v>
      </c>
      <c r="U246">
        <f>YEAR(Sales_Table[[#This Row],[Date_clean]])</f>
        <v>2024</v>
      </c>
      <c r="V246" t="str">
        <f>TEXT(Sales_Table[[#This Row],[Date_clean]],"mmmm")</f>
        <v>January</v>
      </c>
      <c r="W246">
        <f>WEEKNUM(Sales_Table[[#This Row],[Date_clean]],2)</f>
        <v>2</v>
      </c>
      <c r="X246" t="str" cm="1">
        <f t="array" ref="X246">_xlfn.IFS(Sales_Table[[#This Row],[Revenue]]&gt;=50000,"High",Sales_Table[[#This Row],[Revenue]]&gt;=20000,"Medium",Sales_Table[[#This Row],[Revenue]]&lt;20000,"Low")</f>
        <v>Low</v>
      </c>
      <c r="Y246" t="str">
        <f>IF(Sales_Table[[#This Row],[Payment Method_clean]]="cash","Offline","Online")</f>
        <v>Online</v>
      </c>
      <c r="Z246">
        <f>IFERROR(Sales_Table[[#This Row],[Revenue]],0)</f>
        <v>1191</v>
      </c>
    </row>
    <row r="247" spans="1:26" x14ac:dyDescent="0.3">
      <c r="A247">
        <v>246</v>
      </c>
      <c r="B247" s="2">
        <f t="shared" si="21"/>
        <v>45302.208333333336</v>
      </c>
      <c r="C247" t="s">
        <v>753</v>
      </c>
      <c r="D247" t="s">
        <v>84</v>
      </c>
      <c r="E247" t="str">
        <f>PROPER(TRIM(CLEAN(Sales_Table[[#This Row],[Region]])))</f>
        <v>South</v>
      </c>
      <c r="F247" t="s">
        <v>46</v>
      </c>
      <c r="G247" t="str">
        <f t="shared" si="22"/>
        <v>Electronics</v>
      </c>
      <c r="H247" t="str">
        <f>PROPER(TRIM(CLEAN(Sales_Table[[#This Row],[Product Name]])))</f>
        <v>Mixer Grinder</v>
      </c>
      <c r="I247" t="s">
        <v>29</v>
      </c>
      <c r="J247" t="str">
        <f t="shared" si="23"/>
        <v>CUST0059</v>
      </c>
      <c r="K247" t="s">
        <v>234</v>
      </c>
      <c r="L247" t="str">
        <f>PROPER(TRIM(CLEAN(Sales_Table[[#This Row],[Salesperson]])))</f>
        <v>Rahul</v>
      </c>
      <c r="M247" t="s">
        <v>31</v>
      </c>
      <c r="N247" t="str">
        <f t="shared" si="24"/>
        <v>Credit Card</v>
      </c>
      <c r="O247" t="s">
        <v>65</v>
      </c>
      <c r="P247">
        <f t="shared" si="25"/>
        <v>2</v>
      </c>
      <c r="Q247" t="s">
        <v>196</v>
      </c>
      <c r="R247">
        <f t="shared" si="26"/>
        <v>1296</v>
      </c>
      <c r="S247" t="s">
        <v>754</v>
      </c>
      <c r="T247">
        <f t="shared" si="27"/>
        <v>2592</v>
      </c>
      <c r="U247">
        <f>YEAR(Sales_Table[[#This Row],[Date_clean]])</f>
        <v>2024</v>
      </c>
      <c r="V247" t="str">
        <f>TEXT(Sales_Table[[#This Row],[Date_clean]],"mmmm")</f>
        <v>January</v>
      </c>
      <c r="W247">
        <f>WEEKNUM(Sales_Table[[#This Row],[Date_clean]],2)</f>
        <v>2</v>
      </c>
      <c r="X247" t="str" cm="1">
        <f t="array" ref="X247">_xlfn.IFS(Sales_Table[[#This Row],[Revenue]]&gt;=50000,"High",Sales_Table[[#This Row],[Revenue]]&gt;=20000,"Medium",Sales_Table[[#This Row],[Revenue]]&lt;20000,"Low")</f>
        <v>Low</v>
      </c>
      <c r="Y247" t="str">
        <f>IF(Sales_Table[[#This Row],[Payment Method_clean]]="cash","Offline","Online")</f>
        <v>Online</v>
      </c>
      <c r="Z247">
        <f>IFERROR(Sales_Table[[#This Row],[Revenue]],0)</f>
        <v>2592</v>
      </c>
    </row>
    <row r="248" spans="1:26" x14ac:dyDescent="0.3">
      <c r="A248">
        <v>247</v>
      </c>
      <c r="B248" s="2">
        <f t="shared" si="21"/>
        <v>45302.25</v>
      </c>
      <c r="C248" t="s">
        <v>755</v>
      </c>
      <c r="D248" t="s">
        <v>45</v>
      </c>
      <c r="E248" t="str">
        <f>PROPER(TRIM(CLEAN(Sales_Table[[#This Row],[Region]])))</f>
        <v>North</v>
      </c>
      <c r="F248" t="s">
        <v>78</v>
      </c>
      <c r="G248" t="str">
        <f t="shared" si="22"/>
        <v>Grocery</v>
      </c>
      <c r="H248" t="str">
        <f>PROPER(TRIM(CLEAN(Sales_Table[[#This Row],[Product Name]])))</f>
        <v>Men T-Shirt</v>
      </c>
      <c r="I248" t="s">
        <v>38</v>
      </c>
      <c r="J248" t="str">
        <f t="shared" si="23"/>
        <v>CUST0043</v>
      </c>
      <c r="K248" t="s">
        <v>756</v>
      </c>
      <c r="L248" t="str">
        <f>PROPER(TRIM(CLEAN(Sales_Table[[#This Row],[Salesperson]])))</f>
        <v>Karthik</v>
      </c>
      <c r="M248" t="s">
        <v>70</v>
      </c>
      <c r="N248" t="str">
        <f t="shared" si="24"/>
        <v>Upi</v>
      </c>
      <c r="O248" t="s">
        <v>48</v>
      </c>
      <c r="P248">
        <f t="shared" si="25"/>
        <v>11</v>
      </c>
      <c r="Q248" t="s">
        <v>97</v>
      </c>
      <c r="R248">
        <f t="shared" si="26"/>
        <v>4014</v>
      </c>
      <c r="S248" t="s">
        <v>757</v>
      </c>
      <c r="T248">
        <f t="shared" si="27"/>
        <v>44154</v>
      </c>
      <c r="U248">
        <f>YEAR(Sales_Table[[#This Row],[Date_clean]])</f>
        <v>2024</v>
      </c>
      <c r="V248" t="str">
        <f>TEXT(Sales_Table[[#This Row],[Date_clean]],"mmmm")</f>
        <v>January</v>
      </c>
      <c r="W248">
        <f>WEEKNUM(Sales_Table[[#This Row],[Date_clean]],2)</f>
        <v>2</v>
      </c>
      <c r="X248" t="str" cm="1">
        <f t="array" ref="X248">_xlfn.IFS(Sales_Table[[#This Row],[Revenue]]&gt;=50000,"High",Sales_Table[[#This Row],[Revenue]]&gt;=20000,"Medium",Sales_Table[[#This Row],[Revenue]]&lt;20000,"Low")</f>
        <v>Medium</v>
      </c>
      <c r="Y248" t="str">
        <f>IF(Sales_Table[[#This Row],[Payment Method_clean]]="cash","Offline","Online")</f>
        <v>Online</v>
      </c>
      <c r="Z248">
        <f>IFERROR(Sales_Table[[#This Row],[Revenue]],0)</f>
        <v>44154</v>
      </c>
    </row>
    <row r="249" spans="1:26" x14ac:dyDescent="0.3">
      <c r="A249">
        <v>248</v>
      </c>
      <c r="B249" s="2">
        <f t="shared" si="21"/>
        <v>45302.291666666664</v>
      </c>
      <c r="C249" t="s">
        <v>758</v>
      </c>
      <c r="D249" t="s">
        <v>45</v>
      </c>
      <c r="E249" t="str">
        <f>PROPER(TRIM(CLEAN(Sales_Table[[#This Row],[Region]])))</f>
        <v>North</v>
      </c>
      <c r="F249" t="s">
        <v>28</v>
      </c>
      <c r="G249" t="str">
        <f t="shared" si="22"/>
        <v>Clothing</v>
      </c>
      <c r="H249" t="str">
        <f>PROPER(TRIM(CLEAN(Sales_Table[[#This Row],[Product Name]])))</f>
        <v>Laptop</v>
      </c>
      <c r="I249" t="s">
        <v>52</v>
      </c>
      <c r="J249" t="str">
        <f t="shared" si="23"/>
        <v>CUST0207</v>
      </c>
      <c r="K249" t="s">
        <v>264</v>
      </c>
      <c r="L249" t="str">
        <f>PROPER(TRIM(CLEAN(Sales_Table[[#This Row],[Salesperson]])))</f>
        <v>Meena</v>
      </c>
      <c r="M249" t="s">
        <v>40</v>
      </c>
      <c r="N249" t="str">
        <f t="shared" si="24"/>
        <v>Cash</v>
      </c>
      <c r="O249" t="s">
        <v>32</v>
      </c>
      <c r="P249">
        <f t="shared" si="25"/>
        <v>5</v>
      </c>
      <c r="Q249" t="s">
        <v>89</v>
      </c>
      <c r="R249">
        <f t="shared" si="26"/>
        <v>1760</v>
      </c>
      <c r="S249" t="s">
        <v>759</v>
      </c>
      <c r="T249">
        <f t="shared" si="27"/>
        <v>8800</v>
      </c>
      <c r="U249">
        <f>YEAR(Sales_Table[[#This Row],[Date_clean]])</f>
        <v>2024</v>
      </c>
      <c r="V249" t="str">
        <f>TEXT(Sales_Table[[#This Row],[Date_clean]],"mmmm")</f>
        <v>January</v>
      </c>
      <c r="W249">
        <f>WEEKNUM(Sales_Table[[#This Row],[Date_clean]],2)</f>
        <v>2</v>
      </c>
      <c r="X249" t="str" cm="1">
        <f t="array" ref="X249">_xlfn.IFS(Sales_Table[[#This Row],[Revenue]]&gt;=50000,"High",Sales_Table[[#This Row],[Revenue]]&gt;=20000,"Medium",Sales_Table[[#This Row],[Revenue]]&lt;20000,"Low")</f>
        <v>Low</v>
      </c>
      <c r="Y249" t="str">
        <f>IF(Sales_Table[[#This Row],[Payment Method_clean]]="cash","Offline","Online")</f>
        <v>Offline</v>
      </c>
      <c r="Z249">
        <f>IFERROR(Sales_Table[[#This Row],[Revenue]],0)</f>
        <v>8800</v>
      </c>
    </row>
    <row r="250" spans="1:26" x14ac:dyDescent="0.3">
      <c r="A250">
        <v>249</v>
      </c>
      <c r="B250" s="2">
        <f t="shared" si="21"/>
        <v>45302.333333333336</v>
      </c>
      <c r="C250" t="s">
        <v>760</v>
      </c>
      <c r="D250" t="s">
        <v>45</v>
      </c>
      <c r="E250" t="str">
        <f>PROPER(TRIM(CLEAN(Sales_Table[[#This Row],[Region]])))</f>
        <v>North</v>
      </c>
      <c r="F250" t="s">
        <v>37</v>
      </c>
      <c r="G250" t="str">
        <f t="shared" si="22"/>
        <v>Home Appliances</v>
      </c>
      <c r="H250" t="str">
        <f>PROPER(TRIM(CLEAN(Sales_Table[[#This Row],[Product Name]])))</f>
        <v>Men T-Shirt</v>
      </c>
      <c r="I250" t="s">
        <v>38</v>
      </c>
      <c r="J250" t="str">
        <f t="shared" si="23"/>
        <v>CUST0780</v>
      </c>
      <c r="K250" t="s">
        <v>637</v>
      </c>
      <c r="L250" t="str">
        <f>PROPER(TRIM(CLEAN(Sales_Table[[#This Row],[Salesperson]])))</f>
        <v>Suresh</v>
      </c>
      <c r="M250" t="s">
        <v>54</v>
      </c>
      <c r="N250" t="str">
        <f t="shared" si="24"/>
        <v>Debit Card</v>
      </c>
      <c r="O250" t="s">
        <v>41</v>
      </c>
      <c r="P250">
        <f t="shared" si="25"/>
        <v>8</v>
      </c>
      <c r="Q250" t="s">
        <v>42</v>
      </c>
      <c r="R250">
        <f t="shared" si="26"/>
        <v>4754</v>
      </c>
      <c r="S250" t="s">
        <v>761</v>
      </c>
      <c r="T250">
        <f t="shared" si="27"/>
        <v>38032</v>
      </c>
      <c r="U250">
        <f>YEAR(Sales_Table[[#This Row],[Date_clean]])</f>
        <v>2024</v>
      </c>
      <c r="V250" t="str">
        <f>TEXT(Sales_Table[[#This Row],[Date_clean]],"mmmm")</f>
        <v>January</v>
      </c>
      <c r="W250">
        <f>WEEKNUM(Sales_Table[[#This Row],[Date_clean]],2)</f>
        <v>2</v>
      </c>
      <c r="X250" t="str" cm="1">
        <f t="array" ref="X250">_xlfn.IFS(Sales_Table[[#This Row],[Revenue]]&gt;=50000,"High",Sales_Table[[#This Row],[Revenue]]&gt;=20000,"Medium",Sales_Table[[#This Row],[Revenue]]&lt;20000,"Low")</f>
        <v>Medium</v>
      </c>
      <c r="Y250" t="str">
        <f>IF(Sales_Table[[#This Row],[Payment Method_clean]]="cash","Offline","Online")</f>
        <v>Online</v>
      </c>
      <c r="Z250">
        <f>IFERROR(Sales_Table[[#This Row],[Revenue]],0)</f>
        <v>38032</v>
      </c>
    </row>
    <row r="251" spans="1:26" x14ac:dyDescent="0.3">
      <c r="A251">
        <v>250</v>
      </c>
      <c r="B251" s="2">
        <f t="shared" si="21"/>
        <v>45302.375</v>
      </c>
      <c r="C251" t="s">
        <v>762</v>
      </c>
      <c r="D251" t="s">
        <v>27</v>
      </c>
      <c r="E251" t="str">
        <f>PROPER(TRIM(CLEAN(Sales_Table[[#This Row],[Region]])))</f>
        <v>East</v>
      </c>
      <c r="F251" t="s">
        <v>78</v>
      </c>
      <c r="G251" t="str">
        <f t="shared" si="22"/>
        <v>Grocery</v>
      </c>
      <c r="H251" t="str">
        <f>PROPER(TRIM(CLEAN(Sales_Table[[#This Row],[Product Name]])))</f>
        <v>Men T-Shirt</v>
      </c>
      <c r="I251" t="s">
        <v>38</v>
      </c>
      <c r="J251" t="str">
        <f t="shared" si="23"/>
        <v>CUST0296</v>
      </c>
      <c r="K251" t="s">
        <v>763</v>
      </c>
      <c r="L251" t="str">
        <f>PROPER(TRIM(CLEAN(Sales_Table[[#This Row],[Salesperson]])))</f>
        <v>Rahul</v>
      </c>
      <c r="M251" t="s">
        <v>31</v>
      </c>
      <c r="N251" t="str">
        <f t="shared" si="24"/>
        <v>Net Banking</v>
      </c>
      <c r="O251" t="s">
        <v>60</v>
      </c>
      <c r="P251">
        <f t="shared" si="25"/>
        <v>1</v>
      </c>
      <c r="Q251" t="s">
        <v>93</v>
      </c>
      <c r="R251">
        <f t="shared" si="26"/>
        <v>360</v>
      </c>
      <c r="S251" t="s">
        <v>764</v>
      </c>
      <c r="T251">
        <f t="shared" si="27"/>
        <v>360</v>
      </c>
      <c r="U251">
        <f>YEAR(Sales_Table[[#This Row],[Date_clean]])</f>
        <v>2024</v>
      </c>
      <c r="V251" t="str">
        <f>TEXT(Sales_Table[[#This Row],[Date_clean]],"mmmm")</f>
        <v>January</v>
      </c>
      <c r="W251">
        <f>WEEKNUM(Sales_Table[[#This Row],[Date_clean]],2)</f>
        <v>2</v>
      </c>
      <c r="X251" t="str" cm="1">
        <f t="array" ref="X251">_xlfn.IFS(Sales_Table[[#This Row],[Revenue]]&gt;=50000,"High",Sales_Table[[#This Row],[Revenue]]&gt;=20000,"Medium",Sales_Table[[#This Row],[Revenue]]&lt;20000,"Low")</f>
        <v>Low</v>
      </c>
      <c r="Y251" t="str">
        <f>IF(Sales_Table[[#This Row],[Payment Method_clean]]="cash","Offline","Online")</f>
        <v>Online</v>
      </c>
      <c r="Z251">
        <f>IFERROR(Sales_Table[[#This Row],[Revenue]],0)</f>
        <v>360</v>
      </c>
    </row>
    <row r="252" spans="1:26" x14ac:dyDescent="0.3">
      <c r="A252">
        <v>251</v>
      </c>
      <c r="B252" s="2">
        <f t="shared" si="21"/>
        <v>45302.416666666664</v>
      </c>
      <c r="C252" t="s">
        <v>765</v>
      </c>
      <c r="D252" t="s">
        <v>84</v>
      </c>
      <c r="E252" t="str">
        <f>PROPER(TRIM(CLEAN(Sales_Table[[#This Row],[Region]])))</f>
        <v>South</v>
      </c>
      <c r="F252" t="s">
        <v>78</v>
      </c>
      <c r="G252" t="str">
        <f t="shared" si="22"/>
        <v>Grocery</v>
      </c>
      <c r="H252" t="str">
        <f>PROPER(TRIM(CLEAN(Sales_Table[[#This Row],[Product Name]])))</f>
        <v>Rice 5Kg</v>
      </c>
      <c r="I252" t="s">
        <v>73</v>
      </c>
      <c r="J252" t="str">
        <f t="shared" si="23"/>
        <v>CUST0118</v>
      </c>
      <c r="K252" t="s">
        <v>766</v>
      </c>
      <c r="L252" t="str">
        <f>PROPER(TRIM(CLEAN(Sales_Table[[#This Row],[Salesperson]])))</f>
        <v>Rahul</v>
      </c>
      <c r="M252" t="s">
        <v>31</v>
      </c>
      <c r="N252" t="str">
        <f t="shared" si="24"/>
        <v>Net Banking</v>
      </c>
      <c r="O252" t="s">
        <v>60</v>
      </c>
      <c r="P252">
        <f t="shared" si="25"/>
        <v>4</v>
      </c>
      <c r="Q252" t="s">
        <v>113</v>
      </c>
      <c r="R252">
        <f t="shared" si="26"/>
        <v>2364</v>
      </c>
      <c r="S252" t="s">
        <v>767</v>
      </c>
      <c r="T252">
        <f t="shared" si="27"/>
        <v>9456</v>
      </c>
      <c r="U252">
        <f>YEAR(Sales_Table[[#This Row],[Date_clean]])</f>
        <v>2024</v>
      </c>
      <c r="V252" t="str">
        <f>TEXT(Sales_Table[[#This Row],[Date_clean]],"mmmm")</f>
        <v>January</v>
      </c>
      <c r="W252">
        <f>WEEKNUM(Sales_Table[[#This Row],[Date_clean]],2)</f>
        <v>2</v>
      </c>
      <c r="X252" t="str" cm="1">
        <f t="array" ref="X252">_xlfn.IFS(Sales_Table[[#This Row],[Revenue]]&gt;=50000,"High",Sales_Table[[#This Row],[Revenue]]&gt;=20000,"Medium",Sales_Table[[#This Row],[Revenue]]&lt;20000,"Low")</f>
        <v>Low</v>
      </c>
      <c r="Y252" t="str">
        <f>IF(Sales_Table[[#This Row],[Payment Method_clean]]="cash","Offline","Online")</f>
        <v>Online</v>
      </c>
      <c r="Z252">
        <f>IFERROR(Sales_Table[[#This Row],[Revenue]],0)</f>
        <v>9456</v>
      </c>
    </row>
    <row r="253" spans="1:26" x14ac:dyDescent="0.3">
      <c r="A253">
        <v>252</v>
      </c>
      <c r="B253" s="2">
        <f t="shared" si="21"/>
        <v>45302.458333333336</v>
      </c>
      <c r="C253" t="s">
        <v>768</v>
      </c>
      <c r="D253" t="s">
        <v>45</v>
      </c>
      <c r="E253" t="str">
        <f>PROPER(TRIM(CLEAN(Sales_Table[[#This Row],[Region]])))</f>
        <v>North</v>
      </c>
      <c r="F253" t="s">
        <v>28</v>
      </c>
      <c r="G253" t="str">
        <f t="shared" si="22"/>
        <v>Clothing</v>
      </c>
      <c r="H253" t="str">
        <f>PROPER(TRIM(CLEAN(Sales_Table[[#This Row],[Product Name]])))</f>
        <v>Mixer Grinder</v>
      </c>
      <c r="I253" t="s">
        <v>29</v>
      </c>
      <c r="J253" t="str">
        <f t="shared" si="23"/>
        <v>CUST0532</v>
      </c>
      <c r="K253" t="s">
        <v>769</v>
      </c>
      <c r="L253" t="str">
        <f>PROPER(TRIM(CLEAN(Sales_Table[[#This Row],[Salesperson]])))</f>
        <v>Rahul</v>
      </c>
      <c r="M253" t="s">
        <v>31</v>
      </c>
      <c r="N253" t="str">
        <f t="shared" si="24"/>
        <v>Cash</v>
      </c>
      <c r="O253" t="s">
        <v>32</v>
      </c>
      <c r="P253">
        <f t="shared" si="25"/>
        <v>14</v>
      </c>
      <c r="Q253" t="s">
        <v>55</v>
      </c>
      <c r="R253">
        <f t="shared" si="26"/>
        <v>1285</v>
      </c>
      <c r="S253" t="s">
        <v>770</v>
      </c>
      <c r="T253">
        <f t="shared" si="27"/>
        <v>17990</v>
      </c>
      <c r="U253">
        <f>YEAR(Sales_Table[[#This Row],[Date_clean]])</f>
        <v>2024</v>
      </c>
      <c r="V253" t="str">
        <f>TEXT(Sales_Table[[#This Row],[Date_clean]],"mmmm")</f>
        <v>January</v>
      </c>
      <c r="W253">
        <f>WEEKNUM(Sales_Table[[#This Row],[Date_clean]],2)</f>
        <v>2</v>
      </c>
      <c r="X253" t="str" cm="1">
        <f t="array" ref="X253">_xlfn.IFS(Sales_Table[[#This Row],[Revenue]]&gt;=50000,"High",Sales_Table[[#This Row],[Revenue]]&gt;=20000,"Medium",Sales_Table[[#This Row],[Revenue]]&lt;20000,"Low")</f>
        <v>Low</v>
      </c>
      <c r="Y253" t="str">
        <f>IF(Sales_Table[[#This Row],[Payment Method_clean]]="cash","Offline","Online")</f>
        <v>Offline</v>
      </c>
      <c r="Z253">
        <f>IFERROR(Sales_Table[[#This Row],[Revenue]],0)</f>
        <v>17990</v>
      </c>
    </row>
    <row r="254" spans="1:26" x14ac:dyDescent="0.3">
      <c r="A254">
        <v>253</v>
      </c>
      <c r="B254" s="2">
        <f t="shared" si="21"/>
        <v>45302.5</v>
      </c>
      <c r="C254" t="s">
        <v>771</v>
      </c>
      <c r="D254" t="s">
        <v>36</v>
      </c>
      <c r="E254" t="str">
        <f>PROPER(TRIM(CLEAN(Sales_Table[[#This Row],[Region]])))</f>
        <v>West</v>
      </c>
      <c r="F254" t="s">
        <v>28</v>
      </c>
      <c r="G254" t="str">
        <f t="shared" si="22"/>
        <v>Clothing</v>
      </c>
      <c r="H254" t="str">
        <f>PROPER(TRIM(CLEAN(Sales_Table[[#This Row],[Product Name]])))</f>
        <v>Washing Machine</v>
      </c>
      <c r="I254" t="s">
        <v>79</v>
      </c>
      <c r="J254" t="str">
        <f t="shared" si="23"/>
        <v>CUST0222</v>
      </c>
      <c r="K254" t="s">
        <v>320</v>
      </c>
      <c r="L254" t="str">
        <f>PROPER(TRIM(CLEAN(Sales_Table[[#This Row],[Salesperson]])))</f>
        <v>Karthik</v>
      </c>
      <c r="M254" t="s">
        <v>70</v>
      </c>
      <c r="N254" t="str">
        <f t="shared" si="24"/>
        <v>Upi</v>
      </c>
      <c r="O254" t="s">
        <v>48</v>
      </c>
      <c r="P254">
        <f t="shared" si="25"/>
        <v>4</v>
      </c>
      <c r="Q254" t="s">
        <v>113</v>
      </c>
      <c r="R254">
        <f t="shared" si="26"/>
        <v>2549</v>
      </c>
      <c r="S254" t="s">
        <v>772</v>
      </c>
      <c r="T254">
        <f t="shared" si="27"/>
        <v>10196</v>
      </c>
      <c r="U254">
        <f>YEAR(Sales_Table[[#This Row],[Date_clean]])</f>
        <v>2024</v>
      </c>
      <c r="V254" t="str">
        <f>TEXT(Sales_Table[[#This Row],[Date_clean]],"mmmm")</f>
        <v>January</v>
      </c>
      <c r="W254">
        <f>WEEKNUM(Sales_Table[[#This Row],[Date_clean]],2)</f>
        <v>2</v>
      </c>
      <c r="X254" t="str" cm="1">
        <f t="array" ref="X254">_xlfn.IFS(Sales_Table[[#This Row],[Revenue]]&gt;=50000,"High",Sales_Table[[#This Row],[Revenue]]&gt;=20000,"Medium",Sales_Table[[#This Row],[Revenue]]&lt;20000,"Low")</f>
        <v>Low</v>
      </c>
      <c r="Y254" t="str">
        <f>IF(Sales_Table[[#This Row],[Payment Method_clean]]="cash","Offline","Online")</f>
        <v>Online</v>
      </c>
      <c r="Z254">
        <f>IFERROR(Sales_Table[[#This Row],[Revenue]],0)</f>
        <v>10196</v>
      </c>
    </row>
    <row r="255" spans="1:26" x14ac:dyDescent="0.3">
      <c r="A255">
        <v>254</v>
      </c>
      <c r="B255" s="2">
        <f t="shared" si="21"/>
        <v>45302.541666666664</v>
      </c>
      <c r="C255" t="s">
        <v>773</v>
      </c>
      <c r="D255" t="s">
        <v>45</v>
      </c>
      <c r="E255" t="str">
        <f>PROPER(TRIM(CLEAN(Sales_Table[[#This Row],[Region]])))</f>
        <v>North</v>
      </c>
      <c r="F255" t="s">
        <v>46</v>
      </c>
      <c r="G255" t="str">
        <f t="shared" si="22"/>
        <v>Electronics</v>
      </c>
      <c r="H255" t="str">
        <f>PROPER(TRIM(CLEAN(Sales_Table[[#This Row],[Product Name]])))</f>
        <v>Led Tv 42Inch</v>
      </c>
      <c r="I255" t="s">
        <v>58</v>
      </c>
      <c r="J255" t="str">
        <f t="shared" si="23"/>
        <v>CUST0166</v>
      </c>
      <c r="K255" t="s">
        <v>533</v>
      </c>
      <c r="L255" t="str">
        <f>PROPER(TRIM(CLEAN(Sales_Table[[#This Row],[Salesperson]])))</f>
        <v>Anita</v>
      </c>
      <c r="M255" t="s">
        <v>64</v>
      </c>
      <c r="N255" t="str">
        <f t="shared" si="24"/>
        <v>Credit Card</v>
      </c>
      <c r="O255" t="s">
        <v>65</v>
      </c>
      <c r="P255">
        <f t="shared" si="25"/>
        <v>5</v>
      </c>
      <c r="Q255" t="s">
        <v>89</v>
      </c>
      <c r="R255">
        <f t="shared" si="26"/>
        <v>3633</v>
      </c>
      <c r="S255" t="s">
        <v>774</v>
      </c>
      <c r="T255">
        <f t="shared" si="27"/>
        <v>18165</v>
      </c>
      <c r="U255">
        <f>YEAR(Sales_Table[[#This Row],[Date_clean]])</f>
        <v>2024</v>
      </c>
      <c r="V255" t="str">
        <f>TEXT(Sales_Table[[#This Row],[Date_clean]],"mmmm")</f>
        <v>January</v>
      </c>
      <c r="W255">
        <f>WEEKNUM(Sales_Table[[#This Row],[Date_clean]],2)</f>
        <v>2</v>
      </c>
      <c r="X255" t="str" cm="1">
        <f t="array" ref="X255">_xlfn.IFS(Sales_Table[[#This Row],[Revenue]]&gt;=50000,"High",Sales_Table[[#This Row],[Revenue]]&gt;=20000,"Medium",Sales_Table[[#This Row],[Revenue]]&lt;20000,"Low")</f>
        <v>Low</v>
      </c>
      <c r="Y255" t="str">
        <f>IF(Sales_Table[[#This Row],[Payment Method_clean]]="cash","Offline","Online")</f>
        <v>Online</v>
      </c>
      <c r="Z255">
        <f>IFERROR(Sales_Table[[#This Row],[Revenue]],0)</f>
        <v>18165</v>
      </c>
    </row>
    <row r="256" spans="1:26" x14ac:dyDescent="0.3">
      <c r="A256">
        <v>255</v>
      </c>
      <c r="B256" s="2">
        <f t="shared" si="21"/>
        <v>45302.583333333336</v>
      </c>
      <c r="C256" t="s">
        <v>775</v>
      </c>
      <c r="D256" t="s">
        <v>45</v>
      </c>
      <c r="E256" t="str">
        <f>PROPER(TRIM(CLEAN(Sales_Table[[#This Row],[Region]])))</f>
        <v>North</v>
      </c>
      <c r="F256" t="s">
        <v>37</v>
      </c>
      <c r="G256" t="str">
        <f t="shared" si="22"/>
        <v>Home Appliances</v>
      </c>
      <c r="H256" t="str">
        <f>PROPER(TRIM(CLEAN(Sales_Table[[#This Row],[Product Name]])))</f>
        <v>Led Tv 42Inch</v>
      </c>
      <c r="I256" t="s">
        <v>58</v>
      </c>
      <c r="J256" t="str">
        <f t="shared" si="23"/>
        <v>CUST0643</v>
      </c>
      <c r="K256" t="s">
        <v>776</v>
      </c>
      <c r="L256" t="str">
        <f>PROPER(TRIM(CLEAN(Sales_Table[[#This Row],[Salesperson]])))</f>
        <v>Karthik</v>
      </c>
      <c r="M256" t="s">
        <v>70</v>
      </c>
      <c r="N256" t="str">
        <f t="shared" si="24"/>
        <v>Upi</v>
      </c>
      <c r="O256" t="s">
        <v>48</v>
      </c>
      <c r="P256">
        <f t="shared" si="25"/>
        <v>7</v>
      </c>
      <c r="Q256" t="s">
        <v>49</v>
      </c>
      <c r="R256">
        <f t="shared" si="26"/>
        <v>4470</v>
      </c>
      <c r="S256" t="s">
        <v>777</v>
      </c>
      <c r="T256">
        <f t="shared" si="27"/>
        <v>31290</v>
      </c>
      <c r="U256">
        <f>YEAR(Sales_Table[[#This Row],[Date_clean]])</f>
        <v>2024</v>
      </c>
      <c r="V256" t="str">
        <f>TEXT(Sales_Table[[#This Row],[Date_clean]],"mmmm")</f>
        <v>January</v>
      </c>
      <c r="W256">
        <f>WEEKNUM(Sales_Table[[#This Row],[Date_clean]],2)</f>
        <v>2</v>
      </c>
      <c r="X256" t="str" cm="1">
        <f t="array" ref="X256">_xlfn.IFS(Sales_Table[[#This Row],[Revenue]]&gt;=50000,"High",Sales_Table[[#This Row],[Revenue]]&gt;=20000,"Medium",Sales_Table[[#This Row],[Revenue]]&lt;20000,"Low")</f>
        <v>Medium</v>
      </c>
      <c r="Y256" t="str">
        <f>IF(Sales_Table[[#This Row],[Payment Method_clean]]="cash","Offline","Online")</f>
        <v>Online</v>
      </c>
      <c r="Z256">
        <f>IFERROR(Sales_Table[[#This Row],[Revenue]],0)</f>
        <v>31290</v>
      </c>
    </row>
    <row r="257" spans="1:26" x14ac:dyDescent="0.3">
      <c r="A257">
        <v>256</v>
      </c>
      <c r="B257" s="2">
        <f t="shared" si="21"/>
        <v>45302.625</v>
      </c>
      <c r="C257" t="s">
        <v>778</v>
      </c>
      <c r="D257" t="s">
        <v>27</v>
      </c>
      <c r="E257" t="str">
        <f>PROPER(TRIM(CLEAN(Sales_Table[[#This Row],[Region]])))</f>
        <v>East</v>
      </c>
      <c r="F257" t="s">
        <v>37</v>
      </c>
      <c r="G257" t="str">
        <f t="shared" si="22"/>
        <v>Home Appliances</v>
      </c>
      <c r="H257" t="str">
        <f>PROPER(TRIM(CLEAN(Sales_Table[[#This Row],[Product Name]])))</f>
        <v>Men T-Shirt</v>
      </c>
      <c r="I257" t="s">
        <v>38</v>
      </c>
      <c r="J257" t="str">
        <f t="shared" si="23"/>
        <v>CUST0156</v>
      </c>
      <c r="K257" t="s">
        <v>332</v>
      </c>
      <c r="L257" t="str">
        <f>PROPER(TRIM(CLEAN(Sales_Table[[#This Row],[Salesperson]])))</f>
        <v>Meena</v>
      </c>
      <c r="M257" t="s">
        <v>40</v>
      </c>
      <c r="N257" t="str">
        <f t="shared" si="24"/>
        <v>Upi</v>
      </c>
      <c r="O257" t="s">
        <v>48</v>
      </c>
      <c r="P257">
        <f t="shared" si="25"/>
        <v>13</v>
      </c>
      <c r="Q257" t="s">
        <v>81</v>
      </c>
      <c r="R257">
        <f t="shared" si="26"/>
        <v>4401</v>
      </c>
      <c r="S257" t="s">
        <v>779</v>
      </c>
      <c r="T257">
        <f t="shared" si="27"/>
        <v>57213</v>
      </c>
      <c r="U257">
        <f>YEAR(Sales_Table[[#This Row],[Date_clean]])</f>
        <v>2024</v>
      </c>
      <c r="V257" t="str">
        <f>TEXT(Sales_Table[[#This Row],[Date_clean]],"mmmm")</f>
        <v>January</v>
      </c>
      <c r="W257">
        <f>WEEKNUM(Sales_Table[[#This Row],[Date_clean]],2)</f>
        <v>2</v>
      </c>
      <c r="X257" t="str" cm="1">
        <f t="array" ref="X257">_xlfn.IFS(Sales_Table[[#This Row],[Revenue]]&gt;=50000,"High",Sales_Table[[#This Row],[Revenue]]&gt;=20000,"Medium",Sales_Table[[#This Row],[Revenue]]&lt;20000,"Low")</f>
        <v>High</v>
      </c>
      <c r="Y257" t="str">
        <f>IF(Sales_Table[[#This Row],[Payment Method_clean]]="cash","Offline","Online")</f>
        <v>Online</v>
      </c>
      <c r="Z257">
        <f>IFERROR(Sales_Table[[#This Row],[Revenue]],0)</f>
        <v>57213</v>
      </c>
    </row>
    <row r="258" spans="1:26" x14ac:dyDescent="0.3">
      <c r="A258">
        <v>257</v>
      </c>
      <c r="B258" s="2">
        <f t="shared" si="21"/>
        <v>45302.666666666664</v>
      </c>
      <c r="C258" t="s">
        <v>780</v>
      </c>
      <c r="D258" t="s">
        <v>27</v>
      </c>
      <c r="E258" t="str">
        <f>PROPER(TRIM(CLEAN(Sales_Table[[#This Row],[Region]])))</f>
        <v>East</v>
      </c>
      <c r="F258" t="s">
        <v>28</v>
      </c>
      <c r="G258" t="str">
        <f t="shared" si="22"/>
        <v>Clothing</v>
      </c>
      <c r="H258" t="str">
        <f>PROPER(TRIM(CLEAN(Sales_Table[[#This Row],[Product Name]])))</f>
        <v>Mixer Grinder</v>
      </c>
      <c r="I258" t="s">
        <v>29</v>
      </c>
      <c r="J258" t="str">
        <f t="shared" si="23"/>
        <v>CUST0184</v>
      </c>
      <c r="K258" t="s">
        <v>781</v>
      </c>
      <c r="L258" t="str">
        <f>PROPER(TRIM(CLEAN(Sales_Table[[#This Row],[Salesperson]])))</f>
        <v>Anita</v>
      </c>
      <c r="M258" t="s">
        <v>64</v>
      </c>
      <c r="N258" t="str">
        <f t="shared" si="24"/>
        <v>Upi</v>
      </c>
      <c r="O258" t="s">
        <v>48</v>
      </c>
      <c r="P258">
        <f t="shared" si="25"/>
        <v>12</v>
      </c>
      <c r="Q258" t="s">
        <v>33</v>
      </c>
      <c r="R258">
        <f t="shared" si="26"/>
        <v>3444</v>
      </c>
      <c r="S258" t="s">
        <v>782</v>
      </c>
      <c r="T258">
        <f t="shared" si="27"/>
        <v>41328</v>
      </c>
      <c r="U258">
        <f>YEAR(Sales_Table[[#This Row],[Date_clean]])</f>
        <v>2024</v>
      </c>
      <c r="V258" t="str">
        <f>TEXT(Sales_Table[[#This Row],[Date_clean]],"mmmm")</f>
        <v>January</v>
      </c>
      <c r="W258">
        <f>WEEKNUM(Sales_Table[[#This Row],[Date_clean]],2)</f>
        <v>2</v>
      </c>
      <c r="X258" t="str" cm="1">
        <f t="array" ref="X258">_xlfn.IFS(Sales_Table[[#This Row],[Revenue]]&gt;=50000,"High",Sales_Table[[#This Row],[Revenue]]&gt;=20000,"Medium",Sales_Table[[#This Row],[Revenue]]&lt;20000,"Low")</f>
        <v>Medium</v>
      </c>
      <c r="Y258" t="str">
        <f>IF(Sales_Table[[#This Row],[Payment Method_clean]]="cash","Offline","Online")</f>
        <v>Online</v>
      </c>
      <c r="Z258">
        <f>IFERROR(Sales_Table[[#This Row],[Revenue]],0)</f>
        <v>41328</v>
      </c>
    </row>
    <row r="259" spans="1:26" x14ac:dyDescent="0.3">
      <c r="A259">
        <v>258</v>
      </c>
      <c r="B259" s="2">
        <f t="shared" ref="B259:B322" si="28">DATEVALUE(LEFT(C259,10))+TIMEVALUE(MID(C259,12,8))</f>
        <v>45302.708333333336</v>
      </c>
      <c r="C259" t="s">
        <v>783</v>
      </c>
      <c r="D259" t="s">
        <v>84</v>
      </c>
      <c r="E259" t="str">
        <f>PROPER(TRIM(CLEAN(Sales_Table[[#This Row],[Region]])))</f>
        <v>South</v>
      </c>
      <c r="F259" t="s">
        <v>46</v>
      </c>
      <c r="G259" t="str">
        <f t="shared" ref="G259:G322" si="29">PROPER(TRIM(CLEAN(F259)))</f>
        <v>Electronics</v>
      </c>
      <c r="H259" t="str">
        <f>PROPER(TRIM(CLEAN(Sales_Table[[#This Row],[Product Name]])))</f>
        <v>Laptop</v>
      </c>
      <c r="I259" t="s">
        <v>52</v>
      </c>
      <c r="J259" t="str">
        <f t="shared" ref="J259:J322" si="30">TRIM(K259)</f>
        <v>CUST0090</v>
      </c>
      <c r="K259" t="s">
        <v>784</v>
      </c>
      <c r="L259" t="str">
        <f>PROPER(TRIM(CLEAN(Sales_Table[[#This Row],[Salesperson]])))</f>
        <v>Meena</v>
      </c>
      <c r="M259" t="s">
        <v>40</v>
      </c>
      <c r="N259" t="str">
        <f t="shared" ref="N259:N322" si="31">PROPER(TRIM(O259))</f>
        <v>Cash</v>
      </c>
      <c r="O259" t="s">
        <v>32</v>
      </c>
      <c r="P259">
        <f t="shared" ref="P259:P322" si="32">VALUE(Q259)</f>
        <v>8</v>
      </c>
      <c r="Q259" t="s">
        <v>42</v>
      </c>
      <c r="R259">
        <f t="shared" ref="R259:R322" si="33">VALUE(S259)</f>
        <v>966</v>
      </c>
      <c r="S259" t="s">
        <v>785</v>
      </c>
      <c r="T259">
        <f t="shared" ref="T259:T322" si="34">P259*R259</f>
        <v>7728</v>
      </c>
      <c r="U259">
        <f>YEAR(Sales_Table[[#This Row],[Date_clean]])</f>
        <v>2024</v>
      </c>
      <c r="V259" t="str">
        <f>TEXT(Sales_Table[[#This Row],[Date_clean]],"mmmm")</f>
        <v>January</v>
      </c>
      <c r="W259">
        <f>WEEKNUM(Sales_Table[[#This Row],[Date_clean]],2)</f>
        <v>2</v>
      </c>
      <c r="X259" t="str" cm="1">
        <f t="array" ref="X259">_xlfn.IFS(Sales_Table[[#This Row],[Revenue]]&gt;=50000,"High",Sales_Table[[#This Row],[Revenue]]&gt;=20000,"Medium",Sales_Table[[#This Row],[Revenue]]&lt;20000,"Low")</f>
        <v>Low</v>
      </c>
      <c r="Y259" t="str">
        <f>IF(Sales_Table[[#This Row],[Payment Method_clean]]="cash","Offline","Online")</f>
        <v>Offline</v>
      </c>
      <c r="Z259">
        <f>IFERROR(Sales_Table[[#This Row],[Revenue]],0)</f>
        <v>7728</v>
      </c>
    </row>
    <row r="260" spans="1:26" x14ac:dyDescent="0.3">
      <c r="A260">
        <v>259</v>
      </c>
      <c r="B260" s="2">
        <f t="shared" si="28"/>
        <v>45302.75</v>
      </c>
      <c r="C260" t="s">
        <v>786</v>
      </c>
      <c r="D260" t="s">
        <v>36</v>
      </c>
      <c r="E260" t="str">
        <f>PROPER(TRIM(CLEAN(Sales_Table[[#This Row],[Region]])))</f>
        <v>West</v>
      </c>
      <c r="F260" t="s">
        <v>37</v>
      </c>
      <c r="G260" t="str">
        <f t="shared" si="29"/>
        <v>Home Appliances</v>
      </c>
      <c r="H260" t="str">
        <f>PROPER(TRIM(CLEAN(Sales_Table[[#This Row],[Product Name]])))</f>
        <v>Rice 5Kg</v>
      </c>
      <c r="I260" t="s">
        <v>73</v>
      </c>
      <c r="J260" t="str">
        <f t="shared" si="30"/>
        <v>CUST0094</v>
      </c>
      <c r="K260" t="s">
        <v>787</v>
      </c>
      <c r="L260" t="str">
        <f>PROPER(TRIM(CLEAN(Sales_Table[[#This Row],[Salesperson]])))</f>
        <v>Anita</v>
      </c>
      <c r="M260" t="s">
        <v>64</v>
      </c>
      <c r="N260" t="str">
        <f t="shared" si="31"/>
        <v>Cash</v>
      </c>
      <c r="O260" t="s">
        <v>32</v>
      </c>
      <c r="P260">
        <f t="shared" si="32"/>
        <v>6</v>
      </c>
      <c r="Q260" t="s">
        <v>75</v>
      </c>
      <c r="R260">
        <f t="shared" si="33"/>
        <v>192</v>
      </c>
      <c r="S260" t="s">
        <v>788</v>
      </c>
      <c r="T260">
        <f t="shared" si="34"/>
        <v>1152</v>
      </c>
      <c r="U260">
        <f>YEAR(Sales_Table[[#This Row],[Date_clean]])</f>
        <v>2024</v>
      </c>
      <c r="V260" t="str">
        <f>TEXT(Sales_Table[[#This Row],[Date_clean]],"mmmm")</f>
        <v>January</v>
      </c>
      <c r="W260">
        <f>WEEKNUM(Sales_Table[[#This Row],[Date_clean]],2)</f>
        <v>2</v>
      </c>
      <c r="X260" t="str" cm="1">
        <f t="array" ref="X260">_xlfn.IFS(Sales_Table[[#This Row],[Revenue]]&gt;=50000,"High",Sales_Table[[#This Row],[Revenue]]&gt;=20000,"Medium",Sales_Table[[#This Row],[Revenue]]&lt;20000,"Low")</f>
        <v>Low</v>
      </c>
      <c r="Y260" t="str">
        <f>IF(Sales_Table[[#This Row],[Payment Method_clean]]="cash","Offline","Online")</f>
        <v>Offline</v>
      </c>
      <c r="Z260">
        <f>IFERROR(Sales_Table[[#This Row],[Revenue]],0)</f>
        <v>1152</v>
      </c>
    </row>
    <row r="261" spans="1:26" x14ac:dyDescent="0.3">
      <c r="A261">
        <v>260</v>
      </c>
      <c r="B261" s="2">
        <f t="shared" si="28"/>
        <v>45302.791666666664</v>
      </c>
      <c r="C261" t="s">
        <v>789</v>
      </c>
      <c r="D261" t="s">
        <v>27</v>
      </c>
      <c r="E261" t="str">
        <f>PROPER(TRIM(CLEAN(Sales_Table[[#This Row],[Region]])))</f>
        <v>East</v>
      </c>
      <c r="F261" t="s">
        <v>28</v>
      </c>
      <c r="G261" t="str">
        <f t="shared" si="29"/>
        <v>Clothing</v>
      </c>
      <c r="H261" t="str">
        <f>PROPER(TRIM(CLEAN(Sales_Table[[#This Row],[Product Name]])))</f>
        <v>Mixer Grinder</v>
      </c>
      <c r="I261" t="s">
        <v>29</v>
      </c>
      <c r="J261" t="str">
        <f t="shared" si="30"/>
        <v>CUST0013</v>
      </c>
      <c r="K261" t="s">
        <v>790</v>
      </c>
      <c r="L261" t="str">
        <f>PROPER(TRIM(CLEAN(Sales_Table[[#This Row],[Salesperson]])))</f>
        <v>Karthik</v>
      </c>
      <c r="M261" t="s">
        <v>70</v>
      </c>
      <c r="N261" t="str">
        <f t="shared" si="31"/>
        <v>Credit Card</v>
      </c>
      <c r="O261" t="s">
        <v>65</v>
      </c>
      <c r="P261">
        <f t="shared" si="32"/>
        <v>1</v>
      </c>
      <c r="Q261" t="s">
        <v>93</v>
      </c>
      <c r="R261">
        <f t="shared" si="33"/>
        <v>3278</v>
      </c>
      <c r="S261" t="s">
        <v>791</v>
      </c>
      <c r="T261">
        <f t="shared" si="34"/>
        <v>3278</v>
      </c>
      <c r="U261">
        <f>YEAR(Sales_Table[[#This Row],[Date_clean]])</f>
        <v>2024</v>
      </c>
      <c r="V261" t="str">
        <f>TEXT(Sales_Table[[#This Row],[Date_clean]],"mmmm")</f>
        <v>January</v>
      </c>
      <c r="W261">
        <f>WEEKNUM(Sales_Table[[#This Row],[Date_clean]],2)</f>
        <v>2</v>
      </c>
      <c r="X261" t="str" cm="1">
        <f t="array" ref="X261">_xlfn.IFS(Sales_Table[[#This Row],[Revenue]]&gt;=50000,"High",Sales_Table[[#This Row],[Revenue]]&gt;=20000,"Medium",Sales_Table[[#This Row],[Revenue]]&lt;20000,"Low")</f>
        <v>Low</v>
      </c>
      <c r="Y261" t="str">
        <f>IF(Sales_Table[[#This Row],[Payment Method_clean]]="cash","Offline","Online")</f>
        <v>Online</v>
      </c>
      <c r="Z261">
        <f>IFERROR(Sales_Table[[#This Row],[Revenue]],0)</f>
        <v>3278</v>
      </c>
    </row>
    <row r="262" spans="1:26" x14ac:dyDescent="0.3">
      <c r="A262">
        <v>261</v>
      </c>
      <c r="B262" s="2">
        <f t="shared" si="28"/>
        <v>45302.833333333336</v>
      </c>
      <c r="C262" t="s">
        <v>792</v>
      </c>
      <c r="D262" t="s">
        <v>45</v>
      </c>
      <c r="E262" t="str">
        <f>PROPER(TRIM(CLEAN(Sales_Table[[#This Row],[Region]])))</f>
        <v>North</v>
      </c>
      <c r="F262" t="s">
        <v>78</v>
      </c>
      <c r="G262" t="str">
        <f t="shared" si="29"/>
        <v>Grocery</v>
      </c>
      <c r="H262" t="str">
        <f>PROPER(TRIM(CLEAN(Sales_Table[[#This Row],[Product Name]])))</f>
        <v>Mixer Grinder</v>
      </c>
      <c r="I262" t="s">
        <v>29</v>
      </c>
      <c r="J262" t="str">
        <f t="shared" si="30"/>
        <v>CUST0742</v>
      </c>
      <c r="K262" t="s">
        <v>793</v>
      </c>
      <c r="L262" t="str">
        <f>PROPER(TRIM(CLEAN(Sales_Table[[#This Row],[Salesperson]])))</f>
        <v>Rahul</v>
      </c>
      <c r="M262" t="s">
        <v>31</v>
      </c>
      <c r="N262" t="str">
        <f t="shared" si="31"/>
        <v>Upi</v>
      </c>
      <c r="O262" t="s">
        <v>48</v>
      </c>
      <c r="P262">
        <f t="shared" si="32"/>
        <v>7</v>
      </c>
      <c r="Q262" t="s">
        <v>49</v>
      </c>
      <c r="R262">
        <f t="shared" si="33"/>
        <v>1451</v>
      </c>
      <c r="S262" t="s">
        <v>794</v>
      </c>
      <c r="T262">
        <f t="shared" si="34"/>
        <v>10157</v>
      </c>
      <c r="U262">
        <f>YEAR(Sales_Table[[#This Row],[Date_clean]])</f>
        <v>2024</v>
      </c>
      <c r="V262" t="str">
        <f>TEXT(Sales_Table[[#This Row],[Date_clean]],"mmmm")</f>
        <v>January</v>
      </c>
      <c r="W262">
        <f>WEEKNUM(Sales_Table[[#This Row],[Date_clean]],2)</f>
        <v>2</v>
      </c>
      <c r="X262" t="str" cm="1">
        <f t="array" ref="X262">_xlfn.IFS(Sales_Table[[#This Row],[Revenue]]&gt;=50000,"High",Sales_Table[[#This Row],[Revenue]]&gt;=20000,"Medium",Sales_Table[[#This Row],[Revenue]]&lt;20000,"Low")</f>
        <v>Low</v>
      </c>
      <c r="Y262" t="str">
        <f>IF(Sales_Table[[#This Row],[Payment Method_clean]]="cash","Offline","Online")</f>
        <v>Online</v>
      </c>
      <c r="Z262">
        <f>IFERROR(Sales_Table[[#This Row],[Revenue]],0)</f>
        <v>10157</v>
      </c>
    </row>
    <row r="263" spans="1:26" x14ac:dyDescent="0.3">
      <c r="A263">
        <v>262</v>
      </c>
      <c r="B263" s="2">
        <f t="shared" si="28"/>
        <v>45302.875</v>
      </c>
      <c r="C263" t="s">
        <v>795</v>
      </c>
      <c r="D263" t="s">
        <v>84</v>
      </c>
      <c r="E263" t="str">
        <f>PROPER(TRIM(CLEAN(Sales_Table[[#This Row],[Region]])))</f>
        <v>South</v>
      </c>
      <c r="F263" t="s">
        <v>37</v>
      </c>
      <c r="G263" t="str">
        <f t="shared" si="29"/>
        <v>Home Appliances</v>
      </c>
      <c r="H263" t="str">
        <f>PROPER(TRIM(CLEAN(Sales_Table[[#This Row],[Product Name]])))</f>
        <v>Rice 5Kg</v>
      </c>
      <c r="I263" t="s">
        <v>73</v>
      </c>
      <c r="J263" t="str">
        <f t="shared" si="30"/>
        <v>CUST0438</v>
      </c>
      <c r="K263" t="s">
        <v>796</v>
      </c>
      <c r="L263" t="str">
        <f>PROPER(TRIM(CLEAN(Sales_Table[[#This Row],[Salesperson]])))</f>
        <v>Suresh</v>
      </c>
      <c r="M263" t="s">
        <v>54</v>
      </c>
      <c r="N263" t="str">
        <f t="shared" si="31"/>
        <v>Cash</v>
      </c>
      <c r="O263" t="s">
        <v>32</v>
      </c>
      <c r="P263">
        <f t="shared" si="32"/>
        <v>3</v>
      </c>
      <c r="Q263" t="s">
        <v>66</v>
      </c>
      <c r="R263">
        <f t="shared" si="33"/>
        <v>464</v>
      </c>
      <c r="S263" t="s">
        <v>797</v>
      </c>
      <c r="T263">
        <f t="shared" si="34"/>
        <v>1392</v>
      </c>
      <c r="U263">
        <f>YEAR(Sales_Table[[#This Row],[Date_clean]])</f>
        <v>2024</v>
      </c>
      <c r="V263" t="str">
        <f>TEXT(Sales_Table[[#This Row],[Date_clean]],"mmmm")</f>
        <v>January</v>
      </c>
      <c r="W263">
        <f>WEEKNUM(Sales_Table[[#This Row],[Date_clean]],2)</f>
        <v>2</v>
      </c>
      <c r="X263" t="str" cm="1">
        <f t="array" ref="X263">_xlfn.IFS(Sales_Table[[#This Row],[Revenue]]&gt;=50000,"High",Sales_Table[[#This Row],[Revenue]]&gt;=20000,"Medium",Sales_Table[[#This Row],[Revenue]]&lt;20000,"Low")</f>
        <v>Low</v>
      </c>
      <c r="Y263" t="str">
        <f>IF(Sales_Table[[#This Row],[Payment Method_clean]]="cash","Offline","Online")</f>
        <v>Offline</v>
      </c>
      <c r="Z263">
        <f>IFERROR(Sales_Table[[#This Row],[Revenue]],0)</f>
        <v>1392</v>
      </c>
    </row>
    <row r="264" spans="1:26" x14ac:dyDescent="0.3">
      <c r="A264">
        <v>263</v>
      </c>
      <c r="B264" s="2">
        <f t="shared" si="28"/>
        <v>45302.916666666664</v>
      </c>
      <c r="C264" t="s">
        <v>798</v>
      </c>
      <c r="D264" t="s">
        <v>45</v>
      </c>
      <c r="E264" t="str">
        <f>PROPER(TRIM(CLEAN(Sales_Table[[#This Row],[Region]])))</f>
        <v>North</v>
      </c>
      <c r="F264" t="s">
        <v>46</v>
      </c>
      <c r="G264" t="str">
        <f t="shared" si="29"/>
        <v>Electronics</v>
      </c>
      <c r="H264" t="str">
        <f>PROPER(TRIM(CLEAN(Sales_Table[[#This Row],[Product Name]])))</f>
        <v>Men T-Shirt</v>
      </c>
      <c r="I264" t="s">
        <v>38</v>
      </c>
      <c r="J264" t="str">
        <f t="shared" si="30"/>
        <v>CUST0538</v>
      </c>
      <c r="K264" t="s">
        <v>799</v>
      </c>
      <c r="L264" t="str">
        <f>PROPER(TRIM(CLEAN(Sales_Table[[#This Row],[Salesperson]])))</f>
        <v>Rahul</v>
      </c>
      <c r="M264" t="s">
        <v>31</v>
      </c>
      <c r="N264" t="str">
        <f t="shared" si="31"/>
        <v>Credit Card</v>
      </c>
      <c r="O264" t="s">
        <v>65</v>
      </c>
      <c r="P264">
        <f t="shared" si="32"/>
        <v>13</v>
      </c>
      <c r="Q264" t="s">
        <v>81</v>
      </c>
      <c r="R264">
        <f t="shared" si="33"/>
        <v>3818</v>
      </c>
      <c r="S264" t="s">
        <v>800</v>
      </c>
      <c r="T264">
        <f t="shared" si="34"/>
        <v>49634</v>
      </c>
      <c r="U264">
        <f>YEAR(Sales_Table[[#This Row],[Date_clean]])</f>
        <v>2024</v>
      </c>
      <c r="V264" t="str">
        <f>TEXT(Sales_Table[[#This Row],[Date_clean]],"mmmm")</f>
        <v>January</v>
      </c>
      <c r="W264">
        <f>WEEKNUM(Sales_Table[[#This Row],[Date_clean]],2)</f>
        <v>2</v>
      </c>
      <c r="X264" t="str" cm="1">
        <f t="array" ref="X264">_xlfn.IFS(Sales_Table[[#This Row],[Revenue]]&gt;=50000,"High",Sales_Table[[#This Row],[Revenue]]&gt;=20000,"Medium",Sales_Table[[#This Row],[Revenue]]&lt;20000,"Low")</f>
        <v>Medium</v>
      </c>
      <c r="Y264" t="str">
        <f>IF(Sales_Table[[#This Row],[Payment Method_clean]]="cash","Offline","Online")</f>
        <v>Online</v>
      </c>
      <c r="Z264">
        <f>IFERROR(Sales_Table[[#This Row],[Revenue]],0)</f>
        <v>49634</v>
      </c>
    </row>
    <row r="265" spans="1:26" x14ac:dyDescent="0.3">
      <c r="A265">
        <v>264</v>
      </c>
      <c r="B265" s="2">
        <f t="shared" si="28"/>
        <v>45302.958333333336</v>
      </c>
      <c r="C265" t="s">
        <v>801</v>
      </c>
      <c r="D265" t="s">
        <v>45</v>
      </c>
      <c r="E265" t="str">
        <f>PROPER(TRIM(CLEAN(Sales_Table[[#This Row],[Region]])))</f>
        <v>North</v>
      </c>
      <c r="F265" t="s">
        <v>46</v>
      </c>
      <c r="G265" t="str">
        <f t="shared" si="29"/>
        <v>Electronics</v>
      </c>
      <c r="H265" t="str">
        <f>PROPER(TRIM(CLEAN(Sales_Table[[#This Row],[Product Name]])))</f>
        <v>Mixer Grinder</v>
      </c>
      <c r="I265" t="s">
        <v>29</v>
      </c>
      <c r="J265" t="str">
        <f t="shared" si="30"/>
        <v>CUST0587</v>
      </c>
      <c r="K265" t="s">
        <v>802</v>
      </c>
      <c r="L265" t="str">
        <f>PROPER(TRIM(CLEAN(Sales_Table[[#This Row],[Salesperson]])))</f>
        <v>Karthik</v>
      </c>
      <c r="M265" t="s">
        <v>70</v>
      </c>
      <c r="N265" t="str">
        <f t="shared" si="31"/>
        <v>Credit Card</v>
      </c>
      <c r="O265" t="s">
        <v>65</v>
      </c>
      <c r="P265">
        <f t="shared" si="32"/>
        <v>13</v>
      </c>
      <c r="Q265" t="s">
        <v>81</v>
      </c>
      <c r="R265">
        <f t="shared" si="33"/>
        <v>2024</v>
      </c>
      <c r="S265" t="s">
        <v>803</v>
      </c>
      <c r="T265">
        <f t="shared" si="34"/>
        <v>26312</v>
      </c>
      <c r="U265">
        <f>YEAR(Sales_Table[[#This Row],[Date_clean]])</f>
        <v>2024</v>
      </c>
      <c r="V265" t="str">
        <f>TEXT(Sales_Table[[#This Row],[Date_clean]],"mmmm")</f>
        <v>January</v>
      </c>
      <c r="W265">
        <f>WEEKNUM(Sales_Table[[#This Row],[Date_clean]],2)</f>
        <v>2</v>
      </c>
      <c r="X265" t="str" cm="1">
        <f t="array" ref="X265">_xlfn.IFS(Sales_Table[[#This Row],[Revenue]]&gt;=50000,"High",Sales_Table[[#This Row],[Revenue]]&gt;=20000,"Medium",Sales_Table[[#This Row],[Revenue]]&lt;20000,"Low")</f>
        <v>Medium</v>
      </c>
      <c r="Y265" t="str">
        <f>IF(Sales_Table[[#This Row],[Payment Method_clean]]="cash","Offline","Online")</f>
        <v>Online</v>
      </c>
      <c r="Z265">
        <f>IFERROR(Sales_Table[[#This Row],[Revenue]],0)</f>
        <v>26312</v>
      </c>
    </row>
    <row r="266" spans="1:26" x14ac:dyDescent="0.3">
      <c r="A266">
        <v>265</v>
      </c>
      <c r="B266" s="2">
        <f t="shared" si="28"/>
        <v>45303</v>
      </c>
      <c r="C266" t="s">
        <v>804</v>
      </c>
      <c r="D266" t="s">
        <v>27</v>
      </c>
      <c r="E266" t="str">
        <f>PROPER(TRIM(CLEAN(Sales_Table[[#This Row],[Region]])))</f>
        <v>East</v>
      </c>
      <c r="F266" t="s">
        <v>46</v>
      </c>
      <c r="G266" t="str">
        <f t="shared" si="29"/>
        <v>Electronics</v>
      </c>
      <c r="H266" t="str">
        <f>PROPER(TRIM(CLEAN(Sales_Table[[#This Row],[Product Name]])))</f>
        <v>Led Tv 42Inch</v>
      </c>
      <c r="I266" t="s">
        <v>58</v>
      </c>
      <c r="J266" t="str">
        <f t="shared" si="30"/>
        <v>CUST0150</v>
      </c>
      <c r="K266" t="s">
        <v>805</v>
      </c>
      <c r="L266" t="str">
        <f>PROPER(TRIM(CLEAN(Sales_Table[[#This Row],[Salesperson]])))</f>
        <v>Anita</v>
      </c>
      <c r="M266" t="s">
        <v>64</v>
      </c>
      <c r="N266" t="str">
        <f t="shared" si="31"/>
        <v>Upi</v>
      </c>
      <c r="O266" t="s">
        <v>48</v>
      </c>
      <c r="P266">
        <f t="shared" si="32"/>
        <v>13</v>
      </c>
      <c r="Q266" t="s">
        <v>81</v>
      </c>
      <c r="R266">
        <f t="shared" si="33"/>
        <v>3195</v>
      </c>
      <c r="S266" t="s">
        <v>806</v>
      </c>
      <c r="T266">
        <f t="shared" si="34"/>
        <v>41535</v>
      </c>
      <c r="U266">
        <f>YEAR(Sales_Table[[#This Row],[Date_clean]])</f>
        <v>2024</v>
      </c>
      <c r="V266" t="str">
        <f>TEXT(Sales_Table[[#This Row],[Date_clean]],"mmmm")</f>
        <v>January</v>
      </c>
      <c r="W266">
        <f>WEEKNUM(Sales_Table[[#This Row],[Date_clean]],2)</f>
        <v>2</v>
      </c>
      <c r="X266" t="str" cm="1">
        <f t="array" ref="X266">_xlfn.IFS(Sales_Table[[#This Row],[Revenue]]&gt;=50000,"High",Sales_Table[[#This Row],[Revenue]]&gt;=20000,"Medium",Sales_Table[[#This Row],[Revenue]]&lt;20000,"Low")</f>
        <v>Medium</v>
      </c>
      <c r="Y266" t="str">
        <f>IF(Sales_Table[[#This Row],[Payment Method_clean]]="cash","Offline","Online")</f>
        <v>Online</v>
      </c>
      <c r="Z266">
        <f>IFERROR(Sales_Table[[#This Row],[Revenue]],0)</f>
        <v>41535</v>
      </c>
    </row>
    <row r="267" spans="1:26" x14ac:dyDescent="0.3">
      <c r="A267">
        <v>266</v>
      </c>
      <c r="B267" s="2">
        <f t="shared" si="28"/>
        <v>45303.041666666664</v>
      </c>
      <c r="C267" t="s">
        <v>807</v>
      </c>
      <c r="D267" t="s">
        <v>84</v>
      </c>
      <c r="E267" t="str">
        <f>PROPER(TRIM(CLEAN(Sales_Table[[#This Row],[Region]])))</f>
        <v>South</v>
      </c>
      <c r="F267" t="s">
        <v>78</v>
      </c>
      <c r="G267" t="str">
        <f t="shared" si="29"/>
        <v>Grocery</v>
      </c>
      <c r="H267" t="str">
        <f>PROPER(TRIM(CLEAN(Sales_Table[[#This Row],[Product Name]])))</f>
        <v>Rice 5Kg</v>
      </c>
      <c r="I267" t="s">
        <v>73</v>
      </c>
      <c r="J267" t="str">
        <f t="shared" si="30"/>
        <v>CUST0660</v>
      </c>
      <c r="K267" t="s">
        <v>808</v>
      </c>
      <c r="L267" t="str">
        <f>PROPER(TRIM(CLEAN(Sales_Table[[#This Row],[Salesperson]])))</f>
        <v>Rahul</v>
      </c>
      <c r="M267" t="s">
        <v>31</v>
      </c>
      <c r="N267" t="str">
        <f t="shared" si="31"/>
        <v>Debit Card</v>
      </c>
      <c r="O267" t="s">
        <v>41</v>
      </c>
      <c r="P267">
        <f t="shared" si="32"/>
        <v>6</v>
      </c>
      <c r="Q267" t="s">
        <v>75</v>
      </c>
      <c r="R267">
        <f t="shared" si="33"/>
        <v>2638</v>
      </c>
      <c r="S267" t="s">
        <v>809</v>
      </c>
      <c r="T267">
        <f t="shared" si="34"/>
        <v>15828</v>
      </c>
      <c r="U267">
        <f>YEAR(Sales_Table[[#This Row],[Date_clean]])</f>
        <v>2024</v>
      </c>
      <c r="V267" t="str">
        <f>TEXT(Sales_Table[[#This Row],[Date_clean]],"mmmm")</f>
        <v>January</v>
      </c>
      <c r="W267">
        <f>WEEKNUM(Sales_Table[[#This Row],[Date_clean]],2)</f>
        <v>2</v>
      </c>
      <c r="X267" t="str" cm="1">
        <f t="array" ref="X267">_xlfn.IFS(Sales_Table[[#This Row],[Revenue]]&gt;=50000,"High",Sales_Table[[#This Row],[Revenue]]&gt;=20000,"Medium",Sales_Table[[#This Row],[Revenue]]&lt;20000,"Low")</f>
        <v>Low</v>
      </c>
      <c r="Y267" t="str">
        <f>IF(Sales_Table[[#This Row],[Payment Method_clean]]="cash","Offline","Online")</f>
        <v>Online</v>
      </c>
      <c r="Z267">
        <f>IFERROR(Sales_Table[[#This Row],[Revenue]],0)</f>
        <v>15828</v>
      </c>
    </row>
    <row r="268" spans="1:26" x14ac:dyDescent="0.3">
      <c r="A268">
        <v>267</v>
      </c>
      <c r="B268" s="2">
        <f t="shared" si="28"/>
        <v>45303.083333333336</v>
      </c>
      <c r="C268" t="s">
        <v>810</v>
      </c>
      <c r="D268" t="s">
        <v>36</v>
      </c>
      <c r="E268" t="str">
        <f>PROPER(TRIM(CLEAN(Sales_Table[[#This Row],[Region]])))</f>
        <v>West</v>
      </c>
      <c r="F268" t="s">
        <v>37</v>
      </c>
      <c r="G268" t="str">
        <f t="shared" si="29"/>
        <v>Home Appliances</v>
      </c>
      <c r="H268" t="str">
        <f>PROPER(TRIM(CLEAN(Sales_Table[[#This Row],[Product Name]])))</f>
        <v>Laptop</v>
      </c>
      <c r="I268" t="s">
        <v>52</v>
      </c>
      <c r="J268" t="str">
        <f t="shared" si="30"/>
        <v>CUST0008</v>
      </c>
      <c r="K268" t="s">
        <v>811</v>
      </c>
      <c r="L268" t="str">
        <f>PROPER(TRIM(CLEAN(Sales_Table[[#This Row],[Salesperson]])))</f>
        <v>Karthik</v>
      </c>
      <c r="M268" t="s">
        <v>70</v>
      </c>
      <c r="N268" t="str">
        <f t="shared" si="31"/>
        <v>Upi</v>
      </c>
      <c r="O268" t="s">
        <v>48</v>
      </c>
      <c r="P268">
        <f t="shared" si="32"/>
        <v>8</v>
      </c>
      <c r="Q268" t="s">
        <v>42</v>
      </c>
      <c r="R268">
        <f t="shared" si="33"/>
        <v>1396</v>
      </c>
      <c r="S268" t="s">
        <v>229</v>
      </c>
      <c r="T268">
        <f t="shared" si="34"/>
        <v>11168</v>
      </c>
      <c r="U268">
        <f>YEAR(Sales_Table[[#This Row],[Date_clean]])</f>
        <v>2024</v>
      </c>
      <c r="V268" t="str">
        <f>TEXT(Sales_Table[[#This Row],[Date_clean]],"mmmm")</f>
        <v>January</v>
      </c>
      <c r="W268">
        <f>WEEKNUM(Sales_Table[[#This Row],[Date_clean]],2)</f>
        <v>2</v>
      </c>
      <c r="X268" t="str" cm="1">
        <f t="array" ref="X268">_xlfn.IFS(Sales_Table[[#This Row],[Revenue]]&gt;=50000,"High",Sales_Table[[#This Row],[Revenue]]&gt;=20000,"Medium",Sales_Table[[#This Row],[Revenue]]&lt;20000,"Low")</f>
        <v>Low</v>
      </c>
      <c r="Y268" t="str">
        <f>IF(Sales_Table[[#This Row],[Payment Method_clean]]="cash","Offline","Online")</f>
        <v>Online</v>
      </c>
      <c r="Z268">
        <f>IFERROR(Sales_Table[[#This Row],[Revenue]],0)</f>
        <v>11168</v>
      </c>
    </row>
    <row r="269" spans="1:26" x14ac:dyDescent="0.3">
      <c r="A269">
        <v>268</v>
      </c>
      <c r="B269" s="2">
        <f t="shared" si="28"/>
        <v>45303.125</v>
      </c>
      <c r="C269" t="s">
        <v>812</v>
      </c>
      <c r="D269" t="s">
        <v>36</v>
      </c>
      <c r="E269" t="str">
        <f>PROPER(TRIM(CLEAN(Sales_Table[[#This Row],[Region]])))</f>
        <v>West</v>
      </c>
      <c r="F269" t="s">
        <v>37</v>
      </c>
      <c r="G269" t="str">
        <f t="shared" si="29"/>
        <v>Home Appliances</v>
      </c>
      <c r="H269" t="str">
        <f>PROPER(TRIM(CLEAN(Sales_Table[[#This Row],[Product Name]])))</f>
        <v>Washing Machine</v>
      </c>
      <c r="I269" t="s">
        <v>79</v>
      </c>
      <c r="J269" t="str">
        <f t="shared" si="30"/>
        <v>CUST0029</v>
      </c>
      <c r="K269" t="s">
        <v>813</v>
      </c>
      <c r="L269" t="str">
        <f>PROPER(TRIM(CLEAN(Sales_Table[[#This Row],[Salesperson]])))</f>
        <v>Meena</v>
      </c>
      <c r="M269" t="s">
        <v>40</v>
      </c>
      <c r="N269" t="str">
        <f t="shared" si="31"/>
        <v>Debit Card</v>
      </c>
      <c r="O269" t="s">
        <v>41</v>
      </c>
      <c r="P269">
        <f t="shared" si="32"/>
        <v>7</v>
      </c>
      <c r="Q269" t="s">
        <v>49</v>
      </c>
      <c r="R269">
        <f t="shared" si="33"/>
        <v>2376</v>
      </c>
      <c r="S269" t="s">
        <v>814</v>
      </c>
      <c r="T269">
        <f t="shared" si="34"/>
        <v>16632</v>
      </c>
      <c r="U269">
        <f>YEAR(Sales_Table[[#This Row],[Date_clean]])</f>
        <v>2024</v>
      </c>
      <c r="V269" t="str">
        <f>TEXT(Sales_Table[[#This Row],[Date_clean]],"mmmm")</f>
        <v>January</v>
      </c>
      <c r="W269">
        <f>WEEKNUM(Sales_Table[[#This Row],[Date_clean]],2)</f>
        <v>2</v>
      </c>
      <c r="X269" t="str" cm="1">
        <f t="array" ref="X269">_xlfn.IFS(Sales_Table[[#This Row],[Revenue]]&gt;=50000,"High",Sales_Table[[#This Row],[Revenue]]&gt;=20000,"Medium",Sales_Table[[#This Row],[Revenue]]&lt;20000,"Low")</f>
        <v>Low</v>
      </c>
      <c r="Y269" t="str">
        <f>IF(Sales_Table[[#This Row],[Payment Method_clean]]="cash","Offline","Online")</f>
        <v>Online</v>
      </c>
      <c r="Z269">
        <f>IFERROR(Sales_Table[[#This Row],[Revenue]],0)</f>
        <v>16632</v>
      </c>
    </row>
    <row r="270" spans="1:26" x14ac:dyDescent="0.3">
      <c r="A270">
        <v>269</v>
      </c>
      <c r="B270" s="2">
        <f t="shared" si="28"/>
        <v>45303.166666666664</v>
      </c>
      <c r="C270" t="s">
        <v>815</v>
      </c>
      <c r="D270" t="s">
        <v>27</v>
      </c>
      <c r="E270" t="str">
        <f>PROPER(TRIM(CLEAN(Sales_Table[[#This Row],[Region]])))</f>
        <v>East</v>
      </c>
      <c r="F270" t="s">
        <v>78</v>
      </c>
      <c r="G270" t="str">
        <f t="shared" si="29"/>
        <v>Grocery</v>
      </c>
      <c r="H270" t="str">
        <f>PROPER(TRIM(CLEAN(Sales_Table[[#This Row],[Product Name]])))</f>
        <v>Men T-Shirt</v>
      </c>
      <c r="I270" t="s">
        <v>38</v>
      </c>
      <c r="J270" t="str">
        <f t="shared" si="30"/>
        <v>CUST0296</v>
      </c>
      <c r="K270" t="s">
        <v>763</v>
      </c>
      <c r="L270" t="str">
        <f>PROPER(TRIM(CLEAN(Sales_Table[[#This Row],[Salesperson]])))</f>
        <v>Suresh</v>
      </c>
      <c r="M270" t="s">
        <v>54</v>
      </c>
      <c r="N270" t="str">
        <f t="shared" si="31"/>
        <v>Credit Card</v>
      </c>
      <c r="O270" t="s">
        <v>65</v>
      </c>
      <c r="P270">
        <f t="shared" si="32"/>
        <v>10</v>
      </c>
      <c r="Q270" t="s">
        <v>117</v>
      </c>
      <c r="R270">
        <f t="shared" si="33"/>
        <v>102</v>
      </c>
      <c r="S270" t="s">
        <v>816</v>
      </c>
      <c r="T270">
        <f t="shared" si="34"/>
        <v>1020</v>
      </c>
      <c r="U270">
        <f>YEAR(Sales_Table[[#This Row],[Date_clean]])</f>
        <v>2024</v>
      </c>
      <c r="V270" t="str">
        <f>TEXT(Sales_Table[[#This Row],[Date_clean]],"mmmm")</f>
        <v>January</v>
      </c>
      <c r="W270">
        <f>WEEKNUM(Sales_Table[[#This Row],[Date_clean]],2)</f>
        <v>2</v>
      </c>
      <c r="X270" t="str" cm="1">
        <f t="array" ref="X270">_xlfn.IFS(Sales_Table[[#This Row],[Revenue]]&gt;=50000,"High",Sales_Table[[#This Row],[Revenue]]&gt;=20000,"Medium",Sales_Table[[#This Row],[Revenue]]&lt;20000,"Low")</f>
        <v>Low</v>
      </c>
      <c r="Y270" t="str">
        <f>IF(Sales_Table[[#This Row],[Payment Method_clean]]="cash","Offline","Online")</f>
        <v>Online</v>
      </c>
      <c r="Z270">
        <f>IFERROR(Sales_Table[[#This Row],[Revenue]],0)</f>
        <v>1020</v>
      </c>
    </row>
    <row r="271" spans="1:26" x14ac:dyDescent="0.3">
      <c r="A271">
        <v>270</v>
      </c>
      <c r="B271" s="2">
        <f t="shared" si="28"/>
        <v>45303.208333333336</v>
      </c>
      <c r="C271" t="s">
        <v>817</v>
      </c>
      <c r="D271" t="s">
        <v>27</v>
      </c>
      <c r="E271" t="str">
        <f>PROPER(TRIM(CLEAN(Sales_Table[[#This Row],[Region]])))</f>
        <v>East</v>
      </c>
      <c r="F271" t="s">
        <v>37</v>
      </c>
      <c r="G271" t="str">
        <f t="shared" si="29"/>
        <v>Home Appliances</v>
      </c>
      <c r="H271" t="str">
        <f>PROPER(TRIM(CLEAN(Sales_Table[[#This Row],[Product Name]])))</f>
        <v>Rice 5Kg</v>
      </c>
      <c r="I271" t="s">
        <v>73</v>
      </c>
      <c r="J271" t="str">
        <f t="shared" si="30"/>
        <v>CUST0721</v>
      </c>
      <c r="K271" t="s">
        <v>141</v>
      </c>
      <c r="L271" t="str">
        <f>PROPER(TRIM(CLEAN(Sales_Table[[#This Row],[Salesperson]])))</f>
        <v>Rahul</v>
      </c>
      <c r="M271" t="s">
        <v>31</v>
      </c>
      <c r="N271" t="str">
        <f t="shared" si="31"/>
        <v>Cash</v>
      </c>
      <c r="O271" t="s">
        <v>32</v>
      </c>
      <c r="P271">
        <f t="shared" si="32"/>
        <v>6</v>
      </c>
      <c r="Q271" t="s">
        <v>75</v>
      </c>
      <c r="R271">
        <f t="shared" si="33"/>
        <v>3592</v>
      </c>
      <c r="S271" t="s">
        <v>818</v>
      </c>
      <c r="T271">
        <f t="shared" si="34"/>
        <v>21552</v>
      </c>
      <c r="U271">
        <f>YEAR(Sales_Table[[#This Row],[Date_clean]])</f>
        <v>2024</v>
      </c>
      <c r="V271" t="str">
        <f>TEXT(Sales_Table[[#This Row],[Date_clean]],"mmmm")</f>
        <v>January</v>
      </c>
      <c r="W271">
        <f>WEEKNUM(Sales_Table[[#This Row],[Date_clean]],2)</f>
        <v>2</v>
      </c>
      <c r="X271" t="str" cm="1">
        <f t="array" ref="X271">_xlfn.IFS(Sales_Table[[#This Row],[Revenue]]&gt;=50000,"High",Sales_Table[[#This Row],[Revenue]]&gt;=20000,"Medium",Sales_Table[[#This Row],[Revenue]]&lt;20000,"Low")</f>
        <v>Medium</v>
      </c>
      <c r="Y271" t="str">
        <f>IF(Sales_Table[[#This Row],[Payment Method_clean]]="cash","Offline","Online")</f>
        <v>Offline</v>
      </c>
      <c r="Z271">
        <f>IFERROR(Sales_Table[[#This Row],[Revenue]],0)</f>
        <v>21552</v>
      </c>
    </row>
    <row r="272" spans="1:26" x14ac:dyDescent="0.3">
      <c r="A272">
        <v>271</v>
      </c>
      <c r="B272" s="2">
        <f t="shared" si="28"/>
        <v>45303.25</v>
      </c>
      <c r="C272" t="s">
        <v>819</v>
      </c>
      <c r="D272" t="s">
        <v>84</v>
      </c>
      <c r="E272" t="str">
        <f>PROPER(TRIM(CLEAN(Sales_Table[[#This Row],[Region]])))</f>
        <v>South</v>
      </c>
      <c r="F272" t="s">
        <v>78</v>
      </c>
      <c r="G272" t="str">
        <f t="shared" si="29"/>
        <v>Grocery</v>
      </c>
      <c r="H272" t="str">
        <f>PROPER(TRIM(CLEAN(Sales_Table[[#This Row],[Product Name]])))</f>
        <v>Washing Machine</v>
      </c>
      <c r="I272" t="s">
        <v>79</v>
      </c>
      <c r="J272" t="str">
        <f t="shared" si="30"/>
        <v>CUST0640</v>
      </c>
      <c r="K272" t="s">
        <v>820</v>
      </c>
      <c r="L272" t="str">
        <f>PROPER(TRIM(CLEAN(Sales_Table[[#This Row],[Salesperson]])))</f>
        <v>Anita</v>
      </c>
      <c r="M272" t="s">
        <v>64</v>
      </c>
      <c r="N272" t="str">
        <f t="shared" si="31"/>
        <v>Net Banking</v>
      </c>
      <c r="O272" t="s">
        <v>60</v>
      </c>
      <c r="P272">
        <f t="shared" si="32"/>
        <v>9</v>
      </c>
      <c r="Q272" t="s">
        <v>130</v>
      </c>
      <c r="R272">
        <f t="shared" si="33"/>
        <v>1853</v>
      </c>
      <c r="S272" t="s">
        <v>821</v>
      </c>
      <c r="T272">
        <f t="shared" si="34"/>
        <v>16677</v>
      </c>
      <c r="U272">
        <f>YEAR(Sales_Table[[#This Row],[Date_clean]])</f>
        <v>2024</v>
      </c>
      <c r="V272" t="str">
        <f>TEXT(Sales_Table[[#This Row],[Date_clean]],"mmmm")</f>
        <v>January</v>
      </c>
      <c r="W272">
        <f>WEEKNUM(Sales_Table[[#This Row],[Date_clean]],2)</f>
        <v>2</v>
      </c>
      <c r="X272" t="str" cm="1">
        <f t="array" ref="X272">_xlfn.IFS(Sales_Table[[#This Row],[Revenue]]&gt;=50000,"High",Sales_Table[[#This Row],[Revenue]]&gt;=20000,"Medium",Sales_Table[[#This Row],[Revenue]]&lt;20000,"Low")</f>
        <v>Low</v>
      </c>
      <c r="Y272" t="str">
        <f>IF(Sales_Table[[#This Row],[Payment Method_clean]]="cash","Offline","Online")</f>
        <v>Online</v>
      </c>
      <c r="Z272">
        <f>IFERROR(Sales_Table[[#This Row],[Revenue]],0)</f>
        <v>16677</v>
      </c>
    </row>
    <row r="273" spans="1:26" x14ac:dyDescent="0.3">
      <c r="A273">
        <v>272</v>
      </c>
      <c r="B273" s="2">
        <f t="shared" si="28"/>
        <v>45303.291666666664</v>
      </c>
      <c r="C273" t="s">
        <v>822</v>
      </c>
      <c r="D273" t="s">
        <v>36</v>
      </c>
      <c r="E273" t="str">
        <f>PROPER(TRIM(CLEAN(Sales_Table[[#This Row],[Region]])))</f>
        <v>West</v>
      </c>
      <c r="F273" t="s">
        <v>78</v>
      </c>
      <c r="G273" t="str">
        <f t="shared" si="29"/>
        <v>Grocery</v>
      </c>
      <c r="H273" t="str">
        <f>PROPER(TRIM(CLEAN(Sales_Table[[#This Row],[Product Name]])))</f>
        <v>Washing Machine</v>
      </c>
      <c r="I273" t="s">
        <v>79</v>
      </c>
      <c r="J273" t="str">
        <f t="shared" si="30"/>
        <v>CUST0340</v>
      </c>
      <c r="K273" t="s">
        <v>362</v>
      </c>
      <c r="L273" t="str">
        <f>PROPER(TRIM(CLEAN(Sales_Table[[#This Row],[Salesperson]])))</f>
        <v>Meena</v>
      </c>
      <c r="M273" t="s">
        <v>40</v>
      </c>
      <c r="N273" t="str">
        <f t="shared" si="31"/>
        <v>Credit Card</v>
      </c>
      <c r="O273" t="s">
        <v>65</v>
      </c>
      <c r="P273">
        <f t="shared" si="32"/>
        <v>9</v>
      </c>
      <c r="Q273" t="s">
        <v>130</v>
      </c>
      <c r="R273">
        <f t="shared" si="33"/>
        <v>1010</v>
      </c>
      <c r="S273" t="s">
        <v>823</v>
      </c>
      <c r="T273">
        <f t="shared" si="34"/>
        <v>9090</v>
      </c>
      <c r="U273">
        <f>YEAR(Sales_Table[[#This Row],[Date_clean]])</f>
        <v>2024</v>
      </c>
      <c r="V273" t="str">
        <f>TEXT(Sales_Table[[#This Row],[Date_clean]],"mmmm")</f>
        <v>January</v>
      </c>
      <c r="W273">
        <f>WEEKNUM(Sales_Table[[#This Row],[Date_clean]],2)</f>
        <v>2</v>
      </c>
      <c r="X273" t="str" cm="1">
        <f t="array" ref="X273">_xlfn.IFS(Sales_Table[[#This Row],[Revenue]]&gt;=50000,"High",Sales_Table[[#This Row],[Revenue]]&gt;=20000,"Medium",Sales_Table[[#This Row],[Revenue]]&lt;20000,"Low")</f>
        <v>Low</v>
      </c>
      <c r="Y273" t="str">
        <f>IF(Sales_Table[[#This Row],[Payment Method_clean]]="cash","Offline","Online")</f>
        <v>Online</v>
      </c>
      <c r="Z273">
        <f>IFERROR(Sales_Table[[#This Row],[Revenue]],0)</f>
        <v>9090</v>
      </c>
    </row>
    <row r="274" spans="1:26" x14ac:dyDescent="0.3">
      <c r="A274">
        <v>273</v>
      </c>
      <c r="B274" s="2">
        <f t="shared" si="28"/>
        <v>45303.333333333336</v>
      </c>
      <c r="C274" t="s">
        <v>824</v>
      </c>
      <c r="D274" t="s">
        <v>36</v>
      </c>
      <c r="E274" t="str">
        <f>PROPER(TRIM(CLEAN(Sales_Table[[#This Row],[Region]])))</f>
        <v>West</v>
      </c>
      <c r="F274" t="s">
        <v>78</v>
      </c>
      <c r="G274" t="str">
        <f t="shared" si="29"/>
        <v>Grocery</v>
      </c>
      <c r="H274" t="str">
        <f>PROPER(TRIM(CLEAN(Sales_Table[[#This Row],[Product Name]])))</f>
        <v>Laptop</v>
      </c>
      <c r="I274" t="s">
        <v>52</v>
      </c>
      <c r="J274" t="str">
        <f t="shared" si="30"/>
        <v>CUST0628</v>
      </c>
      <c r="K274" t="s">
        <v>825</v>
      </c>
      <c r="L274" t="str">
        <f>PROPER(TRIM(CLEAN(Sales_Table[[#This Row],[Salesperson]])))</f>
        <v>Karthik</v>
      </c>
      <c r="M274" t="s">
        <v>70</v>
      </c>
      <c r="N274" t="str">
        <f t="shared" si="31"/>
        <v>Cash</v>
      </c>
      <c r="O274" t="s">
        <v>32</v>
      </c>
      <c r="P274">
        <f t="shared" si="32"/>
        <v>1</v>
      </c>
      <c r="Q274" t="s">
        <v>93</v>
      </c>
      <c r="R274">
        <f t="shared" si="33"/>
        <v>406</v>
      </c>
      <c r="S274" t="s">
        <v>826</v>
      </c>
      <c r="T274">
        <f t="shared" si="34"/>
        <v>406</v>
      </c>
      <c r="U274">
        <f>YEAR(Sales_Table[[#This Row],[Date_clean]])</f>
        <v>2024</v>
      </c>
      <c r="V274" t="str">
        <f>TEXT(Sales_Table[[#This Row],[Date_clean]],"mmmm")</f>
        <v>January</v>
      </c>
      <c r="W274">
        <f>WEEKNUM(Sales_Table[[#This Row],[Date_clean]],2)</f>
        <v>2</v>
      </c>
      <c r="X274" t="str" cm="1">
        <f t="array" ref="X274">_xlfn.IFS(Sales_Table[[#This Row],[Revenue]]&gt;=50000,"High",Sales_Table[[#This Row],[Revenue]]&gt;=20000,"Medium",Sales_Table[[#This Row],[Revenue]]&lt;20000,"Low")</f>
        <v>Low</v>
      </c>
      <c r="Y274" t="str">
        <f>IF(Sales_Table[[#This Row],[Payment Method_clean]]="cash","Offline","Online")</f>
        <v>Offline</v>
      </c>
      <c r="Z274">
        <f>IFERROR(Sales_Table[[#This Row],[Revenue]],0)</f>
        <v>406</v>
      </c>
    </row>
    <row r="275" spans="1:26" x14ac:dyDescent="0.3">
      <c r="A275">
        <v>274</v>
      </c>
      <c r="B275" s="2">
        <f t="shared" si="28"/>
        <v>45303.375</v>
      </c>
      <c r="C275" t="s">
        <v>827</v>
      </c>
      <c r="D275" t="s">
        <v>36</v>
      </c>
      <c r="E275" t="str">
        <f>PROPER(TRIM(CLEAN(Sales_Table[[#This Row],[Region]])))</f>
        <v>West</v>
      </c>
      <c r="F275" t="s">
        <v>46</v>
      </c>
      <c r="G275" t="str">
        <f t="shared" si="29"/>
        <v>Electronics</v>
      </c>
      <c r="H275" t="str">
        <f>PROPER(TRIM(CLEAN(Sales_Table[[#This Row],[Product Name]])))</f>
        <v>Mixer Grinder</v>
      </c>
      <c r="I275" t="s">
        <v>29</v>
      </c>
      <c r="J275" t="str">
        <f t="shared" si="30"/>
        <v>CUST0439</v>
      </c>
      <c r="K275" t="s">
        <v>828</v>
      </c>
      <c r="L275" t="str">
        <f>PROPER(TRIM(CLEAN(Sales_Table[[#This Row],[Salesperson]])))</f>
        <v>Suresh</v>
      </c>
      <c r="M275" t="s">
        <v>54</v>
      </c>
      <c r="N275" t="str">
        <f t="shared" si="31"/>
        <v>Credit Card</v>
      </c>
      <c r="O275" t="s">
        <v>65</v>
      </c>
      <c r="P275">
        <f t="shared" si="32"/>
        <v>1</v>
      </c>
      <c r="Q275" t="s">
        <v>93</v>
      </c>
      <c r="R275">
        <f t="shared" si="33"/>
        <v>4331</v>
      </c>
      <c r="S275" t="s">
        <v>829</v>
      </c>
      <c r="T275">
        <f t="shared" si="34"/>
        <v>4331</v>
      </c>
      <c r="U275">
        <f>YEAR(Sales_Table[[#This Row],[Date_clean]])</f>
        <v>2024</v>
      </c>
      <c r="V275" t="str">
        <f>TEXT(Sales_Table[[#This Row],[Date_clean]],"mmmm")</f>
        <v>January</v>
      </c>
      <c r="W275">
        <f>WEEKNUM(Sales_Table[[#This Row],[Date_clean]],2)</f>
        <v>2</v>
      </c>
      <c r="X275" t="str" cm="1">
        <f t="array" ref="X275">_xlfn.IFS(Sales_Table[[#This Row],[Revenue]]&gt;=50000,"High",Sales_Table[[#This Row],[Revenue]]&gt;=20000,"Medium",Sales_Table[[#This Row],[Revenue]]&lt;20000,"Low")</f>
        <v>Low</v>
      </c>
      <c r="Y275" t="str">
        <f>IF(Sales_Table[[#This Row],[Payment Method_clean]]="cash","Offline","Online")</f>
        <v>Online</v>
      </c>
      <c r="Z275">
        <f>IFERROR(Sales_Table[[#This Row],[Revenue]],0)</f>
        <v>4331</v>
      </c>
    </row>
    <row r="276" spans="1:26" x14ac:dyDescent="0.3">
      <c r="A276">
        <v>275</v>
      </c>
      <c r="B276" s="2">
        <f t="shared" si="28"/>
        <v>45303.416666666664</v>
      </c>
      <c r="C276" t="s">
        <v>830</v>
      </c>
      <c r="D276" t="s">
        <v>45</v>
      </c>
      <c r="E276" t="str">
        <f>PROPER(TRIM(CLEAN(Sales_Table[[#This Row],[Region]])))</f>
        <v>North</v>
      </c>
      <c r="F276" t="s">
        <v>37</v>
      </c>
      <c r="G276" t="str">
        <f t="shared" si="29"/>
        <v>Home Appliances</v>
      </c>
      <c r="H276" t="str">
        <f>PROPER(TRIM(CLEAN(Sales_Table[[#This Row],[Product Name]])))</f>
        <v>Laptop</v>
      </c>
      <c r="I276" t="s">
        <v>52</v>
      </c>
      <c r="J276" t="str">
        <f t="shared" si="30"/>
        <v>CUST0144</v>
      </c>
      <c r="K276" t="s">
        <v>831</v>
      </c>
      <c r="L276" t="str">
        <f>PROPER(TRIM(CLEAN(Sales_Table[[#This Row],[Salesperson]])))</f>
        <v>Anita</v>
      </c>
      <c r="M276" t="s">
        <v>64</v>
      </c>
      <c r="N276" t="str">
        <f t="shared" si="31"/>
        <v>Upi</v>
      </c>
      <c r="O276" t="s">
        <v>48</v>
      </c>
      <c r="P276">
        <f t="shared" si="32"/>
        <v>1</v>
      </c>
      <c r="Q276" t="s">
        <v>93</v>
      </c>
      <c r="R276">
        <f t="shared" si="33"/>
        <v>4115</v>
      </c>
      <c r="S276" t="s">
        <v>832</v>
      </c>
      <c r="T276">
        <f t="shared" si="34"/>
        <v>4115</v>
      </c>
      <c r="U276">
        <f>YEAR(Sales_Table[[#This Row],[Date_clean]])</f>
        <v>2024</v>
      </c>
      <c r="V276" t="str">
        <f>TEXT(Sales_Table[[#This Row],[Date_clean]],"mmmm")</f>
        <v>January</v>
      </c>
      <c r="W276">
        <f>WEEKNUM(Sales_Table[[#This Row],[Date_clean]],2)</f>
        <v>2</v>
      </c>
      <c r="X276" t="str" cm="1">
        <f t="array" ref="X276">_xlfn.IFS(Sales_Table[[#This Row],[Revenue]]&gt;=50000,"High",Sales_Table[[#This Row],[Revenue]]&gt;=20000,"Medium",Sales_Table[[#This Row],[Revenue]]&lt;20000,"Low")</f>
        <v>Low</v>
      </c>
      <c r="Y276" t="str">
        <f>IF(Sales_Table[[#This Row],[Payment Method_clean]]="cash","Offline","Online")</f>
        <v>Online</v>
      </c>
      <c r="Z276">
        <f>IFERROR(Sales_Table[[#This Row],[Revenue]],0)</f>
        <v>4115</v>
      </c>
    </row>
    <row r="277" spans="1:26" x14ac:dyDescent="0.3">
      <c r="A277">
        <v>276</v>
      </c>
      <c r="B277" s="2">
        <f t="shared" si="28"/>
        <v>45303.458333333336</v>
      </c>
      <c r="C277" t="s">
        <v>833</v>
      </c>
      <c r="D277" t="s">
        <v>36</v>
      </c>
      <c r="E277" t="str">
        <f>PROPER(TRIM(CLEAN(Sales_Table[[#This Row],[Region]])))</f>
        <v>West</v>
      </c>
      <c r="F277" t="s">
        <v>78</v>
      </c>
      <c r="G277" t="str">
        <f t="shared" si="29"/>
        <v>Grocery</v>
      </c>
      <c r="H277" t="str">
        <f>PROPER(TRIM(CLEAN(Sales_Table[[#This Row],[Product Name]])))</f>
        <v>Mixer Grinder</v>
      </c>
      <c r="I277" t="s">
        <v>29</v>
      </c>
      <c r="J277" t="str">
        <f t="shared" si="30"/>
        <v>CUST0747</v>
      </c>
      <c r="K277" t="s">
        <v>834</v>
      </c>
      <c r="L277" t="str">
        <f>PROPER(TRIM(CLEAN(Sales_Table[[#This Row],[Salesperson]])))</f>
        <v>Karthik</v>
      </c>
      <c r="M277" t="s">
        <v>70</v>
      </c>
      <c r="N277" t="str">
        <f t="shared" si="31"/>
        <v>Debit Card</v>
      </c>
      <c r="O277" t="s">
        <v>41</v>
      </c>
      <c r="P277">
        <f t="shared" si="32"/>
        <v>8</v>
      </c>
      <c r="Q277" t="s">
        <v>42</v>
      </c>
      <c r="R277">
        <f t="shared" si="33"/>
        <v>1538</v>
      </c>
      <c r="S277" t="s">
        <v>835</v>
      </c>
      <c r="T277">
        <f t="shared" si="34"/>
        <v>12304</v>
      </c>
      <c r="U277">
        <f>YEAR(Sales_Table[[#This Row],[Date_clean]])</f>
        <v>2024</v>
      </c>
      <c r="V277" t="str">
        <f>TEXT(Sales_Table[[#This Row],[Date_clean]],"mmmm")</f>
        <v>January</v>
      </c>
      <c r="W277">
        <f>WEEKNUM(Sales_Table[[#This Row],[Date_clean]],2)</f>
        <v>2</v>
      </c>
      <c r="X277" t="str" cm="1">
        <f t="array" ref="X277">_xlfn.IFS(Sales_Table[[#This Row],[Revenue]]&gt;=50000,"High",Sales_Table[[#This Row],[Revenue]]&gt;=20000,"Medium",Sales_Table[[#This Row],[Revenue]]&lt;20000,"Low")</f>
        <v>Low</v>
      </c>
      <c r="Y277" t="str">
        <f>IF(Sales_Table[[#This Row],[Payment Method_clean]]="cash","Offline","Online")</f>
        <v>Online</v>
      </c>
      <c r="Z277">
        <f>IFERROR(Sales_Table[[#This Row],[Revenue]],0)</f>
        <v>12304</v>
      </c>
    </row>
    <row r="278" spans="1:26" x14ac:dyDescent="0.3">
      <c r="A278">
        <v>277</v>
      </c>
      <c r="B278" s="2">
        <f t="shared" si="28"/>
        <v>45303.5</v>
      </c>
      <c r="C278" t="s">
        <v>836</v>
      </c>
      <c r="D278" t="s">
        <v>45</v>
      </c>
      <c r="E278" t="str">
        <f>PROPER(TRIM(CLEAN(Sales_Table[[#This Row],[Region]])))</f>
        <v>North</v>
      </c>
      <c r="F278" t="s">
        <v>37</v>
      </c>
      <c r="G278" t="str">
        <f t="shared" si="29"/>
        <v>Home Appliances</v>
      </c>
      <c r="H278" t="str">
        <f>PROPER(TRIM(CLEAN(Sales_Table[[#This Row],[Product Name]])))</f>
        <v>Mixer Grinder</v>
      </c>
      <c r="I278" t="s">
        <v>29</v>
      </c>
      <c r="J278" t="str">
        <f t="shared" si="30"/>
        <v>CUST0519</v>
      </c>
      <c r="K278" t="s">
        <v>837</v>
      </c>
      <c r="L278" t="str">
        <f>PROPER(TRIM(CLEAN(Sales_Table[[#This Row],[Salesperson]])))</f>
        <v>Karthik</v>
      </c>
      <c r="M278" t="s">
        <v>70</v>
      </c>
      <c r="N278" t="str">
        <f t="shared" si="31"/>
        <v>Credit Card</v>
      </c>
      <c r="O278" t="s">
        <v>65</v>
      </c>
      <c r="P278">
        <f t="shared" si="32"/>
        <v>12</v>
      </c>
      <c r="Q278" t="s">
        <v>33</v>
      </c>
      <c r="R278">
        <f t="shared" si="33"/>
        <v>972</v>
      </c>
      <c r="S278" t="s">
        <v>838</v>
      </c>
      <c r="T278">
        <f t="shared" si="34"/>
        <v>11664</v>
      </c>
      <c r="U278">
        <f>YEAR(Sales_Table[[#This Row],[Date_clean]])</f>
        <v>2024</v>
      </c>
      <c r="V278" t="str">
        <f>TEXT(Sales_Table[[#This Row],[Date_clean]],"mmmm")</f>
        <v>January</v>
      </c>
      <c r="W278">
        <f>WEEKNUM(Sales_Table[[#This Row],[Date_clean]],2)</f>
        <v>2</v>
      </c>
      <c r="X278" t="str" cm="1">
        <f t="array" ref="X278">_xlfn.IFS(Sales_Table[[#This Row],[Revenue]]&gt;=50000,"High",Sales_Table[[#This Row],[Revenue]]&gt;=20000,"Medium",Sales_Table[[#This Row],[Revenue]]&lt;20000,"Low")</f>
        <v>Low</v>
      </c>
      <c r="Y278" t="str">
        <f>IF(Sales_Table[[#This Row],[Payment Method_clean]]="cash","Offline","Online")</f>
        <v>Online</v>
      </c>
      <c r="Z278">
        <f>IFERROR(Sales_Table[[#This Row],[Revenue]],0)</f>
        <v>11664</v>
      </c>
    </row>
    <row r="279" spans="1:26" x14ac:dyDescent="0.3">
      <c r="A279">
        <v>278</v>
      </c>
      <c r="B279" s="2">
        <f t="shared" si="28"/>
        <v>45303.541666666664</v>
      </c>
      <c r="C279" t="s">
        <v>839</v>
      </c>
      <c r="D279" t="s">
        <v>84</v>
      </c>
      <c r="E279" t="str">
        <f>PROPER(TRIM(CLEAN(Sales_Table[[#This Row],[Region]])))</f>
        <v>South</v>
      </c>
      <c r="F279" t="s">
        <v>46</v>
      </c>
      <c r="G279" t="str">
        <f t="shared" si="29"/>
        <v>Electronics</v>
      </c>
      <c r="H279" t="str">
        <f>PROPER(TRIM(CLEAN(Sales_Table[[#This Row],[Product Name]])))</f>
        <v>Rice 5Kg</v>
      </c>
      <c r="I279" t="s">
        <v>73</v>
      </c>
      <c r="J279" t="str">
        <f t="shared" si="30"/>
        <v>CUST0045</v>
      </c>
      <c r="K279" t="s">
        <v>840</v>
      </c>
      <c r="L279" t="str">
        <f>PROPER(TRIM(CLEAN(Sales_Table[[#This Row],[Salesperson]])))</f>
        <v>Rahul</v>
      </c>
      <c r="M279" t="s">
        <v>31</v>
      </c>
      <c r="N279" t="str">
        <f t="shared" si="31"/>
        <v>Cash</v>
      </c>
      <c r="O279" t="s">
        <v>32</v>
      </c>
      <c r="P279">
        <f t="shared" si="32"/>
        <v>13</v>
      </c>
      <c r="Q279" t="s">
        <v>81</v>
      </c>
      <c r="R279">
        <f t="shared" si="33"/>
        <v>1241</v>
      </c>
      <c r="S279" t="s">
        <v>841</v>
      </c>
      <c r="T279">
        <f t="shared" si="34"/>
        <v>16133</v>
      </c>
      <c r="U279">
        <f>YEAR(Sales_Table[[#This Row],[Date_clean]])</f>
        <v>2024</v>
      </c>
      <c r="V279" t="str">
        <f>TEXT(Sales_Table[[#This Row],[Date_clean]],"mmmm")</f>
        <v>January</v>
      </c>
      <c r="W279">
        <f>WEEKNUM(Sales_Table[[#This Row],[Date_clean]],2)</f>
        <v>2</v>
      </c>
      <c r="X279" t="str" cm="1">
        <f t="array" ref="X279">_xlfn.IFS(Sales_Table[[#This Row],[Revenue]]&gt;=50000,"High",Sales_Table[[#This Row],[Revenue]]&gt;=20000,"Medium",Sales_Table[[#This Row],[Revenue]]&lt;20000,"Low")</f>
        <v>Low</v>
      </c>
      <c r="Y279" t="str">
        <f>IF(Sales_Table[[#This Row],[Payment Method_clean]]="cash","Offline","Online")</f>
        <v>Offline</v>
      </c>
      <c r="Z279">
        <f>IFERROR(Sales_Table[[#This Row],[Revenue]],0)</f>
        <v>16133</v>
      </c>
    </row>
    <row r="280" spans="1:26" x14ac:dyDescent="0.3">
      <c r="A280">
        <v>279</v>
      </c>
      <c r="B280" s="2">
        <f t="shared" si="28"/>
        <v>45303.583333333336</v>
      </c>
      <c r="C280" t="s">
        <v>842</v>
      </c>
      <c r="D280" t="s">
        <v>45</v>
      </c>
      <c r="E280" t="str">
        <f>PROPER(TRIM(CLEAN(Sales_Table[[#This Row],[Region]])))</f>
        <v>North</v>
      </c>
      <c r="F280" t="s">
        <v>78</v>
      </c>
      <c r="G280" t="str">
        <f t="shared" si="29"/>
        <v>Grocery</v>
      </c>
      <c r="H280" t="str">
        <f>PROPER(TRIM(CLEAN(Sales_Table[[#This Row],[Product Name]])))</f>
        <v>Rice 5Kg</v>
      </c>
      <c r="I280" t="s">
        <v>73</v>
      </c>
      <c r="J280" t="str">
        <f t="shared" si="30"/>
        <v>CUST0239</v>
      </c>
      <c r="K280" t="s">
        <v>311</v>
      </c>
      <c r="L280" t="str">
        <f>PROPER(TRIM(CLEAN(Sales_Table[[#This Row],[Salesperson]])))</f>
        <v>Rahul</v>
      </c>
      <c r="M280" t="s">
        <v>31</v>
      </c>
      <c r="N280" t="str">
        <f t="shared" si="31"/>
        <v>Upi</v>
      </c>
      <c r="O280" t="s">
        <v>48</v>
      </c>
      <c r="P280">
        <f t="shared" si="32"/>
        <v>14</v>
      </c>
      <c r="Q280" t="s">
        <v>55</v>
      </c>
      <c r="R280">
        <f t="shared" si="33"/>
        <v>765</v>
      </c>
      <c r="S280" t="s">
        <v>843</v>
      </c>
      <c r="T280">
        <f t="shared" si="34"/>
        <v>10710</v>
      </c>
      <c r="U280">
        <f>YEAR(Sales_Table[[#This Row],[Date_clean]])</f>
        <v>2024</v>
      </c>
      <c r="V280" t="str">
        <f>TEXT(Sales_Table[[#This Row],[Date_clean]],"mmmm")</f>
        <v>January</v>
      </c>
      <c r="W280">
        <f>WEEKNUM(Sales_Table[[#This Row],[Date_clean]],2)</f>
        <v>2</v>
      </c>
      <c r="X280" t="str" cm="1">
        <f t="array" ref="X280">_xlfn.IFS(Sales_Table[[#This Row],[Revenue]]&gt;=50000,"High",Sales_Table[[#This Row],[Revenue]]&gt;=20000,"Medium",Sales_Table[[#This Row],[Revenue]]&lt;20000,"Low")</f>
        <v>Low</v>
      </c>
      <c r="Y280" t="str">
        <f>IF(Sales_Table[[#This Row],[Payment Method_clean]]="cash","Offline","Online")</f>
        <v>Online</v>
      </c>
      <c r="Z280">
        <f>IFERROR(Sales_Table[[#This Row],[Revenue]],0)</f>
        <v>10710</v>
      </c>
    </row>
    <row r="281" spans="1:26" x14ac:dyDescent="0.3">
      <c r="A281">
        <v>280</v>
      </c>
      <c r="B281" s="2">
        <f t="shared" si="28"/>
        <v>45303.625</v>
      </c>
      <c r="C281" t="s">
        <v>844</v>
      </c>
      <c r="D281" t="s">
        <v>84</v>
      </c>
      <c r="E281" t="str">
        <f>PROPER(TRIM(CLEAN(Sales_Table[[#This Row],[Region]])))</f>
        <v>South</v>
      </c>
      <c r="F281" t="s">
        <v>28</v>
      </c>
      <c r="G281" t="str">
        <f t="shared" si="29"/>
        <v>Clothing</v>
      </c>
      <c r="H281" t="str">
        <f>PROPER(TRIM(CLEAN(Sales_Table[[#This Row],[Product Name]])))</f>
        <v>Men T-Shirt</v>
      </c>
      <c r="I281" t="s">
        <v>38</v>
      </c>
      <c r="J281" t="str">
        <f t="shared" si="30"/>
        <v>CUST0155</v>
      </c>
      <c r="K281" t="s">
        <v>669</v>
      </c>
      <c r="L281" t="str">
        <f>PROPER(TRIM(CLEAN(Sales_Table[[#This Row],[Salesperson]])))</f>
        <v>Anita</v>
      </c>
      <c r="M281" t="s">
        <v>64</v>
      </c>
      <c r="N281" t="str">
        <f t="shared" si="31"/>
        <v>Net Banking</v>
      </c>
      <c r="O281" t="s">
        <v>60</v>
      </c>
      <c r="P281">
        <f t="shared" si="32"/>
        <v>12</v>
      </c>
      <c r="Q281" t="s">
        <v>33</v>
      </c>
      <c r="R281">
        <f t="shared" si="33"/>
        <v>308</v>
      </c>
      <c r="S281" t="s">
        <v>494</v>
      </c>
      <c r="T281">
        <f t="shared" si="34"/>
        <v>3696</v>
      </c>
      <c r="U281">
        <f>YEAR(Sales_Table[[#This Row],[Date_clean]])</f>
        <v>2024</v>
      </c>
      <c r="V281" t="str">
        <f>TEXT(Sales_Table[[#This Row],[Date_clean]],"mmmm")</f>
        <v>January</v>
      </c>
      <c r="W281">
        <f>WEEKNUM(Sales_Table[[#This Row],[Date_clean]],2)</f>
        <v>2</v>
      </c>
      <c r="X281" t="str" cm="1">
        <f t="array" ref="X281">_xlfn.IFS(Sales_Table[[#This Row],[Revenue]]&gt;=50000,"High",Sales_Table[[#This Row],[Revenue]]&gt;=20000,"Medium",Sales_Table[[#This Row],[Revenue]]&lt;20000,"Low")</f>
        <v>Low</v>
      </c>
      <c r="Y281" t="str">
        <f>IF(Sales_Table[[#This Row],[Payment Method_clean]]="cash","Offline","Online")</f>
        <v>Online</v>
      </c>
      <c r="Z281">
        <f>IFERROR(Sales_Table[[#This Row],[Revenue]],0)</f>
        <v>3696</v>
      </c>
    </row>
    <row r="282" spans="1:26" x14ac:dyDescent="0.3">
      <c r="A282">
        <v>281</v>
      </c>
      <c r="B282" s="2">
        <f t="shared" si="28"/>
        <v>45303.666666666664</v>
      </c>
      <c r="C282" t="s">
        <v>845</v>
      </c>
      <c r="D282" t="s">
        <v>36</v>
      </c>
      <c r="E282" t="str">
        <f>PROPER(TRIM(CLEAN(Sales_Table[[#This Row],[Region]])))</f>
        <v>West</v>
      </c>
      <c r="F282" t="s">
        <v>46</v>
      </c>
      <c r="G282" t="str">
        <f t="shared" si="29"/>
        <v>Electronics</v>
      </c>
      <c r="H282" t="str">
        <f>PROPER(TRIM(CLEAN(Sales_Table[[#This Row],[Product Name]])))</f>
        <v>Mixer Grinder</v>
      </c>
      <c r="I282" t="s">
        <v>29</v>
      </c>
      <c r="J282" t="str">
        <f t="shared" si="30"/>
        <v>CUST0181</v>
      </c>
      <c r="K282" t="s">
        <v>846</v>
      </c>
      <c r="L282" t="str">
        <f>PROPER(TRIM(CLEAN(Sales_Table[[#This Row],[Salesperson]])))</f>
        <v>Karthik</v>
      </c>
      <c r="M282" t="s">
        <v>70</v>
      </c>
      <c r="N282" t="str">
        <f t="shared" si="31"/>
        <v>Upi</v>
      </c>
      <c r="O282" t="s">
        <v>48</v>
      </c>
      <c r="P282">
        <f t="shared" si="32"/>
        <v>14</v>
      </c>
      <c r="Q282" t="s">
        <v>55</v>
      </c>
      <c r="R282">
        <f t="shared" si="33"/>
        <v>1051</v>
      </c>
      <c r="S282" t="s">
        <v>847</v>
      </c>
      <c r="T282">
        <f t="shared" si="34"/>
        <v>14714</v>
      </c>
      <c r="U282">
        <f>YEAR(Sales_Table[[#This Row],[Date_clean]])</f>
        <v>2024</v>
      </c>
      <c r="V282" t="str">
        <f>TEXT(Sales_Table[[#This Row],[Date_clean]],"mmmm")</f>
        <v>January</v>
      </c>
      <c r="W282">
        <f>WEEKNUM(Sales_Table[[#This Row],[Date_clean]],2)</f>
        <v>2</v>
      </c>
      <c r="X282" t="str" cm="1">
        <f t="array" ref="X282">_xlfn.IFS(Sales_Table[[#This Row],[Revenue]]&gt;=50000,"High",Sales_Table[[#This Row],[Revenue]]&gt;=20000,"Medium",Sales_Table[[#This Row],[Revenue]]&lt;20000,"Low")</f>
        <v>Low</v>
      </c>
      <c r="Y282" t="str">
        <f>IF(Sales_Table[[#This Row],[Payment Method_clean]]="cash","Offline","Online")</f>
        <v>Online</v>
      </c>
      <c r="Z282">
        <f>IFERROR(Sales_Table[[#This Row],[Revenue]],0)</f>
        <v>14714</v>
      </c>
    </row>
    <row r="283" spans="1:26" x14ac:dyDescent="0.3">
      <c r="A283">
        <v>282</v>
      </c>
      <c r="B283" s="2">
        <f t="shared" si="28"/>
        <v>45303.708333333336</v>
      </c>
      <c r="C283" t="s">
        <v>848</v>
      </c>
      <c r="D283" t="s">
        <v>36</v>
      </c>
      <c r="E283" t="str">
        <f>PROPER(TRIM(CLEAN(Sales_Table[[#This Row],[Region]])))</f>
        <v>West</v>
      </c>
      <c r="F283" t="s">
        <v>28</v>
      </c>
      <c r="G283" t="str">
        <f t="shared" si="29"/>
        <v>Clothing</v>
      </c>
      <c r="H283" t="str">
        <f>PROPER(TRIM(CLEAN(Sales_Table[[#This Row],[Product Name]])))</f>
        <v>Washing Machine</v>
      </c>
      <c r="I283" t="s">
        <v>79</v>
      </c>
      <c r="J283" t="str">
        <f t="shared" si="30"/>
        <v>CUST0215</v>
      </c>
      <c r="K283" t="s">
        <v>849</v>
      </c>
      <c r="L283" t="str">
        <f>PROPER(TRIM(CLEAN(Sales_Table[[#This Row],[Salesperson]])))</f>
        <v>Rahul</v>
      </c>
      <c r="M283" t="s">
        <v>31</v>
      </c>
      <c r="N283" t="str">
        <f t="shared" si="31"/>
        <v>Debit Card</v>
      </c>
      <c r="O283" t="s">
        <v>41</v>
      </c>
      <c r="P283">
        <f t="shared" si="32"/>
        <v>10</v>
      </c>
      <c r="Q283" t="s">
        <v>117</v>
      </c>
      <c r="R283">
        <f t="shared" si="33"/>
        <v>1157</v>
      </c>
      <c r="S283" t="s">
        <v>850</v>
      </c>
      <c r="T283">
        <f t="shared" si="34"/>
        <v>11570</v>
      </c>
      <c r="U283">
        <f>YEAR(Sales_Table[[#This Row],[Date_clean]])</f>
        <v>2024</v>
      </c>
      <c r="V283" t="str">
        <f>TEXT(Sales_Table[[#This Row],[Date_clean]],"mmmm")</f>
        <v>January</v>
      </c>
      <c r="W283">
        <f>WEEKNUM(Sales_Table[[#This Row],[Date_clean]],2)</f>
        <v>2</v>
      </c>
      <c r="X283" t="str" cm="1">
        <f t="array" ref="X283">_xlfn.IFS(Sales_Table[[#This Row],[Revenue]]&gt;=50000,"High",Sales_Table[[#This Row],[Revenue]]&gt;=20000,"Medium",Sales_Table[[#This Row],[Revenue]]&lt;20000,"Low")</f>
        <v>Low</v>
      </c>
      <c r="Y283" t="str">
        <f>IF(Sales_Table[[#This Row],[Payment Method_clean]]="cash","Offline","Online")</f>
        <v>Online</v>
      </c>
      <c r="Z283">
        <f>IFERROR(Sales_Table[[#This Row],[Revenue]],0)</f>
        <v>11570</v>
      </c>
    </row>
    <row r="284" spans="1:26" x14ac:dyDescent="0.3">
      <c r="A284">
        <v>283</v>
      </c>
      <c r="B284" s="2">
        <f t="shared" si="28"/>
        <v>45303.75</v>
      </c>
      <c r="C284" t="s">
        <v>851</v>
      </c>
      <c r="D284" t="s">
        <v>84</v>
      </c>
      <c r="E284" t="str">
        <f>PROPER(TRIM(CLEAN(Sales_Table[[#This Row],[Region]])))</f>
        <v>South</v>
      </c>
      <c r="F284" t="s">
        <v>37</v>
      </c>
      <c r="G284" t="str">
        <f t="shared" si="29"/>
        <v>Home Appliances</v>
      </c>
      <c r="H284" t="str">
        <f>PROPER(TRIM(CLEAN(Sales_Table[[#This Row],[Product Name]])))</f>
        <v>Led Tv 42Inch</v>
      </c>
      <c r="I284" t="s">
        <v>58</v>
      </c>
      <c r="J284" t="str">
        <f t="shared" si="30"/>
        <v>CUST0088</v>
      </c>
      <c r="K284" t="s">
        <v>852</v>
      </c>
      <c r="L284" t="str">
        <f>PROPER(TRIM(CLEAN(Sales_Table[[#This Row],[Salesperson]])))</f>
        <v>Suresh</v>
      </c>
      <c r="M284" t="s">
        <v>54</v>
      </c>
      <c r="N284" t="str">
        <f t="shared" si="31"/>
        <v>Upi</v>
      </c>
      <c r="O284" t="s">
        <v>48</v>
      </c>
      <c r="P284">
        <f t="shared" si="32"/>
        <v>7</v>
      </c>
      <c r="Q284" t="s">
        <v>49</v>
      </c>
      <c r="R284">
        <f t="shared" si="33"/>
        <v>4844</v>
      </c>
      <c r="S284" t="s">
        <v>853</v>
      </c>
      <c r="T284">
        <f t="shared" si="34"/>
        <v>33908</v>
      </c>
      <c r="U284">
        <f>YEAR(Sales_Table[[#This Row],[Date_clean]])</f>
        <v>2024</v>
      </c>
      <c r="V284" t="str">
        <f>TEXT(Sales_Table[[#This Row],[Date_clean]],"mmmm")</f>
        <v>January</v>
      </c>
      <c r="W284">
        <f>WEEKNUM(Sales_Table[[#This Row],[Date_clean]],2)</f>
        <v>2</v>
      </c>
      <c r="X284" t="str" cm="1">
        <f t="array" ref="X284">_xlfn.IFS(Sales_Table[[#This Row],[Revenue]]&gt;=50000,"High",Sales_Table[[#This Row],[Revenue]]&gt;=20000,"Medium",Sales_Table[[#This Row],[Revenue]]&lt;20000,"Low")</f>
        <v>Medium</v>
      </c>
      <c r="Y284" t="str">
        <f>IF(Sales_Table[[#This Row],[Payment Method_clean]]="cash","Offline","Online")</f>
        <v>Online</v>
      </c>
      <c r="Z284">
        <f>IFERROR(Sales_Table[[#This Row],[Revenue]],0)</f>
        <v>33908</v>
      </c>
    </row>
    <row r="285" spans="1:26" x14ac:dyDescent="0.3">
      <c r="A285">
        <v>284</v>
      </c>
      <c r="B285" s="2">
        <f t="shared" si="28"/>
        <v>45303.791666666664</v>
      </c>
      <c r="C285" t="s">
        <v>854</v>
      </c>
      <c r="D285" t="s">
        <v>27</v>
      </c>
      <c r="E285" t="str">
        <f>PROPER(TRIM(CLEAN(Sales_Table[[#This Row],[Region]])))</f>
        <v>East</v>
      </c>
      <c r="F285" t="s">
        <v>37</v>
      </c>
      <c r="G285" t="str">
        <f t="shared" si="29"/>
        <v>Home Appliances</v>
      </c>
      <c r="H285" t="str">
        <f>PROPER(TRIM(CLEAN(Sales_Table[[#This Row],[Product Name]])))</f>
        <v>Men T-Shirt</v>
      </c>
      <c r="I285" t="s">
        <v>38</v>
      </c>
      <c r="J285" t="str">
        <f t="shared" si="30"/>
        <v>CUST0256</v>
      </c>
      <c r="K285" t="s">
        <v>69</v>
      </c>
      <c r="L285" t="str">
        <f>PROPER(TRIM(CLEAN(Sales_Table[[#This Row],[Salesperson]])))</f>
        <v>Suresh</v>
      </c>
      <c r="M285" t="s">
        <v>54</v>
      </c>
      <c r="N285" t="str">
        <f t="shared" si="31"/>
        <v>Net Banking</v>
      </c>
      <c r="O285" t="s">
        <v>60</v>
      </c>
      <c r="P285">
        <f t="shared" si="32"/>
        <v>3</v>
      </c>
      <c r="Q285" t="s">
        <v>66</v>
      </c>
      <c r="R285">
        <f t="shared" si="33"/>
        <v>4822</v>
      </c>
      <c r="S285" t="s">
        <v>855</v>
      </c>
      <c r="T285">
        <f t="shared" si="34"/>
        <v>14466</v>
      </c>
      <c r="U285">
        <f>YEAR(Sales_Table[[#This Row],[Date_clean]])</f>
        <v>2024</v>
      </c>
      <c r="V285" t="str">
        <f>TEXT(Sales_Table[[#This Row],[Date_clean]],"mmmm")</f>
        <v>January</v>
      </c>
      <c r="W285">
        <f>WEEKNUM(Sales_Table[[#This Row],[Date_clean]],2)</f>
        <v>2</v>
      </c>
      <c r="X285" t="str" cm="1">
        <f t="array" ref="X285">_xlfn.IFS(Sales_Table[[#This Row],[Revenue]]&gt;=50000,"High",Sales_Table[[#This Row],[Revenue]]&gt;=20000,"Medium",Sales_Table[[#This Row],[Revenue]]&lt;20000,"Low")</f>
        <v>Low</v>
      </c>
      <c r="Y285" t="str">
        <f>IF(Sales_Table[[#This Row],[Payment Method_clean]]="cash","Offline","Online")</f>
        <v>Online</v>
      </c>
      <c r="Z285">
        <f>IFERROR(Sales_Table[[#This Row],[Revenue]],0)</f>
        <v>14466</v>
      </c>
    </row>
    <row r="286" spans="1:26" x14ac:dyDescent="0.3">
      <c r="A286">
        <v>285</v>
      </c>
      <c r="B286" s="2">
        <f t="shared" si="28"/>
        <v>45303.833333333336</v>
      </c>
      <c r="C286" t="s">
        <v>856</v>
      </c>
      <c r="D286" t="s">
        <v>84</v>
      </c>
      <c r="E286" t="str">
        <f>PROPER(TRIM(CLEAN(Sales_Table[[#This Row],[Region]])))</f>
        <v>South</v>
      </c>
      <c r="F286" t="s">
        <v>46</v>
      </c>
      <c r="G286" t="str">
        <f t="shared" si="29"/>
        <v>Electronics</v>
      </c>
      <c r="H286" t="str">
        <f>PROPER(TRIM(CLEAN(Sales_Table[[#This Row],[Product Name]])))</f>
        <v>Rice 5Kg</v>
      </c>
      <c r="I286" t="s">
        <v>73</v>
      </c>
      <c r="J286" t="str">
        <f t="shared" si="30"/>
        <v>CUST0511</v>
      </c>
      <c r="K286" t="s">
        <v>700</v>
      </c>
      <c r="L286" t="str">
        <f>PROPER(TRIM(CLEAN(Sales_Table[[#This Row],[Salesperson]])))</f>
        <v>Karthik</v>
      </c>
      <c r="M286" t="s">
        <v>70</v>
      </c>
      <c r="N286" t="str">
        <f t="shared" si="31"/>
        <v>Cash</v>
      </c>
      <c r="O286" t="s">
        <v>32</v>
      </c>
      <c r="P286">
        <f t="shared" si="32"/>
        <v>13</v>
      </c>
      <c r="Q286" t="s">
        <v>81</v>
      </c>
      <c r="R286">
        <f t="shared" si="33"/>
        <v>4720</v>
      </c>
      <c r="S286" t="s">
        <v>857</v>
      </c>
      <c r="T286">
        <f t="shared" si="34"/>
        <v>61360</v>
      </c>
      <c r="U286">
        <f>YEAR(Sales_Table[[#This Row],[Date_clean]])</f>
        <v>2024</v>
      </c>
      <c r="V286" t="str">
        <f>TEXT(Sales_Table[[#This Row],[Date_clean]],"mmmm")</f>
        <v>January</v>
      </c>
      <c r="W286">
        <f>WEEKNUM(Sales_Table[[#This Row],[Date_clean]],2)</f>
        <v>2</v>
      </c>
      <c r="X286" t="str" cm="1">
        <f t="array" ref="X286">_xlfn.IFS(Sales_Table[[#This Row],[Revenue]]&gt;=50000,"High",Sales_Table[[#This Row],[Revenue]]&gt;=20000,"Medium",Sales_Table[[#This Row],[Revenue]]&lt;20000,"Low")</f>
        <v>High</v>
      </c>
      <c r="Y286" t="str">
        <f>IF(Sales_Table[[#This Row],[Payment Method_clean]]="cash","Offline","Online")</f>
        <v>Offline</v>
      </c>
      <c r="Z286">
        <f>IFERROR(Sales_Table[[#This Row],[Revenue]],0)</f>
        <v>61360</v>
      </c>
    </row>
    <row r="287" spans="1:26" x14ac:dyDescent="0.3">
      <c r="A287">
        <v>286</v>
      </c>
      <c r="B287" s="2">
        <f t="shared" si="28"/>
        <v>45303.875</v>
      </c>
      <c r="C287" t="s">
        <v>858</v>
      </c>
      <c r="D287" t="s">
        <v>27</v>
      </c>
      <c r="E287" t="str">
        <f>PROPER(TRIM(CLEAN(Sales_Table[[#This Row],[Region]])))</f>
        <v>East</v>
      </c>
      <c r="F287" t="s">
        <v>37</v>
      </c>
      <c r="G287" t="str">
        <f t="shared" si="29"/>
        <v>Home Appliances</v>
      </c>
      <c r="H287" t="str">
        <f>PROPER(TRIM(CLEAN(Sales_Table[[#This Row],[Product Name]])))</f>
        <v>Laptop</v>
      </c>
      <c r="I287" t="s">
        <v>52</v>
      </c>
      <c r="J287" t="str">
        <f t="shared" si="30"/>
        <v>CUST0073</v>
      </c>
      <c r="K287" t="s">
        <v>859</v>
      </c>
      <c r="L287" t="str">
        <f>PROPER(TRIM(CLEAN(Sales_Table[[#This Row],[Salesperson]])))</f>
        <v>Rahul</v>
      </c>
      <c r="M287" t="s">
        <v>31</v>
      </c>
      <c r="N287" t="str">
        <f t="shared" si="31"/>
        <v>Credit Card</v>
      </c>
      <c r="O287" t="s">
        <v>65</v>
      </c>
      <c r="P287">
        <f t="shared" si="32"/>
        <v>2</v>
      </c>
      <c r="Q287" t="s">
        <v>196</v>
      </c>
      <c r="R287">
        <f t="shared" si="33"/>
        <v>4108</v>
      </c>
      <c r="S287" t="s">
        <v>860</v>
      </c>
      <c r="T287">
        <f t="shared" si="34"/>
        <v>8216</v>
      </c>
      <c r="U287">
        <f>YEAR(Sales_Table[[#This Row],[Date_clean]])</f>
        <v>2024</v>
      </c>
      <c r="V287" t="str">
        <f>TEXT(Sales_Table[[#This Row],[Date_clean]],"mmmm")</f>
        <v>January</v>
      </c>
      <c r="W287">
        <f>WEEKNUM(Sales_Table[[#This Row],[Date_clean]],2)</f>
        <v>2</v>
      </c>
      <c r="X287" t="str" cm="1">
        <f t="array" ref="X287">_xlfn.IFS(Sales_Table[[#This Row],[Revenue]]&gt;=50000,"High",Sales_Table[[#This Row],[Revenue]]&gt;=20000,"Medium",Sales_Table[[#This Row],[Revenue]]&lt;20000,"Low")</f>
        <v>Low</v>
      </c>
      <c r="Y287" t="str">
        <f>IF(Sales_Table[[#This Row],[Payment Method_clean]]="cash","Offline","Online")</f>
        <v>Online</v>
      </c>
      <c r="Z287">
        <f>IFERROR(Sales_Table[[#This Row],[Revenue]],0)</f>
        <v>8216</v>
      </c>
    </row>
    <row r="288" spans="1:26" x14ac:dyDescent="0.3">
      <c r="A288">
        <v>287</v>
      </c>
      <c r="B288" s="2">
        <f t="shared" si="28"/>
        <v>45303.916666666664</v>
      </c>
      <c r="C288" t="s">
        <v>861</v>
      </c>
      <c r="D288" t="s">
        <v>45</v>
      </c>
      <c r="E288" t="str">
        <f>PROPER(TRIM(CLEAN(Sales_Table[[#This Row],[Region]])))</f>
        <v>North</v>
      </c>
      <c r="F288" t="s">
        <v>28</v>
      </c>
      <c r="G288" t="str">
        <f t="shared" si="29"/>
        <v>Clothing</v>
      </c>
      <c r="H288" t="str">
        <f>PROPER(TRIM(CLEAN(Sales_Table[[#This Row],[Product Name]])))</f>
        <v>Men T-Shirt</v>
      </c>
      <c r="I288" t="s">
        <v>38</v>
      </c>
      <c r="J288" t="str">
        <f t="shared" si="30"/>
        <v>CUST0179</v>
      </c>
      <c r="K288" t="s">
        <v>862</v>
      </c>
      <c r="L288" t="str">
        <f>PROPER(TRIM(CLEAN(Sales_Table[[#This Row],[Salesperson]])))</f>
        <v>Anita</v>
      </c>
      <c r="M288" t="s">
        <v>64</v>
      </c>
      <c r="N288" t="str">
        <f t="shared" si="31"/>
        <v>Debit Card</v>
      </c>
      <c r="O288" t="s">
        <v>41</v>
      </c>
      <c r="P288">
        <f t="shared" si="32"/>
        <v>4</v>
      </c>
      <c r="Q288" t="s">
        <v>113</v>
      </c>
      <c r="R288">
        <f t="shared" si="33"/>
        <v>1968</v>
      </c>
      <c r="S288" t="s">
        <v>863</v>
      </c>
      <c r="T288">
        <f t="shared" si="34"/>
        <v>7872</v>
      </c>
      <c r="U288">
        <f>YEAR(Sales_Table[[#This Row],[Date_clean]])</f>
        <v>2024</v>
      </c>
      <c r="V288" t="str">
        <f>TEXT(Sales_Table[[#This Row],[Date_clean]],"mmmm")</f>
        <v>January</v>
      </c>
      <c r="W288">
        <f>WEEKNUM(Sales_Table[[#This Row],[Date_clean]],2)</f>
        <v>2</v>
      </c>
      <c r="X288" t="str" cm="1">
        <f t="array" ref="X288">_xlfn.IFS(Sales_Table[[#This Row],[Revenue]]&gt;=50000,"High",Sales_Table[[#This Row],[Revenue]]&gt;=20000,"Medium",Sales_Table[[#This Row],[Revenue]]&lt;20000,"Low")</f>
        <v>Low</v>
      </c>
      <c r="Y288" t="str">
        <f>IF(Sales_Table[[#This Row],[Payment Method_clean]]="cash","Offline","Online")</f>
        <v>Online</v>
      </c>
      <c r="Z288">
        <f>IFERROR(Sales_Table[[#This Row],[Revenue]],0)</f>
        <v>7872</v>
      </c>
    </row>
    <row r="289" spans="1:26" x14ac:dyDescent="0.3">
      <c r="A289">
        <v>288</v>
      </c>
      <c r="B289" s="2">
        <f t="shared" si="28"/>
        <v>45303.958333333336</v>
      </c>
      <c r="C289" t="s">
        <v>864</v>
      </c>
      <c r="D289" t="s">
        <v>45</v>
      </c>
      <c r="E289" t="str">
        <f>PROPER(TRIM(CLEAN(Sales_Table[[#This Row],[Region]])))</f>
        <v>North</v>
      </c>
      <c r="F289" t="s">
        <v>78</v>
      </c>
      <c r="G289" t="str">
        <f t="shared" si="29"/>
        <v>Grocery</v>
      </c>
      <c r="H289" t="str">
        <f>PROPER(TRIM(CLEAN(Sales_Table[[#This Row],[Product Name]])))</f>
        <v>Men T-Shirt</v>
      </c>
      <c r="I289" t="s">
        <v>38</v>
      </c>
      <c r="J289" t="str">
        <f t="shared" si="30"/>
        <v>CUST0212</v>
      </c>
      <c r="K289" t="s">
        <v>865</v>
      </c>
      <c r="L289" t="str">
        <f>PROPER(TRIM(CLEAN(Sales_Table[[#This Row],[Salesperson]])))</f>
        <v>Anita</v>
      </c>
      <c r="M289" t="s">
        <v>64</v>
      </c>
      <c r="N289" t="str">
        <f t="shared" si="31"/>
        <v>Net Banking</v>
      </c>
      <c r="O289" t="s">
        <v>60</v>
      </c>
      <c r="P289">
        <f t="shared" si="32"/>
        <v>3</v>
      </c>
      <c r="Q289" t="s">
        <v>66</v>
      </c>
      <c r="R289">
        <f t="shared" si="33"/>
        <v>4964</v>
      </c>
      <c r="S289" t="s">
        <v>866</v>
      </c>
      <c r="T289">
        <f t="shared" si="34"/>
        <v>14892</v>
      </c>
      <c r="U289">
        <f>YEAR(Sales_Table[[#This Row],[Date_clean]])</f>
        <v>2024</v>
      </c>
      <c r="V289" t="str">
        <f>TEXT(Sales_Table[[#This Row],[Date_clean]],"mmmm")</f>
        <v>January</v>
      </c>
      <c r="W289">
        <f>WEEKNUM(Sales_Table[[#This Row],[Date_clean]],2)</f>
        <v>2</v>
      </c>
      <c r="X289" t="str" cm="1">
        <f t="array" ref="X289">_xlfn.IFS(Sales_Table[[#This Row],[Revenue]]&gt;=50000,"High",Sales_Table[[#This Row],[Revenue]]&gt;=20000,"Medium",Sales_Table[[#This Row],[Revenue]]&lt;20000,"Low")</f>
        <v>Low</v>
      </c>
      <c r="Y289" t="str">
        <f>IF(Sales_Table[[#This Row],[Payment Method_clean]]="cash","Offline","Online")</f>
        <v>Online</v>
      </c>
      <c r="Z289">
        <f>IFERROR(Sales_Table[[#This Row],[Revenue]],0)</f>
        <v>14892</v>
      </c>
    </row>
    <row r="290" spans="1:26" x14ac:dyDescent="0.3">
      <c r="A290">
        <v>289</v>
      </c>
      <c r="B290" s="2">
        <f t="shared" si="28"/>
        <v>45304</v>
      </c>
      <c r="C290" t="s">
        <v>867</v>
      </c>
      <c r="D290" t="s">
        <v>45</v>
      </c>
      <c r="E290" t="str">
        <f>PROPER(TRIM(CLEAN(Sales_Table[[#This Row],[Region]])))</f>
        <v>North</v>
      </c>
      <c r="F290" t="s">
        <v>78</v>
      </c>
      <c r="G290" t="str">
        <f t="shared" si="29"/>
        <v>Grocery</v>
      </c>
      <c r="H290" t="str">
        <f>PROPER(TRIM(CLEAN(Sales_Table[[#This Row],[Product Name]])))</f>
        <v>Men T-Shirt</v>
      </c>
      <c r="I290" t="s">
        <v>38</v>
      </c>
      <c r="J290" t="str">
        <f t="shared" si="30"/>
        <v>CUST0234</v>
      </c>
      <c r="K290" t="s">
        <v>868</v>
      </c>
      <c r="L290" t="str">
        <f>PROPER(TRIM(CLEAN(Sales_Table[[#This Row],[Salesperson]])))</f>
        <v>Anita</v>
      </c>
      <c r="M290" t="s">
        <v>64</v>
      </c>
      <c r="N290" t="str">
        <f t="shared" si="31"/>
        <v>Debit Card</v>
      </c>
      <c r="O290" t="s">
        <v>41</v>
      </c>
      <c r="P290">
        <f t="shared" si="32"/>
        <v>7</v>
      </c>
      <c r="Q290" t="s">
        <v>49</v>
      </c>
      <c r="R290">
        <f t="shared" si="33"/>
        <v>871</v>
      </c>
      <c r="S290" t="s">
        <v>869</v>
      </c>
      <c r="T290">
        <f t="shared" si="34"/>
        <v>6097</v>
      </c>
      <c r="U290">
        <f>YEAR(Sales_Table[[#This Row],[Date_clean]])</f>
        <v>2024</v>
      </c>
      <c r="V290" t="str">
        <f>TEXT(Sales_Table[[#This Row],[Date_clean]],"mmmm")</f>
        <v>January</v>
      </c>
      <c r="W290">
        <f>WEEKNUM(Sales_Table[[#This Row],[Date_clean]],2)</f>
        <v>2</v>
      </c>
      <c r="X290" t="str" cm="1">
        <f t="array" ref="X290">_xlfn.IFS(Sales_Table[[#This Row],[Revenue]]&gt;=50000,"High",Sales_Table[[#This Row],[Revenue]]&gt;=20000,"Medium",Sales_Table[[#This Row],[Revenue]]&lt;20000,"Low")</f>
        <v>Low</v>
      </c>
      <c r="Y290" t="str">
        <f>IF(Sales_Table[[#This Row],[Payment Method_clean]]="cash","Offline","Online")</f>
        <v>Online</v>
      </c>
      <c r="Z290">
        <f>IFERROR(Sales_Table[[#This Row],[Revenue]],0)</f>
        <v>6097</v>
      </c>
    </row>
    <row r="291" spans="1:26" x14ac:dyDescent="0.3">
      <c r="A291">
        <v>290</v>
      </c>
      <c r="B291" s="2">
        <f t="shared" si="28"/>
        <v>45304.041666666664</v>
      </c>
      <c r="C291" t="s">
        <v>870</v>
      </c>
      <c r="D291" t="s">
        <v>36</v>
      </c>
      <c r="E291" t="str">
        <f>PROPER(TRIM(CLEAN(Sales_Table[[#This Row],[Region]])))</f>
        <v>West</v>
      </c>
      <c r="F291" t="s">
        <v>78</v>
      </c>
      <c r="G291" t="str">
        <f t="shared" si="29"/>
        <v>Grocery</v>
      </c>
      <c r="H291" t="str">
        <f>PROPER(TRIM(CLEAN(Sales_Table[[#This Row],[Product Name]])))</f>
        <v>Men T-Shirt</v>
      </c>
      <c r="I291" t="s">
        <v>38</v>
      </c>
      <c r="J291" t="str">
        <f t="shared" si="30"/>
        <v>CUST0465</v>
      </c>
      <c r="K291" t="s">
        <v>871</v>
      </c>
      <c r="L291" t="str">
        <f>PROPER(TRIM(CLEAN(Sales_Table[[#This Row],[Salesperson]])))</f>
        <v>Suresh</v>
      </c>
      <c r="M291" t="s">
        <v>54</v>
      </c>
      <c r="N291" t="str">
        <f t="shared" si="31"/>
        <v>Upi</v>
      </c>
      <c r="O291" t="s">
        <v>48</v>
      </c>
      <c r="P291">
        <f t="shared" si="32"/>
        <v>10</v>
      </c>
      <c r="Q291" t="s">
        <v>117</v>
      </c>
      <c r="R291">
        <f t="shared" si="33"/>
        <v>4935</v>
      </c>
      <c r="S291" t="s">
        <v>872</v>
      </c>
      <c r="T291">
        <f t="shared" si="34"/>
        <v>49350</v>
      </c>
      <c r="U291">
        <f>YEAR(Sales_Table[[#This Row],[Date_clean]])</f>
        <v>2024</v>
      </c>
      <c r="V291" t="str">
        <f>TEXT(Sales_Table[[#This Row],[Date_clean]],"mmmm")</f>
        <v>January</v>
      </c>
      <c r="W291">
        <f>WEEKNUM(Sales_Table[[#This Row],[Date_clean]],2)</f>
        <v>2</v>
      </c>
      <c r="X291" t="str" cm="1">
        <f t="array" ref="X291">_xlfn.IFS(Sales_Table[[#This Row],[Revenue]]&gt;=50000,"High",Sales_Table[[#This Row],[Revenue]]&gt;=20000,"Medium",Sales_Table[[#This Row],[Revenue]]&lt;20000,"Low")</f>
        <v>Medium</v>
      </c>
      <c r="Y291" t="str">
        <f>IF(Sales_Table[[#This Row],[Payment Method_clean]]="cash","Offline","Online")</f>
        <v>Online</v>
      </c>
      <c r="Z291">
        <f>IFERROR(Sales_Table[[#This Row],[Revenue]],0)</f>
        <v>49350</v>
      </c>
    </row>
    <row r="292" spans="1:26" x14ac:dyDescent="0.3">
      <c r="A292">
        <v>291</v>
      </c>
      <c r="B292" s="2">
        <f t="shared" si="28"/>
        <v>45304.083333333336</v>
      </c>
      <c r="C292" t="s">
        <v>873</v>
      </c>
      <c r="D292" t="s">
        <v>45</v>
      </c>
      <c r="E292" t="str">
        <f>PROPER(TRIM(CLEAN(Sales_Table[[#This Row],[Region]])))</f>
        <v>North</v>
      </c>
      <c r="F292" t="s">
        <v>46</v>
      </c>
      <c r="G292" t="str">
        <f t="shared" si="29"/>
        <v>Electronics</v>
      </c>
      <c r="H292" t="str">
        <f>PROPER(TRIM(CLEAN(Sales_Table[[#This Row],[Product Name]])))</f>
        <v>Led Tv 42Inch</v>
      </c>
      <c r="I292" t="s">
        <v>58</v>
      </c>
      <c r="J292" t="str">
        <f t="shared" si="30"/>
        <v>CUST0751</v>
      </c>
      <c r="K292" t="s">
        <v>874</v>
      </c>
      <c r="L292" t="str">
        <f>PROPER(TRIM(CLEAN(Sales_Table[[#This Row],[Salesperson]])))</f>
        <v>Rahul</v>
      </c>
      <c r="M292" t="s">
        <v>31</v>
      </c>
      <c r="N292" t="str">
        <f t="shared" si="31"/>
        <v>Debit Card</v>
      </c>
      <c r="O292" t="s">
        <v>41</v>
      </c>
      <c r="P292">
        <f t="shared" si="32"/>
        <v>8</v>
      </c>
      <c r="Q292" t="s">
        <v>42</v>
      </c>
      <c r="R292">
        <f t="shared" si="33"/>
        <v>4130</v>
      </c>
      <c r="S292" t="s">
        <v>875</v>
      </c>
      <c r="T292">
        <f t="shared" si="34"/>
        <v>33040</v>
      </c>
      <c r="U292">
        <f>YEAR(Sales_Table[[#This Row],[Date_clean]])</f>
        <v>2024</v>
      </c>
      <c r="V292" t="str">
        <f>TEXT(Sales_Table[[#This Row],[Date_clean]],"mmmm")</f>
        <v>January</v>
      </c>
      <c r="W292">
        <f>WEEKNUM(Sales_Table[[#This Row],[Date_clean]],2)</f>
        <v>2</v>
      </c>
      <c r="X292" t="str" cm="1">
        <f t="array" ref="X292">_xlfn.IFS(Sales_Table[[#This Row],[Revenue]]&gt;=50000,"High",Sales_Table[[#This Row],[Revenue]]&gt;=20000,"Medium",Sales_Table[[#This Row],[Revenue]]&lt;20000,"Low")</f>
        <v>Medium</v>
      </c>
      <c r="Y292" t="str">
        <f>IF(Sales_Table[[#This Row],[Payment Method_clean]]="cash","Offline","Online")</f>
        <v>Online</v>
      </c>
      <c r="Z292">
        <f>IFERROR(Sales_Table[[#This Row],[Revenue]],0)</f>
        <v>33040</v>
      </c>
    </row>
    <row r="293" spans="1:26" x14ac:dyDescent="0.3">
      <c r="A293">
        <v>292</v>
      </c>
      <c r="B293" s="2">
        <f t="shared" si="28"/>
        <v>45304.125</v>
      </c>
      <c r="C293" t="s">
        <v>876</v>
      </c>
      <c r="D293" t="s">
        <v>27</v>
      </c>
      <c r="E293" t="str">
        <f>PROPER(TRIM(CLEAN(Sales_Table[[#This Row],[Region]])))</f>
        <v>East</v>
      </c>
      <c r="F293" t="s">
        <v>37</v>
      </c>
      <c r="G293" t="str">
        <f t="shared" si="29"/>
        <v>Home Appliances</v>
      </c>
      <c r="H293" t="str">
        <f>PROPER(TRIM(CLEAN(Sales_Table[[#This Row],[Product Name]])))</f>
        <v>Laptop</v>
      </c>
      <c r="I293" t="s">
        <v>52</v>
      </c>
      <c r="J293" t="str">
        <f t="shared" si="30"/>
        <v>CUST0223</v>
      </c>
      <c r="K293" t="s">
        <v>877</v>
      </c>
      <c r="L293" t="str">
        <f>PROPER(TRIM(CLEAN(Sales_Table[[#This Row],[Salesperson]])))</f>
        <v>Rahul</v>
      </c>
      <c r="M293" t="s">
        <v>31</v>
      </c>
      <c r="N293" t="str">
        <f t="shared" si="31"/>
        <v>Net Banking</v>
      </c>
      <c r="O293" t="s">
        <v>60</v>
      </c>
      <c r="P293">
        <f t="shared" si="32"/>
        <v>6</v>
      </c>
      <c r="Q293" t="s">
        <v>75</v>
      </c>
      <c r="R293">
        <f t="shared" si="33"/>
        <v>621</v>
      </c>
      <c r="S293" t="s">
        <v>878</v>
      </c>
      <c r="T293">
        <f t="shared" si="34"/>
        <v>3726</v>
      </c>
      <c r="U293">
        <f>YEAR(Sales_Table[[#This Row],[Date_clean]])</f>
        <v>2024</v>
      </c>
      <c r="V293" t="str">
        <f>TEXT(Sales_Table[[#This Row],[Date_clean]],"mmmm")</f>
        <v>January</v>
      </c>
      <c r="W293">
        <f>WEEKNUM(Sales_Table[[#This Row],[Date_clean]],2)</f>
        <v>2</v>
      </c>
      <c r="X293" t="str" cm="1">
        <f t="array" ref="X293">_xlfn.IFS(Sales_Table[[#This Row],[Revenue]]&gt;=50000,"High",Sales_Table[[#This Row],[Revenue]]&gt;=20000,"Medium",Sales_Table[[#This Row],[Revenue]]&lt;20000,"Low")</f>
        <v>Low</v>
      </c>
      <c r="Y293" t="str">
        <f>IF(Sales_Table[[#This Row],[Payment Method_clean]]="cash","Offline","Online")</f>
        <v>Online</v>
      </c>
      <c r="Z293">
        <f>IFERROR(Sales_Table[[#This Row],[Revenue]],0)</f>
        <v>3726</v>
      </c>
    </row>
    <row r="294" spans="1:26" x14ac:dyDescent="0.3">
      <c r="A294">
        <v>293</v>
      </c>
      <c r="B294" s="2">
        <f t="shared" si="28"/>
        <v>45304.166666666664</v>
      </c>
      <c r="C294" t="s">
        <v>879</v>
      </c>
      <c r="D294" t="s">
        <v>45</v>
      </c>
      <c r="E294" t="str">
        <f>PROPER(TRIM(CLEAN(Sales_Table[[#This Row],[Region]])))</f>
        <v>North</v>
      </c>
      <c r="F294" t="s">
        <v>28</v>
      </c>
      <c r="G294" t="str">
        <f t="shared" si="29"/>
        <v>Clothing</v>
      </c>
      <c r="H294" t="str">
        <f>PROPER(TRIM(CLEAN(Sales_Table[[#This Row],[Product Name]])))</f>
        <v>Laptop</v>
      </c>
      <c r="I294" t="s">
        <v>52</v>
      </c>
      <c r="J294" t="str">
        <f t="shared" si="30"/>
        <v>CUST0631</v>
      </c>
      <c r="K294" t="s">
        <v>880</v>
      </c>
      <c r="L294" t="str">
        <f>PROPER(TRIM(CLEAN(Sales_Table[[#This Row],[Salesperson]])))</f>
        <v>Suresh</v>
      </c>
      <c r="M294" t="s">
        <v>54</v>
      </c>
      <c r="N294" t="str">
        <f t="shared" si="31"/>
        <v>Credit Card</v>
      </c>
      <c r="O294" t="s">
        <v>65</v>
      </c>
      <c r="P294">
        <f t="shared" si="32"/>
        <v>3</v>
      </c>
      <c r="Q294" t="s">
        <v>66</v>
      </c>
      <c r="R294">
        <f t="shared" si="33"/>
        <v>3455</v>
      </c>
      <c r="S294" t="s">
        <v>881</v>
      </c>
      <c r="T294">
        <f t="shared" si="34"/>
        <v>10365</v>
      </c>
      <c r="U294">
        <f>YEAR(Sales_Table[[#This Row],[Date_clean]])</f>
        <v>2024</v>
      </c>
      <c r="V294" t="str">
        <f>TEXT(Sales_Table[[#This Row],[Date_clean]],"mmmm")</f>
        <v>January</v>
      </c>
      <c r="W294">
        <f>WEEKNUM(Sales_Table[[#This Row],[Date_clean]],2)</f>
        <v>2</v>
      </c>
      <c r="X294" t="str" cm="1">
        <f t="array" ref="X294">_xlfn.IFS(Sales_Table[[#This Row],[Revenue]]&gt;=50000,"High",Sales_Table[[#This Row],[Revenue]]&gt;=20000,"Medium",Sales_Table[[#This Row],[Revenue]]&lt;20000,"Low")</f>
        <v>Low</v>
      </c>
      <c r="Y294" t="str">
        <f>IF(Sales_Table[[#This Row],[Payment Method_clean]]="cash","Offline","Online")</f>
        <v>Online</v>
      </c>
      <c r="Z294">
        <f>IFERROR(Sales_Table[[#This Row],[Revenue]],0)</f>
        <v>10365</v>
      </c>
    </row>
    <row r="295" spans="1:26" x14ac:dyDescent="0.3">
      <c r="A295">
        <v>294</v>
      </c>
      <c r="B295" s="2">
        <f t="shared" si="28"/>
        <v>45304.208333333336</v>
      </c>
      <c r="C295" t="s">
        <v>882</v>
      </c>
      <c r="D295" t="s">
        <v>84</v>
      </c>
      <c r="E295" t="str">
        <f>PROPER(TRIM(CLEAN(Sales_Table[[#This Row],[Region]])))</f>
        <v>South</v>
      </c>
      <c r="F295" t="s">
        <v>37</v>
      </c>
      <c r="G295" t="str">
        <f t="shared" si="29"/>
        <v>Home Appliances</v>
      </c>
      <c r="H295" t="str">
        <f>PROPER(TRIM(CLEAN(Sales_Table[[#This Row],[Product Name]])))</f>
        <v>Laptop</v>
      </c>
      <c r="I295" t="s">
        <v>52</v>
      </c>
      <c r="J295" t="str">
        <f t="shared" si="30"/>
        <v>CUST0264</v>
      </c>
      <c r="K295" t="s">
        <v>450</v>
      </c>
      <c r="L295" t="str">
        <f>PROPER(TRIM(CLEAN(Sales_Table[[#This Row],[Salesperson]])))</f>
        <v>Anita</v>
      </c>
      <c r="M295" t="s">
        <v>64</v>
      </c>
      <c r="N295" t="str">
        <f t="shared" si="31"/>
        <v>Credit Card</v>
      </c>
      <c r="O295" t="s">
        <v>65</v>
      </c>
      <c r="P295">
        <f t="shared" si="32"/>
        <v>6</v>
      </c>
      <c r="Q295" t="s">
        <v>75</v>
      </c>
      <c r="R295">
        <f t="shared" si="33"/>
        <v>1500</v>
      </c>
      <c r="S295" t="s">
        <v>511</v>
      </c>
      <c r="T295">
        <f t="shared" si="34"/>
        <v>9000</v>
      </c>
      <c r="U295">
        <f>YEAR(Sales_Table[[#This Row],[Date_clean]])</f>
        <v>2024</v>
      </c>
      <c r="V295" t="str">
        <f>TEXT(Sales_Table[[#This Row],[Date_clean]],"mmmm")</f>
        <v>January</v>
      </c>
      <c r="W295">
        <f>WEEKNUM(Sales_Table[[#This Row],[Date_clean]],2)</f>
        <v>2</v>
      </c>
      <c r="X295" t="str" cm="1">
        <f t="array" ref="X295">_xlfn.IFS(Sales_Table[[#This Row],[Revenue]]&gt;=50000,"High",Sales_Table[[#This Row],[Revenue]]&gt;=20000,"Medium",Sales_Table[[#This Row],[Revenue]]&lt;20000,"Low")</f>
        <v>Low</v>
      </c>
      <c r="Y295" t="str">
        <f>IF(Sales_Table[[#This Row],[Payment Method_clean]]="cash","Offline","Online")</f>
        <v>Online</v>
      </c>
      <c r="Z295">
        <f>IFERROR(Sales_Table[[#This Row],[Revenue]],0)</f>
        <v>9000</v>
      </c>
    </row>
    <row r="296" spans="1:26" x14ac:dyDescent="0.3">
      <c r="A296">
        <v>295</v>
      </c>
      <c r="B296" s="2">
        <f t="shared" si="28"/>
        <v>45304.25</v>
      </c>
      <c r="C296" t="s">
        <v>883</v>
      </c>
      <c r="D296" t="s">
        <v>84</v>
      </c>
      <c r="E296" t="str">
        <f>PROPER(TRIM(CLEAN(Sales_Table[[#This Row],[Region]])))</f>
        <v>South</v>
      </c>
      <c r="F296" t="s">
        <v>37</v>
      </c>
      <c r="G296" t="str">
        <f t="shared" si="29"/>
        <v>Home Appliances</v>
      </c>
      <c r="H296" t="str">
        <f>PROPER(TRIM(CLEAN(Sales_Table[[#This Row],[Product Name]])))</f>
        <v>Mixer Grinder</v>
      </c>
      <c r="I296" t="s">
        <v>29</v>
      </c>
      <c r="J296" t="str">
        <f t="shared" si="30"/>
        <v>CUST0207</v>
      </c>
      <c r="K296" t="s">
        <v>264</v>
      </c>
      <c r="L296" t="str">
        <f>PROPER(TRIM(CLEAN(Sales_Table[[#This Row],[Salesperson]])))</f>
        <v>Anita</v>
      </c>
      <c r="M296" t="s">
        <v>64</v>
      </c>
      <c r="N296" t="str">
        <f t="shared" si="31"/>
        <v>Debit Card</v>
      </c>
      <c r="O296" t="s">
        <v>41</v>
      </c>
      <c r="P296">
        <f t="shared" si="32"/>
        <v>2</v>
      </c>
      <c r="Q296" t="s">
        <v>196</v>
      </c>
      <c r="R296">
        <f t="shared" si="33"/>
        <v>3838</v>
      </c>
      <c r="S296" t="s">
        <v>884</v>
      </c>
      <c r="T296">
        <f t="shared" si="34"/>
        <v>7676</v>
      </c>
      <c r="U296">
        <f>YEAR(Sales_Table[[#This Row],[Date_clean]])</f>
        <v>2024</v>
      </c>
      <c r="V296" t="str">
        <f>TEXT(Sales_Table[[#This Row],[Date_clean]],"mmmm")</f>
        <v>January</v>
      </c>
      <c r="W296">
        <f>WEEKNUM(Sales_Table[[#This Row],[Date_clean]],2)</f>
        <v>2</v>
      </c>
      <c r="X296" t="str" cm="1">
        <f t="array" ref="X296">_xlfn.IFS(Sales_Table[[#This Row],[Revenue]]&gt;=50000,"High",Sales_Table[[#This Row],[Revenue]]&gt;=20000,"Medium",Sales_Table[[#This Row],[Revenue]]&lt;20000,"Low")</f>
        <v>Low</v>
      </c>
      <c r="Y296" t="str">
        <f>IF(Sales_Table[[#This Row],[Payment Method_clean]]="cash","Offline","Online")</f>
        <v>Online</v>
      </c>
      <c r="Z296">
        <f>IFERROR(Sales_Table[[#This Row],[Revenue]],0)</f>
        <v>7676</v>
      </c>
    </row>
    <row r="297" spans="1:26" x14ac:dyDescent="0.3">
      <c r="A297">
        <v>296</v>
      </c>
      <c r="B297" s="2">
        <f t="shared" si="28"/>
        <v>45304.291666666664</v>
      </c>
      <c r="C297" t="s">
        <v>885</v>
      </c>
      <c r="D297" t="s">
        <v>36</v>
      </c>
      <c r="E297" t="str">
        <f>PROPER(TRIM(CLEAN(Sales_Table[[#This Row],[Region]])))</f>
        <v>West</v>
      </c>
      <c r="F297" t="s">
        <v>37</v>
      </c>
      <c r="G297" t="str">
        <f t="shared" si="29"/>
        <v>Home Appliances</v>
      </c>
      <c r="H297" t="str">
        <f>PROPER(TRIM(CLEAN(Sales_Table[[#This Row],[Product Name]])))</f>
        <v>Washing Machine</v>
      </c>
      <c r="I297" t="s">
        <v>79</v>
      </c>
      <c r="J297" t="str">
        <f t="shared" si="30"/>
        <v>CUST0607</v>
      </c>
      <c r="K297" t="s">
        <v>886</v>
      </c>
      <c r="L297" t="str">
        <f>PROPER(TRIM(CLEAN(Sales_Table[[#This Row],[Salesperson]])))</f>
        <v>Karthik</v>
      </c>
      <c r="M297" t="s">
        <v>70</v>
      </c>
      <c r="N297" t="str">
        <f t="shared" si="31"/>
        <v>Cash</v>
      </c>
      <c r="O297" t="s">
        <v>32</v>
      </c>
      <c r="P297">
        <f t="shared" si="32"/>
        <v>12</v>
      </c>
      <c r="Q297" t="s">
        <v>33</v>
      </c>
      <c r="R297">
        <f t="shared" si="33"/>
        <v>4443</v>
      </c>
      <c r="S297" t="s">
        <v>887</v>
      </c>
      <c r="T297">
        <f t="shared" si="34"/>
        <v>53316</v>
      </c>
      <c r="U297">
        <f>YEAR(Sales_Table[[#This Row],[Date_clean]])</f>
        <v>2024</v>
      </c>
      <c r="V297" t="str">
        <f>TEXT(Sales_Table[[#This Row],[Date_clean]],"mmmm")</f>
        <v>January</v>
      </c>
      <c r="W297">
        <f>WEEKNUM(Sales_Table[[#This Row],[Date_clean]],2)</f>
        <v>2</v>
      </c>
      <c r="X297" t="str" cm="1">
        <f t="array" ref="X297">_xlfn.IFS(Sales_Table[[#This Row],[Revenue]]&gt;=50000,"High",Sales_Table[[#This Row],[Revenue]]&gt;=20000,"Medium",Sales_Table[[#This Row],[Revenue]]&lt;20000,"Low")</f>
        <v>High</v>
      </c>
      <c r="Y297" t="str">
        <f>IF(Sales_Table[[#This Row],[Payment Method_clean]]="cash","Offline","Online")</f>
        <v>Offline</v>
      </c>
      <c r="Z297">
        <f>IFERROR(Sales_Table[[#This Row],[Revenue]],0)</f>
        <v>53316</v>
      </c>
    </row>
    <row r="298" spans="1:26" x14ac:dyDescent="0.3">
      <c r="A298">
        <v>297</v>
      </c>
      <c r="B298" s="2">
        <f t="shared" si="28"/>
        <v>45304.333333333336</v>
      </c>
      <c r="C298" t="s">
        <v>888</v>
      </c>
      <c r="D298" t="s">
        <v>84</v>
      </c>
      <c r="E298" t="str">
        <f>PROPER(TRIM(CLEAN(Sales_Table[[#This Row],[Region]])))</f>
        <v>South</v>
      </c>
      <c r="F298" t="s">
        <v>78</v>
      </c>
      <c r="G298" t="str">
        <f t="shared" si="29"/>
        <v>Grocery</v>
      </c>
      <c r="H298" t="str">
        <f>PROPER(TRIM(CLEAN(Sales_Table[[#This Row],[Product Name]])))</f>
        <v>Laptop</v>
      </c>
      <c r="I298" t="s">
        <v>52</v>
      </c>
      <c r="J298" t="str">
        <f t="shared" si="30"/>
        <v>CUST0734</v>
      </c>
      <c r="K298" t="s">
        <v>249</v>
      </c>
      <c r="L298" t="str">
        <f>PROPER(TRIM(CLEAN(Sales_Table[[#This Row],[Salesperson]])))</f>
        <v>Meena</v>
      </c>
      <c r="M298" t="s">
        <v>40</v>
      </c>
      <c r="N298" t="str">
        <f t="shared" si="31"/>
        <v>Debit Card</v>
      </c>
      <c r="O298" t="s">
        <v>41</v>
      </c>
      <c r="P298">
        <f t="shared" si="32"/>
        <v>7</v>
      </c>
      <c r="Q298" t="s">
        <v>49</v>
      </c>
      <c r="R298">
        <f t="shared" si="33"/>
        <v>3823</v>
      </c>
      <c r="S298" t="s">
        <v>889</v>
      </c>
      <c r="T298">
        <f t="shared" si="34"/>
        <v>26761</v>
      </c>
      <c r="U298">
        <f>YEAR(Sales_Table[[#This Row],[Date_clean]])</f>
        <v>2024</v>
      </c>
      <c r="V298" t="str">
        <f>TEXT(Sales_Table[[#This Row],[Date_clean]],"mmmm")</f>
        <v>January</v>
      </c>
      <c r="W298">
        <f>WEEKNUM(Sales_Table[[#This Row],[Date_clean]],2)</f>
        <v>2</v>
      </c>
      <c r="X298" t="str" cm="1">
        <f t="array" ref="X298">_xlfn.IFS(Sales_Table[[#This Row],[Revenue]]&gt;=50000,"High",Sales_Table[[#This Row],[Revenue]]&gt;=20000,"Medium",Sales_Table[[#This Row],[Revenue]]&lt;20000,"Low")</f>
        <v>Medium</v>
      </c>
      <c r="Y298" t="str">
        <f>IF(Sales_Table[[#This Row],[Payment Method_clean]]="cash","Offline","Online")</f>
        <v>Online</v>
      </c>
      <c r="Z298">
        <f>IFERROR(Sales_Table[[#This Row],[Revenue]],0)</f>
        <v>26761</v>
      </c>
    </row>
    <row r="299" spans="1:26" x14ac:dyDescent="0.3">
      <c r="A299">
        <v>298</v>
      </c>
      <c r="B299" s="2">
        <f t="shared" si="28"/>
        <v>45304.375</v>
      </c>
      <c r="C299" t="s">
        <v>890</v>
      </c>
      <c r="D299" t="s">
        <v>27</v>
      </c>
      <c r="E299" t="str">
        <f>PROPER(TRIM(CLEAN(Sales_Table[[#This Row],[Region]])))</f>
        <v>East</v>
      </c>
      <c r="F299" t="s">
        <v>28</v>
      </c>
      <c r="G299" t="str">
        <f t="shared" si="29"/>
        <v>Clothing</v>
      </c>
      <c r="H299" t="str">
        <f>PROPER(TRIM(CLEAN(Sales_Table[[#This Row],[Product Name]])))</f>
        <v>Men T-Shirt</v>
      </c>
      <c r="I299" t="s">
        <v>38</v>
      </c>
      <c r="J299" t="str">
        <f t="shared" si="30"/>
        <v>CUST0366</v>
      </c>
      <c r="K299" t="s">
        <v>422</v>
      </c>
      <c r="L299" t="str">
        <f>PROPER(TRIM(CLEAN(Sales_Table[[#This Row],[Salesperson]])))</f>
        <v>Rahul</v>
      </c>
      <c r="M299" t="s">
        <v>31</v>
      </c>
      <c r="N299" t="str">
        <f t="shared" si="31"/>
        <v>Upi</v>
      </c>
      <c r="O299" t="s">
        <v>48</v>
      </c>
      <c r="P299">
        <f t="shared" si="32"/>
        <v>14</v>
      </c>
      <c r="Q299" t="s">
        <v>55</v>
      </c>
      <c r="R299">
        <f t="shared" si="33"/>
        <v>3347</v>
      </c>
      <c r="S299" t="s">
        <v>891</v>
      </c>
      <c r="T299">
        <f t="shared" si="34"/>
        <v>46858</v>
      </c>
      <c r="U299">
        <f>YEAR(Sales_Table[[#This Row],[Date_clean]])</f>
        <v>2024</v>
      </c>
      <c r="V299" t="str">
        <f>TEXT(Sales_Table[[#This Row],[Date_clean]],"mmmm")</f>
        <v>January</v>
      </c>
      <c r="W299">
        <f>WEEKNUM(Sales_Table[[#This Row],[Date_clean]],2)</f>
        <v>2</v>
      </c>
      <c r="X299" t="str" cm="1">
        <f t="array" ref="X299">_xlfn.IFS(Sales_Table[[#This Row],[Revenue]]&gt;=50000,"High",Sales_Table[[#This Row],[Revenue]]&gt;=20000,"Medium",Sales_Table[[#This Row],[Revenue]]&lt;20000,"Low")</f>
        <v>Medium</v>
      </c>
      <c r="Y299" t="str">
        <f>IF(Sales_Table[[#This Row],[Payment Method_clean]]="cash","Offline","Online")</f>
        <v>Online</v>
      </c>
      <c r="Z299">
        <f>IFERROR(Sales_Table[[#This Row],[Revenue]],0)</f>
        <v>46858</v>
      </c>
    </row>
    <row r="300" spans="1:26" x14ac:dyDescent="0.3">
      <c r="A300">
        <v>299</v>
      </c>
      <c r="B300" s="2">
        <f t="shared" si="28"/>
        <v>45304.416666666664</v>
      </c>
      <c r="C300" t="s">
        <v>892</v>
      </c>
      <c r="D300" t="s">
        <v>45</v>
      </c>
      <c r="E300" t="str">
        <f>PROPER(TRIM(CLEAN(Sales_Table[[#This Row],[Region]])))</f>
        <v>North</v>
      </c>
      <c r="F300" t="s">
        <v>28</v>
      </c>
      <c r="G300" t="str">
        <f t="shared" si="29"/>
        <v>Clothing</v>
      </c>
      <c r="H300" t="str">
        <f>PROPER(TRIM(CLEAN(Sales_Table[[#This Row],[Product Name]])))</f>
        <v>Men T-Shirt</v>
      </c>
      <c r="I300" t="s">
        <v>38</v>
      </c>
      <c r="J300" t="str">
        <f t="shared" si="30"/>
        <v>CUST0276</v>
      </c>
      <c r="K300" t="s">
        <v>470</v>
      </c>
      <c r="L300" t="str">
        <f>PROPER(TRIM(CLEAN(Sales_Table[[#This Row],[Salesperson]])))</f>
        <v>Rahul</v>
      </c>
      <c r="M300" t="s">
        <v>31</v>
      </c>
      <c r="N300" t="str">
        <f t="shared" si="31"/>
        <v>Credit Card</v>
      </c>
      <c r="O300" t="s">
        <v>65</v>
      </c>
      <c r="P300">
        <f t="shared" si="32"/>
        <v>11</v>
      </c>
      <c r="Q300" t="s">
        <v>97</v>
      </c>
      <c r="R300">
        <f t="shared" si="33"/>
        <v>1958</v>
      </c>
      <c r="S300" t="s">
        <v>893</v>
      </c>
      <c r="T300">
        <f t="shared" si="34"/>
        <v>21538</v>
      </c>
      <c r="U300">
        <f>YEAR(Sales_Table[[#This Row],[Date_clean]])</f>
        <v>2024</v>
      </c>
      <c r="V300" t="str">
        <f>TEXT(Sales_Table[[#This Row],[Date_clean]],"mmmm")</f>
        <v>January</v>
      </c>
      <c r="W300">
        <f>WEEKNUM(Sales_Table[[#This Row],[Date_clean]],2)</f>
        <v>2</v>
      </c>
      <c r="X300" t="str" cm="1">
        <f t="array" ref="X300">_xlfn.IFS(Sales_Table[[#This Row],[Revenue]]&gt;=50000,"High",Sales_Table[[#This Row],[Revenue]]&gt;=20000,"Medium",Sales_Table[[#This Row],[Revenue]]&lt;20000,"Low")</f>
        <v>Medium</v>
      </c>
      <c r="Y300" t="str">
        <f>IF(Sales_Table[[#This Row],[Payment Method_clean]]="cash","Offline","Online")</f>
        <v>Online</v>
      </c>
      <c r="Z300">
        <f>IFERROR(Sales_Table[[#This Row],[Revenue]],0)</f>
        <v>21538</v>
      </c>
    </row>
    <row r="301" spans="1:26" x14ac:dyDescent="0.3">
      <c r="A301">
        <v>300</v>
      </c>
      <c r="B301" s="2">
        <f t="shared" si="28"/>
        <v>45304.458333333336</v>
      </c>
      <c r="C301" t="s">
        <v>894</v>
      </c>
      <c r="D301" t="s">
        <v>36</v>
      </c>
      <c r="E301" t="str">
        <f>PROPER(TRIM(CLEAN(Sales_Table[[#This Row],[Region]])))</f>
        <v>West</v>
      </c>
      <c r="F301" t="s">
        <v>37</v>
      </c>
      <c r="G301" t="str">
        <f t="shared" si="29"/>
        <v>Home Appliances</v>
      </c>
      <c r="H301" t="str">
        <f>PROPER(TRIM(CLEAN(Sales_Table[[#This Row],[Product Name]])))</f>
        <v>Laptop</v>
      </c>
      <c r="I301" t="s">
        <v>52</v>
      </c>
      <c r="J301" t="str">
        <f t="shared" si="30"/>
        <v>CUST0380</v>
      </c>
      <c r="K301" t="s">
        <v>895</v>
      </c>
      <c r="L301" t="str">
        <f>PROPER(TRIM(CLEAN(Sales_Table[[#This Row],[Salesperson]])))</f>
        <v>Rahul</v>
      </c>
      <c r="M301" t="s">
        <v>31</v>
      </c>
      <c r="N301" t="str">
        <f t="shared" si="31"/>
        <v>Credit Card</v>
      </c>
      <c r="O301" t="s">
        <v>65</v>
      </c>
      <c r="P301">
        <f t="shared" si="32"/>
        <v>10</v>
      </c>
      <c r="Q301" t="s">
        <v>117</v>
      </c>
      <c r="R301">
        <f t="shared" si="33"/>
        <v>4881</v>
      </c>
      <c r="S301" t="s">
        <v>896</v>
      </c>
      <c r="T301">
        <f t="shared" si="34"/>
        <v>48810</v>
      </c>
      <c r="U301">
        <f>YEAR(Sales_Table[[#This Row],[Date_clean]])</f>
        <v>2024</v>
      </c>
      <c r="V301" t="str">
        <f>TEXT(Sales_Table[[#This Row],[Date_clean]],"mmmm")</f>
        <v>January</v>
      </c>
      <c r="W301">
        <f>WEEKNUM(Sales_Table[[#This Row],[Date_clean]],2)</f>
        <v>2</v>
      </c>
      <c r="X301" t="str" cm="1">
        <f t="array" ref="X301">_xlfn.IFS(Sales_Table[[#This Row],[Revenue]]&gt;=50000,"High",Sales_Table[[#This Row],[Revenue]]&gt;=20000,"Medium",Sales_Table[[#This Row],[Revenue]]&lt;20000,"Low")</f>
        <v>Medium</v>
      </c>
      <c r="Y301" t="str">
        <f>IF(Sales_Table[[#This Row],[Payment Method_clean]]="cash","Offline","Online")</f>
        <v>Online</v>
      </c>
      <c r="Z301">
        <f>IFERROR(Sales_Table[[#This Row],[Revenue]],0)</f>
        <v>48810</v>
      </c>
    </row>
    <row r="302" spans="1:26" x14ac:dyDescent="0.3">
      <c r="A302">
        <v>301</v>
      </c>
      <c r="B302" s="2">
        <f t="shared" si="28"/>
        <v>45304.5</v>
      </c>
      <c r="C302" t="s">
        <v>897</v>
      </c>
      <c r="D302" t="s">
        <v>45</v>
      </c>
      <c r="E302" t="str">
        <f>PROPER(TRIM(CLEAN(Sales_Table[[#This Row],[Region]])))</f>
        <v>North</v>
      </c>
      <c r="F302" t="s">
        <v>78</v>
      </c>
      <c r="G302" t="str">
        <f t="shared" si="29"/>
        <v>Grocery</v>
      </c>
      <c r="H302" t="str">
        <f>PROPER(TRIM(CLEAN(Sales_Table[[#This Row],[Product Name]])))</f>
        <v>Laptop</v>
      </c>
      <c r="I302" t="s">
        <v>52</v>
      </c>
      <c r="J302" t="str">
        <f t="shared" si="30"/>
        <v>CUST0743</v>
      </c>
      <c r="K302" t="s">
        <v>898</v>
      </c>
      <c r="L302" t="str">
        <f>PROPER(TRIM(CLEAN(Sales_Table[[#This Row],[Salesperson]])))</f>
        <v>Meena</v>
      </c>
      <c r="M302" t="s">
        <v>40</v>
      </c>
      <c r="N302" t="str">
        <f t="shared" si="31"/>
        <v>Credit Card</v>
      </c>
      <c r="O302" t="s">
        <v>65</v>
      </c>
      <c r="P302">
        <f t="shared" si="32"/>
        <v>14</v>
      </c>
      <c r="Q302" t="s">
        <v>55</v>
      </c>
      <c r="R302">
        <f t="shared" si="33"/>
        <v>4164</v>
      </c>
      <c r="S302" t="s">
        <v>899</v>
      </c>
      <c r="T302">
        <f t="shared" si="34"/>
        <v>58296</v>
      </c>
      <c r="U302">
        <f>YEAR(Sales_Table[[#This Row],[Date_clean]])</f>
        <v>2024</v>
      </c>
      <c r="V302" t="str">
        <f>TEXT(Sales_Table[[#This Row],[Date_clean]],"mmmm")</f>
        <v>January</v>
      </c>
      <c r="W302">
        <f>WEEKNUM(Sales_Table[[#This Row],[Date_clean]],2)</f>
        <v>2</v>
      </c>
      <c r="X302" t="str" cm="1">
        <f t="array" ref="X302">_xlfn.IFS(Sales_Table[[#This Row],[Revenue]]&gt;=50000,"High",Sales_Table[[#This Row],[Revenue]]&gt;=20000,"Medium",Sales_Table[[#This Row],[Revenue]]&lt;20000,"Low")</f>
        <v>High</v>
      </c>
      <c r="Y302" t="str">
        <f>IF(Sales_Table[[#This Row],[Payment Method_clean]]="cash","Offline","Online")</f>
        <v>Online</v>
      </c>
      <c r="Z302">
        <f>IFERROR(Sales_Table[[#This Row],[Revenue]],0)</f>
        <v>58296</v>
      </c>
    </row>
    <row r="303" spans="1:26" x14ac:dyDescent="0.3">
      <c r="A303">
        <v>302</v>
      </c>
      <c r="B303" s="2">
        <f t="shared" si="28"/>
        <v>45304.541666666664</v>
      </c>
      <c r="C303" t="s">
        <v>900</v>
      </c>
      <c r="D303" t="s">
        <v>45</v>
      </c>
      <c r="E303" t="str">
        <f>PROPER(TRIM(CLEAN(Sales_Table[[#This Row],[Region]])))</f>
        <v>North</v>
      </c>
      <c r="F303" t="s">
        <v>78</v>
      </c>
      <c r="G303" t="str">
        <f t="shared" si="29"/>
        <v>Grocery</v>
      </c>
      <c r="H303" t="str">
        <f>PROPER(TRIM(CLEAN(Sales_Table[[#This Row],[Product Name]])))</f>
        <v>Men T-Shirt</v>
      </c>
      <c r="I303" t="s">
        <v>38</v>
      </c>
      <c r="J303" t="str">
        <f t="shared" si="30"/>
        <v>CUST0309</v>
      </c>
      <c r="K303" t="s">
        <v>901</v>
      </c>
      <c r="L303" t="str">
        <f>PROPER(TRIM(CLEAN(Sales_Table[[#This Row],[Salesperson]])))</f>
        <v>Karthik</v>
      </c>
      <c r="M303" t="s">
        <v>70</v>
      </c>
      <c r="N303" t="str">
        <f t="shared" si="31"/>
        <v>Cash</v>
      </c>
      <c r="O303" t="s">
        <v>32</v>
      </c>
      <c r="P303">
        <f t="shared" si="32"/>
        <v>7</v>
      </c>
      <c r="Q303" t="s">
        <v>49</v>
      </c>
      <c r="R303">
        <f t="shared" si="33"/>
        <v>4781</v>
      </c>
      <c r="S303" t="s">
        <v>902</v>
      </c>
      <c r="T303">
        <f t="shared" si="34"/>
        <v>33467</v>
      </c>
      <c r="U303">
        <f>YEAR(Sales_Table[[#This Row],[Date_clean]])</f>
        <v>2024</v>
      </c>
      <c r="V303" t="str">
        <f>TEXT(Sales_Table[[#This Row],[Date_clean]],"mmmm")</f>
        <v>January</v>
      </c>
      <c r="W303">
        <f>WEEKNUM(Sales_Table[[#This Row],[Date_clean]],2)</f>
        <v>2</v>
      </c>
      <c r="X303" t="str" cm="1">
        <f t="array" ref="X303">_xlfn.IFS(Sales_Table[[#This Row],[Revenue]]&gt;=50000,"High",Sales_Table[[#This Row],[Revenue]]&gt;=20000,"Medium",Sales_Table[[#This Row],[Revenue]]&lt;20000,"Low")</f>
        <v>Medium</v>
      </c>
      <c r="Y303" t="str">
        <f>IF(Sales_Table[[#This Row],[Payment Method_clean]]="cash","Offline","Online")</f>
        <v>Offline</v>
      </c>
      <c r="Z303">
        <f>IFERROR(Sales_Table[[#This Row],[Revenue]],0)</f>
        <v>33467</v>
      </c>
    </row>
    <row r="304" spans="1:26" x14ac:dyDescent="0.3">
      <c r="A304">
        <v>303</v>
      </c>
      <c r="B304" s="2">
        <f t="shared" si="28"/>
        <v>45304.583333333336</v>
      </c>
      <c r="C304" t="s">
        <v>903</v>
      </c>
      <c r="D304" t="s">
        <v>27</v>
      </c>
      <c r="E304" t="str">
        <f>PROPER(TRIM(CLEAN(Sales_Table[[#This Row],[Region]])))</f>
        <v>East</v>
      </c>
      <c r="F304" t="s">
        <v>28</v>
      </c>
      <c r="G304" t="str">
        <f t="shared" si="29"/>
        <v>Clothing</v>
      </c>
      <c r="H304" t="str">
        <f>PROPER(TRIM(CLEAN(Sales_Table[[#This Row],[Product Name]])))</f>
        <v>Mixer Grinder</v>
      </c>
      <c r="I304" t="s">
        <v>29</v>
      </c>
      <c r="J304" t="str">
        <f t="shared" si="30"/>
        <v>CUST0631</v>
      </c>
      <c r="K304" t="s">
        <v>880</v>
      </c>
      <c r="L304" t="str">
        <f>PROPER(TRIM(CLEAN(Sales_Table[[#This Row],[Salesperson]])))</f>
        <v>Meena</v>
      </c>
      <c r="M304" t="s">
        <v>40</v>
      </c>
      <c r="N304" t="str">
        <f t="shared" si="31"/>
        <v>Cash</v>
      </c>
      <c r="O304" t="s">
        <v>32</v>
      </c>
      <c r="P304">
        <f t="shared" si="32"/>
        <v>4</v>
      </c>
      <c r="Q304" t="s">
        <v>113</v>
      </c>
      <c r="R304">
        <f t="shared" si="33"/>
        <v>2498</v>
      </c>
      <c r="S304" t="s">
        <v>90</v>
      </c>
      <c r="T304">
        <f t="shared" si="34"/>
        <v>9992</v>
      </c>
      <c r="U304">
        <f>YEAR(Sales_Table[[#This Row],[Date_clean]])</f>
        <v>2024</v>
      </c>
      <c r="V304" t="str">
        <f>TEXT(Sales_Table[[#This Row],[Date_clean]],"mmmm")</f>
        <v>January</v>
      </c>
      <c r="W304">
        <f>WEEKNUM(Sales_Table[[#This Row],[Date_clean]],2)</f>
        <v>2</v>
      </c>
      <c r="X304" t="str" cm="1">
        <f t="array" ref="X304">_xlfn.IFS(Sales_Table[[#This Row],[Revenue]]&gt;=50000,"High",Sales_Table[[#This Row],[Revenue]]&gt;=20000,"Medium",Sales_Table[[#This Row],[Revenue]]&lt;20000,"Low")</f>
        <v>Low</v>
      </c>
      <c r="Y304" t="str">
        <f>IF(Sales_Table[[#This Row],[Payment Method_clean]]="cash","Offline","Online")</f>
        <v>Offline</v>
      </c>
      <c r="Z304">
        <f>IFERROR(Sales_Table[[#This Row],[Revenue]],0)</f>
        <v>9992</v>
      </c>
    </row>
    <row r="305" spans="1:26" x14ac:dyDescent="0.3">
      <c r="A305">
        <v>304</v>
      </c>
      <c r="B305" s="2">
        <f t="shared" si="28"/>
        <v>45304.625</v>
      </c>
      <c r="C305" t="s">
        <v>904</v>
      </c>
      <c r="D305" t="s">
        <v>84</v>
      </c>
      <c r="E305" t="str">
        <f>PROPER(TRIM(CLEAN(Sales_Table[[#This Row],[Region]])))</f>
        <v>South</v>
      </c>
      <c r="F305" t="s">
        <v>78</v>
      </c>
      <c r="G305" t="str">
        <f t="shared" si="29"/>
        <v>Grocery</v>
      </c>
      <c r="H305" t="str">
        <f>PROPER(TRIM(CLEAN(Sales_Table[[#This Row],[Product Name]])))</f>
        <v>Rice 5Kg</v>
      </c>
      <c r="I305" t="s">
        <v>73</v>
      </c>
      <c r="J305" t="str">
        <f t="shared" si="30"/>
        <v>CUST0268</v>
      </c>
      <c r="K305" t="s">
        <v>905</v>
      </c>
      <c r="L305" t="str">
        <f>PROPER(TRIM(CLEAN(Sales_Table[[#This Row],[Salesperson]])))</f>
        <v>Anita</v>
      </c>
      <c r="M305" t="s">
        <v>64</v>
      </c>
      <c r="N305" t="str">
        <f t="shared" si="31"/>
        <v>Net Banking</v>
      </c>
      <c r="O305" t="s">
        <v>60</v>
      </c>
      <c r="P305">
        <f t="shared" si="32"/>
        <v>13</v>
      </c>
      <c r="Q305" t="s">
        <v>81</v>
      </c>
      <c r="R305">
        <f t="shared" si="33"/>
        <v>242</v>
      </c>
      <c r="S305" t="s">
        <v>906</v>
      </c>
      <c r="T305">
        <f t="shared" si="34"/>
        <v>3146</v>
      </c>
      <c r="U305">
        <f>YEAR(Sales_Table[[#This Row],[Date_clean]])</f>
        <v>2024</v>
      </c>
      <c r="V305" t="str">
        <f>TEXT(Sales_Table[[#This Row],[Date_clean]],"mmmm")</f>
        <v>January</v>
      </c>
      <c r="W305">
        <f>WEEKNUM(Sales_Table[[#This Row],[Date_clean]],2)</f>
        <v>2</v>
      </c>
      <c r="X305" t="str" cm="1">
        <f t="array" ref="X305">_xlfn.IFS(Sales_Table[[#This Row],[Revenue]]&gt;=50000,"High",Sales_Table[[#This Row],[Revenue]]&gt;=20000,"Medium",Sales_Table[[#This Row],[Revenue]]&lt;20000,"Low")</f>
        <v>Low</v>
      </c>
      <c r="Y305" t="str">
        <f>IF(Sales_Table[[#This Row],[Payment Method_clean]]="cash","Offline","Online")</f>
        <v>Online</v>
      </c>
      <c r="Z305">
        <f>IFERROR(Sales_Table[[#This Row],[Revenue]],0)</f>
        <v>3146</v>
      </c>
    </row>
    <row r="306" spans="1:26" x14ac:dyDescent="0.3">
      <c r="A306">
        <v>305</v>
      </c>
      <c r="B306" s="2">
        <f t="shared" si="28"/>
        <v>45304.666666666664</v>
      </c>
      <c r="C306" t="s">
        <v>907</v>
      </c>
      <c r="D306" t="s">
        <v>84</v>
      </c>
      <c r="E306" t="str">
        <f>PROPER(TRIM(CLEAN(Sales_Table[[#This Row],[Region]])))</f>
        <v>South</v>
      </c>
      <c r="F306" t="s">
        <v>78</v>
      </c>
      <c r="G306" t="str">
        <f t="shared" si="29"/>
        <v>Grocery</v>
      </c>
      <c r="H306" t="str">
        <f>PROPER(TRIM(CLEAN(Sales_Table[[#This Row],[Product Name]])))</f>
        <v>Rice 5Kg</v>
      </c>
      <c r="I306" t="s">
        <v>73</v>
      </c>
      <c r="J306" t="str">
        <f t="shared" si="30"/>
        <v>CUST0785</v>
      </c>
      <c r="K306" t="s">
        <v>908</v>
      </c>
      <c r="L306" t="str">
        <f>PROPER(TRIM(CLEAN(Sales_Table[[#This Row],[Salesperson]])))</f>
        <v>Anita</v>
      </c>
      <c r="M306" t="s">
        <v>64</v>
      </c>
      <c r="N306" t="str">
        <f t="shared" si="31"/>
        <v>Debit Card</v>
      </c>
      <c r="O306" t="s">
        <v>41</v>
      </c>
      <c r="P306">
        <f t="shared" si="32"/>
        <v>8</v>
      </c>
      <c r="Q306" t="s">
        <v>42</v>
      </c>
      <c r="R306">
        <f t="shared" si="33"/>
        <v>2951</v>
      </c>
      <c r="S306" t="s">
        <v>909</v>
      </c>
      <c r="T306">
        <f t="shared" si="34"/>
        <v>23608</v>
      </c>
      <c r="U306">
        <f>YEAR(Sales_Table[[#This Row],[Date_clean]])</f>
        <v>2024</v>
      </c>
      <c r="V306" t="str">
        <f>TEXT(Sales_Table[[#This Row],[Date_clean]],"mmmm")</f>
        <v>January</v>
      </c>
      <c r="W306">
        <f>WEEKNUM(Sales_Table[[#This Row],[Date_clean]],2)</f>
        <v>2</v>
      </c>
      <c r="X306" t="str" cm="1">
        <f t="array" ref="X306">_xlfn.IFS(Sales_Table[[#This Row],[Revenue]]&gt;=50000,"High",Sales_Table[[#This Row],[Revenue]]&gt;=20000,"Medium",Sales_Table[[#This Row],[Revenue]]&lt;20000,"Low")</f>
        <v>Medium</v>
      </c>
      <c r="Y306" t="str">
        <f>IF(Sales_Table[[#This Row],[Payment Method_clean]]="cash","Offline","Online")</f>
        <v>Online</v>
      </c>
      <c r="Z306">
        <f>IFERROR(Sales_Table[[#This Row],[Revenue]],0)</f>
        <v>23608</v>
      </c>
    </row>
    <row r="307" spans="1:26" x14ac:dyDescent="0.3">
      <c r="A307">
        <v>306</v>
      </c>
      <c r="B307" s="2">
        <f t="shared" si="28"/>
        <v>45304.708333333336</v>
      </c>
      <c r="C307" t="s">
        <v>910</v>
      </c>
      <c r="D307" t="s">
        <v>45</v>
      </c>
      <c r="E307" t="str">
        <f>PROPER(TRIM(CLEAN(Sales_Table[[#This Row],[Region]])))</f>
        <v>North</v>
      </c>
      <c r="F307" t="s">
        <v>78</v>
      </c>
      <c r="G307" t="str">
        <f t="shared" si="29"/>
        <v>Grocery</v>
      </c>
      <c r="H307" t="str">
        <f>PROPER(TRIM(CLEAN(Sales_Table[[#This Row],[Product Name]])))</f>
        <v>Laptop</v>
      </c>
      <c r="I307" t="s">
        <v>52</v>
      </c>
      <c r="J307" t="str">
        <f t="shared" si="30"/>
        <v>CUST0064</v>
      </c>
      <c r="K307" t="s">
        <v>707</v>
      </c>
      <c r="L307" t="str">
        <f>PROPER(TRIM(CLEAN(Sales_Table[[#This Row],[Salesperson]])))</f>
        <v>Rahul</v>
      </c>
      <c r="M307" t="s">
        <v>31</v>
      </c>
      <c r="N307" t="str">
        <f t="shared" si="31"/>
        <v>Debit Card</v>
      </c>
      <c r="O307" t="s">
        <v>41</v>
      </c>
      <c r="P307">
        <f t="shared" si="32"/>
        <v>4</v>
      </c>
      <c r="Q307" t="s">
        <v>113</v>
      </c>
      <c r="R307">
        <f t="shared" si="33"/>
        <v>3569</v>
      </c>
      <c r="S307" t="s">
        <v>911</v>
      </c>
      <c r="T307">
        <f t="shared" si="34"/>
        <v>14276</v>
      </c>
      <c r="U307">
        <f>YEAR(Sales_Table[[#This Row],[Date_clean]])</f>
        <v>2024</v>
      </c>
      <c r="V307" t="str">
        <f>TEXT(Sales_Table[[#This Row],[Date_clean]],"mmmm")</f>
        <v>January</v>
      </c>
      <c r="W307">
        <f>WEEKNUM(Sales_Table[[#This Row],[Date_clean]],2)</f>
        <v>2</v>
      </c>
      <c r="X307" t="str" cm="1">
        <f t="array" ref="X307">_xlfn.IFS(Sales_Table[[#This Row],[Revenue]]&gt;=50000,"High",Sales_Table[[#This Row],[Revenue]]&gt;=20000,"Medium",Sales_Table[[#This Row],[Revenue]]&lt;20000,"Low")</f>
        <v>Low</v>
      </c>
      <c r="Y307" t="str">
        <f>IF(Sales_Table[[#This Row],[Payment Method_clean]]="cash","Offline","Online")</f>
        <v>Online</v>
      </c>
      <c r="Z307">
        <f>IFERROR(Sales_Table[[#This Row],[Revenue]],0)</f>
        <v>14276</v>
      </c>
    </row>
    <row r="308" spans="1:26" x14ac:dyDescent="0.3">
      <c r="A308">
        <v>307</v>
      </c>
      <c r="B308" s="2">
        <f t="shared" si="28"/>
        <v>45304.75</v>
      </c>
      <c r="C308" t="s">
        <v>912</v>
      </c>
      <c r="D308" t="s">
        <v>36</v>
      </c>
      <c r="E308" t="str">
        <f>PROPER(TRIM(CLEAN(Sales_Table[[#This Row],[Region]])))</f>
        <v>West</v>
      </c>
      <c r="F308" t="s">
        <v>46</v>
      </c>
      <c r="G308" t="str">
        <f t="shared" si="29"/>
        <v>Electronics</v>
      </c>
      <c r="H308" t="str">
        <f>PROPER(TRIM(CLEAN(Sales_Table[[#This Row],[Product Name]])))</f>
        <v>Led Tv 42Inch</v>
      </c>
      <c r="I308" t="s">
        <v>58</v>
      </c>
      <c r="J308" t="str">
        <f t="shared" si="30"/>
        <v>CUST0350</v>
      </c>
      <c r="K308" t="s">
        <v>913</v>
      </c>
      <c r="L308" t="str">
        <f>PROPER(TRIM(CLEAN(Sales_Table[[#This Row],[Salesperson]])))</f>
        <v>Suresh</v>
      </c>
      <c r="M308" t="s">
        <v>54</v>
      </c>
      <c r="N308" t="str">
        <f t="shared" si="31"/>
        <v>Upi</v>
      </c>
      <c r="O308" t="s">
        <v>48</v>
      </c>
      <c r="P308">
        <f t="shared" si="32"/>
        <v>7</v>
      </c>
      <c r="Q308" t="s">
        <v>49</v>
      </c>
      <c r="R308">
        <f t="shared" si="33"/>
        <v>3795</v>
      </c>
      <c r="S308" t="s">
        <v>914</v>
      </c>
      <c r="T308">
        <f t="shared" si="34"/>
        <v>26565</v>
      </c>
      <c r="U308">
        <f>YEAR(Sales_Table[[#This Row],[Date_clean]])</f>
        <v>2024</v>
      </c>
      <c r="V308" t="str">
        <f>TEXT(Sales_Table[[#This Row],[Date_clean]],"mmmm")</f>
        <v>January</v>
      </c>
      <c r="W308">
        <f>WEEKNUM(Sales_Table[[#This Row],[Date_clean]],2)</f>
        <v>2</v>
      </c>
      <c r="X308" t="str" cm="1">
        <f t="array" ref="X308">_xlfn.IFS(Sales_Table[[#This Row],[Revenue]]&gt;=50000,"High",Sales_Table[[#This Row],[Revenue]]&gt;=20000,"Medium",Sales_Table[[#This Row],[Revenue]]&lt;20000,"Low")</f>
        <v>Medium</v>
      </c>
      <c r="Y308" t="str">
        <f>IF(Sales_Table[[#This Row],[Payment Method_clean]]="cash","Offline","Online")</f>
        <v>Online</v>
      </c>
      <c r="Z308">
        <f>IFERROR(Sales_Table[[#This Row],[Revenue]],0)</f>
        <v>26565</v>
      </c>
    </row>
    <row r="309" spans="1:26" x14ac:dyDescent="0.3">
      <c r="A309">
        <v>308</v>
      </c>
      <c r="B309" s="2">
        <f t="shared" si="28"/>
        <v>45304.791666666664</v>
      </c>
      <c r="C309" t="s">
        <v>915</v>
      </c>
      <c r="D309" t="s">
        <v>84</v>
      </c>
      <c r="E309" t="str">
        <f>PROPER(TRIM(CLEAN(Sales_Table[[#This Row],[Region]])))</f>
        <v>South</v>
      </c>
      <c r="F309" t="s">
        <v>37</v>
      </c>
      <c r="G309" t="str">
        <f t="shared" si="29"/>
        <v>Home Appliances</v>
      </c>
      <c r="H309" t="str">
        <f>PROPER(TRIM(CLEAN(Sales_Table[[#This Row],[Product Name]])))</f>
        <v>Laptop</v>
      </c>
      <c r="I309" t="s">
        <v>52</v>
      </c>
      <c r="J309" t="str">
        <f t="shared" si="30"/>
        <v>CUST0494</v>
      </c>
      <c r="K309" t="s">
        <v>916</v>
      </c>
      <c r="L309" t="str">
        <f>PROPER(TRIM(CLEAN(Sales_Table[[#This Row],[Salesperson]])))</f>
        <v>Rahul</v>
      </c>
      <c r="M309" t="s">
        <v>31</v>
      </c>
      <c r="N309" t="str">
        <f t="shared" si="31"/>
        <v>Credit Card</v>
      </c>
      <c r="O309" t="s">
        <v>65</v>
      </c>
      <c r="P309">
        <f t="shared" si="32"/>
        <v>4</v>
      </c>
      <c r="Q309" t="s">
        <v>113</v>
      </c>
      <c r="R309">
        <f t="shared" si="33"/>
        <v>817</v>
      </c>
      <c r="S309" t="s">
        <v>917</v>
      </c>
      <c r="T309">
        <f t="shared" si="34"/>
        <v>3268</v>
      </c>
      <c r="U309">
        <f>YEAR(Sales_Table[[#This Row],[Date_clean]])</f>
        <v>2024</v>
      </c>
      <c r="V309" t="str">
        <f>TEXT(Sales_Table[[#This Row],[Date_clean]],"mmmm")</f>
        <v>January</v>
      </c>
      <c r="W309">
        <f>WEEKNUM(Sales_Table[[#This Row],[Date_clean]],2)</f>
        <v>2</v>
      </c>
      <c r="X309" t="str" cm="1">
        <f t="array" ref="X309">_xlfn.IFS(Sales_Table[[#This Row],[Revenue]]&gt;=50000,"High",Sales_Table[[#This Row],[Revenue]]&gt;=20000,"Medium",Sales_Table[[#This Row],[Revenue]]&lt;20000,"Low")</f>
        <v>Low</v>
      </c>
      <c r="Y309" t="str">
        <f>IF(Sales_Table[[#This Row],[Payment Method_clean]]="cash","Offline","Online")</f>
        <v>Online</v>
      </c>
      <c r="Z309">
        <f>IFERROR(Sales_Table[[#This Row],[Revenue]],0)</f>
        <v>3268</v>
      </c>
    </row>
    <row r="310" spans="1:26" x14ac:dyDescent="0.3">
      <c r="A310">
        <v>309</v>
      </c>
      <c r="B310" s="2">
        <f t="shared" si="28"/>
        <v>45304.833333333336</v>
      </c>
      <c r="C310" t="s">
        <v>918</v>
      </c>
      <c r="D310" t="s">
        <v>36</v>
      </c>
      <c r="E310" t="str">
        <f>PROPER(TRIM(CLEAN(Sales_Table[[#This Row],[Region]])))</f>
        <v>West</v>
      </c>
      <c r="F310" t="s">
        <v>28</v>
      </c>
      <c r="G310" t="str">
        <f t="shared" si="29"/>
        <v>Clothing</v>
      </c>
      <c r="H310" t="str">
        <f>PROPER(TRIM(CLEAN(Sales_Table[[#This Row],[Product Name]])))</f>
        <v>Laptop</v>
      </c>
      <c r="I310" t="s">
        <v>52</v>
      </c>
      <c r="J310" t="str">
        <f t="shared" si="30"/>
        <v>CUST0523</v>
      </c>
      <c r="K310" t="s">
        <v>919</v>
      </c>
      <c r="L310" t="str">
        <f>PROPER(TRIM(CLEAN(Sales_Table[[#This Row],[Salesperson]])))</f>
        <v>Suresh</v>
      </c>
      <c r="M310" t="s">
        <v>54</v>
      </c>
      <c r="N310" t="str">
        <f t="shared" si="31"/>
        <v>Cash</v>
      </c>
      <c r="O310" t="s">
        <v>32</v>
      </c>
      <c r="P310">
        <f t="shared" si="32"/>
        <v>13</v>
      </c>
      <c r="Q310" t="s">
        <v>81</v>
      </c>
      <c r="R310">
        <f t="shared" si="33"/>
        <v>742</v>
      </c>
      <c r="S310" t="s">
        <v>920</v>
      </c>
      <c r="T310">
        <f t="shared" si="34"/>
        <v>9646</v>
      </c>
      <c r="U310">
        <f>YEAR(Sales_Table[[#This Row],[Date_clean]])</f>
        <v>2024</v>
      </c>
      <c r="V310" t="str">
        <f>TEXT(Sales_Table[[#This Row],[Date_clean]],"mmmm")</f>
        <v>January</v>
      </c>
      <c r="W310">
        <f>WEEKNUM(Sales_Table[[#This Row],[Date_clean]],2)</f>
        <v>2</v>
      </c>
      <c r="X310" t="str" cm="1">
        <f t="array" ref="X310">_xlfn.IFS(Sales_Table[[#This Row],[Revenue]]&gt;=50000,"High",Sales_Table[[#This Row],[Revenue]]&gt;=20000,"Medium",Sales_Table[[#This Row],[Revenue]]&lt;20000,"Low")</f>
        <v>Low</v>
      </c>
      <c r="Y310" t="str">
        <f>IF(Sales_Table[[#This Row],[Payment Method_clean]]="cash","Offline","Online")</f>
        <v>Offline</v>
      </c>
      <c r="Z310">
        <f>IFERROR(Sales_Table[[#This Row],[Revenue]],0)</f>
        <v>9646</v>
      </c>
    </row>
    <row r="311" spans="1:26" x14ac:dyDescent="0.3">
      <c r="A311">
        <v>310</v>
      </c>
      <c r="B311" s="2">
        <f t="shared" si="28"/>
        <v>45304.875</v>
      </c>
      <c r="C311" t="s">
        <v>921</v>
      </c>
      <c r="D311" t="s">
        <v>84</v>
      </c>
      <c r="E311" t="str">
        <f>PROPER(TRIM(CLEAN(Sales_Table[[#This Row],[Region]])))</f>
        <v>South</v>
      </c>
      <c r="F311" t="s">
        <v>28</v>
      </c>
      <c r="G311" t="str">
        <f t="shared" si="29"/>
        <v>Clothing</v>
      </c>
      <c r="H311" t="str">
        <f>PROPER(TRIM(CLEAN(Sales_Table[[#This Row],[Product Name]])))</f>
        <v>Rice 5Kg</v>
      </c>
      <c r="I311" t="s">
        <v>73</v>
      </c>
      <c r="J311" t="str">
        <f t="shared" si="30"/>
        <v>CUST0098</v>
      </c>
      <c r="K311" t="s">
        <v>922</v>
      </c>
      <c r="L311" t="str">
        <f>PROPER(TRIM(CLEAN(Sales_Table[[#This Row],[Salesperson]])))</f>
        <v>Meena</v>
      </c>
      <c r="M311" t="s">
        <v>40</v>
      </c>
      <c r="N311" t="str">
        <f t="shared" si="31"/>
        <v>Upi</v>
      </c>
      <c r="O311" t="s">
        <v>48</v>
      </c>
      <c r="P311">
        <f t="shared" si="32"/>
        <v>12</v>
      </c>
      <c r="Q311" t="s">
        <v>33</v>
      </c>
      <c r="R311">
        <f t="shared" si="33"/>
        <v>3540</v>
      </c>
      <c r="S311" t="s">
        <v>923</v>
      </c>
      <c r="T311">
        <f t="shared" si="34"/>
        <v>42480</v>
      </c>
      <c r="U311">
        <f>YEAR(Sales_Table[[#This Row],[Date_clean]])</f>
        <v>2024</v>
      </c>
      <c r="V311" t="str">
        <f>TEXT(Sales_Table[[#This Row],[Date_clean]],"mmmm")</f>
        <v>January</v>
      </c>
      <c r="W311">
        <f>WEEKNUM(Sales_Table[[#This Row],[Date_clean]],2)</f>
        <v>2</v>
      </c>
      <c r="X311" t="str" cm="1">
        <f t="array" ref="X311">_xlfn.IFS(Sales_Table[[#This Row],[Revenue]]&gt;=50000,"High",Sales_Table[[#This Row],[Revenue]]&gt;=20000,"Medium",Sales_Table[[#This Row],[Revenue]]&lt;20000,"Low")</f>
        <v>Medium</v>
      </c>
      <c r="Y311" t="str">
        <f>IF(Sales_Table[[#This Row],[Payment Method_clean]]="cash","Offline","Online")</f>
        <v>Online</v>
      </c>
      <c r="Z311">
        <f>IFERROR(Sales_Table[[#This Row],[Revenue]],0)</f>
        <v>42480</v>
      </c>
    </row>
    <row r="312" spans="1:26" x14ac:dyDescent="0.3">
      <c r="A312">
        <v>311</v>
      </c>
      <c r="B312" s="2">
        <f t="shared" si="28"/>
        <v>45304.916666666664</v>
      </c>
      <c r="C312" t="s">
        <v>924</v>
      </c>
      <c r="D312" t="s">
        <v>36</v>
      </c>
      <c r="E312" t="str">
        <f>PROPER(TRIM(CLEAN(Sales_Table[[#This Row],[Region]])))</f>
        <v>West</v>
      </c>
      <c r="F312" t="s">
        <v>46</v>
      </c>
      <c r="G312" t="str">
        <f t="shared" si="29"/>
        <v>Electronics</v>
      </c>
      <c r="H312" t="str">
        <f>PROPER(TRIM(CLEAN(Sales_Table[[#This Row],[Product Name]])))</f>
        <v>Men T-Shirt</v>
      </c>
      <c r="I312" t="s">
        <v>38</v>
      </c>
      <c r="J312" t="str">
        <f t="shared" si="30"/>
        <v>CUST0071</v>
      </c>
      <c r="K312" t="s">
        <v>925</v>
      </c>
      <c r="L312" t="str">
        <f>PROPER(TRIM(CLEAN(Sales_Table[[#This Row],[Salesperson]])))</f>
        <v>Anita</v>
      </c>
      <c r="M312" t="s">
        <v>64</v>
      </c>
      <c r="N312" t="str">
        <f t="shared" si="31"/>
        <v>Upi</v>
      </c>
      <c r="O312" t="s">
        <v>48</v>
      </c>
      <c r="P312">
        <f t="shared" si="32"/>
        <v>5</v>
      </c>
      <c r="Q312" t="s">
        <v>89</v>
      </c>
      <c r="R312">
        <f t="shared" si="33"/>
        <v>2648</v>
      </c>
      <c r="S312" t="s">
        <v>926</v>
      </c>
      <c r="T312">
        <f t="shared" si="34"/>
        <v>13240</v>
      </c>
      <c r="U312">
        <f>YEAR(Sales_Table[[#This Row],[Date_clean]])</f>
        <v>2024</v>
      </c>
      <c r="V312" t="str">
        <f>TEXT(Sales_Table[[#This Row],[Date_clean]],"mmmm")</f>
        <v>January</v>
      </c>
      <c r="W312">
        <f>WEEKNUM(Sales_Table[[#This Row],[Date_clean]],2)</f>
        <v>2</v>
      </c>
      <c r="X312" t="str" cm="1">
        <f t="array" ref="X312">_xlfn.IFS(Sales_Table[[#This Row],[Revenue]]&gt;=50000,"High",Sales_Table[[#This Row],[Revenue]]&gt;=20000,"Medium",Sales_Table[[#This Row],[Revenue]]&lt;20000,"Low")</f>
        <v>Low</v>
      </c>
      <c r="Y312" t="str">
        <f>IF(Sales_Table[[#This Row],[Payment Method_clean]]="cash","Offline","Online")</f>
        <v>Online</v>
      </c>
      <c r="Z312">
        <f>IFERROR(Sales_Table[[#This Row],[Revenue]],0)</f>
        <v>13240</v>
      </c>
    </row>
    <row r="313" spans="1:26" x14ac:dyDescent="0.3">
      <c r="A313">
        <v>312</v>
      </c>
      <c r="B313" s="2">
        <f t="shared" si="28"/>
        <v>45304.958333333336</v>
      </c>
      <c r="C313" t="s">
        <v>927</v>
      </c>
      <c r="D313" t="s">
        <v>27</v>
      </c>
      <c r="E313" t="str">
        <f>PROPER(TRIM(CLEAN(Sales_Table[[#This Row],[Region]])))</f>
        <v>East</v>
      </c>
      <c r="F313" t="s">
        <v>37</v>
      </c>
      <c r="G313" t="str">
        <f t="shared" si="29"/>
        <v>Home Appliances</v>
      </c>
      <c r="H313" t="str">
        <f>PROPER(TRIM(CLEAN(Sales_Table[[#This Row],[Product Name]])))</f>
        <v>Laptop</v>
      </c>
      <c r="I313" t="s">
        <v>52</v>
      </c>
      <c r="J313" t="str">
        <f t="shared" si="30"/>
        <v>CUST0364</v>
      </c>
      <c r="K313" t="s">
        <v>928</v>
      </c>
      <c r="L313" t="str">
        <f>PROPER(TRIM(CLEAN(Sales_Table[[#This Row],[Salesperson]])))</f>
        <v>Suresh</v>
      </c>
      <c r="M313" t="s">
        <v>54</v>
      </c>
      <c r="N313" t="str">
        <f t="shared" si="31"/>
        <v>Cash</v>
      </c>
      <c r="O313" t="s">
        <v>32</v>
      </c>
      <c r="P313">
        <f t="shared" si="32"/>
        <v>7</v>
      </c>
      <c r="Q313" t="s">
        <v>49</v>
      </c>
      <c r="R313">
        <f t="shared" si="33"/>
        <v>3793</v>
      </c>
      <c r="S313" t="s">
        <v>929</v>
      </c>
      <c r="T313">
        <f t="shared" si="34"/>
        <v>26551</v>
      </c>
      <c r="U313">
        <f>YEAR(Sales_Table[[#This Row],[Date_clean]])</f>
        <v>2024</v>
      </c>
      <c r="V313" t="str">
        <f>TEXT(Sales_Table[[#This Row],[Date_clean]],"mmmm")</f>
        <v>January</v>
      </c>
      <c r="W313">
        <f>WEEKNUM(Sales_Table[[#This Row],[Date_clean]],2)</f>
        <v>2</v>
      </c>
      <c r="X313" t="str" cm="1">
        <f t="array" ref="X313">_xlfn.IFS(Sales_Table[[#This Row],[Revenue]]&gt;=50000,"High",Sales_Table[[#This Row],[Revenue]]&gt;=20000,"Medium",Sales_Table[[#This Row],[Revenue]]&lt;20000,"Low")</f>
        <v>Medium</v>
      </c>
      <c r="Y313" t="str">
        <f>IF(Sales_Table[[#This Row],[Payment Method_clean]]="cash","Offline","Online")</f>
        <v>Offline</v>
      </c>
      <c r="Z313">
        <f>IFERROR(Sales_Table[[#This Row],[Revenue]],0)</f>
        <v>26551</v>
      </c>
    </row>
    <row r="314" spans="1:26" x14ac:dyDescent="0.3">
      <c r="A314">
        <v>313</v>
      </c>
      <c r="B314" s="2">
        <f t="shared" si="28"/>
        <v>45305</v>
      </c>
      <c r="C314" t="s">
        <v>930</v>
      </c>
      <c r="D314" t="s">
        <v>36</v>
      </c>
      <c r="E314" t="str">
        <f>PROPER(TRIM(CLEAN(Sales_Table[[#This Row],[Region]])))</f>
        <v>West</v>
      </c>
      <c r="F314" t="s">
        <v>28</v>
      </c>
      <c r="G314" t="str">
        <f t="shared" si="29"/>
        <v>Clothing</v>
      </c>
      <c r="H314" t="str">
        <f>PROPER(TRIM(CLEAN(Sales_Table[[#This Row],[Product Name]])))</f>
        <v>Men T-Shirt</v>
      </c>
      <c r="I314" t="s">
        <v>38</v>
      </c>
      <c r="J314" t="str">
        <f t="shared" si="30"/>
        <v>CUST0570</v>
      </c>
      <c r="K314" t="s">
        <v>931</v>
      </c>
      <c r="L314" t="str">
        <f>PROPER(TRIM(CLEAN(Sales_Table[[#This Row],[Salesperson]])))</f>
        <v>Meena</v>
      </c>
      <c r="M314" t="s">
        <v>40</v>
      </c>
      <c r="N314" t="str">
        <f t="shared" si="31"/>
        <v>Debit Card</v>
      </c>
      <c r="O314" t="s">
        <v>41</v>
      </c>
      <c r="P314">
        <f t="shared" si="32"/>
        <v>13</v>
      </c>
      <c r="Q314" t="s">
        <v>81</v>
      </c>
      <c r="R314">
        <f t="shared" si="33"/>
        <v>469</v>
      </c>
      <c r="S314" t="s">
        <v>932</v>
      </c>
      <c r="T314">
        <f t="shared" si="34"/>
        <v>6097</v>
      </c>
      <c r="U314">
        <f>YEAR(Sales_Table[[#This Row],[Date_clean]])</f>
        <v>2024</v>
      </c>
      <c r="V314" t="str">
        <f>TEXT(Sales_Table[[#This Row],[Date_clean]],"mmmm")</f>
        <v>January</v>
      </c>
      <c r="W314">
        <f>WEEKNUM(Sales_Table[[#This Row],[Date_clean]],2)</f>
        <v>2</v>
      </c>
      <c r="X314" t="str" cm="1">
        <f t="array" ref="X314">_xlfn.IFS(Sales_Table[[#This Row],[Revenue]]&gt;=50000,"High",Sales_Table[[#This Row],[Revenue]]&gt;=20000,"Medium",Sales_Table[[#This Row],[Revenue]]&lt;20000,"Low")</f>
        <v>Low</v>
      </c>
      <c r="Y314" t="str">
        <f>IF(Sales_Table[[#This Row],[Payment Method_clean]]="cash","Offline","Online")</f>
        <v>Online</v>
      </c>
      <c r="Z314">
        <f>IFERROR(Sales_Table[[#This Row],[Revenue]],0)</f>
        <v>6097</v>
      </c>
    </row>
    <row r="315" spans="1:26" x14ac:dyDescent="0.3">
      <c r="A315">
        <v>314</v>
      </c>
      <c r="B315" s="2">
        <f t="shared" si="28"/>
        <v>45305.041666666664</v>
      </c>
      <c r="C315" t="s">
        <v>933</v>
      </c>
      <c r="D315" t="s">
        <v>27</v>
      </c>
      <c r="E315" t="str">
        <f>PROPER(TRIM(CLEAN(Sales_Table[[#This Row],[Region]])))</f>
        <v>East</v>
      </c>
      <c r="F315" t="s">
        <v>78</v>
      </c>
      <c r="G315" t="str">
        <f t="shared" si="29"/>
        <v>Grocery</v>
      </c>
      <c r="H315" t="str">
        <f>PROPER(TRIM(CLEAN(Sales_Table[[#This Row],[Product Name]])))</f>
        <v>Men T-Shirt</v>
      </c>
      <c r="I315" t="s">
        <v>38</v>
      </c>
      <c r="J315" t="str">
        <f t="shared" si="30"/>
        <v>CUST0763</v>
      </c>
      <c r="K315" t="s">
        <v>934</v>
      </c>
      <c r="L315" t="str">
        <f>PROPER(TRIM(CLEAN(Sales_Table[[#This Row],[Salesperson]])))</f>
        <v>Anita</v>
      </c>
      <c r="M315" t="s">
        <v>64</v>
      </c>
      <c r="N315" t="str">
        <f t="shared" si="31"/>
        <v>Credit Card</v>
      </c>
      <c r="O315" t="s">
        <v>65</v>
      </c>
      <c r="P315">
        <f t="shared" si="32"/>
        <v>14</v>
      </c>
      <c r="Q315" t="s">
        <v>55</v>
      </c>
      <c r="R315">
        <f t="shared" si="33"/>
        <v>3750</v>
      </c>
      <c r="S315" t="s">
        <v>935</v>
      </c>
      <c r="T315">
        <f t="shared" si="34"/>
        <v>52500</v>
      </c>
      <c r="U315">
        <f>YEAR(Sales_Table[[#This Row],[Date_clean]])</f>
        <v>2024</v>
      </c>
      <c r="V315" t="str">
        <f>TEXT(Sales_Table[[#This Row],[Date_clean]],"mmmm")</f>
        <v>January</v>
      </c>
      <c r="W315">
        <f>WEEKNUM(Sales_Table[[#This Row],[Date_clean]],2)</f>
        <v>2</v>
      </c>
      <c r="X315" t="str" cm="1">
        <f t="array" ref="X315">_xlfn.IFS(Sales_Table[[#This Row],[Revenue]]&gt;=50000,"High",Sales_Table[[#This Row],[Revenue]]&gt;=20000,"Medium",Sales_Table[[#This Row],[Revenue]]&lt;20000,"Low")</f>
        <v>High</v>
      </c>
      <c r="Y315" t="str">
        <f>IF(Sales_Table[[#This Row],[Payment Method_clean]]="cash","Offline","Online")</f>
        <v>Online</v>
      </c>
      <c r="Z315">
        <f>IFERROR(Sales_Table[[#This Row],[Revenue]],0)</f>
        <v>52500</v>
      </c>
    </row>
    <row r="316" spans="1:26" x14ac:dyDescent="0.3">
      <c r="A316">
        <v>315</v>
      </c>
      <c r="B316" s="2">
        <f t="shared" si="28"/>
        <v>45305.083333333336</v>
      </c>
      <c r="C316" t="s">
        <v>936</v>
      </c>
      <c r="D316" t="s">
        <v>27</v>
      </c>
      <c r="E316" t="str">
        <f>PROPER(TRIM(CLEAN(Sales_Table[[#This Row],[Region]])))</f>
        <v>East</v>
      </c>
      <c r="F316" t="s">
        <v>28</v>
      </c>
      <c r="G316" t="str">
        <f t="shared" si="29"/>
        <v>Clothing</v>
      </c>
      <c r="H316" t="str">
        <f>PROPER(TRIM(CLEAN(Sales_Table[[#This Row],[Product Name]])))</f>
        <v>Led Tv 42Inch</v>
      </c>
      <c r="I316" t="s">
        <v>58</v>
      </c>
      <c r="J316" t="str">
        <f t="shared" si="30"/>
        <v>CUST0276</v>
      </c>
      <c r="K316" t="s">
        <v>470</v>
      </c>
      <c r="L316" t="str">
        <f>PROPER(TRIM(CLEAN(Sales_Table[[#This Row],[Salesperson]])))</f>
        <v>Suresh</v>
      </c>
      <c r="M316" t="s">
        <v>54</v>
      </c>
      <c r="N316" t="str">
        <f t="shared" si="31"/>
        <v>Debit Card</v>
      </c>
      <c r="O316" t="s">
        <v>41</v>
      </c>
      <c r="P316">
        <f t="shared" si="32"/>
        <v>14</v>
      </c>
      <c r="Q316" t="s">
        <v>55</v>
      </c>
      <c r="R316">
        <f t="shared" si="33"/>
        <v>886</v>
      </c>
      <c r="S316" t="s">
        <v>937</v>
      </c>
      <c r="T316">
        <f t="shared" si="34"/>
        <v>12404</v>
      </c>
      <c r="U316">
        <f>YEAR(Sales_Table[[#This Row],[Date_clean]])</f>
        <v>2024</v>
      </c>
      <c r="V316" t="str">
        <f>TEXT(Sales_Table[[#This Row],[Date_clean]],"mmmm")</f>
        <v>January</v>
      </c>
      <c r="W316">
        <f>WEEKNUM(Sales_Table[[#This Row],[Date_clean]],2)</f>
        <v>2</v>
      </c>
      <c r="X316" t="str" cm="1">
        <f t="array" ref="X316">_xlfn.IFS(Sales_Table[[#This Row],[Revenue]]&gt;=50000,"High",Sales_Table[[#This Row],[Revenue]]&gt;=20000,"Medium",Sales_Table[[#This Row],[Revenue]]&lt;20000,"Low")</f>
        <v>Low</v>
      </c>
      <c r="Y316" t="str">
        <f>IF(Sales_Table[[#This Row],[Payment Method_clean]]="cash","Offline","Online")</f>
        <v>Online</v>
      </c>
      <c r="Z316">
        <f>IFERROR(Sales_Table[[#This Row],[Revenue]],0)</f>
        <v>12404</v>
      </c>
    </row>
    <row r="317" spans="1:26" x14ac:dyDescent="0.3">
      <c r="A317">
        <v>316</v>
      </c>
      <c r="B317" s="2">
        <f t="shared" si="28"/>
        <v>45305.125</v>
      </c>
      <c r="C317" t="s">
        <v>938</v>
      </c>
      <c r="D317" t="s">
        <v>36</v>
      </c>
      <c r="E317" t="str">
        <f>PROPER(TRIM(CLEAN(Sales_Table[[#This Row],[Region]])))</f>
        <v>West</v>
      </c>
      <c r="F317" t="s">
        <v>78</v>
      </c>
      <c r="G317" t="str">
        <f t="shared" si="29"/>
        <v>Grocery</v>
      </c>
      <c r="H317" t="str">
        <f>PROPER(TRIM(CLEAN(Sales_Table[[#This Row],[Product Name]])))</f>
        <v>Men T-Shirt</v>
      </c>
      <c r="I317" t="s">
        <v>38</v>
      </c>
      <c r="J317" t="str">
        <f t="shared" si="30"/>
        <v>CUST0050</v>
      </c>
      <c r="K317" t="s">
        <v>939</v>
      </c>
      <c r="L317" t="str">
        <f>PROPER(TRIM(CLEAN(Sales_Table[[#This Row],[Salesperson]])))</f>
        <v>Rahul</v>
      </c>
      <c r="M317" t="s">
        <v>31</v>
      </c>
      <c r="N317" t="str">
        <f t="shared" si="31"/>
        <v>Upi</v>
      </c>
      <c r="O317" t="s">
        <v>48</v>
      </c>
      <c r="P317">
        <f t="shared" si="32"/>
        <v>13</v>
      </c>
      <c r="Q317" t="s">
        <v>81</v>
      </c>
      <c r="R317">
        <f t="shared" si="33"/>
        <v>1049</v>
      </c>
      <c r="S317" t="s">
        <v>940</v>
      </c>
      <c r="T317">
        <f t="shared" si="34"/>
        <v>13637</v>
      </c>
      <c r="U317">
        <f>YEAR(Sales_Table[[#This Row],[Date_clean]])</f>
        <v>2024</v>
      </c>
      <c r="V317" t="str">
        <f>TEXT(Sales_Table[[#This Row],[Date_clean]],"mmmm")</f>
        <v>January</v>
      </c>
      <c r="W317">
        <f>WEEKNUM(Sales_Table[[#This Row],[Date_clean]],2)</f>
        <v>2</v>
      </c>
      <c r="X317" t="str" cm="1">
        <f t="array" ref="X317">_xlfn.IFS(Sales_Table[[#This Row],[Revenue]]&gt;=50000,"High",Sales_Table[[#This Row],[Revenue]]&gt;=20000,"Medium",Sales_Table[[#This Row],[Revenue]]&lt;20000,"Low")</f>
        <v>Low</v>
      </c>
      <c r="Y317" t="str">
        <f>IF(Sales_Table[[#This Row],[Payment Method_clean]]="cash","Offline","Online")</f>
        <v>Online</v>
      </c>
      <c r="Z317">
        <f>IFERROR(Sales_Table[[#This Row],[Revenue]],0)</f>
        <v>13637</v>
      </c>
    </row>
    <row r="318" spans="1:26" x14ac:dyDescent="0.3">
      <c r="A318">
        <v>317</v>
      </c>
      <c r="B318" s="2">
        <f t="shared" si="28"/>
        <v>45305.166666666664</v>
      </c>
      <c r="C318" t="s">
        <v>941</v>
      </c>
      <c r="D318" t="s">
        <v>27</v>
      </c>
      <c r="E318" t="str">
        <f>PROPER(TRIM(CLEAN(Sales_Table[[#This Row],[Region]])))</f>
        <v>East</v>
      </c>
      <c r="F318" t="s">
        <v>46</v>
      </c>
      <c r="G318" t="str">
        <f t="shared" si="29"/>
        <v>Electronics</v>
      </c>
      <c r="H318" t="str">
        <f>PROPER(TRIM(CLEAN(Sales_Table[[#This Row],[Product Name]])))</f>
        <v>Rice 5Kg</v>
      </c>
      <c r="I318" t="s">
        <v>73</v>
      </c>
      <c r="J318" t="str">
        <f t="shared" si="30"/>
        <v>CUST0358</v>
      </c>
      <c r="K318" t="s">
        <v>942</v>
      </c>
      <c r="L318" t="str">
        <f>PROPER(TRIM(CLEAN(Sales_Table[[#This Row],[Salesperson]])))</f>
        <v>Rahul</v>
      </c>
      <c r="M318" t="s">
        <v>31</v>
      </c>
      <c r="N318" t="str">
        <f t="shared" si="31"/>
        <v>Credit Card</v>
      </c>
      <c r="O318" t="s">
        <v>65</v>
      </c>
      <c r="P318">
        <f t="shared" si="32"/>
        <v>10</v>
      </c>
      <c r="Q318" t="s">
        <v>117</v>
      </c>
      <c r="R318">
        <f t="shared" si="33"/>
        <v>621</v>
      </c>
      <c r="S318" t="s">
        <v>878</v>
      </c>
      <c r="T318">
        <f t="shared" si="34"/>
        <v>6210</v>
      </c>
      <c r="U318">
        <f>YEAR(Sales_Table[[#This Row],[Date_clean]])</f>
        <v>2024</v>
      </c>
      <c r="V318" t="str">
        <f>TEXT(Sales_Table[[#This Row],[Date_clean]],"mmmm")</f>
        <v>January</v>
      </c>
      <c r="W318">
        <f>WEEKNUM(Sales_Table[[#This Row],[Date_clean]],2)</f>
        <v>2</v>
      </c>
      <c r="X318" t="str" cm="1">
        <f t="array" ref="X318">_xlfn.IFS(Sales_Table[[#This Row],[Revenue]]&gt;=50000,"High",Sales_Table[[#This Row],[Revenue]]&gt;=20000,"Medium",Sales_Table[[#This Row],[Revenue]]&lt;20000,"Low")</f>
        <v>Low</v>
      </c>
      <c r="Y318" t="str">
        <f>IF(Sales_Table[[#This Row],[Payment Method_clean]]="cash","Offline","Online")</f>
        <v>Online</v>
      </c>
      <c r="Z318">
        <f>IFERROR(Sales_Table[[#This Row],[Revenue]],0)</f>
        <v>6210</v>
      </c>
    </row>
    <row r="319" spans="1:26" x14ac:dyDescent="0.3">
      <c r="A319">
        <v>318</v>
      </c>
      <c r="B319" s="2">
        <f t="shared" si="28"/>
        <v>45305.208333333336</v>
      </c>
      <c r="C319" t="s">
        <v>943</v>
      </c>
      <c r="D319" t="s">
        <v>45</v>
      </c>
      <c r="E319" t="str">
        <f>PROPER(TRIM(CLEAN(Sales_Table[[#This Row],[Region]])))</f>
        <v>North</v>
      </c>
      <c r="F319" t="s">
        <v>78</v>
      </c>
      <c r="G319" t="str">
        <f t="shared" si="29"/>
        <v>Grocery</v>
      </c>
      <c r="H319" t="str">
        <f>PROPER(TRIM(CLEAN(Sales_Table[[#This Row],[Product Name]])))</f>
        <v>Mixer Grinder</v>
      </c>
      <c r="I319" t="s">
        <v>29</v>
      </c>
      <c r="J319" t="str">
        <f t="shared" si="30"/>
        <v>CUST0728</v>
      </c>
      <c r="K319" t="s">
        <v>944</v>
      </c>
      <c r="L319" t="str">
        <f>PROPER(TRIM(CLEAN(Sales_Table[[#This Row],[Salesperson]])))</f>
        <v>Rahul</v>
      </c>
      <c r="M319" t="s">
        <v>31</v>
      </c>
      <c r="N319" t="str">
        <f t="shared" si="31"/>
        <v>Net Banking</v>
      </c>
      <c r="O319" t="s">
        <v>60</v>
      </c>
      <c r="P319">
        <f t="shared" si="32"/>
        <v>3</v>
      </c>
      <c r="Q319" t="s">
        <v>66</v>
      </c>
      <c r="R319">
        <f t="shared" si="33"/>
        <v>3043</v>
      </c>
      <c r="S319" t="s">
        <v>945</v>
      </c>
      <c r="T319">
        <f t="shared" si="34"/>
        <v>9129</v>
      </c>
      <c r="U319">
        <f>YEAR(Sales_Table[[#This Row],[Date_clean]])</f>
        <v>2024</v>
      </c>
      <c r="V319" t="str">
        <f>TEXT(Sales_Table[[#This Row],[Date_clean]],"mmmm")</f>
        <v>January</v>
      </c>
      <c r="W319">
        <f>WEEKNUM(Sales_Table[[#This Row],[Date_clean]],2)</f>
        <v>2</v>
      </c>
      <c r="X319" t="str" cm="1">
        <f t="array" ref="X319">_xlfn.IFS(Sales_Table[[#This Row],[Revenue]]&gt;=50000,"High",Sales_Table[[#This Row],[Revenue]]&gt;=20000,"Medium",Sales_Table[[#This Row],[Revenue]]&lt;20000,"Low")</f>
        <v>Low</v>
      </c>
      <c r="Y319" t="str">
        <f>IF(Sales_Table[[#This Row],[Payment Method_clean]]="cash","Offline","Online")</f>
        <v>Online</v>
      </c>
      <c r="Z319">
        <f>IFERROR(Sales_Table[[#This Row],[Revenue]],0)</f>
        <v>9129</v>
      </c>
    </row>
    <row r="320" spans="1:26" x14ac:dyDescent="0.3">
      <c r="A320">
        <v>319</v>
      </c>
      <c r="B320" s="2">
        <f t="shared" si="28"/>
        <v>45305.25</v>
      </c>
      <c r="C320" t="s">
        <v>946</v>
      </c>
      <c r="D320" t="s">
        <v>27</v>
      </c>
      <c r="E320" t="str">
        <f>PROPER(TRIM(CLEAN(Sales_Table[[#This Row],[Region]])))</f>
        <v>East</v>
      </c>
      <c r="F320" t="s">
        <v>28</v>
      </c>
      <c r="G320" t="str">
        <f t="shared" si="29"/>
        <v>Clothing</v>
      </c>
      <c r="H320" t="str">
        <f>PROPER(TRIM(CLEAN(Sales_Table[[#This Row],[Product Name]])))</f>
        <v>Mixer Grinder</v>
      </c>
      <c r="I320" t="s">
        <v>29</v>
      </c>
      <c r="J320" t="str">
        <f t="shared" si="30"/>
        <v>CUST0564</v>
      </c>
      <c r="K320" t="s">
        <v>947</v>
      </c>
      <c r="L320" t="str">
        <f>PROPER(TRIM(CLEAN(Sales_Table[[#This Row],[Salesperson]])))</f>
        <v>Meena</v>
      </c>
      <c r="M320" t="s">
        <v>40</v>
      </c>
      <c r="N320" t="str">
        <f t="shared" si="31"/>
        <v>Upi</v>
      </c>
      <c r="O320" t="s">
        <v>48</v>
      </c>
      <c r="P320">
        <f t="shared" si="32"/>
        <v>10</v>
      </c>
      <c r="Q320" t="s">
        <v>117</v>
      </c>
      <c r="R320">
        <f t="shared" si="33"/>
        <v>454</v>
      </c>
      <c r="S320" t="s">
        <v>948</v>
      </c>
      <c r="T320">
        <f t="shared" si="34"/>
        <v>4540</v>
      </c>
      <c r="U320">
        <f>YEAR(Sales_Table[[#This Row],[Date_clean]])</f>
        <v>2024</v>
      </c>
      <c r="V320" t="str">
        <f>TEXT(Sales_Table[[#This Row],[Date_clean]],"mmmm")</f>
        <v>January</v>
      </c>
      <c r="W320">
        <f>WEEKNUM(Sales_Table[[#This Row],[Date_clean]],2)</f>
        <v>2</v>
      </c>
      <c r="X320" t="str" cm="1">
        <f t="array" ref="X320">_xlfn.IFS(Sales_Table[[#This Row],[Revenue]]&gt;=50000,"High",Sales_Table[[#This Row],[Revenue]]&gt;=20000,"Medium",Sales_Table[[#This Row],[Revenue]]&lt;20000,"Low")</f>
        <v>Low</v>
      </c>
      <c r="Y320" t="str">
        <f>IF(Sales_Table[[#This Row],[Payment Method_clean]]="cash","Offline","Online")</f>
        <v>Online</v>
      </c>
      <c r="Z320">
        <f>IFERROR(Sales_Table[[#This Row],[Revenue]],0)</f>
        <v>4540</v>
      </c>
    </row>
    <row r="321" spans="1:26" x14ac:dyDescent="0.3">
      <c r="A321">
        <v>320</v>
      </c>
      <c r="B321" s="2">
        <f t="shared" si="28"/>
        <v>45305.291666666664</v>
      </c>
      <c r="C321" t="s">
        <v>949</v>
      </c>
      <c r="D321" t="s">
        <v>84</v>
      </c>
      <c r="E321" t="str">
        <f>PROPER(TRIM(CLEAN(Sales_Table[[#This Row],[Region]])))</f>
        <v>South</v>
      </c>
      <c r="F321" t="s">
        <v>28</v>
      </c>
      <c r="G321" t="str">
        <f t="shared" si="29"/>
        <v>Clothing</v>
      </c>
      <c r="H321" t="str">
        <f>PROPER(TRIM(CLEAN(Sales_Table[[#This Row],[Product Name]])))</f>
        <v>Washing Machine</v>
      </c>
      <c r="I321" t="s">
        <v>79</v>
      </c>
      <c r="J321" t="str">
        <f t="shared" si="30"/>
        <v>CUST0783</v>
      </c>
      <c r="K321" t="s">
        <v>950</v>
      </c>
      <c r="L321" t="str">
        <f>PROPER(TRIM(CLEAN(Sales_Table[[#This Row],[Salesperson]])))</f>
        <v>Rahul</v>
      </c>
      <c r="M321" t="s">
        <v>31</v>
      </c>
      <c r="N321" t="str">
        <f t="shared" si="31"/>
        <v>Debit Card</v>
      </c>
      <c r="O321" t="s">
        <v>41</v>
      </c>
      <c r="P321">
        <f t="shared" si="32"/>
        <v>5</v>
      </c>
      <c r="Q321" t="s">
        <v>89</v>
      </c>
      <c r="R321">
        <f t="shared" si="33"/>
        <v>2435</v>
      </c>
      <c r="S321" t="s">
        <v>951</v>
      </c>
      <c r="T321">
        <f t="shared" si="34"/>
        <v>12175</v>
      </c>
      <c r="U321">
        <f>YEAR(Sales_Table[[#This Row],[Date_clean]])</f>
        <v>2024</v>
      </c>
      <c r="V321" t="str">
        <f>TEXT(Sales_Table[[#This Row],[Date_clean]],"mmmm")</f>
        <v>January</v>
      </c>
      <c r="W321">
        <f>WEEKNUM(Sales_Table[[#This Row],[Date_clean]],2)</f>
        <v>2</v>
      </c>
      <c r="X321" t="str" cm="1">
        <f t="array" ref="X321">_xlfn.IFS(Sales_Table[[#This Row],[Revenue]]&gt;=50000,"High",Sales_Table[[#This Row],[Revenue]]&gt;=20000,"Medium",Sales_Table[[#This Row],[Revenue]]&lt;20000,"Low")</f>
        <v>Low</v>
      </c>
      <c r="Y321" t="str">
        <f>IF(Sales_Table[[#This Row],[Payment Method_clean]]="cash","Offline","Online")</f>
        <v>Online</v>
      </c>
      <c r="Z321">
        <f>IFERROR(Sales_Table[[#This Row],[Revenue]],0)</f>
        <v>12175</v>
      </c>
    </row>
    <row r="322" spans="1:26" x14ac:dyDescent="0.3">
      <c r="A322">
        <v>321</v>
      </c>
      <c r="B322" s="2">
        <f t="shared" si="28"/>
        <v>45305.333333333336</v>
      </c>
      <c r="C322" t="s">
        <v>952</v>
      </c>
      <c r="D322" t="s">
        <v>36</v>
      </c>
      <c r="E322" t="str">
        <f>PROPER(TRIM(CLEAN(Sales_Table[[#This Row],[Region]])))</f>
        <v>West</v>
      </c>
      <c r="F322" t="s">
        <v>28</v>
      </c>
      <c r="G322" t="str">
        <f t="shared" si="29"/>
        <v>Clothing</v>
      </c>
      <c r="H322" t="str">
        <f>PROPER(TRIM(CLEAN(Sales_Table[[#This Row],[Product Name]])))</f>
        <v>Laptop</v>
      </c>
      <c r="I322" t="s">
        <v>52</v>
      </c>
      <c r="J322" t="str">
        <f t="shared" si="30"/>
        <v>CUST0485</v>
      </c>
      <c r="K322" t="s">
        <v>147</v>
      </c>
      <c r="L322" t="str">
        <f>PROPER(TRIM(CLEAN(Sales_Table[[#This Row],[Salesperson]])))</f>
        <v>Karthik</v>
      </c>
      <c r="M322" t="s">
        <v>70</v>
      </c>
      <c r="N322" t="str">
        <f t="shared" si="31"/>
        <v>Debit Card</v>
      </c>
      <c r="O322" t="s">
        <v>41</v>
      </c>
      <c r="P322">
        <f t="shared" si="32"/>
        <v>11</v>
      </c>
      <c r="Q322" t="s">
        <v>97</v>
      </c>
      <c r="R322">
        <f t="shared" si="33"/>
        <v>1582</v>
      </c>
      <c r="S322" t="s">
        <v>953</v>
      </c>
      <c r="T322">
        <f t="shared" si="34"/>
        <v>17402</v>
      </c>
      <c r="U322">
        <f>YEAR(Sales_Table[[#This Row],[Date_clean]])</f>
        <v>2024</v>
      </c>
      <c r="V322" t="str">
        <f>TEXT(Sales_Table[[#This Row],[Date_clean]],"mmmm")</f>
        <v>January</v>
      </c>
      <c r="W322">
        <f>WEEKNUM(Sales_Table[[#This Row],[Date_clean]],2)</f>
        <v>2</v>
      </c>
      <c r="X322" t="str" cm="1">
        <f t="array" ref="X322">_xlfn.IFS(Sales_Table[[#This Row],[Revenue]]&gt;=50000,"High",Sales_Table[[#This Row],[Revenue]]&gt;=20000,"Medium",Sales_Table[[#This Row],[Revenue]]&lt;20000,"Low")</f>
        <v>Low</v>
      </c>
      <c r="Y322" t="str">
        <f>IF(Sales_Table[[#This Row],[Payment Method_clean]]="cash","Offline","Online")</f>
        <v>Online</v>
      </c>
      <c r="Z322">
        <f>IFERROR(Sales_Table[[#This Row],[Revenue]],0)</f>
        <v>17402</v>
      </c>
    </row>
    <row r="323" spans="1:26" x14ac:dyDescent="0.3">
      <c r="A323">
        <v>322</v>
      </c>
      <c r="B323" s="2">
        <f t="shared" ref="B323:B386" si="35">DATEVALUE(LEFT(C323,10))+TIMEVALUE(MID(C323,12,8))</f>
        <v>45305.375</v>
      </c>
      <c r="C323" t="s">
        <v>954</v>
      </c>
      <c r="D323" t="s">
        <v>45</v>
      </c>
      <c r="E323" t="str">
        <f>PROPER(TRIM(CLEAN(Sales_Table[[#This Row],[Region]])))</f>
        <v>North</v>
      </c>
      <c r="F323" t="s">
        <v>46</v>
      </c>
      <c r="G323" t="str">
        <f t="shared" ref="G323:G386" si="36">PROPER(TRIM(CLEAN(F323)))</f>
        <v>Electronics</v>
      </c>
      <c r="H323" t="str">
        <f>PROPER(TRIM(CLEAN(Sales_Table[[#This Row],[Product Name]])))</f>
        <v>Rice 5Kg</v>
      </c>
      <c r="I323" t="s">
        <v>73</v>
      </c>
      <c r="J323" t="str">
        <f t="shared" ref="J323:J386" si="37">TRIM(K323)</f>
        <v>CUST0084</v>
      </c>
      <c r="K323" t="s">
        <v>955</v>
      </c>
      <c r="L323" t="str">
        <f>PROPER(TRIM(CLEAN(Sales_Table[[#This Row],[Salesperson]])))</f>
        <v>Anita</v>
      </c>
      <c r="M323" t="s">
        <v>64</v>
      </c>
      <c r="N323" t="str">
        <f t="shared" ref="N323:N386" si="38">PROPER(TRIM(O323))</f>
        <v>Debit Card</v>
      </c>
      <c r="O323" t="s">
        <v>41</v>
      </c>
      <c r="P323">
        <f t="shared" ref="P323:P386" si="39">VALUE(Q323)</f>
        <v>14</v>
      </c>
      <c r="Q323" t="s">
        <v>55</v>
      </c>
      <c r="R323">
        <f t="shared" ref="R323:R386" si="40">VALUE(S323)</f>
        <v>1747</v>
      </c>
      <c r="S323" t="s">
        <v>956</v>
      </c>
      <c r="T323">
        <f t="shared" ref="T323:T386" si="41">P323*R323</f>
        <v>24458</v>
      </c>
      <c r="U323">
        <f>YEAR(Sales_Table[[#This Row],[Date_clean]])</f>
        <v>2024</v>
      </c>
      <c r="V323" t="str">
        <f>TEXT(Sales_Table[[#This Row],[Date_clean]],"mmmm")</f>
        <v>January</v>
      </c>
      <c r="W323">
        <f>WEEKNUM(Sales_Table[[#This Row],[Date_clean]],2)</f>
        <v>2</v>
      </c>
      <c r="X323" t="str" cm="1">
        <f t="array" ref="X323">_xlfn.IFS(Sales_Table[[#This Row],[Revenue]]&gt;=50000,"High",Sales_Table[[#This Row],[Revenue]]&gt;=20000,"Medium",Sales_Table[[#This Row],[Revenue]]&lt;20000,"Low")</f>
        <v>Medium</v>
      </c>
      <c r="Y323" t="str">
        <f>IF(Sales_Table[[#This Row],[Payment Method_clean]]="cash","Offline","Online")</f>
        <v>Online</v>
      </c>
      <c r="Z323">
        <f>IFERROR(Sales_Table[[#This Row],[Revenue]],0)</f>
        <v>24458</v>
      </c>
    </row>
    <row r="324" spans="1:26" x14ac:dyDescent="0.3">
      <c r="A324">
        <v>323</v>
      </c>
      <c r="B324" s="2">
        <f t="shared" si="35"/>
        <v>45305.416666666664</v>
      </c>
      <c r="C324" t="s">
        <v>957</v>
      </c>
      <c r="D324" t="s">
        <v>36</v>
      </c>
      <c r="E324" t="str">
        <f>PROPER(TRIM(CLEAN(Sales_Table[[#This Row],[Region]])))</f>
        <v>West</v>
      </c>
      <c r="F324" t="s">
        <v>46</v>
      </c>
      <c r="G324" t="str">
        <f t="shared" si="36"/>
        <v>Electronics</v>
      </c>
      <c r="H324" t="str">
        <f>PROPER(TRIM(CLEAN(Sales_Table[[#This Row],[Product Name]])))</f>
        <v>Men T-Shirt</v>
      </c>
      <c r="I324" t="s">
        <v>38</v>
      </c>
      <c r="J324" t="str">
        <f t="shared" si="37"/>
        <v>CUST0638</v>
      </c>
      <c r="K324" t="s">
        <v>958</v>
      </c>
      <c r="L324" t="str">
        <f>PROPER(TRIM(CLEAN(Sales_Table[[#This Row],[Salesperson]])))</f>
        <v>Meena</v>
      </c>
      <c r="M324" t="s">
        <v>40</v>
      </c>
      <c r="N324" t="str">
        <f t="shared" si="38"/>
        <v>Cash</v>
      </c>
      <c r="O324" t="s">
        <v>32</v>
      </c>
      <c r="P324">
        <f t="shared" si="39"/>
        <v>3</v>
      </c>
      <c r="Q324" t="s">
        <v>66</v>
      </c>
      <c r="R324">
        <f t="shared" si="40"/>
        <v>3145</v>
      </c>
      <c r="S324" t="s">
        <v>959</v>
      </c>
      <c r="T324">
        <f t="shared" si="41"/>
        <v>9435</v>
      </c>
      <c r="U324">
        <f>YEAR(Sales_Table[[#This Row],[Date_clean]])</f>
        <v>2024</v>
      </c>
      <c r="V324" t="str">
        <f>TEXT(Sales_Table[[#This Row],[Date_clean]],"mmmm")</f>
        <v>January</v>
      </c>
      <c r="W324">
        <f>WEEKNUM(Sales_Table[[#This Row],[Date_clean]],2)</f>
        <v>2</v>
      </c>
      <c r="X324" t="str" cm="1">
        <f t="array" ref="X324">_xlfn.IFS(Sales_Table[[#This Row],[Revenue]]&gt;=50000,"High",Sales_Table[[#This Row],[Revenue]]&gt;=20000,"Medium",Sales_Table[[#This Row],[Revenue]]&lt;20000,"Low")</f>
        <v>Low</v>
      </c>
      <c r="Y324" t="str">
        <f>IF(Sales_Table[[#This Row],[Payment Method_clean]]="cash","Offline","Online")</f>
        <v>Offline</v>
      </c>
      <c r="Z324">
        <f>IFERROR(Sales_Table[[#This Row],[Revenue]],0)</f>
        <v>9435</v>
      </c>
    </row>
    <row r="325" spans="1:26" x14ac:dyDescent="0.3">
      <c r="A325">
        <v>324</v>
      </c>
      <c r="B325" s="2">
        <f t="shared" si="35"/>
        <v>45305.458333333336</v>
      </c>
      <c r="C325" t="s">
        <v>960</v>
      </c>
      <c r="D325" t="s">
        <v>84</v>
      </c>
      <c r="E325" t="str">
        <f>PROPER(TRIM(CLEAN(Sales_Table[[#This Row],[Region]])))</f>
        <v>South</v>
      </c>
      <c r="F325" t="s">
        <v>37</v>
      </c>
      <c r="G325" t="str">
        <f t="shared" si="36"/>
        <v>Home Appliances</v>
      </c>
      <c r="H325" t="str">
        <f>PROPER(TRIM(CLEAN(Sales_Table[[#This Row],[Product Name]])))</f>
        <v>Mixer Grinder</v>
      </c>
      <c r="I325" t="s">
        <v>29</v>
      </c>
      <c r="J325" t="str">
        <f t="shared" si="37"/>
        <v>CUST0584</v>
      </c>
      <c r="K325" t="s">
        <v>961</v>
      </c>
      <c r="L325" t="str">
        <f>PROPER(TRIM(CLEAN(Sales_Table[[#This Row],[Salesperson]])))</f>
        <v>Rahul</v>
      </c>
      <c r="M325" t="s">
        <v>31</v>
      </c>
      <c r="N325" t="str">
        <f t="shared" si="38"/>
        <v>Upi</v>
      </c>
      <c r="O325" t="s">
        <v>48</v>
      </c>
      <c r="P325">
        <f t="shared" si="39"/>
        <v>5</v>
      </c>
      <c r="Q325" t="s">
        <v>89</v>
      </c>
      <c r="R325">
        <f t="shared" si="40"/>
        <v>4731</v>
      </c>
      <c r="S325" t="s">
        <v>962</v>
      </c>
      <c r="T325">
        <f t="shared" si="41"/>
        <v>23655</v>
      </c>
      <c r="U325">
        <f>YEAR(Sales_Table[[#This Row],[Date_clean]])</f>
        <v>2024</v>
      </c>
      <c r="V325" t="str">
        <f>TEXT(Sales_Table[[#This Row],[Date_clean]],"mmmm")</f>
        <v>January</v>
      </c>
      <c r="W325">
        <f>WEEKNUM(Sales_Table[[#This Row],[Date_clean]],2)</f>
        <v>2</v>
      </c>
      <c r="X325" t="str" cm="1">
        <f t="array" ref="X325">_xlfn.IFS(Sales_Table[[#This Row],[Revenue]]&gt;=50000,"High",Sales_Table[[#This Row],[Revenue]]&gt;=20000,"Medium",Sales_Table[[#This Row],[Revenue]]&lt;20000,"Low")</f>
        <v>Medium</v>
      </c>
      <c r="Y325" t="str">
        <f>IF(Sales_Table[[#This Row],[Payment Method_clean]]="cash","Offline","Online")</f>
        <v>Online</v>
      </c>
      <c r="Z325">
        <f>IFERROR(Sales_Table[[#This Row],[Revenue]],0)</f>
        <v>23655</v>
      </c>
    </row>
    <row r="326" spans="1:26" x14ac:dyDescent="0.3">
      <c r="A326">
        <v>325</v>
      </c>
      <c r="B326" s="2">
        <f t="shared" si="35"/>
        <v>45305.5</v>
      </c>
      <c r="C326" t="s">
        <v>963</v>
      </c>
      <c r="D326" t="s">
        <v>84</v>
      </c>
      <c r="E326" t="str">
        <f>PROPER(TRIM(CLEAN(Sales_Table[[#This Row],[Region]])))</f>
        <v>South</v>
      </c>
      <c r="F326" t="s">
        <v>28</v>
      </c>
      <c r="G326" t="str">
        <f t="shared" si="36"/>
        <v>Clothing</v>
      </c>
      <c r="H326" t="str">
        <f>PROPER(TRIM(CLEAN(Sales_Table[[#This Row],[Product Name]])))</f>
        <v>Rice 5Kg</v>
      </c>
      <c r="I326" t="s">
        <v>73</v>
      </c>
      <c r="J326" t="str">
        <f t="shared" si="37"/>
        <v>CUST0296</v>
      </c>
      <c r="K326" t="s">
        <v>763</v>
      </c>
      <c r="L326" t="str">
        <f>PROPER(TRIM(CLEAN(Sales_Table[[#This Row],[Salesperson]])))</f>
        <v>Anita</v>
      </c>
      <c r="M326" t="s">
        <v>64</v>
      </c>
      <c r="N326" t="str">
        <f t="shared" si="38"/>
        <v>Credit Card</v>
      </c>
      <c r="O326" t="s">
        <v>65</v>
      </c>
      <c r="P326">
        <f t="shared" si="39"/>
        <v>14</v>
      </c>
      <c r="Q326" t="s">
        <v>55</v>
      </c>
      <c r="R326">
        <f t="shared" si="40"/>
        <v>2315</v>
      </c>
      <c r="S326" t="s">
        <v>964</v>
      </c>
      <c r="T326">
        <f t="shared" si="41"/>
        <v>32410</v>
      </c>
      <c r="U326">
        <f>YEAR(Sales_Table[[#This Row],[Date_clean]])</f>
        <v>2024</v>
      </c>
      <c r="V326" t="str">
        <f>TEXT(Sales_Table[[#This Row],[Date_clean]],"mmmm")</f>
        <v>January</v>
      </c>
      <c r="W326">
        <f>WEEKNUM(Sales_Table[[#This Row],[Date_clean]],2)</f>
        <v>2</v>
      </c>
      <c r="X326" t="str" cm="1">
        <f t="array" ref="X326">_xlfn.IFS(Sales_Table[[#This Row],[Revenue]]&gt;=50000,"High",Sales_Table[[#This Row],[Revenue]]&gt;=20000,"Medium",Sales_Table[[#This Row],[Revenue]]&lt;20000,"Low")</f>
        <v>Medium</v>
      </c>
      <c r="Y326" t="str">
        <f>IF(Sales_Table[[#This Row],[Payment Method_clean]]="cash","Offline","Online")</f>
        <v>Online</v>
      </c>
      <c r="Z326">
        <f>IFERROR(Sales_Table[[#This Row],[Revenue]],0)</f>
        <v>32410</v>
      </c>
    </row>
    <row r="327" spans="1:26" x14ac:dyDescent="0.3">
      <c r="A327">
        <v>326</v>
      </c>
      <c r="B327" s="2">
        <f t="shared" si="35"/>
        <v>45305.541666666664</v>
      </c>
      <c r="C327" t="s">
        <v>965</v>
      </c>
      <c r="D327" t="s">
        <v>84</v>
      </c>
      <c r="E327" t="str">
        <f>PROPER(TRIM(CLEAN(Sales_Table[[#This Row],[Region]])))</f>
        <v>South</v>
      </c>
      <c r="F327" t="s">
        <v>78</v>
      </c>
      <c r="G327" t="str">
        <f t="shared" si="36"/>
        <v>Grocery</v>
      </c>
      <c r="H327" t="str">
        <f>PROPER(TRIM(CLEAN(Sales_Table[[#This Row],[Product Name]])))</f>
        <v>Mixer Grinder</v>
      </c>
      <c r="I327" t="s">
        <v>29</v>
      </c>
      <c r="J327" t="str">
        <f t="shared" si="37"/>
        <v>CUST0236</v>
      </c>
      <c r="K327" t="s">
        <v>966</v>
      </c>
      <c r="L327" t="str">
        <f>PROPER(TRIM(CLEAN(Sales_Table[[#This Row],[Salesperson]])))</f>
        <v>Suresh</v>
      </c>
      <c r="M327" t="s">
        <v>54</v>
      </c>
      <c r="N327" t="str">
        <f t="shared" si="38"/>
        <v>Debit Card</v>
      </c>
      <c r="O327" t="s">
        <v>41</v>
      </c>
      <c r="P327">
        <f t="shared" si="39"/>
        <v>3</v>
      </c>
      <c r="Q327" t="s">
        <v>66</v>
      </c>
      <c r="R327">
        <f t="shared" si="40"/>
        <v>4816</v>
      </c>
      <c r="S327" t="s">
        <v>967</v>
      </c>
      <c r="T327">
        <f t="shared" si="41"/>
        <v>14448</v>
      </c>
      <c r="U327">
        <f>YEAR(Sales_Table[[#This Row],[Date_clean]])</f>
        <v>2024</v>
      </c>
      <c r="V327" t="str">
        <f>TEXT(Sales_Table[[#This Row],[Date_clean]],"mmmm")</f>
        <v>January</v>
      </c>
      <c r="W327">
        <f>WEEKNUM(Sales_Table[[#This Row],[Date_clean]],2)</f>
        <v>2</v>
      </c>
      <c r="X327" t="str" cm="1">
        <f t="array" ref="X327">_xlfn.IFS(Sales_Table[[#This Row],[Revenue]]&gt;=50000,"High",Sales_Table[[#This Row],[Revenue]]&gt;=20000,"Medium",Sales_Table[[#This Row],[Revenue]]&lt;20000,"Low")</f>
        <v>Low</v>
      </c>
      <c r="Y327" t="str">
        <f>IF(Sales_Table[[#This Row],[Payment Method_clean]]="cash","Offline","Online")</f>
        <v>Online</v>
      </c>
      <c r="Z327">
        <f>IFERROR(Sales_Table[[#This Row],[Revenue]],0)</f>
        <v>14448</v>
      </c>
    </row>
    <row r="328" spans="1:26" x14ac:dyDescent="0.3">
      <c r="A328">
        <v>327</v>
      </c>
      <c r="B328" s="2">
        <f t="shared" si="35"/>
        <v>45305.583333333336</v>
      </c>
      <c r="C328" t="s">
        <v>968</v>
      </c>
      <c r="D328" t="s">
        <v>27</v>
      </c>
      <c r="E328" t="str">
        <f>PROPER(TRIM(CLEAN(Sales_Table[[#This Row],[Region]])))</f>
        <v>East</v>
      </c>
      <c r="F328" t="s">
        <v>46</v>
      </c>
      <c r="G328" t="str">
        <f t="shared" si="36"/>
        <v>Electronics</v>
      </c>
      <c r="H328" t="str">
        <f>PROPER(TRIM(CLEAN(Sales_Table[[#This Row],[Product Name]])))</f>
        <v>Men T-Shirt</v>
      </c>
      <c r="I328" t="s">
        <v>38</v>
      </c>
      <c r="J328" t="str">
        <f t="shared" si="37"/>
        <v>CUST0056</v>
      </c>
      <c r="K328" t="s">
        <v>419</v>
      </c>
      <c r="L328" t="str">
        <f>PROPER(TRIM(CLEAN(Sales_Table[[#This Row],[Salesperson]])))</f>
        <v>Rahul</v>
      </c>
      <c r="M328" t="s">
        <v>31</v>
      </c>
      <c r="N328" t="str">
        <f t="shared" si="38"/>
        <v>Debit Card</v>
      </c>
      <c r="O328" t="s">
        <v>41</v>
      </c>
      <c r="P328">
        <f t="shared" si="39"/>
        <v>11</v>
      </c>
      <c r="Q328" t="s">
        <v>97</v>
      </c>
      <c r="R328">
        <f t="shared" si="40"/>
        <v>527</v>
      </c>
      <c r="S328" t="s">
        <v>969</v>
      </c>
      <c r="T328">
        <f t="shared" si="41"/>
        <v>5797</v>
      </c>
      <c r="U328">
        <f>YEAR(Sales_Table[[#This Row],[Date_clean]])</f>
        <v>2024</v>
      </c>
      <c r="V328" t="str">
        <f>TEXT(Sales_Table[[#This Row],[Date_clean]],"mmmm")</f>
        <v>January</v>
      </c>
      <c r="W328">
        <f>WEEKNUM(Sales_Table[[#This Row],[Date_clean]],2)</f>
        <v>2</v>
      </c>
      <c r="X328" t="str" cm="1">
        <f t="array" ref="X328">_xlfn.IFS(Sales_Table[[#This Row],[Revenue]]&gt;=50000,"High",Sales_Table[[#This Row],[Revenue]]&gt;=20000,"Medium",Sales_Table[[#This Row],[Revenue]]&lt;20000,"Low")</f>
        <v>Low</v>
      </c>
      <c r="Y328" t="str">
        <f>IF(Sales_Table[[#This Row],[Payment Method_clean]]="cash","Offline","Online")</f>
        <v>Online</v>
      </c>
      <c r="Z328">
        <f>IFERROR(Sales_Table[[#This Row],[Revenue]],0)</f>
        <v>5797</v>
      </c>
    </row>
    <row r="329" spans="1:26" x14ac:dyDescent="0.3">
      <c r="A329">
        <v>328</v>
      </c>
      <c r="B329" s="2">
        <f t="shared" si="35"/>
        <v>45305.625</v>
      </c>
      <c r="C329" t="s">
        <v>970</v>
      </c>
      <c r="D329" t="s">
        <v>27</v>
      </c>
      <c r="E329" t="str">
        <f>PROPER(TRIM(CLEAN(Sales_Table[[#This Row],[Region]])))</f>
        <v>East</v>
      </c>
      <c r="F329" t="s">
        <v>28</v>
      </c>
      <c r="G329" t="str">
        <f t="shared" si="36"/>
        <v>Clothing</v>
      </c>
      <c r="H329" t="str">
        <f>PROPER(TRIM(CLEAN(Sales_Table[[#This Row],[Product Name]])))</f>
        <v>Mixer Grinder</v>
      </c>
      <c r="I329" t="s">
        <v>29</v>
      </c>
      <c r="J329" t="str">
        <f t="shared" si="37"/>
        <v>CUST0360</v>
      </c>
      <c r="K329" t="s">
        <v>971</v>
      </c>
      <c r="L329" t="str">
        <f>PROPER(TRIM(CLEAN(Sales_Table[[#This Row],[Salesperson]])))</f>
        <v>Anita</v>
      </c>
      <c r="M329" t="s">
        <v>64</v>
      </c>
      <c r="N329" t="str">
        <f t="shared" si="38"/>
        <v>Cash</v>
      </c>
      <c r="O329" t="s">
        <v>32</v>
      </c>
      <c r="P329">
        <f t="shared" si="39"/>
        <v>10</v>
      </c>
      <c r="Q329" t="s">
        <v>117</v>
      </c>
      <c r="R329">
        <f t="shared" si="40"/>
        <v>2637</v>
      </c>
      <c r="S329" t="s">
        <v>972</v>
      </c>
      <c r="T329">
        <f t="shared" si="41"/>
        <v>26370</v>
      </c>
      <c r="U329">
        <f>YEAR(Sales_Table[[#This Row],[Date_clean]])</f>
        <v>2024</v>
      </c>
      <c r="V329" t="str">
        <f>TEXT(Sales_Table[[#This Row],[Date_clean]],"mmmm")</f>
        <v>January</v>
      </c>
      <c r="W329">
        <f>WEEKNUM(Sales_Table[[#This Row],[Date_clean]],2)</f>
        <v>2</v>
      </c>
      <c r="X329" t="str" cm="1">
        <f t="array" ref="X329">_xlfn.IFS(Sales_Table[[#This Row],[Revenue]]&gt;=50000,"High",Sales_Table[[#This Row],[Revenue]]&gt;=20000,"Medium",Sales_Table[[#This Row],[Revenue]]&lt;20000,"Low")</f>
        <v>Medium</v>
      </c>
      <c r="Y329" t="str">
        <f>IF(Sales_Table[[#This Row],[Payment Method_clean]]="cash","Offline","Online")</f>
        <v>Offline</v>
      </c>
      <c r="Z329">
        <f>IFERROR(Sales_Table[[#This Row],[Revenue]],0)</f>
        <v>26370</v>
      </c>
    </row>
    <row r="330" spans="1:26" x14ac:dyDescent="0.3">
      <c r="A330">
        <v>329</v>
      </c>
      <c r="B330" s="2">
        <f t="shared" si="35"/>
        <v>45305.666666666664</v>
      </c>
      <c r="C330" t="s">
        <v>973</v>
      </c>
      <c r="D330" t="s">
        <v>36</v>
      </c>
      <c r="E330" t="str">
        <f>PROPER(TRIM(CLEAN(Sales_Table[[#This Row],[Region]])))</f>
        <v>West</v>
      </c>
      <c r="F330" t="s">
        <v>28</v>
      </c>
      <c r="G330" t="str">
        <f t="shared" si="36"/>
        <v>Clothing</v>
      </c>
      <c r="H330" t="str">
        <f>PROPER(TRIM(CLEAN(Sales_Table[[#This Row],[Product Name]])))</f>
        <v>Laptop</v>
      </c>
      <c r="I330" t="s">
        <v>52</v>
      </c>
      <c r="J330" t="str">
        <f t="shared" si="37"/>
        <v>CUST0110</v>
      </c>
      <c r="K330" t="s">
        <v>974</v>
      </c>
      <c r="L330" t="str">
        <f>PROPER(TRIM(CLEAN(Sales_Table[[#This Row],[Salesperson]])))</f>
        <v>Karthik</v>
      </c>
      <c r="M330" t="s">
        <v>70</v>
      </c>
      <c r="N330" t="str">
        <f t="shared" si="38"/>
        <v>Credit Card</v>
      </c>
      <c r="O330" t="s">
        <v>65</v>
      </c>
      <c r="P330">
        <f t="shared" si="39"/>
        <v>11</v>
      </c>
      <c r="Q330" t="s">
        <v>97</v>
      </c>
      <c r="R330">
        <f t="shared" si="40"/>
        <v>644</v>
      </c>
      <c r="S330" t="s">
        <v>975</v>
      </c>
      <c r="T330">
        <f t="shared" si="41"/>
        <v>7084</v>
      </c>
      <c r="U330">
        <f>YEAR(Sales_Table[[#This Row],[Date_clean]])</f>
        <v>2024</v>
      </c>
      <c r="V330" t="str">
        <f>TEXT(Sales_Table[[#This Row],[Date_clean]],"mmmm")</f>
        <v>January</v>
      </c>
      <c r="W330">
        <f>WEEKNUM(Sales_Table[[#This Row],[Date_clean]],2)</f>
        <v>2</v>
      </c>
      <c r="X330" t="str" cm="1">
        <f t="array" ref="X330">_xlfn.IFS(Sales_Table[[#This Row],[Revenue]]&gt;=50000,"High",Sales_Table[[#This Row],[Revenue]]&gt;=20000,"Medium",Sales_Table[[#This Row],[Revenue]]&lt;20000,"Low")</f>
        <v>Low</v>
      </c>
      <c r="Y330" t="str">
        <f>IF(Sales_Table[[#This Row],[Payment Method_clean]]="cash","Offline","Online")</f>
        <v>Online</v>
      </c>
      <c r="Z330">
        <f>IFERROR(Sales_Table[[#This Row],[Revenue]],0)</f>
        <v>7084</v>
      </c>
    </row>
    <row r="331" spans="1:26" x14ac:dyDescent="0.3">
      <c r="A331">
        <v>330</v>
      </c>
      <c r="B331" s="2">
        <f t="shared" si="35"/>
        <v>45305.708333333336</v>
      </c>
      <c r="C331" t="s">
        <v>976</v>
      </c>
      <c r="D331" t="s">
        <v>36</v>
      </c>
      <c r="E331" t="str">
        <f>PROPER(TRIM(CLEAN(Sales_Table[[#This Row],[Region]])))</f>
        <v>West</v>
      </c>
      <c r="F331" t="s">
        <v>46</v>
      </c>
      <c r="G331" t="str">
        <f t="shared" si="36"/>
        <v>Electronics</v>
      </c>
      <c r="H331" t="str">
        <f>PROPER(TRIM(CLEAN(Sales_Table[[#This Row],[Product Name]])))</f>
        <v>Laptop</v>
      </c>
      <c r="I331" t="s">
        <v>52</v>
      </c>
      <c r="J331" t="str">
        <f t="shared" si="37"/>
        <v>CUST0192</v>
      </c>
      <c r="K331" t="s">
        <v>977</v>
      </c>
      <c r="L331" t="str">
        <f>PROPER(TRIM(CLEAN(Sales_Table[[#This Row],[Salesperson]])))</f>
        <v>Suresh</v>
      </c>
      <c r="M331" t="s">
        <v>54</v>
      </c>
      <c r="N331" t="str">
        <f t="shared" si="38"/>
        <v>Upi</v>
      </c>
      <c r="O331" t="s">
        <v>48</v>
      </c>
      <c r="P331">
        <f t="shared" si="39"/>
        <v>7</v>
      </c>
      <c r="Q331" t="s">
        <v>49</v>
      </c>
      <c r="R331">
        <f t="shared" si="40"/>
        <v>2864</v>
      </c>
      <c r="S331" t="s">
        <v>978</v>
      </c>
      <c r="T331">
        <f t="shared" si="41"/>
        <v>20048</v>
      </c>
      <c r="U331">
        <f>YEAR(Sales_Table[[#This Row],[Date_clean]])</f>
        <v>2024</v>
      </c>
      <c r="V331" t="str">
        <f>TEXT(Sales_Table[[#This Row],[Date_clean]],"mmmm")</f>
        <v>January</v>
      </c>
      <c r="W331">
        <f>WEEKNUM(Sales_Table[[#This Row],[Date_clean]],2)</f>
        <v>2</v>
      </c>
      <c r="X331" t="str" cm="1">
        <f t="array" ref="X331">_xlfn.IFS(Sales_Table[[#This Row],[Revenue]]&gt;=50000,"High",Sales_Table[[#This Row],[Revenue]]&gt;=20000,"Medium",Sales_Table[[#This Row],[Revenue]]&lt;20000,"Low")</f>
        <v>Medium</v>
      </c>
      <c r="Y331" t="str">
        <f>IF(Sales_Table[[#This Row],[Payment Method_clean]]="cash","Offline","Online")</f>
        <v>Online</v>
      </c>
      <c r="Z331">
        <f>IFERROR(Sales_Table[[#This Row],[Revenue]],0)</f>
        <v>20048</v>
      </c>
    </row>
    <row r="332" spans="1:26" x14ac:dyDescent="0.3">
      <c r="A332">
        <v>331</v>
      </c>
      <c r="B332" s="2">
        <f t="shared" si="35"/>
        <v>45305.75</v>
      </c>
      <c r="C332" t="s">
        <v>979</v>
      </c>
      <c r="D332" t="s">
        <v>45</v>
      </c>
      <c r="E332" t="str">
        <f>PROPER(TRIM(CLEAN(Sales_Table[[#This Row],[Region]])))</f>
        <v>North</v>
      </c>
      <c r="F332" t="s">
        <v>37</v>
      </c>
      <c r="G332" t="str">
        <f t="shared" si="36"/>
        <v>Home Appliances</v>
      </c>
      <c r="H332" t="str">
        <f>PROPER(TRIM(CLEAN(Sales_Table[[#This Row],[Product Name]])))</f>
        <v>Washing Machine</v>
      </c>
      <c r="I332" t="s">
        <v>79</v>
      </c>
      <c r="J332" t="str">
        <f t="shared" si="37"/>
        <v>CUST0093</v>
      </c>
      <c r="K332" t="s">
        <v>731</v>
      </c>
      <c r="L332" t="str">
        <f>PROPER(TRIM(CLEAN(Sales_Table[[#This Row],[Salesperson]])))</f>
        <v>Karthik</v>
      </c>
      <c r="M332" t="s">
        <v>70</v>
      </c>
      <c r="N332" t="str">
        <f t="shared" si="38"/>
        <v>Net Banking</v>
      </c>
      <c r="O332" t="s">
        <v>60</v>
      </c>
      <c r="P332">
        <f t="shared" si="39"/>
        <v>13</v>
      </c>
      <c r="Q332" t="s">
        <v>81</v>
      </c>
      <c r="R332">
        <f t="shared" si="40"/>
        <v>3865</v>
      </c>
      <c r="S332" t="s">
        <v>980</v>
      </c>
      <c r="T332">
        <f t="shared" si="41"/>
        <v>50245</v>
      </c>
      <c r="U332">
        <f>YEAR(Sales_Table[[#This Row],[Date_clean]])</f>
        <v>2024</v>
      </c>
      <c r="V332" t="str">
        <f>TEXT(Sales_Table[[#This Row],[Date_clean]],"mmmm")</f>
        <v>January</v>
      </c>
      <c r="W332">
        <f>WEEKNUM(Sales_Table[[#This Row],[Date_clean]],2)</f>
        <v>2</v>
      </c>
      <c r="X332" t="str" cm="1">
        <f t="array" ref="X332">_xlfn.IFS(Sales_Table[[#This Row],[Revenue]]&gt;=50000,"High",Sales_Table[[#This Row],[Revenue]]&gt;=20000,"Medium",Sales_Table[[#This Row],[Revenue]]&lt;20000,"Low")</f>
        <v>High</v>
      </c>
      <c r="Y332" t="str">
        <f>IF(Sales_Table[[#This Row],[Payment Method_clean]]="cash","Offline","Online")</f>
        <v>Online</v>
      </c>
      <c r="Z332">
        <f>IFERROR(Sales_Table[[#This Row],[Revenue]],0)</f>
        <v>50245</v>
      </c>
    </row>
    <row r="333" spans="1:26" x14ac:dyDescent="0.3">
      <c r="A333">
        <v>332</v>
      </c>
      <c r="B333" s="2">
        <f t="shared" si="35"/>
        <v>45305.791666666664</v>
      </c>
      <c r="C333" t="s">
        <v>981</v>
      </c>
      <c r="D333" t="s">
        <v>45</v>
      </c>
      <c r="E333" t="str">
        <f>PROPER(TRIM(CLEAN(Sales_Table[[#This Row],[Region]])))</f>
        <v>North</v>
      </c>
      <c r="F333" t="s">
        <v>46</v>
      </c>
      <c r="G333" t="str">
        <f t="shared" si="36"/>
        <v>Electronics</v>
      </c>
      <c r="H333" t="str">
        <f>PROPER(TRIM(CLEAN(Sales_Table[[#This Row],[Product Name]])))</f>
        <v>Washing Machine</v>
      </c>
      <c r="I333" t="s">
        <v>79</v>
      </c>
      <c r="J333" t="str">
        <f t="shared" si="37"/>
        <v>CUST0568</v>
      </c>
      <c r="K333" t="s">
        <v>982</v>
      </c>
      <c r="L333" t="str">
        <f>PROPER(TRIM(CLEAN(Sales_Table[[#This Row],[Salesperson]])))</f>
        <v>Anita</v>
      </c>
      <c r="M333" t="s">
        <v>64</v>
      </c>
      <c r="N333" t="str">
        <f t="shared" si="38"/>
        <v>Cash</v>
      </c>
      <c r="O333" t="s">
        <v>32</v>
      </c>
      <c r="P333">
        <f t="shared" si="39"/>
        <v>1</v>
      </c>
      <c r="Q333" t="s">
        <v>93</v>
      </c>
      <c r="R333">
        <f t="shared" si="40"/>
        <v>758</v>
      </c>
      <c r="S333" t="s">
        <v>983</v>
      </c>
      <c r="T333">
        <f t="shared" si="41"/>
        <v>758</v>
      </c>
      <c r="U333">
        <f>YEAR(Sales_Table[[#This Row],[Date_clean]])</f>
        <v>2024</v>
      </c>
      <c r="V333" t="str">
        <f>TEXT(Sales_Table[[#This Row],[Date_clean]],"mmmm")</f>
        <v>January</v>
      </c>
      <c r="W333">
        <f>WEEKNUM(Sales_Table[[#This Row],[Date_clean]],2)</f>
        <v>2</v>
      </c>
      <c r="X333" t="str" cm="1">
        <f t="array" ref="X333">_xlfn.IFS(Sales_Table[[#This Row],[Revenue]]&gt;=50000,"High",Sales_Table[[#This Row],[Revenue]]&gt;=20000,"Medium",Sales_Table[[#This Row],[Revenue]]&lt;20000,"Low")</f>
        <v>Low</v>
      </c>
      <c r="Y333" t="str">
        <f>IF(Sales_Table[[#This Row],[Payment Method_clean]]="cash","Offline","Online")</f>
        <v>Offline</v>
      </c>
      <c r="Z333">
        <f>IFERROR(Sales_Table[[#This Row],[Revenue]],0)</f>
        <v>758</v>
      </c>
    </row>
    <row r="334" spans="1:26" x14ac:dyDescent="0.3">
      <c r="A334">
        <v>333</v>
      </c>
      <c r="B334" s="2">
        <f t="shared" si="35"/>
        <v>45305.833333333336</v>
      </c>
      <c r="C334" t="s">
        <v>984</v>
      </c>
      <c r="D334" t="s">
        <v>36</v>
      </c>
      <c r="E334" t="str">
        <f>PROPER(TRIM(CLEAN(Sales_Table[[#This Row],[Region]])))</f>
        <v>West</v>
      </c>
      <c r="F334" t="s">
        <v>46</v>
      </c>
      <c r="G334" t="str">
        <f t="shared" si="36"/>
        <v>Electronics</v>
      </c>
      <c r="H334" t="str">
        <f>PROPER(TRIM(CLEAN(Sales_Table[[#This Row],[Product Name]])))</f>
        <v>Mixer Grinder</v>
      </c>
      <c r="I334" t="s">
        <v>29</v>
      </c>
      <c r="J334" t="str">
        <f t="shared" si="37"/>
        <v>CUST0060</v>
      </c>
      <c r="K334" t="s">
        <v>985</v>
      </c>
      <c r="L334" t="str">
        <f>PROPER(TRIM(CLEAN(Sales_Table[[#This Row],[Salesperson]])))</f>
        <v>Karthik</v>
      </c>
      <c r="M334" t="s">
        <v>70</v>
      </c>
      <c r="N334" t="str">
        <f t="shared" si="38"/>
        <v>Upi</v>
      </c>
      <c r="O334" t="s">
        <v>48</v>
      </c>
      <c r="P334">
        <f t="shared" si="39"/>
        <v>9</v>
      </c>
      <c r="Q334" t="s">
        <v>130</v>
      </c>
      <c r="R334">
        <f t="shared" si="40"/>
        <v>2927</v>
      </c>
      <c r="S334" t="s">
        <v>986</v>
      </c>
      <c r="T334">
        <f t="shared" si="41"/>
        <v>26343</v>
      </c>
      <c r="U334">
        <f>YEAR(Sales_Table[[#This Row],[Date_clean]])</f>
        <v>2024</v>
      </c>
      <c r="V334" t="str">
        <f>TEXT(Sales_Table[[#This Row],[Date_clean]],"mmmm")</f>
        <v>January</v>
      </c>
      <c r="W334">
        <f>WEEKNUM(Sales_Table[[#This Row],[Date_clean]],2)</f>
        <v>2</v>
      </c>
      <c r="X334" t="str" cm="1">
        <f t="array" ref="X334">_xlfn.IFS(Sales_Table[[#This Row],[Revenue]]&gt;=50000,"High",Sales_Table[[#This Row],[Revenue]]&gt;=20000,"Medium",Sales_Table[[#This Row],[Revenue]]&lt;20000,"Low")</f>
        <v>Medium</v>
      </c>
      <c r="Y334" t="str">
        <f>IF(Sales_Table[[#This Row],[Payment Method_clean]]="cash","Offline","Online")</f>
        <v>Online</v>
      </c>
      <c r="Z334">
        <f>IFERROR(Sales_Table[[#This Row],[Revenue]],0)</f>
        <v>26343</v>
      </c>
    </row>
    <row r="335" spans="1:26" x14ac:dyDescent="0.3">
      <c r="A335">
        <v>334</v>
      </c>
      <c r="B335" s="2">
        <f t="shared" si="35"/>
        <v>45305.875</v>
      </c>
      <c r="C335" t="s">
        <v>987</v>
      </c>
      <c r="D335" t="s">
        <v>27</v>
      </c>
      <c r="E335" t="str">
        <f>PROPER(TRIM(CLEAN(Sales_Table[[#This Row],[Region]])))</f>
        <v>East</v>
      </c>
      <c r="F335" t="s">
        <v>78</v>
      </c>
      <c r="G335" t="str">
        <f t="shared" si="36"/>
        <v>Grocery</v>
      </c>
      <c r="H335" t="str">
        <f>PROPER(TRIM(CLEAN(Sales_Table[[#This Row],[Product Name]])))</f>
        <v>Rice 5Kg</v>
      </c>
      <c r="I335" t="s">
        <v>73</v>
      </c>
      <c r="J335" t="str">
        <f t="shared" si="37"/>
        <v>CUST0650</v>
      </c>
      <c r="K335" t="s">
        <v>255</v>
      </c>
      <c r="L335" t="str">
        <f>PROPER(TRIM(CLEAN(Sales_Table[[#This Row],[Salesperson]])))</f>
        <v>Anita</v>
      </c>
      <c r="M335" t="s">
        <v>64</v>
      </c>
      <c r="N335" t="str">
        <f t="shared" si="38"/>
        <v>Net Banking</v>
      </c>
      <c r="O335" t="s">
        <v>60</v>
      </c>
      <c r="P335">
        <f t="shared" si="39"/>
        <v>9</v>
      </c>
      <c r="Q335" t="s">
        <v>130</v>
      </c>
      <c r="R335">
        <f t="shared" si="40"/>
        <v>2158</v>
      </c>
      <c r="S335" t="s">
        <v>988</v>
      </c>
      <c r="T335">
        <f t="shared" si="41"/>
        <v>19422</v>
      </c>
      <c r="U335">
        <f>YEAR(Sales_Table[[#This Row],[Date_clean]])</f>
        <v>2024</v>
      </c>
      <c r="V335" t="str">
        <f>TEXT(Sales_Table[[#This Row],[Date_clean]],"mmmm")</f>
        <v>January</v>
      </c>
      <c r="W335">
        <f>WEEKNUM(Sales_Table[[#This Row],[Date_clean]],2)</f>
        <v>2</v>
      </c>
      <c r="X335" t="str" cm="1">
        <f t="array" ref="X335">_xlfn.IFS(Sales_Table[[#This Row],[Revenue]]&gt;=50000,"High",Sales_Table[[#This Row],[Revenue]]&gt;=20000,"Medium",Sales_Table[[#This Row],[Revenue]]&lt;20000,"Low")</f>
        <v>Low</v>
      </c>
      <c r="Y335" t="str">
        <f>IF(Sales_Table[[#This Row],[Payment Method_clean]]="cash","Offline","Online")</f>
        <v>Online</v>
      </c>
      <c r="Z335">
        <f>IFERROR(Sales_Table[[#This Row],[Revenue]],0)</f>
        <v>19422</v>
      </c>
    </row>
    <row r="336" spans="1:26" x14ac:dyDescent="0.3">
      <c r="A336">
        <v>335</v>
      </c>
      <c r="B336" s="2">
        <f t="shared" si="35"/>
        <v>45305.916666666664</v>
      </c>
      <c r="C336" t="s">
        <v>989</v>
      </c>
      <c r="D336" t="s">
        <v>84</v>
      </c>
      <c r="E336" t="str">
        <f>PROPER(TRIM(CLEAN(Sales_Table[[#This Row],[Region]])))</f>
        <v>South</v>
      </c>
      <c r="F336" t="s">
        <v>78</v>
      </c>
      <c r="G336" t="str">
        <f t="shared" si="36"/>
        <v>Grocery</v>
      </c>
      <c r="H336" t="str">
        <f>PROPER(TRIM(CLEAN(Sales_Table[[#This Row],[Product Name]])))</f>
        <v>Laptop</v>
      </c>
      <c r="I336" t="s">
        <v>52</v>
      </c>
      <c r="J336" t="str">
        <f t="shared" si="37"/>
        <v>CUST0039</v>
      </c>
      <c r="K336" t="s">
        <v>990</v>
      </c>
      <c r="L336" t="str">
        <f>PROPER(TRIM(CLEAN(Sales_Table[[#This Row],[Salesperson]])))</f>
        <v>Anita</v>
      </c>
      <c r="M336" t="s">
        <v>64</v>
      </c>
      <c r="N336" t="str">
        <f t="shared" si="38"/>
        <v>Debit Card</v>
      </c>
      <c r="O336" t="s">
        <v>41</v>
      </c>
      <c r="P336">
        <f t="shared" si="39"/>
        <v>5</v>
      </c>
      <c r="Q336" t="s">
        <v>89</v>
      </c>
      <c r="R336">
        <f t="shared" si="40"/>
        <v>3427</v>
      </c>
      <c r="S336" t="s">
        <v>991</v>
      </c>
      <c r="T336">
        <f t="shared" si="41"/>
        <v>17135</v>
      </c>
      <c r="U336">
        <f>YEAR(Sales_Table[[#This Row],[Date_clean]])</f>
        <v>2024</v>
      </c>
      <c r="V336" t="str">
        <f>TEXT(Sales_Table[[#This Row],[Date_clean]],"mmmm")</f>
        <v>January</v>
      </c>
      <c r="W336">
        <f>WEEKNUM(Sales_Table[[#This Row],[Date_clean]],2)</f>
        <v>2</v>
      </c>
      <c r="X336" t="str" cm="1">
        <f t="array" ref="X336">_xlfn.IFS(Sales_Table[[#This Row],[Revenue]]&gt;=50000,"High",Sales_Table[[#This Row],[Revenue]]&gt;=20000,"Medium",Sales_Table[[#This Row],[Revenue]]&lt;20000,"Low")</f>
        <v>Low</v>
      </c>
      <c r="Y336" t="str">
        <f>IF(Sales_Table[[#This Row],[Payment Method_clean]]="cash","Offline","Online")</f>
        <v>Online</v>
      </c>
      <c r="Z336">
        <f>IFERROR(Sales_Table[[#This Row],[Revenue]],0)</f>
        <v>17135</v>
      </c>
    </row>
    <row r="337" spans="1:26" x14ac:dyDescent="0.3">
      <c r="A337">
        <v>336</v>
      </c>
      <c r="B337" s="2">
        <f t="shared" si="35"/>
        <v>45305.958333333336</v>
      </c>
      <c r="C337" t="s">
        <v>992</v>
      </c>
      <c r="D337" t="s">
        <v>36</v>
      </c>
      <c r="E337" t="str">
        <f>PROPER(TRIM(CLEAN(Sales_Table[[#This Row],[Region]])))</f>
        <v>West</v>
      </c>
      <c r="F337" t="s">
        <v>37</v>
      </c>
      <c r="G337" t="str">
        <f t="shared" si="36"/>
        <v>Home Appliances</v>
      </c>
      <c r="H337" t="str">
        <f>PROPER(TRIM(CLEAN(Sales_Table[[#This Row],[Product Name]])))</f>
        <v>Rice 5Kg</v>
      </c>
      <c r="I337" t="s">
        <v>73</v>
      </c>
      <c r="J337" t="str">
        <f t="shared" si="37"/>
        <v>CUST0540</v>
      </c>
      <c r="K337" t="s">
        <v>372</v>
      </c>
      <c r="L337" t="str">
        <f>PROPER(TRIM(CLEAN(Sales_Table[[#This Row],[Salesperson]])))</f>
        <v>Karthik</v>
      </c>
      <c r="M337" t="s">
        <v>70</v>
      </c>
      <c r="N337" t="str">
        <f t="shared" si="38"/>
        <v>Debit Card</v>
      </c>
      <c r="O337" t="s">
        <v>41</v>
      </c>
      <c r="P337">
        <f t="shared" si="39"/>
        <v>9</v>
      </c>
      <c r="Q337" t="s">
        <v>130</v>
      </c>
      <c r="R337">
        <f t="shared" si="40"/>
        <v>830</v>
      </c>
      <c r="S337" t="s">
        <v>333</v>
      </c>
      <c r="T337">
        <f t="shared" si="41"/>
        <v>7470</v>
      </c>
      <c r="U337">
        <f>YEAR(Sales_Table[[#This Row],[Date_clean]])</f>
        <v>2024</v>
      </c>
      <c r="V337" t="str">
        <f>TEXT(Sales_Table[[#This Row],[Date_clean]],"mmmm")</f>
        <v>January</v>
      </c>
      <c r="W337">
        <f>WEEKNUM(Sales_Table[[#This Row],[Date_clean]],2)</f>
        <v>2</v>
      </c>
      <c r="X337" t="str" cm="1">
        <f t="array" ref="X337">_xlfn.IFS(Sales_Table[[#This Row],[Revenue]]&gt;=50000,"High",Sales_Table[[#This Row],[Revenue]]&gt;=20000,"Medium",Sales_Table[[#This Row],[Revenue]]&lt;20000,"Low")</f>
        <v>Low</v>
      </c>
      <c r="Y337" t="str">
        <f>IF(Sales_Table[[#This Row],[Payment Method_clean]]="cash","Offline","Online")</f>
        <v>Online</v>
      </c>
      <c r="Z337">
        <f>IFERROR(Sales_Table[[#This Row],[Revenue]],0)</f>
        <v>7470</v>
      </c>
    </row>
    <row r="338" spans="1:26" x14ac:dyDescent="0.3">
      <c r="A338">
        <v>337</v>
      </c>
      <c r="B338" s="2">
        <f t="shared" si="35"/>
        <v>45306</v>
      </c>
      <c r="C338" t="s">
        <v>993</v>
      </c>
      <c r="D338" t="s">
        <v>45</v>
      </c>
      <c r="E338" t="str">
        <f>PROPER(TRIM(CLEAN(Sales_Table[[#This Row],[Region]])))</f>
        <v>North</v>
      </c>
      <c r="F338" t="s">
        <v>28</v>
      </c>
      <c r="G338" t="str">
        <f t="shared" si="36"/>
        <v>Clothing</v>
      </c>
      <c r="H338" t="str">
        <f>PROPER(TRIM(CLEAN(Sales_Table[[#This Row],[Product Name]])))</f>
        <v>Rice 5Kg</v>
      </c>
      <c r="I338" t="s">
        <v>73</v>
      </c>
      <c r="J338" t="str">
        <f t="shared" si="37"/>
        <v>CUST0049</v>
      </c>
      <c r="K338" t="s">
        <v>994</v>
      </c>
      <c r="L338" t="str">
        <f>PROPER(TRIM(CLEAN(Sales_Table[[#This Row],[Salesperson]])))</f>
        <v>Anita</v>
      </c>
      <c r="M338" t="s">
        <v>64</v>
      </c>
      <c r="N338" t="str">
        <f t="shared" si="38"/>
        <v>Credit Card</v>
      </c>
      <c r="O338" t="s">
        <v>65</v>
      </c>
      <c r="P338">
        <f t="shared" si="39"/>
        <v>10</v>
      </c>
      <c r="Q338" t="s">
        <v>117</v>
      </c>
      <c r="R338">
        <f t="shared" si="40"/>
        <v>1932</v>
      </c>
      <c r="S338" t="s">
        <v>995</v>
      </c>
      <c r="T338">
        <f t="shared" si="41"/>
        <v>19320</v>
      </c>
      <c r="U338">
        <f>YEAR(Sales_Table[[#This Row],[Date_clean]])</f>
        <v>2024</v>
      </c>
      <c r="V338" t="str">
        <f>TEXT(Sales_Table[[#This Row],[Date_clean]],"mmmm")</f>
        <v>January</v>
      </c>
      <c r="W338">
        <f>WEEKNUM(Sales_Table[[#This Row],[Date_clean]],2)</f>
        <v>3</v>
      </c>
      <c r="X338" t="str" cm="1">
        <f t="array" ref="X338">_xlfn.IFS(Sales_Table[[#This Row],[Revenue]]&gt;=50000,"High",Sales_Table[[#This Row],[Revenue]]&gt;=20000,"Medium",Sales_Table[[#This Row],[Revenue]]&lt;20000,"Low")</f>
        <v>Low</v>
      </c>
      <c r="Y338" t="str">
        <f>IF(Sales_Table[[#This Row],[Payment Method_clean]]="cash","Offline","Online")</f>
        <v>Online</v>
      </c>
      <c r="Z338">
        <f>IFERROR(Sales_Table[[#This Row],[Revenue]],0)</f>
        <v>19320</v>
      </c>
    </row>
    <row r="339" spans="1:26" x14ac:dyDescent="0.3">
      <c r="A339">
        <v>338</v>
      </c>
      <c r="B339" s="2">
        <f t="shared" si="35"/>
        <v>45306.041666666664</v>
      </c>
      <c r="C339" t="s">
        <v>996</v>
      </c>
      <c r="D339" t="s">
        <v>27</v>
      </c>
      <c r="E339" t="str">
        <f>PROPER(TRIM(CLEAN(Sales_Table[[#This Row],[Region]])))</f>
        <v>East</v>
      </c>
      <c r="F339" t="s">
        <v>46</v>
      </c>
      <c r="G339" t="str">
        <f t="shared" si="36"/>
        <v>Electronics</v>
      </c>
      <c r="H339" t="str">
        <f>PROPER(TRIM(CLEAN(Sales_Table[[#This Row],[Product Name]])))</f>
        <v>Mixer Grinder</v>
      </c>
      <c r="I339" t="s">
        <v>29</v>
      </c>
      <c r="J339" t="str">
        <f t="shared" si="37"/>
        <v>CUST0420</v>
      </c>
      <c r="K339" t="s">
        <v>997</v>
      </c>
      <c r="L339" t="str">
        <f>PROPER(TRIM(CLEAN(Sales_Table[[#This Row],[Salesperson]])))</f>
        <v>Rahul</v>
      </c>
      <c r="M339" t="s">
        <v>31</v>
      </c>
      <c r="N339" t="str">
        <f t="shared" si="38"/>
        <v>Net Banking</v>
      </c>
      <c r="O339" t="s">
        <v>60</v>
      </c>
      <c r="P339">
        <f t="shared" si="39"/>
        <v>13</v>
      </c>
      <c r="Q339" t="s">
        <v>81</v>
      </c>
      <c r="R339">
        <f t="shared" si="40"/>
        <v>508</v>
      </c>
      <c r="S339" t="s">
        <v>998</v>
      </c>
      <c r="T339">
        <f t="shared" si="41"/>
        <v>6604</v>
      </c>
      <c r="U339">
        <f>YEAR(Sales_Table[[#This Row],[Date_clean]])</f>
        <v>2024</v>
      </c>
      <c r="V339" t="str">
        <f>TEXT(Sales_Table[[#This Row],[Date_clean]],"mmmm")</f>
        <v>January</v>
      </c>
      <c r="W339">
        <f>WEEKNUM(Sales_Table[[#This Row],[Date_clean]],2)</f>
        <v>3</v>
      </c>
      <c r="X339" t="str" cm="1">
        <f t="array" ref="X339">_xlfn.IFS(Sales_Table[[#This Row],[Revenue]]&gt;=50000,"High",Sales_Table[[#This Row],[Revenue]]&gt;=20000,"Medium",Sales_Table[[#This Row],[Revenue]]&lt;20000,"Low")</f>
        <v>Low</v>
      </c>
      <c r="Y339" t="str">
        <f>IF(Sales_Table[[#This Row],[Payment Method_clean]]="cash","Offline","Online")</f>
        <v>Online</v>
      </c>
      <c r="Z339">
        <f>IFERROR(Sales_Table[[#This Row],[Revenue]],0)</f>
        <v>6604</v>
      </c>
    </row>
    <row r="340" spans="1:26" x14ac:dyDescent="0.3">
      <c r="A340">
        <v>339</v>
      </c>
      <c r="B340" s="2">
        <f t="shared" si="35"/>
        <v>45306.083333333336</v>
      </c>
      <c r="C340" t="s">
        <v>999</v>
      </c>
      <c r="D340" t="s">
        <v>36</v>
      </c>
      <c r="E340" t="str">
        <f>PROPER(TRIM(CLEAN(Sales_Table[[#This Row],[Region]])))</f>
        <v>West</v>
      </c>
      <c r="F340" t="s">
        <v>37</v>
      </c>
      <c r="G340" t="str">
        <f t="shared" si="36"/>
        <v>Home Appliances</v>
      </c>
      <c r="H340" t="str">
        <f>PROPER(TRIM(CLEAN(Sales_Table[[#This Row],[Product Name]])))</f>
        <v>Rice 5Kg</v>
      </c>
      <c r="I340" t="s">
        <v>73</v>
      </c>
      <c r="J340" t="str">
        <f t="shared" si="37"/>
        <v>CUST0637</v>
      </c>
      <c r="K340" t="s">
        <v>1000</v>
      </c>
      <c r="L340" t="str">
        <f>PROPER(TRIM(CLEAN(Sales_Table[[#This Row],[Salesperson]])))</f>
        <v>Anita</v>
      </c>
      <c r="M340" t="s">
        <v>64</v>
      </c>
      <c r="N340" t="str">
        <f t="shared" si="38"/>
        <v>Debit Card</v>
      </c>
      <c r="O340" t="s">
        <v>41</v>
      </c>
      <c r="P340">
        <f t="shared" si="39"/>
        <v>6</v>
      </c>
      <c r="Q340" t="s">
        <v>75</v>
      </c>
      <c r="R340">
        <f t="shared" si="40"/>
        <v>4279</v>
      </c>
      <c r="S340" t="s">
        <v>1001</v>
      </c>
      <c r="T340">
        <f t="shared" si="41"/>
        <v>25674</v>
      </c>
      <c r="U340">
        <f>YEAR(Sales_Table[[#This Row],[Date_clean]])</f>
        <v>2024</v>
      </c>
      <c r="V340" t="str">
        <f>TEXT(Sales_Table[[#This Row],[Date_clean]],"mmmm")</f>
        <v>January</v>
      </c>
      <c r="W340">
        <f>WEEKNUM(Sales_Table[[#This Row],[Date_clean]],2)</f>
        <v>3</v>
      </c>
      <c r="X340" t="str" cm="1">
        <f t="array" ref="X340">_xlfn.IFS(Sales_Table[[#This Row],[Revenue]]&gt;=50000,"High",Sales_Table[[#This Row],[Revenue]]&gt;=20000,"Medium",Sales_Table[[#This Row],[Revenue]]&lt;20000,"Low")</f>
        <v>Medium</v>
      </c>
      <c r="Y340" t="str">
        <f>IF(Sales_Table[[#This Row],[Payment Method_clean]]="cash","Offline","Online")</f>
        <v>Online</v>
      </c>
      <c r="Z340">
        <f>IFERROR(Sales_Table[[#This Row],[Revenue]],0)</f>
        <v>25674</v>
      </c>
    </row>
    <row r="341" spans="1:26" x14ac:dyDescent="0.3">
      <c r="A341">
        <v>340</v>
      </c>
      <c r="B341" s="2">
        <f t="shared" si="35"/>
        <v>45306.125</v>
      </c>
      <c r="C341" t="s">
        <v>1002</v>
      </c>
      <c r="D341" t="s">
        <v>36</v>
      </c>
      <c r="E341" t="str">
        <f>PROPER(TRIM(CLEAN(Sales_Table[[#This Row],[Region]])))</f>
        <v>West</v>
      </c>
      <c r="F341" t="s">
        <v>78</v>
      </c>
      <c r="G341" t="str">
        <f t="shared" si="36"/>
        <v>Grocery</v>
      </c>
      <c r="H341" t="str">
        <f>PROPER(TRIM(CLEAN(Sales_Table[[#This Row],[Product Name]])))</f>
        <v>Laptop</v>
      </c>
      <c r="I341" t="s">
        <v>52</v>
      </c>
      <c r="J341" t="str">
        <f t="shared" si="37"/>
        <v>CUST0013</v>
      </c>
      <c r="K341" t="s">
        <v>790</v>
      </c>
      <c r="L341" t="str">
        <f>PROPER(TRIM(CLEAN(Sales_Table[[#This Row],[Salesperson]])))</f>
        <v>Meena</v>
      </c>
      <c r="M341" t="s">
        <v>40</v>
      </c>
      <c r="N341" t="str">
        <f t="shared" si="38"/>
        <v>Debit Card</v>
      </c>
      <c r="O341" t="s">
        <v>41</v>
      </c>
      <c r="P341">
        <f t="shared" si="39"/>
        <v>5</v>
      </c>
      <c r="Q341" t="s">
        <v>89</v>
      </c>
      <c r="R341">
        <f t="shared" si="40"/>
        <v>3347</v>
      </c>
      <c r="S341" t="s">
        <v>891</v>
      </c>
      <c r="T341">
        <f t="shared" si="41"/>
        <v>16735</v>
      </c>
      <c r="U341">
        <f>YEAR(Sales_Table[[#This Row],[Date_clean]])</f>
        <v>2024</v>
      </c>
      <c r="V341" t="str">
        <f>TEXT(Sales_Table[[#This Row],[Date_clean]],"mmmm")</f>
        <v>January</v>
      </c>
      <c r="W341">
        <f>WEEKNUM(Sales_Table[[#This Row],[Date_clean]],2)</f>
        <v>3</v>
      </c>
      <c r="X341" t="str" cm="1">
        <f t="array" ref="X341">_xlfn.IFS(Sales_Table[[#This Row],[Revenue]]&gt;=50000,"High",Sales_Table[[#This Row],[Revenue]]&gt;=20000,"Medium",Sales_Table[[#This Row],[Revenue]]&lt;20000,"Low")</f>
        <v>Low</v>
      </c>
      <c r="Y341" t="str">
        <f>IF(Sales_Table[[#This Row],[Payment Method_clean]]="cash","Offline","Online")</f>
        <v>Online</v>
      </c>
      <c r="Z341">
        <f>IFERROR(Sales_Table[[#This Row],[Revenue]],0)</f>
        <v>16735</v>
      </c>
    </row>
    <row r="342" spans="1:26" x14ac:dyDescent="0.3">
      <c r="A342">
        <v>341</v>
      </c>
      <c r="B342" s="2">
        <f t="shared" si="35"/>
        <v>45306.166666666664</v>
      </c>
      <c r="C342" t="s">
        <v>1003</v>
      </c>
      <c r="D342" t="s">
        <v>27</v>
      </c>
      <c r="E342" t="str">
        <f>PROPER(TRIM(CLEAN(Sales_Table[[#This Row],[Region]])))</f>
        <v>East</v>
      </c>
      <c r="F342" t="s">
        <v>46</v>
      </c>
      <c r="G342" t="str">
        <f t="shared" si="36"/>
        <v>Electronics</v>
      </c>
      <c r="H342" t="str">
        <f>PROPER(TRIM(CLEAN(Sales_Table[[#This Row],[Product Name]])))</f>
        <v>Men T-Shirt</v>
      </c>
      <c r="I342" t="s">
        <v>38</v>
      </c>
      <c r="J342" t="str">
        <f t="shared" si="37"/>
        <v>CUST0036</v>
      </c>
      <c r="K342" t="s">
        <v>1004</v>
      </c>
      <c r="L342" t="str">
        <f>PROPER(TRIM(CLEAN(Sales_Table[[#This Row],[Salesperson]])))</f>
        <v>Anita</v>
      </c>
      <c r="M342" t="s">
        <v>64</v>
      </c>
      <c r="N342" t="str">
        <f t="shared" si="38"/>
        <v>Credit Card</v>
      </c>
      <c r="O342" t="s">
        <v>65</v>
      </c>
      <c r="P342">
        <f t="shared" si="39"/>
        <v>13</v>
      </c>
      <c r="Q342" t="s">
        <v>81</v>
      </c>
      <c r="R342">
        <f t="shared" si="40"/>
        <v>4902</v>
      </c>
      <c r="S342" t="s">
        <v>1005</v>
      </c>
      <c r="T342">
        <f t="shared" si="41"/>
        <v>63726</v>
      </c>
      <c r="U342">
        <f>YEAR(Sales_Table[[#This Row],[Date_clean]])</f>
        <v>2024</v>
      </c>
      <c r="V342" t="str">
        <f>TEXT(Sales_Table[[#This Row],[Date_clean]],"mmmm")</f>
        <v>January</v>
      </c>
      <c r="W342">
        <f>WEEKNUM(Sales_Table[[#This Row],[Date_clean]],2)</f>
        <v>3</v>
      </c>
      <c r="X342" t="str" cm="1">
        <f t="array" ref="X342">_xlfn.IFS(Sales_Table[[#This Row],[Revenue]]&gt;=50000,"High",Sales_Table[[#This Row],[Revenue]]&gt;=20000,"Medium",Sales_Table[[#This Row],[Revenue]]&lt;20000,"Low")</f>
        <v>High</v>
      </c>
      <c r="Y342" t="str">
        <f>IF(Sales_Table[[#This Row],[Payment Method_clean]]="cash","Offline","Online")</f>
        <v>Online</v>
      </c>
      <c r="Z342">
        <f>IFERROR(Sales_Table[[#This Row],[Revenue]],0)</f>
        <v>63726</v>
      </c>
    </row>
    <row r="343" spans="1:26" x14ac:dyDescent="0.3">
      <c r="A343">
        <v>342</v>
      </c>
      <c r="B343" s="2">
        <f t="shared" si="35"/>
        <v>45306.208333333336</v>
      </c>
      <c r="C343" t="s">
        <v>1006</v>
      </c>
      <c r="D343" t="s">
        <v>36</v>
      </c>
      <c r="E343" t="str">
        <f>PROPER(TRIM(CLEAN(Sales_Table[[#This Row],[Region]])))</f>
        <v>West</v>
      </c>
      <c r="F343" t="s">
        <v>28</v>
      </c>
      <c r="G343" t="str">
        <f t="shared" si="36"/>
        <v>Clothing</v>
      </c>
      <c r="H343" t="str">
        <f>PROPER(TRIM(CLEAN(Sales_Table[[#This Row],[Product Name]])))</f>
        <v>Washing Machine</v>
      </c>
      <c r="I343" t="s">
        <v>79</v>
      </c>
      <c r="J343" t="str">
        <f t="shared" si="37"/>
        <v>CUST0101</v>
      </c>
      <c r="K343" t="s">
        <v>1007</v>
      </c>
      <c r="L343" t="str">
        <f>PROPER(TRIM(CLEAN(Sales_Table[[#This Row],[Salesperson]])))</f>
        <v>Meena</v>
      </c>
      <c r="M343" t="s">
        <v>40</v>
      </c>
      <c r="N343" t="str">
        <f t="shared" si="38"/>
        <v>Upi</v>
      </c>
      <c r="O343" t="s">
        <v>48</v>
      </c>
      <c r="P343">
        <f t="shared" si="39"/>
        <v>3</v>
      </c>
      <c r="Q343" t="s">
        <v>66</v>
      </c>
      <c r="R343">
        <f t="shared" si="40"/>
        <v>233</v>
      </c>
      <c r="S343" t="s">
        <v>1008</v>
      </c>
      <c r="T343">
        <f t="shared" si="41"/>
        <v>699</v>
      </c>
      <c r="U343">
        <f>YEAR(Sales_Table[[#This Row],[Date_clean]])</f>
        <v>2024</v>
      </c>
      <c r="V343" t="str">
        <f>TEXT(Sales_Table[[#This Row],[Date_clean]],"mmmm")</f>
        <v>January</v>
      </c>
      <c r="W343">
        <f>WEEKNUM(Sales_Table[[#This Row],[Date_clean]],2)</f>
        <v>3</v>
      </c>
      <c r="X343" t="str" cm="1">
        <f t="array" ref="X343">_xlfn.IFS(Sales_Table[[#This Row],[Revenue]]&gt;=50000,"High",Sales_Table[[#This Row],[Revenue]]&gt;=20000,"Medium",Sales_Table[[#This Row],[Revenue]]&lt;20000,"Low")</f>
        <v>Low</v>
      </c>
      <c r="Y343" t="str">
        <f>IF(Sales_Table[[#This Row],[Payment Method_clean]]="cash","Offline","Online")</f>
        <v>Online</v>
      </c>
      <c r="Z343">
        <f>IFERROR(Sales_Table[[#This Row],[Revenue]],0)</f>
        <v>699</v>
      </c>
    </row>
    <row r="344" spans="1:26" x14ac:dyDescent="0.3">
      <c r="A344">
        <v>343</v>
      </c>
      <c r="B344" s="2">
        <f t="shared" si="35"/>
        <v>45306.25</v>
      </c>
      <c r="C344" t="s">
        <v>1009</v>
      </c>
      <c r="D344" t="s">
        <v>27</v>
      </c>
      <c r="E344" t="str">
        <f>PROPER(TRIM(CLEAN(Sales_Table[[#This Row],[Region]])))</f>
        <v>East</v>
      </c>
      <c r="F344" t="s">
        <v>78</v>
      </c>
      <c r="G344" t="str">
        <f t="shared" si="36"/>
        <v>Grocery</v>
      </c>
      <c r="H344" t="str">
        <f>PROPER(TRIM(CLEAN(Sales_Table[[#This Row],[Product Name]])))</f>
        <v>Men T-Shirt</v>
      </c>
      <c r="I344" t="s">
        <v>38</v>
      </c>
      <c r="J344" t="str">
        <f t="shared" si="37"/>
        <v>CUST0794</v>
      </c>
      <c r="K344" t="s">
        <v>1010</v>
      </c>
      <c r="L344" t="str">
        <f>PROPER(TRIM(CLEAN(Sales_Table[[#This Row],[Salesperson]])))</f>
        <v>Anita</v>
      </c>
      <c r="M344" t="s">
        <v>64</v>
      </c>
      <c r="N344" t="str">
        <f t="shared" si="38"/>
        <v>Debit Card</v>
      </c>
      <c r="O344" t="s">
        <v>41</v>
      </c>
      <c r="P344">
        <f t="shared" si="39"/>
        <v>11</v>
      </c>
      <c r="Q344" t="s">
        <v>97</v>
      </c>
      <c r="R344">
        <f t="shared" si="40"/>
        <v>4983</v>
      </c>
      <c r="S344" t="s">
        <v>1011</v>
      </c>
      <c r="T344">
        <f t="shared" si="41"/>
        <v>54813</v>
      </c>
      <c r="U344">
        <f>YEAR(Sales_Table[[#This Row],[Date_clean]])</f>
        <v>2024</v>
      </c>
      <c r="V344" t="str">
        <f>TEXT(Sales_Table[[#This Row],[Date_clean]],"mmmm")</f>
        <v>January</v>
      </c>
      <c r="W344">
        <f>WEEKNUM(Sales_Table[[#This Row],[Date_clean]],2)</f>
        <v>3</v>
      </c>
      <c r="X344" t="str" cm="1">
        <f t="array" ref="X344">_xlfn.IFS(Sales_Table[[#This Row],[Revenue]]&gt;=50000,"High",Sales_Table[[#This Row],[Revenue]]&gt;=20000,"Medium",Sales_Table[[#This Row],[Revenue]]&lt;20000,"Low")</f>
        <v>High</v>
      </c>
      <c r="Y344" t="str">
        <f>IF(Sales_Table[[#This Row],[Payment Method_clean]]="cash","Offline","Online")</f>
        <v>Online</v>
      </c>
      <c r="Z344">
        <f>IFERROR(Sales_Table[[#This Row],[Revenue]],0)</f>
        <v>54813</v>
      </c>
    </row>
    <row r="345" spans="1:26" x14ac:dyDescent="0.3">
      <c r="A345">
        <v>344</v>
      </c>
      <c r="B345" s="2">
        <f t="shared" si="35"/>
        <v>45306.291666666664</v>
      </c>
      <c r="C345" t="s">
        <v>1012</v>
      </c>
      <c r="D345" t="s">
        <v>84</v>
      </c>
      <c r="E345" t="str">
        <f>PROPER(TRIM(CLEAN(Sales_Table[[#This Row],[Region]])))</f>
        <v>South</v>
      </c>
      <c r="F345" t="s">
        <v>78</v>
      </c>
      <c r="G345" t="str">
        <f t="shared" si="36"/>
        <v>Grocery</v>
      </c>
      <c r="H345" t="str">
        <f>PROPER(TRIM(CLEAN(Sales_Table[[#This Row],[Product Name]])))</f>
        <v>Rice 5Kg</v>
      </c>
      <c r="I345" t="s">
        <v>73</v>
      </c>
      <c r="J345" t="str">
        <f t="shared" si="37"/>
        <v>CUST0086</v>
      </c>
      <c r="K345" t="s">
        <v>1013</v>
      </c>
      <c r="L345" t="str">
        <f>PROPER(TRIM(CLEAN(Sales_Table[[#This Row],[Salesperson]])))</f>
        <v>Anita</v>
      </c>
      <c r="M345" t="s">
        <v>64</v>
      </c>
      <c r="N345" t="str">
        <f t="shared" si="38"/>
        <v>Cash</v>
      </c>
      <c r="O345" t="s">
        <v>32</v>
      </c>
      <c r="P345">
        <f t="shared" si="39"/>
        <v>11</v>
      </c>
      <c r="Q345" t="s">
        <v>97</v>
      </c>
      <c r="R345">
        <f t="shared" si="40"/>
        <v>766</v>
      </c>
      <c r="S345" t="s">
        <v>1014</v>
      </c>
      <c r="T345">
        <f t="shared" si="41"/>
        <v>8426</v>
      </c>
      <c r="U345">
        <f>YEAR(Sales_Table[[#This Row],[Date_clean]])</f>
        <v>2024</v>
      </c>
      <c r="V345" t="str">
        <f>TEXT(Sales_Table[[#This Row],[Date_clean]],"mmmm")</f>
        <v>January</v>
      </c>
      <c r="W345">
        <f>WEEKNUM(Sales_Table[[#This Row],[Date_clean]],2)</f>
        <v>3</v>
      </c>
      <c r="X345" t="str" cm="1">
        <f t="array" ref="X345">_xlfn.IFS(Sales_Table[[#This Row],[Revenue]]&gt;=50000,"High",Sales_Table[[#This Row],[Revenue]]&gt;=20000,"Medium",Sales_Table[[#This Row],[Revenue]]&lt;20000,"Low")</f>
        <v>Low</v>
      </c>
      <c r="Y345" t="str">
        <f>IF(Sales_Table[[#This Row],[Payment Method_clean]]="cash","Offline","Online")</f>
        <v>Offline</v>
      </c>
      <c r="Z345">
        <f>IFERROR(Sales_Table[[#This Row],[Revenue]],0)</f>
        <v>8426</v>
      </c>
    </row>
    <row r="346" spans="1:26" x14ac:dyDescent="0.3">
      <c r="A346">
        <v>345</v>
      </c>
      <c r="B346" s="2">
        <f t="shared" si="35"/>
        <v>45306.333333333336</v>
      </c>
      <c r="C346" t="s">
        <v>1015</v>
      </c>
      <c r="D346" t="s">
        <v>27</v>
      </c>
      <c r="E346" t="str">
        <f>PROPER(TRIM(CLEAN(Sales_Table[[#This Row],[Region]])))</f>
        <v>East</v>
      </c>
      <c r="F346" t="s">
        <v>78</v>
      </c>
      <c r="G346" t="str">
        <f t="shared" si="36"/>
        <v>Grocery</v>
      </c>
      <c r="H346" t="str">
        <f>PROPER(TRIM(CLEAN(Sales_Table[[#This Row],[Product Name]])))</f>
        <v>Men T-Shirt</v>
      </c>
      <c r="I346" t="s">
        <v>38</v>
      </c>
      <c r="J346" t="str">
        <f t="shared" si="37"/>
        <v>CUST0516</v>
      </c>
      <c r="K346" t="s">
        <v>1016</v>
      </c>
      <c r="L346" t="str">
        <f>PROPER(TRIM(CLEAN(Sales_Table[[#This Row],[Salesperson]])))</f>
        <v>Karthik</v>
      </c>
      <c r="M346" t="s">
        <v>70</v>
      </c>
      <c r="N346" t="str">
        <f t="shared" si="38"/>
        <v>Cash</v>
      </c>
      <c r="O346" t="s">
        <v>32</v>
      </c>
      <c r="P346">
        <f t="shared" si="39"/>
        <v>8</v>
      </c>
      <c r="Q346" t="s">
        <v>42</v>
      </c>
      <c r="R346">
        <f t="shared" si="40"/>
        <v>376</v>
      </c>
      <c r="S346" t="s">
        <v>1017</v>
      </c>
      <c r="T346">
        <f t="shared" si="41"/>
        <v>3008</v>
      </c>
      <c r="U346">
        <f>YEAR(Sales_Table[[#This Row],[Date_clean]])</f>
        <v>2024</v>
      </c>
      <c r="V346" t="str">
        <f>TEXT(Sales_Table[[#This Row],[Date_clean]],"mmmm")</f>
        <v>January</v>
      </c>
      <c r="W346">
        <f>WEEKNUM(Sales_Table[[#This Row],[Date_clean]],2)</f>
        <v>3</v>
      </c>
      <c r="X346" t="str" cm="1">
        <f t="array" ref="X346">_xlfn.IFS(Sales_Table[[#This Row],[Revenue]]&gt;=50000,"High",Sales_Table[[#This Row],[Revenue]]&gt;=20000,"Medium",Sales_Table[[#This Row],[Revenue]]&lt;20000,"Low")</f>
        <v>Low</v>
      </c>
      <c r="Y346" t="str">
        <f>IF(Sales_Table[[#This Row],[Payment Method_clean]]="cash","Offline","Online")</f>
        <v>Offline</v>
      </c>
      <c r="Z346">
        <f>IFERROR(Sales_Table[[#This Row],[Revenue]],0)</f>
        <v>3008</v>
      </c>
    </row>
    <row r="347" spans="1:26" x14ac:dyDescent="0.3">
      <c r="A347">
        <v>346</v>
      </c>
      <c r="B347" s="2">
        <f t="shared" si="35"/>
        <v>45306.375</v>
      </c>
      <c r="C347" t="s">
        <v>1018</v>
      </c>
      <c r="D347" t="s">
        <v>27</v>
      </c>
      <c r="E347" t="str">
        <f>PROPER(TRIM(CLEAN(Sales_Table[[#This Row],[Region]])))</f>
        <v>East</v>
      </c>
      <c r="F347" t="s">
        <v>37</v>
      </c>
      <c r="G347" t="str">
        <f t="shared" si="36"/>
        <v>Home Appliances</v>
      </c>
      <c r="H347" t="str">
        <f>PROPER(TRIM(CLEAN(Sales_Table[[#This Row],[Product Name]])))</f>
        <v>Laptop</v>
      </c>
      <c r="I347" t="s">
        <v>52</v>
      </c>
      <c r="J347" t="str">
        <f t="shared" si="37"/>
        <v>CUST0223</v>
      </c>
      <c r="K347" t="s">
        <v>877</v>
      </c>
      <c r="L347" t="str">
        <f>PROPER(TRIM(CLEAN(Sales_Table[[#This Row],[Salesperson]])))</f>
        <v>Rahul</v>
      </c>
      <c r="M347" t="s">
        <v>31</v>
      </c>
      <c r="N347" t="str">
        <f t="shared" si="38"/>
        <v>Upi</v>
      </c>
      <c r="O347" t="s">
        <v>48</v>
      </c>
      <c r="P347">
        <f t="shared" si="39"/>
        <v>4</v>
      </c>
      <c r="Q347" t="s">
        <v>113</v>
      </c>
      <c r="R347">
        <f t="shared" si="40"/>
        <v>3407</v>
      </c>
      <c r="S347" t="s">
        <v>1019</v>
      </c>
      <c r="T347">
        <f t="shared" si="41"/>
        <v>13628</v>
      </c>
      <c r="U347">
        <f>YEAR(Sales_Table[[#This Row],[Date_clean]])</f>
        <v>2024</v>
      </c>
      <c r="V347" t="str">
        <f>TEXT(Sales_Table[[#This Row],[Date_clean]],"mmmm")</f>
        <v>January</v>
      </c>
      <c r="W347">
        <f>WEEKNUM(Sales_Table[[#This Row],[Date_clean]],2)</f>
        <v>3</v>
      </c>
      <c r="X347" t="str" cm="1">
        <f t="array" ref="X347">_xlfn.IFS(Sales_Table[[#This Row],[Revenue]]&gt;=50000,"High",Sales_Table[[#This Row],[Revenue]]&gt;=20000,"Medium",Sales_Table[[#This Row],[Revenue]]&lt;20000,"Low")</f>
        <v>Low</v>
      </c>
      <c r="Y347" t="str">
        <f>IF(Sales_Table[[#This Row],[Payment Method_clean]]="cash","Offline","Online")</f>
        <v>Online</v>
      </c>
      <c r="Z347">
        <f>IFERROR(Sales_Table[[#This Row],[Revenue]],0)</f>
        <v>13628</v>
      </c>
    </row>
    <row r="348" spans="1:26" x14ac:dyDescent="0.3">
      <c r="A348">
        <v>347</v>
      </c>
      <c r="B348" s="2">
        <f t="shared" si="35"/>
        <v>45306.416666666664</v>
      </c>
      <c r="C348" t="s">
        <v>1020</v>
      </c>
      <c r="D348" t="s">
        <v>27</v>
      </c>
      <c r="E348" t="str">
        <f>PROPER(TRIM(CLEAN(Sales_Table[[#This Row],[Region]])))</f>
        <v>East</v>
      </c>
      <c r="F348" t="s">
        <v>28</v>
      </c>
      <c r="G348" t="str">
        <f t="shared" si="36"/>
        <v>Clothing</v>
      </c>
      <c r="H348" t="str">
        <f>PROPER(TRIM(CLEAN(Sales_Table[[#This Row],[Product Name]])))</f>
        <v>Laptop</v>
      </c>
      <c r="I348" t="s">
        <v>52</v>
      </c>
      <c r="J348" t="str">
        <f t="shared" si="37"/>
        <v>CUST0338</v>
      </c>
      <c r="K348" t="s">
        <v>1021</v>
      </c>
      <c r="L348" t="str">
        <f>PROPER(TRIM(CLEAN(Sales_Table[[#This Row],[Salesperson]])))</f>
        <v>Rahul</v>
      </c>
      <c r="M348" t="s">
        <v>31</v>
      </c>
      <c r="N348" t="str">
        <f t="shared" si="38"/>
        <v>Net Banking</v>
      </c>
      <c r="O348" t="s">
        <v>60</v>
      </c>
      <c r="P348">
        <f t="shared" si="39"/>
        <v>10</v>
      </c>
      <c r="Q348" t="s">
        <v>117</v>
      </c>
      <c r="R348">
        <f t="shared" si="40"/>
        <v>981</v>
      </c>
      <c r="S348" t="s">
        <v>1022</v>
      </c>
      <c r="T348">
        <f t="shared" si="41"/>
        <v>9810</v>
      </c>
      <c r="U348">
        <f>YEAR(Sales_Table[[#This Row],[Date_clean]])</f>
        <v>2024</v>
      </c>
      <c r="V348" t="str">
        <f>TEXT(Sales_Table[[#This Row],[Date_clean]],"mmmm")</f>
        <v>January</v>
      </c>
      <c r="W348">
        <f>WEEKNUM(Sales_Table[[#This Row],[Date_clean]],2)</f>
        <v>3</v>
      </c>
      <c r="X348" t="str" cm="1">
        <f t="array" ref="X348">_xlfn.IFS(Sales_Table[[#This Row],[Revenue]]&gt;=50000,"High",Sales_Table[[#This Row],[Revenue]]&gt;=20000,"Medium",Sales_Table[[#This Row],[Revenue]]&lt;20000,"Low")</f>
        <v>Low</v>
      </c>
      <c r="Y348" t="str">
        <f>IF(Sales_Table[[#This Row],[Payment Method_clean]]="cash","Offline","Online")</f>
        <v>Online</v>
      </c>
      <c r="Z348">
        <f>IFERROR(Sales_Table[[#This Row],[Revenue]],0)</f>
        <v>9810</v>
      </c>
    </row>
    <row r="349" spans="1:26" x14ac:dyDescent="0.3">
      <c r="A349">
        <v>348</v>
      </c>
      <c r="B349" s="2">
        <f t="shared" si="35"/>
        <v>45306.458333333336</v>
      </c>
      <c r="C349" t="s">
        <v>1023</v>
      </c>
      <c r="D349" t="s">
        <v>36</v>
      </c>
      <c r="E349" t="str">
        <f>PROPER(TRIM(CLEAN(Sales_Table[[#This Row],[Region]])))</f>
        <v>West</v>
      </c>
      <c r="F349" t="s">
        <v>46</v>
      </c>
      <c r="G349" t="str">
        <f t="shared" si="36"/>
        <v>Electronics</v>
      </c>
      <c r="H349" t="str">
        <f>PROPER(TRIM(CLEAN(Sales_Table[[#This Row],[Product Name]])))</f>
        <v>Rice 5Kg</v>
      </c>
      <c r="I349" t="s">
        <v>73</v>
      </c>
      <c r="J349" t="str">
        <f t="shared" si="37"/>
        <v>CUST0166</v>
      </c>
      <c r="K349" t="s">
        <v>533</v>
      </c>
      <c r="L349" t="str">
        <f>PROPER(TRIM(CLEAN(Sales_Table[[#This Row],[Salesperson]])))</f>
        <v>Suresh</v>
      </c>
      <c r="M349" t="s">
        <v>54</v>
      </c>
      <c r="N349" t="str">
        <f t="shared" si="38"/>
        <v>Credit Card</v>
      </c>
      <c r="O349" t="s">
        <v>65</v>
      </c>
      <c r="P349">
        <f t="shared" si="39"/>
        <v>13</v>
      </c>
      <c r="Q349" t="s">
        <v>81</v>
      </c>
      <c r="R349">
        <f t="shared" si="40"/>
        <v>2160</v>
      </c>
      <c r="S349" t="s">
        <v>1024</v>
      </c>
      <c r="T349">
        <f t="shared" si="41"/>
        <v>28080</v>
      </c>
      <c r="U349">
        <f>YEAR(Sales_Table[[#This Row],[Date_clean]])</f>
        <v>2024</v>
      </c>
      <c r="V349" t="str">
        <f>TEXT(Sales_Table[[#This Row],[Date_clean]],"mmmm")</f>
        <v>January</v>
      </c>
      <c r="W349">
        <f>WEEKNUM(Sales_Table[[#This Row],[Date_clean]],2)</f>
        <v>3</v>
      </c>
      <c r="X349" t="str" cm="1">
        <f t="array" ref="X349">_xlfn.IFS(Sales_Table[[#This Row],[Revenue]]&gt;=50000,"High",Sales_Table[[#This Row],[Revenue]]&gt;=20000,"Medium",Sales_Table[[#This Row],[Revenue]]&lt;20000,"Low")</f>
        <v>Medium</v>
      </c>
      <c r="Y349" t="str">
        <f>IF(Sales_Table[[#This Row],[Payment Method_clean]]="cash","Offline","Online")</f>
        <v>Online</v>
      </c>
      <c r="Z349">
        <f>IFERROR(Sales_Table[[#This Row],[Revenue]],0)</f>
        <v>28080</v>
      </c>
    </row>
    <row r="350" spans="1:26" x14ac:dyDescent="0.3">
      <c r="A350">
        <v>349</v>
      </c>
      <c r="B350" s="2">
        <f t="shared" si="35"/>
        <v>45306.5</v>
      </c>
      <c r="C350" t="s">
        <v>1025</v>
      </c>
      <c r="D350" t="s">
        <v>36</v>
      </c>
      <c r="E350" t="str">
        <f>PROPER(TRIM(CLEAN(Sales_Table[[#This Row],[Region]])))</f>
        <v>West</v>
      </c>
      <c r="F350" t="s">
        <v>37</v>
      </c>
      <c r="G350" t="str">
        <f t="shared" si="36"/>
        <v>Home Appliances</v>
      </c>
      <c r="H350" t="str">
        <f>PROPER(TRIM(CLEAN(Sales_Table[[#This Row],[Product Name]])))</f>
        <v>Mixer Grinder</v>
      </c>
      <c r="I350" t="s">
        <v>29</v>
      </c>
      <c r="J350" t="str">
        <f t="shared" si="37"/>
        <v>CUST0383</v>
      </c>
      <c r="K350" t="s">
        <v>590</v>
      </c>
      <c r="L350" t="str">
        <f>PROPER(TRIM(CLEAN(Sales_Table[[#This Row],[Salesperson]])))</f>
        <v>Karthik</v>
      </c>
      <c r="M350" t="s">
        <v>70</v>
      </c>
      <c r="N350" t="str">
        <f t="shared" si="38"/>
        <v>Cash</v>
      </c>
      <c r="O350" t="s">
        <v>32</v>
      </c>
      <c r="P350">
        <f t="shared" si="39"/>
        <v>13</v>
      </c>
      <c r="Q350" t="s">
        <v>81</v>
      </c>
      <c r="R350">
        <f t="shared" si="40"/>
        <v>2182</v>
      </c>
      <c r="S350" t="s">
        <v>1026</v>
      </c>
      <c r="T350">
        <f t="shared" si="41"/>
        <v>28366</v>
      </c>
      <c r="U350">
        <f>YEAR(Sales_Table[[#This Row],[Date_clean]])</f>
        <v>2024</v>
      </c>
      <c r="V350" t="str">
        <f>TEXT(Sales_Table[[#This Row],[Date_clean]],"mmmm")</f>
        <v>January</v>
      </c>
      <c r="W350">
        <f>WEEKNUM(Sales_Table[[#This Row],[Date_clean]],2)</f>
        <v>3</v>
      </c>
      <c r="X350" t="str" cm="1">
        <f t="array" ref="X350">_xlfn.IFS(Sales_Table[[#This Row],[Revenue]]&gt;=50000,"High",Sales_Table[[#This Row],[Revenue]]&gt;=20000,"Medium",Sales_Table[[#This Row],[Revenue]]&lt;20000,"Low")</f>
        <v>Medium</v>
      </c>
      <c r="Y350" t="str">
        <f>IF(Sales_Table[[#This Row],[Payment Method_clean]]="cash","Offline","Online")</f>
        <v>Offline</v>
      </c>
      <c r="Z350">
        <f>IFERROR(Sales_Table[[#This Row],[Revenue]],0)</f>
        <v>28366</v>
      </c>
    </row>
    <row r="351" spans="1:26" x14ac:dyDescent="0.3">
      <c r="A351">
        <v>350</v>
      </c>
      <c r="B351" s="2">
        <f t="shared" si="35"/>
        <v>45306.541666666664</v>
      </c>
      <c r="C351" t="s">
        <v>1027</v>
      </c>
      <c r="D351" t="s">
        <v>27</v>
      </c>
      <c r="E351" t="str">
        <f>PROPER(TRIM(CLEAN(Sales_Table[[#This Row],[Region]])))</f>
        <v>East</v>
      </c>
      <c r="F351" t="s">
        <v>37</v>
      </c>
      <c r="G351" t="str">
        <f t="shared" si="36"/>
        <v>Home Appliances</v>
      </c>
      <c r="H351" t="str">
        <f>PROPER(TRIM(CLEAN(Sales_Table[[#This Row],[Product Name]])))</f>
        <v>Men T-Shirt</v>
      </c>
      <c r="I351" t="s">
        <v>38</v>
      </c>
      <c r="J351" t="str">
        <f t="shared" si="37"/>
        <v>CUST0376</v>
      </c>
      <c r="K351" t="s">
        <v>1028</v>
      </c>
      <c r="L351" t="str">
        <f>PROPER(TRIM(CLEAN(Sales_Table[[#This Row],[Salesperson]])))</f>
        <v>Karthik</v>
      </c>
      <c r="M351" t="s">
        <v>70</v>
      </c>
      <c r="N351" t="str">
        <f t="shared" si="38"/>
        <v>Cash</v>
      </c>
      <c r="O351" t="s">
        <v>32</v>
      </c>
      <c r="P351">
        <f t="shared" si="39"/>
        <v>3</v>
      </c>
      <c r="Q351" t="s">
        <v>66</v>
      </c>
      <c r="R351">
        <f t="shared" si="40"/>
        <v>1337</v>
      </c>
      <c r="S351" t="s">
        <v>1029</v>
      </c>
      <c r="T351">
        <f t="shared" si="41"/>
        <v>4011</v>
      </c>
      <c r="U351">
        <f>YEAR(Sales_Table[[#This Row],[Date_clean]])</f>
        <v>2024</v>
      </c>
      <c r="V351" t="str">
        <f>TEXT(Sales_Table[[#This Row],[Date_clean]],"mmmm")</f>
        <v>January</v>
      </c>
      <c r="W351">
        <f>WEEKNUM(Sales_Table[[#This Row],[Date_clean]],2)</f>
        <v>3</v>
      </c>
      <c r="X351" t="str" cm="1">
        <f t="array" ref="X351">_xlfn.IFS(Sales_Table[[#This Row],[Revenue]]&gt;=50000,"High",Sales_Table[[#This Row],[Revenue]]&gt;=20000,"Medium",Sales_Table[[#This Row],[Revenue]]&lt;20000,"Low")</f>
        <v>Low</v>
      </c>
      <c r="Y351" t="str">
        <f>IF(Sales_Table[[#This Row],[Payment Method_clean]]="cash","Offline","Online")</f>
        <v>Offline</v>
      </c>
      <c r="Z351">
        <f>IFERROR(Sales_Table[[#This Row],[Revenue]],0)</f>
        <v>4011</v>
      </c>
    </row>
    <row r="352" spans="1:26" x14ac:dyDescent="0.3">
      <c r="A352">
        <v>351</v>
      </c>
      <c r="B352" s="2">
        <f t="shared" si="35"/>
        <v>45306.583333333336</v>
      </c>
      <c r="C352" t="s">
        <v>1030</v>
      </c>
      <c r="D352" t="s">
        <v>36</v>
      </c>
      <c r="E352" t="str">
        <f>PROPER(TRIM(CLEAN(Sales_Table[[#This Row],[Region]])))</f>
        <v>West</v>
      </c>
      <c r="F352" t="s">
        <v>37</v>
      </c>
      <c r="G352" t="str">
        <f t="shared" si="36"/>
        <v>Home Appliances</v>
      </c>
      <c r="H352" t="str">
        <f>PROPER(TRIM(CLEAN(Sales_Table[[#This Row],[Product Name]])))</f>
        <v>Mixer Grinder</v>
      </c>
      <c r="I352" t="s">
        <v>29</v>
      </c>
      <c r="J352" t="str">
        <f t="shared" si="37"/>
        <v>CUST0471</v>
      </c>
      <c r="K352" t="s">
        <v>680</v>
      </c>
      <c r="L352" t="str">
        <f>PROPER(TRIM(CLEAN(Sales_Table[[#This Row],[Salesperson]])))</f>
        <v>Rahul</v>
      </c>
      <c r="M352" t="s">
        <v>31</v>
      </c>
      <c r="N352" t="str">
        <f t="shared" si="38"/>
        <v>Upi</v>
      </c>
      <c r="O352" t="s">
        <v>48</v>
      </c>
      <c r="P352">
        <f t="shared" si="39"/>
        <v>13</v>
      </c>
      <c r="Q352" t="s">
        <v>81</v>
      </c>
      <c r="R352">
        <f t="shared" si="40"/>
        <v>2552</v>
      </c>
      <c r="S352" t="s">
        <v>1031</v>
      </c>
      <c r="T352">
        <f t="shared" si="41"/>
        <v>33176</v>
      </c>
      <c r="U352">
        <f>YEAR(Sales_Table[[#This Row],[Date_clean]])</f>
        <v>2024</v>
      </c>
      <c r="V352" t="str">
        <f>TEXT(Sales_Table[[#This Row],[Date_clean]],"mmmm")</f>
        <v>January</v>
      </c>
      <c r="W352">
        <f>WEEKNUM(Sales_Table[[#This Row],[Date_clean]],2)</f>
        <v>3</v>
      </c>
      <c r="X352" t="str" cm="1">
        <f t="array" ref="X352">_xlfn.IFS(Sales_Table[[#This Row],[Revenue]]&gt;=50000,"High",Sales_Table[[#This Row],[Revenue]]&gt;=20000,"Medium",Sales_Table[[#This Row],[Revenue]]&lt;20000,"Low")</f>
        <v>Medium</v>
      </c>
      <c r="Y352" t="str">
        <f>IF(Sales_Table[[#This Row],[Payment Method_clean]]="cash","Offline","Online")</f>
        <v>Online</v>
      </c>
      <c r="Z352">
        <f>IFERROR(Sales_Table[[#This Row],[Revenue]],0)</f>
        <v>33176</v>
      </c>
    </row>
    <row r="353" spans="1:26" x14ac:dyDescent="0.3">
      <c r="A353">
        <v>352</v>
      </c>
      <c r="B353" s="2">
        <f t="shared" si="35"/>
        <v>45306.625</v>
      </c>
      <c r="C353" t="s">
        <v>1032</v>
      </c>
      <c r="D353" t="s">
        <v>45</v>
      </c>
      <c r="E353" t="str">
        <f>PROPER(TRIM(CLEAN(Sales_Table[[#This Row],[Region]])))</f>
        <v>North</v>
      </c>
      <c r="F353" t="s">
        <v>78</v>
      </c>
      <c r="G353" t="str">
        <f t="shared" si="36"/>
        <v>Grocery</v>
      </c>
      <c r="H353" t="str">
        <f>PROPER(TRIM(CLEAN(Sales_Table[[#This Row],[Product Name]])))</f>
        <v>Mixer Grinder</v>
      </c>
      <c r="I353" t="s">
        <v>29</v>
      </c>
      <c r="J353" t="str">
        <f t="shared" si="37"/>
        <v>CUST0790</v>
      </c>
      <c r="K353" t="s">
        <v>344</v>
      </c>
      <c r="L353" t="str">
        <f>PROPER(TRIM(CLEAN(Sales_Table[[#This Row],[Salesperson]])))</f>
        <v>Karthik</v>
      </c>
      <c r="M353" t="s">
        <v>70</v>
      </c>
      <c r="N353" t="str">
        <f t="shared" si="38"/>
        <v>Net Banking</v>
      </c>
      <c r="O353" t="s">
        <v>60</v>
      </c>
      <c r="P353">
        <f t="shared" si="39"/>
        <v>6</v>
      </c>
      <c r="Q353" t="s">
        <v>75</v>
      </c>
      <c r="R353">
        <f t="shared" si="40"/>
        <v>258</v>
      </c>
      <c r="S353" t="s">
        <v>1033</v>
      </c>
      <c r="T353">
        <f t="shared" si="41"/>
        <v>1548</v>
      </c>
      <c r="U353">
        <f>YEAR(Sales_Table[[#This Row],[Date_clean]])</f>
        <v>2024</v>
      </c>
      <c r="V353" t="str">
        <f>TEXT(Sales_Table[[#This Row],[Date_clean]],"mmmm")</f>
        <v>January</v>
      </c>
      <c r="W353">
        <f>WEEKNUM(Sales_Table[[#This Row],[Date_clean]],2)</f>
        <v>3</v>
      </c>
      <c r="X353" t="str" cm="1">
        <f t="array" ref="X353">_xlfn.IFS(Sales_Table[[#This Row],[Revenue]]&gt;=50000,"High",Sales_Table[[#This Row],[Revenue]]&gt;=20000,"Medium",Sales_Table[[#This Row],[Revenue]]&lt;20000,"Low")</f>
        <v>Low</v>
      </c>
      <c r="Y353" t="str">
        <f>IF(Sales_Table[[#This Row],[Payment Method_clean]]="cash","Offline","Online")</f>
        <v>Online</v>
      </c>
      <c r="Z353">
        <f>IFERROR(Sales_Table[[#This Row],[Revenue]],0)</f>
        <v>1548</v>
      </c>
    </row>
    <row r="354" spans="1:26" x14ac:dyDescent="0.3">
      <c r="A354">
        <v>353</v>
      </c>
      <c r="B354" s="2">
        <f t="shared" si="35"/>
        <v>45306.666666666664</v>
      </c>
      <c r="C354" t="s">
        <v>1034</v>
      </c>
      <c r="D354" t="s">
        <v>45</v>
      </c>
      <c r="E354" t="str">
        <f>PROPER(TRIM(CLEAN(Sales_Table[[#This Row],[Region]])))</f>
        <v>North</v>
      </c>
      <c r="F354" t="s">
        <v>28</v>
      </c>
      <c r="G354" t="str">
        <f t="shared" si="36"/>
        <v>Clothing</v>
      </c>
      <c r="H354" t="str">
        <f>PROPER(TRIM(CLEAN(Sales_Table[[#This Row],[Product Name]])))</f>
        <v>Led Tv 42Inch</v>
      </c>
      <c r="I354" t="s">
        <v>58</v>
      </c>
      <c r="J354" t="str">
        <f t="shared" si="37"/>
        <v>CUST0642</v>
      </c>
      <c r="K354" t="s">
        <v>1035</v>
      </c>
      <c r="L354" t="str">
        <f>PROPER(TRIM(CLEAN(Sales_Table[[#This Row],[Salesperson]])))</f>
        <v>Rahul</v>
      </c>
      <c r="M354" t="s">
        <v>31</v>
      </c>
      <c r="N354" t="str">
        <f t="shared" si="38"/>
        <v>Net Banking</v>
      </c>
      <c r="O354" t="s">
        <v>60</v>
      </c>
      <c r="P354">
        <f t="shared" si="39"/>
        <v>8</v>
      </c>
      <c r="Q354" t="s">
        <v>42</v>
      </c>
      <c r="R354">
        <f t="shared" si="40"/>
        <v>2696</v>
      </c>
      <c r="S354" t="s">
        <v>1036</v>
      </c>
      <c r="T354">
        <f t="shared" si="41"/>
        <v>21568</v>
      </c>
      <c r="U354">
        <f>YEAR(Sales_Table[[#This Row],[Date_clean]])</f>
        <v>2024</v>
      </c>
      <c r="V354" t="str">
        <f>TEXT(Sales_Table[[#This Row],[Date_clean]],"mmmm")</f>
        <v>January</v>
      </c>
      <c r="W354">
        <f>WEEKNUM(Sales_Table[[#This Row],[Date_clean]],2)</f>
        <v>3</v>
      </c>
      <c r="X354" t="str" cm="1">
        <f t="array" ref="X354">_xlfn.IFS(Sales_Table[[#This Row],[Revenue]]&gt;=50000,"High",Sales_Table[[#This Row],[Revenue]]&gt;=20000,"Medium",Sales_Table[[#This Row],[Revenue]]&lt;20000,"Low")</f>
        <v>Medium</v>
      </c>
      <c r="Y354" t="str">
        <f>IF(Sales_Table[[#This Row],[Payment Method_clean]]="cash","Offline","Online")</f>
        <v>Online</v>
      </c>
      <c r="Z354">
        <f>IFERROR(Sales_Table[[#This Row],[Revenue]],0)</f>
        <v>21568</v>
      </c>
    </row>
    <row r="355" spans="1:26" x14ac:dyDescent="0.3">
      <c r="A355">
        <v>354</v>
      </c>
      <c r="B355" s="2">
        <f t="shared" si="35"/>
        <v>45306.708333333336</v>
      </c>
      <c r="C355" t="s">
        <v>1037</v>
      </c>
      <c r="D355" t="s">
        <v>36</v>
      </c>
      <c r="E355" t="str">
        <f>PROPER(TRIM(CLEAN(Sales_Table[[#This Row],[Region]])))</f>
        <v>West</v>
      </c>
      <c r="F355" t="s">
        <v>37</v>
      </c>
      <c r="G355" t="str">
        <f t="shared" si="36"/>
        <v>Home Appliances</v>
      </c>
      <c r="H355" t="str">
        <f>PROPER(TRIM(CLEAN(Sales_Table[[#This Row],[Product Name]])))</f>
        <v>Rice 5Kg</v>
      </c>
      <c r="I355" t="s">
        <v>73</v>
      </c>
      <c r="J355" t="str">
        <f t="shared" si="37"/>
        <v>CUST0031</v>
      </c>
      <c r="K355" t="s">
        <v>1038</v>
      </c>
      <c r="L355" t="str">
        <f>PROPER(TRIM(CLEAN(Sales_Table[[#This Row],[Salesperson]])))</f>
        <v>Karthik</v>
      </c>
      <c r="M355" t="s">
        <v>70</v>
      </c>
      <c r="N355" t="str">
        <f t="shared" si="38"/>
        <v>Upi</v>
      </c>
      <c r="O355" t="s">
        <v>48</v>
      </c>
      <c r="P355">
        <f t="shared" si="39"/>
        <v>13</v>
      </c>
      <c r="Q355" t="s">
        <v>81</v>
      </c>
      <c r="R355">
        <f t="shared" si="40"/>
        <v>3915</v>
      </c>
      <c r="S355" t="s">
        <v>1039</v>
      </c>
      <c r="T355">
        <f t="shared" si="41"/>
        <v>50895</v>
      </c>
      <c r="U355">
        <f>YEAR(Sales_Table[[#This Row],[Date_clean]])</f>
        <v>2024</v>
      </c>
      <c r="V355" t="str">
        <f>TEXT(Sales_Table[[#This Row],[Date_clean]],"mmmm")</f>
        <v>January</v>
      </c>
      <c r="W355">
        <f>WEEKNUM(Sales_Table[[#This Row],[Date_clean]],2)</f>
        <v>3</v>
      </c>
      <c r="X355" t="str" cm="1">
        <f t="array" ref="X355">_xlfn.IFS(Sales_Table[[#This Row],[Revenue]]&gt;=50000,"High",Sales_Table[[#This Row],[Revenue]]&gt;=20000,"Medium",Sales_Table[[#This Row],[Revenue]]&lt;20000,"Low")</f>
        <v>High</v>
      </c>
      <c r="Y355" t="str">
        <f>IF(Sales_Table[[#This Row],[Payment Method_clean]]="cash","Offline","Online")</f>
        <v>Online</v>
      </c>
      <c r="Z355">
        <f>IFERROR(Sales_Table[[#This Row],[Revenue]],0)</f>
        <v>50895</v>
      </c>
    </row>
    <row r="356" spans="1:26" x14ac:dyDescent="0.3">
      <c r="A356">
        <v>355</v>
      </c>
      <c r="B356" s="2">
        <f t="shared" si="35"/>
        <v>45306.75</v>
      </c>
      <c r="C356" t="s">
        <v>1040</v>
      </c>
      <c r="D356" t="s">
        <v>36</v>
      </c>
      <c r="E356" t="str">
        <f>PROPER(TRIM(CLEAN(Sales_Table[[#This Row],[Region]])))</f>
        <v>West</v>
      </c>
      <c r="F356" t="s">
        <v>46</v>
      </c>
      <c r="G356" t="str">
        <f t="shared" si="36"/>
        <v>Electronics</v>
      </c>
      <c r="H356" t="str">
        <f>PROPER(TRIM(CLEAN(Sales_Table[[#This Row],[Product Name]])))</f>
        <v>Washing Machine</v>
      </c>
      <c r="I356" t="s">
        <v>79</v>
      </c>
      <c r="J356" t="str">
        <f t="shared" si="37"/>
        <v>CUST0375</v>
      </c>
      <c r="K356" t="s">
        <v>751</v>
      </c>
      <c r="L356" t="str">
        <f>PROPER(TRIM(CLEAN(Sales_Table[[#This Row],[Salesperson]])))</f>
        <v>Anita</v>
      </c>
      <c r="M356" t="s">
        <v>64</v>
      </c>
      <c r="N356" t="str">
        <f t="shared" si="38"/>
        <v>Cash</v>
      </c>
      <c r="O356" t="s">
        <v>32</v>
      </c>
      <c r="P356">
        <f t="shared" si="39"/>
        <v>9</v>
      </c>
      <c r="Q356" t="s">
        <v>130</v>
      </c>
      <c r="R356">
        <f t="shared" si="40"/>
        <v>4474</v>
      </c>
      <c r="S356" t="s">
        <v>1041</v>
      </c>
      <c r="T356">
        <f t="shared" si="41"/>
        <v>40266</v>
      </c>
      <c r="U356">
        <f>YEAR(Sales_Table[[#This Row],[Date_clean]])</f>
        <v>2024</v>
      </c>
      <c r="V356" t="str">
        <f>TEXT(Sales_Table[[#This Row],[Date_clean]],"mmmm")</f>
        <v>January</v>
      </c>
      <c r="W356">
        <f>WEEKNUM(Sales_Table[[#This Row],[Date_clean]],2)</f>
        <v>3</v>
      </c>
      <c r="X356" t="str" cm="1">
        <f t="array" ref="X356">_xlfn.IFS(Sales_Table[[#This Row],[Revenue]]&gt;=50000,"High",Sales_Table[[#This Row],[Revenue]]&gt;=20000,"Medium",Sales_Table[[#This Row],[Revenue]]&lt;20000,"Low")</f>
        <v>Medium</v>
      </c>
      <c r="Y356" t="str">
        <f>IF(Sales_Table[[#This Row],[Payment Method_clean]]="cash","Offline","Online")</f>
        <v>Offline</v>
      </c>
      <c r="Z356">
        <f>IFERROR(Sales_Table[[#This Row],[Revenue]],0)</f>
        <v>40266</v>
      </c>
    </row>
    <row r="357" spans="1:26" x14ac:dyDescent="0.3">
      <c r="A357">
        <v>356</v>
      </c>
      <c r="B357" s="2">
        <f t="shared" si="35"/>
        <v>45306.791666666664</v>
      </c>
      <c r="C357" t="s">
        <v>1042</v>
      </c>
      <c r="D357" t="s">
        <v>27</v>
      </c>
      <c r="E357" t="str">
        <f>PROPER(TRIM(CLEAN(Sales_Table[[#This Row],[Region]])))</f>
        <v>East</v>
      </c>
      <c r="F357" t="s">
        <v>28</v>
      </c>
      <c r="G357" t="str">
        <f t="shared" si="36"/>
        <v>Clothing</v>
      </c>
      <c r="H357" t="str">
        <f>PROPER(TRIM(CLEAN(Sales_Table[[#This Row],[Product Name]])))</f>
        <v>Laptop</v>
      </c>
      <c r="I357" t="s">
        <v>52</v>
      </c>
      <c r="J357" t="str">
        <f t="shared" si="37"/>
        <v>CUST0011</v>
      </c>
      <c r="K357" t="s">
        <v>1043</v>
      </c>
      <c r="L357" t="str">
        <f>PROPER(TRIM(CLEAN(Sales_Table[[#This Row],[Salesperson]])))</f>
        <v>Rahul</v>
      </c>
      <c r="M357" t="s">
        <v>31</v>
      </c>
      <c r="N357" t="str">
        <f t="shared" si="38"/>
        <v>Credit Card</v>
      </c>
      <c r="O357" t="s">
        <v>65</v>
      </c>
      <c r="P357">
        <f t="shared" si="39"/>
        <v>14</v>
      </c>
      <c r="Q357" t="s">
        <v>55</v>
      </c>
      <c r="R357">
        <f t="shared" si="40"/>
        <v>2626</v>
      </c>
      <c r="S357" t="s">
        <v>1044</v>
      </c>
      <c r="T357">
        <f t="shared" si="41"/>
        <v>36764</v>
      </c>
      <c r="U357">
        <f>YEAR(Sales_Table[[#This Row],[Date_clean]])</f>
        <v>2024</v>
      </c>
      <c r="V357" t="str">
        <f>TEXT(Sales_Table[[#This Row],[Date_clean]],"mmmm")</f>
        <v>January</v>
      </c>
      <c r="W357">
        <f>WEEKNUM(Sales_Table[[#This Row],[Date_clean]],2)</f>
        <v>3</v>
      </c>
      <c r="X357" t="str" cm="1">
        <f t="array" ref="X357">_xlfn.IFS(Sales_Table[[#This Row],[Revenue]]&gt;=50000,"High",Sales_Table[[#This Row],[Revenue]]&gt;=20000,"Medium",Sales_Table[[#This Row],[Revenue]]&lt;20000,"Low")</f>
        <v>Medium</v>
      </c>
      <c r="Y357" t="str">
        <f>IF(Sales_Table[[#This Row],[Payment Method_clean]]="cash","Offline","Online")</f>
        <v>Online</v>
      </c>
      <c r="Z357">
        <f>IFERROR(Sales_Table[[#This Row],[Revenue]],0)</f>
        <v>36764</v>
      </c>
    </row>
    <row r="358" spans="1:26" x14ac:dyDescent="0.3">
      <c r="A358">
        <v>357</v>
      </c>
      <c r="B358" s="2">
        <f t="shared" si="35"/>
        <v>45306.833333333336</v>
      </c>
      <c r="C358" t="s">
        <v>1045</v>
      </c>
      <c r="D358" t="s">
        <v>84</v>
      </c>
      <c r="E358" t="str">
        <f>PROPER(TRIM(CLEAN(Sales_Table[[#This Row],[Region]])))</f>
        <v>South</v>
      </c>
      <c r="F358" t="s">
        <v>46</v>
      </c>
      <c r="G358" t="str">
        <f t="shared" si="36"/>
        <v>Electronics</v>
      </c>
      <c r="H358" t="str">
        <f>PROPER(TRIM(CLEAN(Sales_Table[[#This Row],[Product Name]])))</f>
        <v>Laptop</v>
      </c>
      <c r="I358" t="s">
        <v>52</v>
      </c>
      <c r="J358" t="str">
        <f t="shared" si="37"/>
        <v>CUST0302</v>
      </c>
      <c r="K358" t="s">
        <v>1046</v>
      </c>
      <c r="L358" t="str">
        <f>PROPER(TRIM(CLEAN(Sales_Table[[#This Row],[Salesperson]])))</f>
        <v>Rahul</v>
      </c>
      <c r="M358" t="s">
        <v>31</v>
      </c>
      <c r="N358" t="str">
        <f t="shared" si="38"/>
        <v>Cash</v>
      </c>
      <c r="O358" t="s">
        <v>32</v>
      </c>
      <c r="P358">
        <f t="shared" si="39"/>
        <v>6</v>
      </c>
      <c r="Q358" t="s">
        <v>75</v>
      </c>
      <c r="R358">
        <f t="shared" si="40"/>
        <v>210</v>
      </c>
      <c r="S358" t="s">
        <v>1047</v>
      </c>
      <c r="T358">
        <f t="shared" si="41"/>
        <v>1260</v>
      </c>
      <c r="U358">
        <f>YEAR(Sales_Table[[#This Row],[Date_clean]])</f>
        <v>2024</v>
      </c>
      <c r="V358" t="str">
        <f>TEXT(Sales_Table[[#This Row],[Date_clean]],"mmmm")</f>
        <v>January</v>
      </c>
      <c r="W358">
        <f>WEEKNUM(Sales_Table[[#This Row],[Date_clean]],2)</f>
        <v>3</v>
      </c>
      <c r="X358" t="str" cm="1">
        <f t="array" ref="X358">_xlfn.IFS(Sales_Table[[#This Row],[Revenue]]&gt;=50000,"High",Sales_Table[[#This Row],[Revenue]]&gt;=20000,"Medium",Sales_Table[[#This Row],[Revenue]]&lt;20000,"Low")</f>
        <v>Low</v>
      </c>
      <c r="Y358" t="str">
        <f>IF(Sales_Table[[#This Row],[Payment Method_clean]]="cash","Offline","Online")</f>
        <v>Offline</v>
      </c>
      <c r="Z358">
        <f>IFERROR(Sales_Table[[#This Row],[Revenue]],0)</f>
        <v>1260</v>
      </c>
    </row>
    <row r="359" spans="1:26" x14ac:dyDescent="0.3">
      <c r="A359">
        <v>358</v>
      </c>
      <c r="B359" s="2">
        <f t="shared" si="35"/>
        <v>45306.875</v>
      </c>
      <c r="C359" t="s">
        <v>1048</v>
      </c>
      <c r="D359" t="s">
        <v>36</v>
      </c>
      <c r="E359" t="str">
        <f>PROPER(TRIM(CLEAN(Sales_Table[[#This Row],[Region]])))</f>
        <v>West</v>
      </c>
      <c r="F359" t="s">
        <v>28</v>
      </c>
      <c r="G359" t="str">
        <f t="shared" si="36"/>
        <v>Clothing</v>
      </c>
      <c r="H359" t="str">
        <f>PROPER(TRIM(CLEAN(Sales_Table[[#This Row],[Product Name]])))</f>
        <v>Rice 5Kg</v>
      </c>
      <c r="I359" t="s">
        <v>73</v>
      </c>
      <c r="J359" t="str">
        <f t="shared" si="37"/>
        <v>CUST0096</v>
      </c>
      <c r="K359" t="s">
        <v>47</v>
      </c>
      <c r="L359" t="str">
        <f>PROPER(TRIM(CLEAN(Sales_Table[[#This Row],[Salesperson]])))</f>
        <v>Meena</v>
      </c>
      <c r="M359" t="s">
        <v>40</v>
      </c>
      <c r="N359" t="str">
        <f t="shared" si="38"/>
        <v>Net Banking</v>
      </c>
      <c r="O359" t="s">
        <v>60</v>
      </c>
      <c r="P359">
        <f t="shared" si="39"/>
        <v>5</v>
      </c>
      <c r="Q359" t="s">
        <v>89</v>
      </c>
      <c r="R359">
        <f t="shared" si="40"/>
        <v>641</v>
      </c>
      <c r="S359" t="s">
        <v>1049</v>
      </c>
      <c r="T359">
        <f t="shared" si="41"/>
        <v>3205</v>
      </c>
      <c r="U359">
        <f>YEAR(Sales_Table[[#This Row],[Date_clean]])</f>
        <v>2024</v>
      </c>
      <c r="V359" t="str">
        <f>TEXT(Sales_Table[[#This Row],[Date_clean]],"mmmm")</f>
        <v>January</v>
      </c>
      <c r="W359">
        <f>WEEKNUM(Sales_Table[[#This Row],[Date_clean]],2)</f>
        <v>3</v>
      </c>
      <c r="X359" t="str" cm="1">
        <f t="array" ref="X359">_xlfn.IFS(Sales_Table[[#This Row],[Revenue]]&gt;=50000,"High",Sales_Table[[#This Row],[Revenue]]&gt;=20000,"Medium",Sales_Table[[#This Row],[Revenue]]&lt;20000,"Low")</f>
        <v>Low</v>
      </c>
      <c r="Y359" t="str">
        <f>IF(Sales_Table[[#This Row],[Payment Method_clean]]="cash","Offline","Online")</f>
        <v>Online</v>
      </c>
      <c r="Z359">
        <f>IFERROR(Sales_Table[[#This Row],[Revenue]],0)</f>
        <v>3205</v>
      </c>
    </row>
    <row r="360" spans="1:26" x14ac:dyDescent="0.3">
      <c r="A360">
        <v>359</v>
      </c>
      <c r="B360" s="2">
        <f t="shared" si="35"/>
        <v>45306.916666666664</v>
      </c>
      <c r="C360" t="s">
        <v>1050</v>
      </c>
      <c r="D360" t="s">
        <v>45</v>
      </c>
      <c r="E360" t="str">
        <f>PROPER(TRIM(CLEAN(Sales_Table[[#This Row],[Region]])))</f>
        <v>North</v>
      </c>
      <c r="F360" t="s">
        <v>46</v>
      </c>
      <c r="G360" t="str">
        <f t="shared" si="36"/>
        <v>Electronics</v>
      </c>
      <c r="H360" t="str">
        <f>PROPER(TRIM(CLEAN(Sales_Table[[#This Row],[Product Name]])))</f>
        <v>Washing Machine</v>
      </c>
      <c r="I360" t="s">
        <v>79</v>
      </c>
      <c r="J360" t="str">
        <f t="shared" si="37"/>
        <v>CUST0190</v>
      </c>
      <c r="K360" t="s">
        <v>1051</v>
      </c>
      <c r="L360" t="str">
        <f>PROPER(TRIM(CLEAN(Sales_Table[[#This Row],[Salesperson]])))</f>
        <v>Karthik</v>
      </c>
      <c r="M360" t="s">
        <v>70</v>
      </c>
      <c r="N360" t="str">
        <f t="shared" si="38"/>
        <v>Cash</v>
      </c>
      <c r="O360" t="s">
        <v>32</v>
      </c>
      <c r="P360">
        <f t="shared" si="39"/>
        <v>12</v>
      </c>
      <c r="Q360" t="s">
        <v>33</v>
      </c>
      <c r="R360">
        <f t="shared" si="40"/>
        <v>1238</v>
      </c>
      <c r="S360" t="s">
        <v>1052</v>
      </c>
      <c r="T360">
        <f t="shared" si="41"/>
        <v>14856</v>
      </c>
      <c r="U360">
        <f>YEAR(Sales_Table[[#This Row],[Date_clean]])</f>
        <v>2024</v>
      </c>
      <c r="V360" t="str">
        <f>TEXT(Sales_Table[[#This Row],[Date_clean]],"mmmm")</f>
        <v>January</v>
      </c>
      <c r="W360">
        <f>WEEKNUM(Sales_Table[[#This Row],[Date_clean]],2)</f>
        <v>3</v>
      </c>
      <c r="X360" t="str" cm="1">
        <f t="array" ref="X360">_xlfn.IFS(Sales_Table[[#This Row],[Revenue]]&gt;=50000,"High",Sales_Table[[#This Row],[Revenue]]&gt;=20000,"Medium",Sales_Table[[#This Row],[Revenue]]&lt;20000,"Low")</f>
        <v>Low</v>
      </c>
      <c r="Y360" t="str">
        <f>IF(Sales_Table[[#This Row],[Payment Method_clean]]="cash","Offline","Online")</f>
        <v>Offline</v>
      </c>
      <c r="Z360">
        <f>IFERROR(Sales_Table[[#This Row],[Revenue]],0)</f>
        <v>14856</v>
      </c>
    </row>
    <row r="361" spans="1:26" x14ac:dyDescent="0.3">
      <c r="A361">
        <v>360</v>
      </c>
      <c r="B361" s="2">
        <f t="shared" si="35"/>
        <v>45306.958333333336</v>
      </c>
      <c r="C361" t="s">
        <v>1053</v>
      </c>
      <c r="D361" t="s">
        <v>27</v>
      </c>
      <c r="E361" t="str">
        <f>PROPER(TRIM(CLEAN(Sales_Table[[#This Row],[Region]])))</f>
        <v>East</v>
      </c>
      <c r="F361" t="s">
        <v>78</v>
      </c>
      <c r="G361" t="str">
        <f t="shared" si="36"/>
        <v>Grocery</v>
      </c>
      <c r="H361" t="str">
        <f>PROPER(TRIM(CLEAN(Sales_Table[[#This Row],[Product Name]])))</f>
        <v>Laptop</v>
      </c>
      <c r="I361" t="s">
        <v>52</v>
      </c>
      <c r="J361" t="str">
        <f t="shared" si="37"/>
        <v>CUST0453</v>
      </c>
      <c r="K361" t="s">
        <v>1054</v>
      </c>
      <c r="L361" t="str">
        <f>PROPER(TRIM(CLEAN(Sales_Table[[#This Row],[Salesperson]])))</f>
        <v>Karthik</v>
      </c>
      <c r="M361" t="s">
        <v>70</v>
      </c>
      <c r="N361" t="str">
        <f t="shared" si="38"/>
        <v>Credit Card</v>
      </c>
      <c r="O361" t="s">
        <v>65</v>
      </c>
      <c r="P361">
        <f t="shared" si="39"/>
        <v>11</v>
      </c>
      <c r="Q361" t="s">
        <v>97</v>
      </c>
      <c r="R361">
        <f t="shared" si="40"/>
        <v>3383</v>
      </c>
      <c r="S361" t="s">
        <v>1055</v>
      </c>
      <c r="T361">
        <f t="shared" si="41"/>
        <v>37213</v>
      </c>
      <c r="U361">
        <f>YEAR(Sales_Table[[#This Row],[Date_clean]])</f>
        <v>2024</v>
      </c>
      <c r="V361" t="str">
        <f>TEXT(Sales_Table[[#This Row],[Date_clean]],"mmmm")</f>
        <v>January</v>
      </c>
      <c r="W361">
        <f>WEEKNUM(Sales_Table[[#This Row],[Date_clean]],2)</f>
        <v>3</v>
      </c>
      <c r="X361" t="str" cm="1">
        <f t="array" ref="X361">_xlfn.IFS(Sales_Table[[#This Row],[Revenue]]&gt;=50000,"High",Sales_Table[[#This Row],[Revenue]]&gt;=20000,"Medium",Sales_Table[[#This Row],[Revenue]]&lt;20000,"Low")</f>
        <v>Medium</v>
      </c>
      <c r="Y361" t="str">
        <f>IF(Sales_Table[[#This Row],[Payment Method_clean]]="cash","Offline","Online")</f>
        <v>Online</v>
      </c>
      <c r="Z361">
        <f>IFERROR(Sales_Table[[#This Row],[Revenue]],0)</f>
        <v>37213</v>
      </c>
    </row>
    <row r="362" spans="1:26" x14ac:dyDescent="0.3">
      <c r="A362">
        <v>361</v>
      </c>
      <c r="B362" s="2">
        <f t="shared" si="35"/>
        <v>45307</v>
      </c>
      <c r="C362" t="s">
        <v>1056</v>
      </c>
      <c r="D362" t="s">
        <v>36</v>
      </c>
      <c r="E362" t="str">
        <f>PROPER(TRIM(CLEAN(Sales_Table[[#This Row],[Region]])))</f>
        <v>West</v>
      </c>
      <c r="F362" t="s">
        <v>37</v>
      </c>
      <c r="G362" t="str">
        <f t="shared" si="36"/>
        <v>Home Appliances</v>
      </c>
      <c r="H362" t="str">
        <f>PROPER(TRIM(CLEAN(Sales_Table[[#This Row],[Product Name]])))</f>
        <v>Rice 5Kg</v>
      </c>
      <c r="I362" t="s">
        <v>73</v>
      </c>
      <c r="J362" t="str">
        <f t="shared" si="37"/>
        <v>CUST0192</v>
      </c>
      <c r="K362" t="s">
        <v>977</v>
      </c>
      <c r="L362" t="str">
        <f>PROPER(TRIM(CLEAN(Sales_Table[[#This Row],[Salesperson]])))</f>
        <v>Rahul</v>
      </c>
      <c r="M362" t="s">
        <v>31</v>
      </c>
      <c r="N362" t="str">
        <f t="shared" si="38"/>
        <v>Debit Card</v>
      </c>
      <c r="O362" t="s">
        <v>41</v>
      </c>
      <c r="P362">
        <f t="shared" si="39"/>
        <v>2</v>
      </c>
      <c r="Q362" t="s">
        <v>196</v>
      </c>
      <c r="R362">
        <f t="shared" si="40"/>
        <v>3710</v>
      </c>
      <c r="S362" t="s">
        <v>1057</v>
      </c>
      <c r="T362">
        <f t="shared" si="41"/>
        <v>7420</v>
      </c>
      <c r="U362">
        <f>YEAR(Sales_Table[[#This Row],[Date_clean]])</f>
        <v>2024</v>
      </c>
      <c r="V362" t="str">
        <f>TEXT(Sales_Table[[#This Row],[Date_clean]],"mmmm")</f>
        <v>January</v>
      </c>
      <c r="W362">
        <f>WEEKNUM(Sales_Table[[#This Row],[Date_clean]],2)</f>
        <v>3</v>
      </c>
      <c r="X362" t="str" cm="1">
        <f t="array" ref="X362">_xlfn.IFS(Sales_Table[[#This Row],[Revenue]]&gt;=50000,"High",Sales_Table[[#This Row],[Revenue]]&gt;=20000,"Medium",Sales_Table[[#This Row],[Revenue]]&lt;20000,"Low")</f>
        <v>Low</v>
      </c>
      <c r="Y362" t="str">
        <f>IF(Sales_Table[[#This Row],[Payment Method_clean]]="cash","Offline","Online")</f>
        <v>Online</v>
      </c>
      <c r="Z362">
        <f>IFERROR(Sales_Table[[#This Row],[Revenue]],0)</f>
        <v>7420</v>
      </c>
    </row>
    <row r="363" spans="1:26" x14ac:dyDescent="0.3">
      <c r="A363">
        <v>362</v>
      </c>
      <c r="B363" s="2">
        <f t="shared" si="35"/>
        <v>45307.041666666664</v>
      </c>
      <c r="C363" t="s">
        <v>1058</v>
      </c>
      <c r="D363" t="s">
        <v>45</v>
      </c>
      <c r="E363" t="str">
        <f>PROPER(TRIM(CLEAN(Sales_Table[[#This Row],[Region]])))</f>
        <v>North</v>
      </c>
      <c r="F363" t="s">
        <v>46</v>
      </c>
      <c r="G363" t="str">
        <f t="shared" si="36"/>
        <v>Electronics</v>
      </c>
      <c r="H363" t="str">
        <f>PROPER(TRIM(CLEAN(Sales_Table[[#This Row],[Product Name]])))</f>
        <v>Laptop</v>
      </c>
      <c r="I363" t="s">
        <v>52</v>
      </c>
      <c r="J363" t="str">
        <f t="shared" si="37"/>
        <v>CUST0486</v>
      </c>
      <c r="K363" t="s">
        <v>1059</v>
      </c>
      <c r="L363" t="str">
        <f>PROPER(TRIM(CLEAN(Sales_Table[[#This Row],[Salesperson]])))</f>
        <v>Anita</v>
      </c>
      <c r="M363" t="s">
        <v>64</v>
      </c>
      <c r="N363" t="str">
        <f t="shared" si="38"/>
        <v>Cash</v>
      </c>
      <c r="O363" t="s">
        <v>32</v>
      </c>
      <c r="P363">
        <f t="shared" si="39"/>
        <v>2</v>
      </c>
      <c r="Q363" t="s">
        <v>196</v>
      </c>
      <c r="R363">
        <f t="shared" si="40"/>
        <v>4555</v>
      </c>
      <c r="S363" t="s">
        <v>1060</v>
      </c>
      <c r="T363">
        <f t="shared" si="41"/>
        <v>9110</v>
      </c>
      <c r="U363">
        <f>YEAR(Sales_Table[[#This Row],[Date_clean]])</f>
        <v>2024</v>
      </c>
      <c r="V363" t="str">
        <f>TEXT(Sales_Table[[#This Row],[Date_clean]],"mmmm")</f>
        <v>January</v>
      </c>
      <c r="W363">
        <f>WEEKNUM(Sales_Table[[#This Row],[Date_clean]],2)</f>
        <v>3</v>
      </c>
      <c r="X363" t="str" cm="1">
        <f t="array" ref="X363">_xlfn.IFS(Sales_Table[[#This Row],[Revenue]]&gt;=50000,"High",Sales_Table[[#This Row],[Revenue]]&gt;=20000,"Medium",Sales_Table[[#This Row],[Revenue]]&lt;20000,"Low")</f>
        <v>Low</v>
      </c>
      <c r="Y363" t="str">
        <f>IF(Sales_Table[[#This Row],[Payment Method_clean]]="cash","Offline","Online")</f>
        <v>Offline</v>
      </c>
      <c r="Z363">
        <f>IFERROR(Sales_Table[[#This Row],[Revenue]],0)</f>
        <v>9110</v>
      </c>
    </row>
    <row r="364" spans="1:26" x14ac:dyDescent="0.3">
      <c r="A364">
        <v>363</v>
      </c>
      <c r="B364" s="2">
        <f t="shared" si="35"/>
        <v>45307.083333333336</v>
      </c>
      <c r="C364" t="s">
        <v>1061</v>
      </c>
      <c r="D364" t="s">
        <v>45</v>
      </c>
      <c r="E364" t="str">
        <f>PROPER(TRIM(CLEAN(Sales_Table[[#This Row],[Region]])))</f>
        <v>North</v>
      </c>
      <c r="F364" t="s">
        <v>28</v>
      </c>
      <c r="G364" t="str">
        <f t="shared" si="36"/>
        <v>Clothing</v>
      </c>
      <c r="H364" t="str">
        <f>PROPER(TRIM(CLEAN(Sales_Table[[#This Row],[Product Name]])))</f>
        <v>Mixer Grinder</v>
      </c>
      <c r="I364" t="s">
        <v>29</v>
      </c>
      <c r="J364" t="str">
        <f t="shared" si="37"/>
        <v>CUST0266</v>
      </c>
      <c r="K364" t="s">
        <v>1062</v>
      </c>
      <c r="L364" t="str">
        <f>PROPER(TRIM(CLEAN(Sales_Table[[#This Row],[Salesperson]])))</f>
        <v>Anita</v>
      </c>
      <c r="M364" t="s">
        <v>64</v>
      </c>
      <c r="N364" t="str">
        <f t="shared" si="38"/>
        <v>Upi</v>
      </c>
      <c r="O364" t="s">
        <v>48</v>
      </c>
      <c r="P364">
        <f t="shared" si="39"/>
        <v>9</v>
      </c>
      <c r="Q364" t="s">
        <v>130</v>
      </c>
      <c r="R364">
        <f t="shared" si="40"/>
        <v>3657</v>
      </c>
      <c r="S364" t="s">
        <v>1063</v>
      </c>
      <c r="T364">
        <f t="shared" si="41"/>
        <v>32913</v>
      </c>
      <c r="U364">
        <f>YEAR(Sales_Table[[#This Row],[Date_clean]])</f>
        <v>2024</v>
      </c>
      <c r="V364" t="str">
        <f>TEXT(Sales_Table[[#This Row],[Date_clean]],"mmmm")</f>
        <v>January</v>
      </c>
      <c r="W364">
        <f>WEEKNUM(Sales_Table[[#This Row],[Date_clean]],2)</f>
        <v>3</v>
      </c>
      <c r="X364" t="str" cm="1">
        <f t="array" ref="X364">_xlfn.IFS(Sales_Table[[#This Row],[Revenue]]&gt;=50000,"High",Sales_Table[[#This Row],[Revenue]]&gt;=20000,"Medium",Sales_Table[[#This Row],[Revenue]]&lt;20000,"Low")</f>
        <v>Medium</v>
      </c>
      <c r="Y364" t="str">
        <f>IF(Sales_Table[[#This Row],[Payment Method_clean]]="cash","Offline","Online")</f>
        <v>Online</v>
      </c>
      <c r="Z364">
        <f>IFERROR(Sales_Table[[#This Row],[Revenue]],0)</f>
        <v>32913</v>
      </c>
    </row>
    <row r="365" spans="1:26" x14ac:dyDescent="0.3">
      <c r="A365">
        <v>364</v>
      </c>
      <c r="B365" s="2">
        <f t="shared" si="35"/>
        <v>45307.125</v>
      </c>
      <c r="C365" t="s">
        <v>1064</v>
      </c>
      <c r="D365" t="s">
        <v>84</v>
      </c>
      <c r="E365" t="str">
        <f>PROPER(TRIM(CLEAN(Sales_Table[[#This Row],[Region]])))</f>
        <v>South</v>
      </c>
      <c r="F365" t="s">
        <v>37</v>
      </c>
      <c r="G365" t="str">
        <f t="shared" si="36"/>
        <v>Home Appliances</v>
      </c>
      <c r="H365" t="str">
        <f>PROPER(TRIM(CLEAN(Sales_Table[[#This Row],[Product Name]])))</f>
        <v>Men T-Shirt</v>
      </c>
      <c r="I365" t="s">
        <v>38</v>
      </c>
      <c r="J365" t="str">
        <f t="shared" si="37"/>
        <v>CUST0424</v>
      </c>
      <c r="K365" t="s">
        <v>1065</v>
      </c>
      <c r="L365" t="str">
        <f>PROPER(TRIM(CLEAN(Sales_Table[[#This Row],[Salesperson]])))</f>
        <v>Anita</v>
      </c>
      <c r="M365" t="s">
        <v>64</v>
      </c>
      <c r="N365" t="str">
        <f t="shared" si="38"/>
        <v>Debit Card</v>
      </c>
      <c r="O365" t="s">
        <v>41</v>
      </c>
      <c r="P365">
        <f t="shared" si="39"/>
        <v>2</v>
      </c>
      <c r="Q365" t="s">
        <v>196</v>
      </c>
      <c r="R365">
        <f t="shared" si="40"/>
        <v>2519</v>
      </c>
      <c r="S365" t="s">
        <v>1066</v>
      </c>
      <c r="T365">
        <f t="shared" si="41"/>
        <v>5038</v>
      </c>
      <c r="U365">
        <f>YEAR(Sales_Table[[#This Row],[Date_clean]])</f>
        <v>2024</v>
      </c>
      <c r="V365" t="str">
        <f>TEXT(Sales_Table[[#This Row],[Date_clean]],"mmmm")</f>
        <v>January</v>
      </c>
      <c r="W365">
        <f>WEEKNUM(Sales_Table[[#This Row],[Date_clean]],2)</f>
        <v>3</v>
      </c>
      <c r="X365" t="str" cm="1">
        <f t="array" ref="X365">_xlfn.IFS(Sales_Table[[#This Row],[Revenue]]&gt;=50000,"High",Sales_Table[[#This Row],[Revenue]]&gt;=20000,"Medium",Sales_Table[[#This Row],[Revenue]]&lt;20000,"Low")</f>
        <v>Low</v>
      </c>
      <c r="Y365" t="str">
        <f>IF(Sales_Table[[#This Row],[Payment Method_clean]]="cash","Offline","Online")</f>
        <v>Online</v>
      </c>
      <c r="Z365">
        <f>IFERROR(Sales_Table[[#This Row],[Revenue]],0)</f>
        <v>5038</v>
      </c>
    </row>
    <row r="366" spans="1:26" x14ac:dyDescent="0.3">
      <c r="A366">
        <v>365</v>
      </c>
      <c r="B366" s="2">
        <f t="shared" si="35"/>
        <v>45307.166666666664</v>
      </c>
      <c r="C366" t="s">
        <v>1067</v>
      </c>
      <c r="D366" t="s">
        <v>27</v>
      </c>
      <c r="E366" t="str">
        <f>PROPER(TRIM(CLEAN(Sales_Table[[#This Row],[Region]])))</f>
        <v>East</v>
      </c>
      <c r="F366" t="s">
        <v>37</v>
      </c>
      <c r="G366" t="str">
        <f t="shared" si="36"/>
        <v>Home Appliances</v>
      </c>
      <c r="H366" t="str">
        <f>PROPER(TRIM(CLEAN(Sales_Table[[#This Row],[Product Name]])))</f>
        <v>Men T-Shirt</v>
      </c>
      <c r="I366" t="s">
        <v>38</v>
      </c>
      <c r="J366" t="str">
        <f t="shared" si="37"/>
        <v>CUST0128</v>
      </c>
      <c r="K366" t="s">
        <v>1068</v>
      </c>
      <c r="L366" t="str">
        <f>PROPER(TRIM(CLEAN(Sales_Table[[#This Row],[Salesperson]])))</f>
        <v>Karthik</v>
      </c>
      <c r="M366" t="s">
        <v>70</v>
      </c>
      <c r="N366" t="str">
        <f t="shared" si="38"/>
        <v>Upi</v>
      </c>
      <c r="O366" t="s">
        <v>48</v>
      </c>
      <c r="P366">
        <f t="shared" si="39"/>
        <v>2</v>
      </c>
      <c r="Q366" t="s">
        <v>196</v>
      </c>
      <c r="R366">
        <f t="shared" si="40"/>
        <v>1856</v>
      </c>
      <c r="S366" t="s">
        <v>1069</v>
      </c>
      <c r="T366">
        <f t="shared" si="41"/>
        <v>3712</v>
      </c>
      <c r="U366">
        <f>YEAR(Sales_Table[[#This Row],[Date_clean]])</f>
        <v>2024</v>
      </c>
      <c r="V366" t="str">
        <f>TEXT(Sales_Table[[#This Row],[Date_clean]],"mmmm")</f>
        <v>January</v>
      </c>
      <c r="W366">
        <f>WEEKNUM(Sales_Table[[#This Row],[Date_clean]],2)</f>
        <v>3</v>
      </c>
      <c r="X366" t="str" cm="1">
        <f t="array" ref="X366">_xlfn.IFS(Sales_Table[[#This Row],[Revenue]]&gt;=50000,"High",Sales_Table[[#This Row],[Revenue]]&gt;=20000,"Medium",Sales_Table[[#This Row],[Revenue]]&lt;20000,"Low")</f>
        <v>Low</v>
      </c>
      <c r="Y366" t="str">
        <f>IF(Sales_Table[[#This Row],[Payment Method_clean]]="cash","Offline","Online")</f>
        <v>Online</v>
      </c>
      <c r="Z366">
        <f>IFERROR(Sales_Table[[#This Row],[Revenue]],0)</f>
        <v>3712</v>
      </c>
    </row>
    <row r="367" spans="1:26" x14ac:dyDescent="0.3">
      <c r="A367">
        <v>366</v>
      </c>
      <c r="B367" s="2">
        <f t="shared" si="35"/>
        <v>45307.208333333336</v>
      </c>
      <c r="C367" t="s">
        <v>1070</v>
      </c>
      <c r="D367" t="s">
        <v>27</v>
      </c>
      <c r="E367" t="str">
        <f>PROPER(TRIM(CLEAN(Sales_Table[[#This Row],[Region]])))</f>
        <v>East</v>
      </c>
      <c r="F367" t="s">
        <v>28</v>
      </c>
      <c r="G367" t="str">
        <f t="shared" si="36"/>
        <v>Clothing</v>
      </c>
      <c r="H367" t="str">
        <f>PROPER(TRIM(CLEAN(Sales_Table[[#This Row],[Product Name]])))</f>
        <v>Laptop</v>
      </c>
      <c r="I367" t="s">
        <v>52</v>
      </c>
      <c r="J367" t="str">
        <f t="shared" si="37"/>
        <v>CUST0238</v>
      </c>
      <c r="K367" t="s">
        <v>1071</v>
      </c>
      <c r="L367" t="str">
        <f>PROPER(TRIM(CLEAN(Sales_Table[[#This Row],[Salesperson]])))</f>
        <v>Meena</v>
      </c>
      <c r="M367" t="s">
        <v>40</v>
      </c>
      <c r="N367" t="str">
        <f t="shared" si="38"/>
        <v>Upi</v>
      </c>
      <c r="O367" t="s">
        <v>48</v>
      </c>
      <c r="P367">
        <f t="shared" si="39"/>
        <v>3</v>
      </c>
      <c r="Q367" t="s">
        <v>66</v>
      </c>
      <c r="R367">
        <f t="shared" si="40"/>
        <v>3186</v>
      </c>
      <c r="S367" t="s">
        <v>1072</v>
      </c>
      <c r="T367">
        <f t="shared" si="41"/>
        <v>9558</v>
      </c>
      <c r="U367">
        <f>YEAR(Sales_Table[[#This Row],[Date_clean]])</f>
        <v>2024</v>
      </c>
      <c r="V367" t="str">
        <f>TEXT(Sales_Table[[#This Row],[Date_clean]],"mmmm")</f>
        <v>January</v>
      </c>
      <c r="W367">
        <f>WEEKNUM(Sales_Table[[#This Row],[Date_clean]],2)</f>
        <v>3</v>
      </c>
      <c r="X367" t="str" cm="1">
        <f t="array" ref="X367">_xlfn.IFS(Sales_Table[[#This Row],[Revenue]]&gt;=50000,"High",Sales_Table[[#This Row],[Revenue]]&gt;=20000,"Medium",Sales_Table[[#This Row],[Revenue]]&lt;20000,"Low")</f>
        <v>Low</v>
      </c>
      <c r="Y367" t="str">
        <f>IF(Sales_Table[[#This Row],[Payment Method_clean]]="cash","Offline","Online")</f>
        <v>Online</v>
      </c>
      <c r="Z367">
        <f>IFERROR(Sales_Table[[#This Row],[Revenue]],0)</f>
        <v>9558</v>
      </c>
    </row>
    <row r="368" spans="1:26" x14ac:dyDescent="0.3">
      <c r="A368">
        <v>367</v>
      </c>
      <c r="B368" s="2">
        <f t="shared" si="35"/>
        <v>45307.25</v>
      </c>
      <c r="C368" t="s">
        <v>1073</v>
      </c>
      <c r="D368" t="s">
        <v>84</v>
      </c>
      <c r="E368" t="str">
        <f>PROPER(TRIM(CLEAN(Sales_Table[[#This Row],[Region]])))</f>
        <v>South</v>
      </c>
      <c r="F368" t="s">
        <v>46</v>
      </c>
      <c r="G368" t="str">
        <f t="shared" si="36"/>
        <v>Electronics</v>
      </c>
      <c r="H368" t="str">
        <f>PROPER(TRIM(CLEAN(Sales_Table[[#This Row],[Product Name]])))</f>
        <v>Led Tv 42Inch</v>
      </c>
      <c r="I368" t="s">
        <v>58</v>
      </c>
      <c r="J368" t="str">
        <f t="shared" si="37"/>
        <v>CUST0355</v>
      </c>
      <c r="K368" t="s">
        <v>144</v>
      </c>
      <c r="L368" t="str">
        <f>PROPER(TRIM(CLEAN(Sales_Table[[#This Row],[Salesperson]])))</f>
        <v>Rahul</v>
      </c>
      <c r="M368" t="s">
        <v>31</v>
      </c>
      <c r="N368" t="str">
        <f t="shared" si="38"/>
        <v>Upi</v>
      </c>
      <c r="O368" t="s">
        <v>48</v>
      </c>
      <c r="P368">
        <f t="shared" si="39"/>
        <v>3</v>
      </c>
      <c r="Q368" t="s">
        <v>66</v>
      </c>
      <c r="R368">
        <f t="shared" si="40"/>
        <v>2406</v>
      </c>
      <c r="S368" t="s">
        <v>1074</v>
      </c>
      <c r="T368">
        <f t="shared" si="41"/>
        <v>7218</v>
      </c>
      <c r="U368">
        <f>YEAR(Sales_Table[[#This Row],[Date_clean]])</f>
        <v>2024</v>
      </c>
      <c r="V368" t="str">
        <f>TEXT(Sales_Table[[#This Row],[Date_clean]],"mmmm")</f>
        <v>January</v>
      </c>
      <c r="W368">
        <f>WEEKNUM(Sales_Table[[#This Row],[Date_clean]],2)</f>
        <v>3</v>
      </c>
      <c r="X368" t="str" cm="1">
        <f t="array" ref="X368">_xlfn.IFS(Sales_Table[[#This Row],[Revenue]]&gt;=50000,"High",Sales_Table[[#This Row],[Revenue]]&gt;=20000,"Medium",Sales_Table[[#This Row],[Revenue]]&lt;20000,"Low")</f>
        <v>Low</v>
      </c>
      <c r="Y368" t="str">
        <f>IF(Sales_Table[[#This Row],[Payment Method_clean]]="cash","Offline","Online")</f>
        <v>Online</v>
      </c>
      <c r="Z368">
        <f>IFERROR(Sales_Table[[#This Row],[Revenue]],0)</f>
        <v>7218</v>
      </c>
    </row>
    <row r="369" spans="1:26" x14ac:dyDescent="0.3">
      <c r="A369">
        <v>368</v>
      </c>
      <c r="B369" s="2">
        <f t="shared" si="35"/>
        <v>45307.291666666664</v>
      </c>
      <c r="C369" t="s">
        <v>1075</v>
      </c>
      <c r="D369" t="s">
        <v>84</v>
      </c>
      <c r="E369" t="str">
        <f>PROPER(TRIM(CLEAN(Sales_Table[[#This Row],[Region]])))</f>
        <v>South</v>
      </c>
      <c r="F369" t="s">
        <v>78</v>
      </c>
      <c r="G369" t="str">
        <f t="shared" si="36"/>
        <v>Grocery</v>
      </c>
      <c r="H369" t="str">
        <f>PROPER(TRIM(CLEAN(Sales_Table[[#This Row],[Product Name]])))</f>
        <v>Washing Machine</v>
      </c>
      <c r="I369" t="s">
        <v>79</v>
      </c>
      <c r="J369" t="str">
        <f t="shared" si="37"/>
        <v>CUST0112</v>
      </c>
      <c r="K369" t="s">
        <v>748</v>
      </c>
      <c r="L369" t="str">
        <f>PROPER(TRIM(CLEAN(Sales_Table[[#This Row],[Salesperson]])))</f>
        <v>Suresh</v>
      </c>
      <c r="M369" t="s">
        <v>54</v>
      </c>
      <c r="N369" t="str">
        <f t="shared" si="38"/>
        <v>Cash</v>
      </c>
      <c r="O369" t="s">
        <v>32</v>
      </c>
      <c r="P369">
        <f t="shared" si="39"/>
        <v>4</v>
      </c>
      <c r="Q369" t="s">
        <v>113</v>
      </c>
      <c r="R369">
        <f t="shared" si="40"/>
        <v>1075</v>
      </c>
      <c r="S369" t="s">
        <v>1076</v>
      </c>
      <c r="T369">
        <f t="shared" si="41"/>
        <v>4300</v>
      </c>
      <c r="U369">
        <f>YEAR(Sales_Table[[#This Row],[Date_clean]])</f>
        <v>2024</v>
      </c>
      <c r="V369" t="str">
        <f>TEXT(Sales_Table[[#This Row],[Date_clean]],"mmmm")</f>
        <v>January</v>
      </c>
      <c r="W369">
        <f>WEEKNUM(Sales_Table[[#This Row],[Date_clean]],2)</f>
        <v>3</v>
      </c>
      <c r="X369" t="str" cm="1">
        <f t="array" ref="X369">_xlfn.IFS(Sales_Table[[#This Row],[Revenue]]&gt;=50000,"High",Sales_Table[[#This Row],[Revenue]]&gt;=20000,"Medium",Sales_Table[[#This Row],[Revenue]]&lt;20000,"Low")</f>
        <v>Low</v>
      </c>
      <c r="Y369" t="str">
        <f>IF(Sales_Table[[#This Row],[Payment Method_clean]]="cash","Offline","Online")</f>
        <v>Offline</v>
      </c>
      <c r="Z369">
        <f>IFERROR(Sales_Table[[#This Row],[Revenue]],0)</f>
        <v>4300</v>
      </c>
    </row>
    <row r="370" spans="1:26" x14ac:dyDescent="0.3">
      <c r="A370">
        <v>369</v>
      </c>
      <c r="B370" s="2">
        <f t="shared" si="35"/>
        <v>45307.333333333336</v>
      </c>
      <c r="C370" t="s">
        <v>1077</v>
      </c>
      <c r="D370" t="s">
        <v>27</v>
      </c>
      <c r="E370" t="str">
        <f>PROPER(TRIM(CLEAN(Sales_Table[[#This Row],[Region]])))</f>
        <v>East</v>
      </c>
      <c r="F370" t="s">
        <v>78</v>
      </c>
      <c r="G370" t="str">
        <f t="shared" si="36"/>
        <v>Grocery</v>
      </c>
      <c r="H370" t="str">
        <f>PROPER(TRIM(CLEAN(Sales_Table[[#This Row],[Product Name]])))</f>
        <v>Washing Machine</v>
      </c>
      <c r="I370" t="s">
        <v>79</v>
      </c>
      <c r="J370" t="str">
        <f t="shared" si="37"/>
        <v>CUST0446</v>
      </c>
      <c r="K370" t="s">
        <v>1078</v>
      </c>
      <c r="L370" t="str">
        <f>PROPER(TRIM(CLEAN(Sales_Table[[#This Row],[Salesperson]])))</f>
        <v>Meena</v>
      </c>
      <c r="M370" t="s">
        <v>40</v>
      </c>
      <c r="N370" t="str">
        <f t="shared" si="38"/>
        <v>Net Banking</v>
      </c>
      <c r="O370" t="s">
        <v>60</v>
      </c>
      <c r="P370">
        <f t="shared" si="39"/>
        <v>7</v>
      </c>
      <c r="Q370" t="s">
        <v>49</v>
      </c>
      <c r="R370">
        <f t="shared" si="40"/>
        <v>822</v>
      </c>
      <c r="S370" t="s">
        <v>1079</v>
      </c>
      <c r="T370">
        <f t="shared" si="41"/>
        <v>5754</v>
      </c>
      <c r="U370">
        <f>YEAR(Sales_Table[[#This Row],[Date_clean]])</f>
        <v>2024</v>
      </c>
      <c r="V370" t="str">
        <f>TEXT(Sales_Table[[#This Row],[Date_clean]],"mmmm")</f>
        <v>January</v>
      </c>
      <c r="W370">
        <f>WEEKNUM(Sales_Table[[#This Row],[Date_clean]],2)</f>
        <v>3</v>
      </c>
      <c r="X370" t="str" cm="1">
        <f t="array" ref="X370">_xlfn.IFS(Sales_Table[[#This Row],[Revenue]]&gt;=50000,"High",Sales_Table[[#This Row],[Revenue]]&gt;=20000,"Medium",Sales_Table[[#This Row],[Revenue]]&lt;20000,"Low")</f>
        <v>Low</v>
      </c>
      <c r="Y370" t="str">
        <f>IF(Sales_Table[[#This Row],[Payment Method_clean]]="cash","Offline","Online")</f>
        <v>Online</v>
      </c>
      <c r="Z370">
        <f>IFERROR(Sales_Table[[#This Row],[Revenue]],0)</f>
        <v>5754</v>
      </c>
    </row>
    <row r="371" spans="1:26" x14ac:dyDescent="0.3">
      <c r="A371">
        <v>370</v>
      </c>
      <c r="B371" s="2">
        <f t="shared" si="35"/>
        <v>45307.375</v>
      </c>
      <c r="C371" t="s">
        <v>1080</v>
      </c>
      <c r="D371" t="s">
        <v>27</v>
      </c>
      <c r="E371" t="str">
        <f>PROPER(TRIM(CLEAN(Sales_Table[[#This Row],[Region]])))</f>
        <v>East</v>
      </c>
      <c r="F371" t="s">
        <v>46</v>
      </c>
      <c r="G371" t="str">
        <f t="shared" si="36"/>
        <v>Electronics</v>
      </c>
      <c r="H371" t="str">
        <f>PROPER(TRIM(CLEAN(Sales_Table[[#This Row],[Product Name]])))</f>
        <v>Washing Machine</v>
      </c>
      <c r="I371" t="s">
        <v>79</v>
      </c>
      <c r="J371" t="str">
        <f t="shared" si="37"/>
        <v>CUST0343</v>
      </c>
      <c r="K371" t="s">
        <v>692</v>
      </c>
      <c r="L371" t="str">
        <f>PROPER(TRIM(CLEAN(Sales_Table[[#This Row],[Salesperson]])))</f>
        <v>Suresh</v>
      </c>
      <c r="M371" t="s">
        <v>54</v>
      </c>
      <c r="N371" t="str">
        <f t="shared" si="38"/>
        <v>Debit Card</v>
      </c>
      <c r="O371" t="s">
        <v>41</v>
      </c>
      <c r="P371">
        <f t="shared" si="39"/>
        <v>9</v>
      </c>
      <c r="Q371" t="s">
        <v>130</v>
      </c>
      <c r="R371">
        <f t="shared" si="40"/>
        <v>2670</v>
      </c>
      <c r="S371" t="s">
        <v>1081</v>
      </c>
      <c r="T371">
        <f t="shared" si="41"/>
        <v>24030</v>
      </c>
      <c r="U371">
        <f>YEAR(Sales_Table[[#This Row],[Date_clean]])</f>
        <v>2024</v>
      </c>
      <c r="V371" t="str">
        <f>TEXT(Sales_Table[[#This Row],[Date_clean]],"mmmm")</f>
        <v>January</v>
      </c>
      <c r="W371">
        <f>WEEKNUM(Sales_Table[[#This Row],[Date_clean]],2)</f>
        <v>3</v>
      </c>
      <c r="X371" t="str" cm="1">
        <f t="array" ref="X371">_xlfn.IFS(Sales_Table[[#This Row],[Revenue]]&gt;=50000,"High",Sales_Table[[#This Row],[Revenue]]&gt;=20000,"Medium",Sales_Table[[#This Row],[Revenue]]&lt;20000,"Low")</f>
        <v>Medium</v>
      </c>
      <c r="Y371" t="str">
        <f>IF(Sales_Table[[#This Row],[Payment Method_clean]]="cash","Offline","Online")</f>
        <v>Online</v>
      </c>
      <c r="Z371">
        <f>IFERROR(Sales_Table[[#This Row],[Revenue]],0)</f>
        <v>24030</v>
      </c>
    </row>
    <row r="372" spans="1:26" x14ac:dyDescent="0.3">
      <c r="A372">
        <v>371</v>
      </c>
      <c r="B372" s="2">
        <f t="shared" si="35"/>
        <v>45307.416666666664</v>
      </c>
      <c r="C372" t="s">
        <v>1082</v>
      </c>
      <c r="D372" t="s">
        <v>36</v>
      </c>
      <c r="E372" t="str">
        <f>PROPER(TRIM(CLEAN(Sales_Table[[#This Row],[Region]])))</f>
        <v>West</v>
      </c>
      <c r="F372" t="s">
        <v>37</v>
      </c>
      <c r="G372" t="str">
        <f t="shared" si="36"/>
        <v>Home Appliances</v>
      </c>
      <c r="H372" t="str">
        <f>PROPER(TRIM(CLEAN(Sales_Table[[#This Row],[Product Name]])))</f>
        <v>Mixer Grinder</v>
      </c>
      <c r="I372" t="s">
        <v>29</v>
      </c>
      <c r="J372" t="str">
        <f t="shared" si="37"/>
        <v>CUST0145</v>
      </c>
      <c r="K372" t="s">
        <v>1083</v>
      </c>
      <c r="L372" t="str">
        <f>PROPER(TRIM(CLEAN(Sales_Table[[#This Row],[Salesperson]])))</f>
        <v>Meena</v>
      </c>
      <c r="M372" t="s">
        <v>40</v>
      </c>
      <c r="N372" t="str">
        <f t="shared" si="38"/>
        <v>Credit Card</v>
      </c>
      <c r="O372" t="s">
        <v>65</v>
      </c>
      <c r="P372">
        <f t="shared" si="39"/>
        <v>2</v>
      </c>
      <c r="Q372" t="s">
        <v>196</v>
      </c>
      <c r="R372">
        <f t="shared" si="40"/>
        <v>424</v>
      </c>
      <c r="S372" t="s">
        <v>1084</v>
      </c>
      <c r="T372">
        <f t="shared" si="41"/>
        <v>848</v>
      </c>
      <c r="U372">
        <f>YEAR(Sales_Table[[#This Row],[Date_clean]])</f>
        <v>2024</v>
      </c>
      <c r="V372" t="str">
        <f>TEXT(Sales_Table[[#This Row],[Date_clean]],"mmmm")</f>
        <v>January</v>
      </c>
      <c r="W372">
        <f>WEEKNUM(Sales_Table[[#This Row],[Date_clean]],2)</f>
        <v>3</v>
      </c>
      <c r="X372" t="str" cm="1">
        <f t="array" ref="X372">_xlfn.IFS(Sales_Table[[#This Row],[Revenue]]&gt;=50000,"High",Sales_Table[[#This Row],[Revenue]]&gt;=20000,"Medium",Sales_Table[[#This Row],[Revenue]]&lt;20000,"Low")</f>
        <v>Low</v>
      </c>
      <c r="Y372" t="str">
        <f>IF(Sales_Table[[#This Row],[Payment Method_clean]]="cash","Offline","Online")</f>
        <v>Online</v>
      </c>
      <c r="Z372">
        <f>IFERROR(Sales_Table[[#This Row],[Revenue]],0)</f>
        <v>848</v>
      </c>
    </row>
    <row r="373" spans="1:26" x14ac:dyDescent="0.3">
      <c r="A373">
        <v>372</v>
      </c>
      <c r="B373" s="2">
        <f t="shared" si="35"/>
        <v>45307.458333333336</v>
      </c>
      <c r="C373" t="s">
        <v>1085</v>
      </c>
      <c r="D373" t="s">
        <v>36</v>
      </c>
      <c r="E373" t="str">
        <f>PROPER(TRIM(CLEAN(Sales_Table[[#This Row],[Region]])))</f>
        <v>West</v>
      </c>
      <c r="F373" t="s">
        <v>37</v>
      </c>
      <c r="G373" t="str">
        <f t="shared" si="36"/>
        <v>Home Appliances</v>
      </c>
      <c r="H373" t="str">
        <f>PROPER(TRIM(CLEAN(Sales_Table[[#This Row],[Product Name]])))</f>
        <v>Washing Machine</v>
      </c>
      <c r="I373" t="s">
        <v>79</v>
      </c>
      <c r="J373" t="str">
        <f t="shared" si="37"/>
        <v>CUST0065</v>
      </c>
      <c r="K373" t="s">
        <v>1086</v>
      </c>
      <c r="L373" t="str">
        <f>PROPER(TRIM(CLEAN(Sales_Table[[#This Row],[Salesperson]])))</f>
        <v>Anita</v>
      </c>
      <c r="M373" t="s">
        <v>64</v>
      </c>
      <c r="N373" t="str">
        <f t="shared" si="38"/>
        <v>Net Banking</v>
      </c>
      <c r="O373" t="s">
        <v>60</v>
      </c>
      <c r="P373">
        <f t="shared" si="39"/>
        <v>4</v>
      </c>
      <c r="Q373" t="s">
        <v>113</v>
      </c>
      <c r="R373">
        <f t="shared" si="40"/>
        <v>1629</v>
      </c>
      <c r="S373" t="s">
        <v>1087</v>
      </c>
      <c r="T373">
        <f t="shared" si="41"/>
        <v>6516</v>
      </c>
      <c r="U373">
        <f>YEAR(Sales_Table[[#This Row],[Date_clean]])</f>
        <v>2024</v>
      </c>
      <c r="V373" t="str">
        <f>TEXT(Sales_Table[[#This Row],[Date_clean]],"mmmm")</f>
        <v>January</v>
      </c>
      <c r="W373">
        <f>WEEKNUM(Sales_Table[[#This Row],[Date_clean]],2)</f>
        <v>3</v>
      </c>
      <c r="X373" t="str" cm="1">
        <f t="array" ref="X373">_xlfn.IFS(Sales_Table[[#This Row],[Revenue]]&gt;=50000,"High",Sales_Table[[#This Row],[Revenue]]&gt;=20000,"Medium",Sales_Table[[#This Row],[Revenue]]&lt;20000,"Low")</f>
        <v>Low</v>
      </c>
      <c r="Y373" t="str">
        <f>IF(Sales_Table[[#This Row],[Payment Method_clean]]="cash","Offline","Online")</f>
        <v>Online</v>
      </c>
      <c r="Z373">
        <f>IFERROR(Sales_Table[[#This Row],[Revenue]],0)</f>
        <v>6516</v>
      </c>
    </row>
    <row r="374" spans="1:26" x14ac:dyDescent="0.3">
      <c r="A374">
        <v>373</v>
      </c>
      <c r="B374" s="2">
        <f t="shared" si="35"/>
        <v>45307.5</v>
      </c>
      <c r="C374" t="s">
        <v>1088</v>
      </c>
      <c r="D374" t="s">
        <v>84</v>
      </c>
      <c r="E374" t="str">
        <f>PROPER(TRIM(CLEAN(Sales_Table[[#This Row],[Region]])))</f>
        <v>South</v>
      </c>
      <c r="F374" t="s">
        <v>37</v>
      </c>
      <c r="G374" t="str">
        <f t="shared" si="36"/>
        <v>Home Appliances</v>
      </c>
      <c r="H374" t="str">
        <f>PROPER(TRIM(CLEAN(Sales_Table[[#This Row],[Product Name]])))</f>
        <v>Men T-Shirt</v>
      </c>
      <c r="I374" t="s">
        <v>38</v>
      </c>
      <c r="J374" t="str">
        <f t="shared" si="37"/>
        <v>CUST0247</v>
      </c>
      <c r="K374" t="s">
        <v>1089</v>
      </c>
      <c r="L374" t="str">
        <f>PROPER(TRIM(CLEAN(Sales_Table[[#This Row],[Salesperson]])))</f>
        <v>Karthik</v>
      </c>
      <c r="M374" t="s">
        <v>70</v>
      </c>
      <c r="N374" t="str">
        <f t="shared" si="38"/>
        <v>Cash</v>
      </c>
      <c r="O374" t="s">
        <v>32</v>
      </c>
      <c r="P374">
        <f t="shared" si="39"/>
        <v>9</v>
      </c>
      <c r="Q374" t="s">
        <v>130</v>
      </c>
      <c r="R374">
        <f t="shared" si="40"/>
        <v>2045</v>
      </c>
      <c r="S374" t="s">
        <v>1090</v>
      </c>
      <c r="T374">
        <f t="shared" si="41"/>
        <v>18405</v>
      </c>
      <c r="U374">
        <f>YEAR(Sales_Table[[#This Row],[Date_clean]])</f>
        <v>2024</v>
      </c>
      <c r="V374" t="str">
        <f>TEXT(Sales_Table[[#This Row],[Date_clean]],"mmmm")</f>
        <v>January</v>
      </c>
      <c r="W374">
        <f>WEEKNUM(Sales_Table[[#This Row],[Date_clean]],2)</f>
        <v>3</v>
      </c>
      <c r="X374" t="str" cm="1">
        <f t="array" ref="X374">_xlfn.IFS(Sales_Table[[#This Row],[Revenue]]&gt;=50000,"High",Sales_Table[[#This Row],[Revenue]]&gt;=20000,"Medium",Sales_Table[[#This Row],[Revenue]]&lt;20000,"Low")</f>
        <v>Low</v>
      </c>
      <c r="Y374" t="str">
        <f>IF(Sales_Table[[#This Row],[Payment Method_clean]]="cash","Offline","Online")</f>
        <v>Offline</v>
      </c>
      <c r="Z374">
        <f>IFERROR(Sales_Table[[#This Row],[Revenue]],0)</f>
        <v>18405</v>
      </c>
    </row>
    <row r="375" spans="1:26" x14ac:dyDescent="0.3">
      <c r="A375">
        <v>374</v>
      </c>
      <c r="B375" s="2">
        <f t="shared" si="35"/>
        <v>45307.541666666664</v>
      </c>
      <c r="C375" t="s">
        <v>1091</v>
      </c>
      <c r="D375" t="s">
        <v>36</v>
      </c>
      <c r="E375" t="str">
        <f>PROPER(TRIM(CLEAN(Sales_Table[[#This Row],[Region]])))</f>
        <v>West</v>
      </c>
      <c r="F375" t="s">
        <v>37</v>
      </c>
      <c r="G375" t="str">
        <f t="shared" si="36"/>
        <v>Home Appliances</v>
      </c>
      <c r="H375" t="str">
        <f>PROPER(TRIM(CLEAN(Sales_Table[[#This Row],[Product Name]])))</f>
        <v>Mixer Grinder</v>
      </c>
      <c r="I375" t="s">
        <v>29</v>
      </c>
      <c r="J375" t="str">
        <f t="shared" si="37"/>
        <v>CUST0735</v>
      </c>
      <c r="K375" t="s">
        <v>1092</v>
      </c>
      <c r="L375" t="str">
        <f>PROPER(TRIM(CLEAN(Sales_Table[[#This Row],[Salesperson]])))</f>
        <v>Suresh</v>
      </c>
      <c r="M375" t="s">
        <v>54</v>
      </c>
      <c r="N375" t="str">
        <f t="shared" si="38"/>
        <v>Upi</v>
      </c>
      <c r="O375" t="s">
        <v>48</v>
      </c>
      <c r="P375">
        <f t="shared" si="39"/>
        <v>14</v>
      </c>
      <c r="Q375" t="s">
        <v>55</v>
      </c>
      <c r="R375">
        <f t="shared" si="40"/>
        <v>4586</v>
      </c>
      <c r="S375" t="s">
        <v>1093</v>
      </c>
      <c r="T375">
        <f t="shared" si="41"/>
        <v>64204</v>
      </c>
      <c r="U375">
        <f>YEAR(Sales_Table[[#This Row],[Date_clean]])</f>
        <v>2024</v>
      </c>
      <c r="V375" t="str">
        <f>TEXT(Sales_Table[[#This Row],[Date_clean]],"mmmm")</f>
        <v>January</v>
      </c>
      <c r="W375">
        <f>WEEKNUM(Sales_Table[[#This Row],[Date_clean]],2)</f>
        <v>3</v>
      </c>
      <c r="X375" t="str" cm="1">
        <f t="array" ref="X375">_xlfn.IFS(Sales_Table[[#This Row],[Revenue]]&gt;=50000,"High",Sales_Table[[#This Row],[Revenue]]&gt;=20000,"Medium",Sales_Table[[#This Row],[Revenue]]&lt;20000,"Low")</f>
        <v>High</v>
      </c>
      <c r="Y375" t="str">
        <f>IF(Sales_Table[[#This Row],[Payment Method_clean]]="cash","Offline","Online")</f>
        <v>Online</v>
      </c>
      <c r="Z375">
        <f>IFERROR(Sales_Table[[#This Row],[Revenue]],0)</f>
        <v>64204</v>
      </c>
    </row>
    <row r="376" spans="1:26" x14ac:dyDescent="0.3">
      <c r="A376">
        <v>375</v>
      </c>
      <c r="B376" s="2">
        <f t="shared" si="35"/>
        <v>45307.583333333336</v>
      </c>
      <c r="C376" t="s">
        <v>1094</v>
      </c>
      <c r="D376" t="s">
        <v>45</v>
      </c>
      <c r="E376" t="str">
        <f>PROPER(TRIM(CLEAN(Sales_Table[[#This Row],[Region]])))</f>
        <v>North</v>
      </c>
      <c r="F376" t="s">
        <v>46</v>
      </c>
      <c r="G376" t="str">
        <f t="shared" si="36"/>
        <v>Electronics</v>
      </c>
      <c r="H376" t="str">
        <f>PROPER(TRIM(CLEAN(Sales_Table[[#This Row],[Product Name]])))</f>
        <v>Rice 5Kg</v>
      </c>
      <c r="I376" t="s">
        <v>73</v>
      </c>
      <c r="J376" t="str">
        <f t="shared" si="37"/>
        <v>CUST0490</v>
      </c>
      <c r="K376" t="s">
        <v>195</v>
      </c>
      <c r="L376" t="str">
        <f>PROPER(TRIM(CLEAN(Sales_Table[[#This Row],[Salesperson]])))</f>
        <v>Meena</v>
      </c>
      <c r="M376" t="s">
        <v>40</v>
      </c>
      <c r="N376" t="str">
        <f t="shared" si="38"/>
        <v>Credit Card</v>
      </c>
      <c r="O376" t="s">
        <v>65</v>
      </c>
      <c r="P376">
        <f t="shared" si="39"/>
        <v>2</v>
      </c>
      <c r="Q376" t="s">
        <v>196</v>
      </c>
      <c r="R376">
        <f t="shared" si="40"/>
        <v>2530</v>
      </c>
      <c r="S376" t="s">
        <v>1095</v>
      </c>
      <c r="T376">
        <f t="shared" si="41"/>
        <v>5060</v>
      </c>
      <c r="U376">
        <f>YEAR(Sales_Table[[#This Row],[Date_clean]])</f>
        <v>2024</v>
      </c>
      <c r="V376" t="str">
        <f>TEXT(Sales_Table[[#This Row],[Date_clean]],"mmmm")</f>
        <v>January</v>
      </c>
      <c r="W376">
        <f>WEEKNUM(Sales_Table[[#This Row],[Date_clean]],2)</f>
        <v>3</v>
      </c>
      <c r="X376" t="str" cm="1">
        <f t="array" ref="X376">_xlfn.IFS(Sales_Table[[#This Row],[Revenue]]&gt;=50000,"High",Sales_Table[[#This Row],[Revenue]]&gt;=20000,"Medium",Sales_Table[[#This Row],[Revenue]]&lt;20000,"Low")</f>
        <v>Low</v>
      </c>
      <c r="Y376" t="str">
        <f>IF(Sales_Table[[#This Row],[Payment Method_clean]]="cash","Offline","Online")</f>
        <v>Online</v>
      </c>
      <c r="Z376">
        <f>IFERROR(Sales_Table[[#This Row],[Revenue]],0)</f>
        <v>5060</v>
      </c>
    </row>
    <row r="377" spans="1:26" x14ac:dyDescent="0.3">
      <c r="A377">
        <v>376</v>
      </c>
      <c r="B377" s="2">
        <f t="shared" si="35"/>
        <v>45307.625</v>
      </c>
      <c r="C377" t="s">
        <v>1096</v>
      </c>
      <c r="D377" t="s">
        <v>36</v>
      </c>
      <c r="E377" t="str">
        <f>PROPER(TRIM(CLEAN(Sales_Table[[#This Row],[Region]])))</f>
        <v>West</v>
      </c>
      <c r="F377" t="s">
        <v>37</v>
      </c>
      <c r="G377" t="str">
        <f t="shared" si="36"/>
        <v>Home Appliances</v>
      </c>
      <c r="H377" t="str">
        <f>PROPER(TRIM(CLEAN(Sales_Table[[#This Row],[Product Name]])))</f>
        <v>Washing Machine</v>
      </c>
      <c r="I377" t="s">
        <v>79</v>
      </c>
      <c r="J377" t="str">
        <f t="shared" si="37"/>
        <v>CUST0439</v>
      </c>
      <c r="K377" t="s">
        <v>828</v>
      </c>
      <c r="L377" t="str">
        <f>PROPER(TRIM(CLEAN(Sales_Table[[#This Row],[Salesperson]])))</f>
        <v>Karthik</v>
      </c>
      <c r="M377" t="s">
        <v>70</v>
      </c>
      <c r="N377" t="str">
        <f t="shared" si="38"/>
        <v>Debit Card</v>
      </c>
      <c r="O377" t="s">
        <v>41</v>
      </c>
      <c r="P377">
        <f t="shared" si="39"/>
        <v>10</v>
      </c>
      <c r="Q377" t="s">
        <v>117</v>
      </c>
      <c r="R377">
        <f t="shared" si="40"/>
        <v>4211</v>
      </c>
      <c r="S377" t="s">
        <v>1097</v>
      </c>
      <c r="T377">
        <f t="shared" si="41"/>
        <v>42110</v>
      </c>
      <c r="U377">
        <f>YEAR(Sales_Table[[#This Row],[Date_clean]])</f>
        <v>2024</v>
      </c>
      <c r="V377" t="str">
        <f>TEXT(Sales_Table[[#This Row],[Date_clean]],"mmmm")</f>
        <v>January</v>
      </c>
      <c r="W377">
        <f>WEEKNUM(Sales_Table[[#This Row],[Date_clean]],2)</f>
        <v>3</v>
      </c>
      <c r="X377" t="str" cm="1">
        <f t="array" ref="X377">_xlfn.IFS(Sales_Table[[#This Row],[Revenue]]&gt;=50000,"High",Sales_Table[[#This Row],[Revenue]]&gt;=20000,"Medium",Sales_Table[[#This Row],[Revenue]]&lt;20000,"Low")</f>
        <v>Medium</v>
      </c>
      <c r="Y377" t="str">
        <f>IF(Sales_Table[[#This Row],[Payment Method_clean]]="cash","Offline","Online")</f>
        <v>Online</v>
      </c>
      <c r="Z377">
        <f>IFERROR(Sales_Table[[#This Row],[Revenue]],0)</f>
        <v>42110</v>
      </c>
    </row>
    <row r="378" spans="1:26" x14ac:dyDescent="0.3">
      <c r="A378">
        <v>377</v>
      </c>
      <c r="B378" s="2">
        <f t="shared" si="35"/>
        <v>45307.666666666664</v>
      </c>
      <c r="C378" t="s">
        <v>1098</v>
      </c>
      <c r="D378" t="s">
        <v>36</v>
      </c>
      <c r="E378" t="str">
        <f>PROPER(TRIM(CLEAN(Sales_Table[[#This Row],[Region]])))</f>
        <v>West</v>
      </c>
      <c r="F378" t="s">
        <v>28</v>
      </c>
      <c r="G378" t="str">
        <f t="shared" si="36"/>
        <v>Clothing</v>
      </c>
      <c r="H378" t="str">
        <f>PROPER(TRIM(CLEAN(Sales_Table[[#This Row],[Product Name]])))</f>
        <v>Washing Machine</v>
      </c>
      <c r="I378" t="s">
        <v>79</v>
      </c>
      <c r="J378" t="str">
        <f t="shared" si="37"/>
        <v>CUST0106</v>
      </c>
      <c r="K378" t="s">
        <v>1099</v>
      </c>
      <c r="L378" t="str">
        <f>PROPER(TRIM(CLEAN(Sales_Table[[#This Row],[Salesperson]])))</f>
        <v>Suresh</v>
      </c>
      <c r="M378" t="s">
        <v>54</v>
      </c>
      <c r="N378" t="str">
        <f t="shared" si="38"/>
        <v>Net Banking</v>
      </c>
      <c r="O378" t="s">
        <v>60</v>
      </c>
      <c r="P378">
        <f t="shared" si="39"/>
        <v>11</v>
      </c>
      <c r="Q378" t="s">
        <v>97</v>
      </c>
      <c r="R378">
        <f t="shared" si="40"/>
        <v>3610</v>
      </c>
      <c r="S378" t="s">
        <v>1100</v>
      </c>
      <c r="T378">
        <f t="shared" si="41"/>
        <v>39710</v>
      </c>
      <c r="U378">
        <f>YEAR(Sales_Table[[#This Row],[Date_clean]])</f>
        <v>2024</v>
      </c>
      <c r="V378" t="str">
        <f>TEXT(Sales_Table[[#This Row],[Date_clean]],"mmmm")</f>
        <v>January</v>
      </c>
      <c r="W378">
        <f>WEEKNUM(Sales_Table[[#This Row],[Date_clean]],2)</f>
        <v>3</v>
      </c>
      <c r="X378" t="str" cm="1">
        <f t="array" ref="X378">_xlfn.IFS(Sales_Table[[#This Row],[Revenue]]&gt;=50000,"High",Sales_Table[[#This Row],[Revenue]]&gt;=20000,"Medium",Sales_Table[[#This Row],[Revenue]]&lt;20000,"Low")</f>
        <v>Medium</v>
      </c>
      <c r="Y378" t="str">
        <f>IF(Sales_Table[[#This Row],[Payment Method_clean]]="cash","Offline","Online")</f>
        <v>Online</v>
      </c>
      <c r="Z378">
        <f>IFERROR(Sales_Table[[#This Row],[Revenue]],0)</f>
        <v>39710</v>
      </c>
    </row>
    <row r="379" spans="1:26" x14ac:dyDescent="0.3">
      <c r="A379">
        <v>378</v>
      </c>
      <c r="B379" s="2">
        <f t="shared" si="35"/>
        <v>45307.708333333336</v>
      </c>
      <c r="C379" t="s">
        <v>1101</v>
      </c>
      <c r="D379" t="s">
        <v>45</v>
      </c>
      <c r="E379" t="str">
        <f>PROPER(TRIM(CLEAN(Sales_Table[[#This Row],[Region]])))</f>
        <v>North</v>
      </c>
      <c r="F379" t="s">
        <v>37</v>
      </c>
      <c r="G379" t="str">
        <f t="shared" si="36"/>
        <v>Home Appliances</v>
      </c>
      <c r="H379" t="str">
        <f>PROPER(TRIM(CLEAN(Sales_Table[[#This Row],[Product Name]])))</f>
        <v>Rice 5Kg</v>
      </c>
      <c r="I379" t="s">
        <v>73</v>
      </c>
      <c r="J379" t="str">
        <f t="shared" si="37"/>
        <v>CUST0181</v>
      </c>
      <c r="K379" t="s">
        <v>846</v>
      </c>
      <c r="L379" t="str">
        <f>PROPER(TRIM(CLEAN(Sales_Table[[#This Row],[Salesperson]])))</f>
        <v>Rahul</v>
      </c>
      <c r="M379" t="s">
        <v>31</v>
      </c>
      <c r="N379" t="str">
        <f t="shared" si="38"/>
        <v>Net Banking</v>
      </c>
      <c r="O379" t="s">
        <v>60</v>
      </c>
      <c r="P379">
        <f t="shared" si="39"/>
        <v>13</v>
      </c>
      <c r="Q379" t="s">
        <v>81</v>
      </c>
      <c r="R379">
        <f t="shared" si="40"/>
        <v>945</v>
      </c>
      <c r="S379" t="s">
        <v>1102</v>
      </c>
      <c r="T379">
        <f t="shared" si="41"/>
        <v>12285</v>
      </c>
      <c r="U379">
        <f>YEAR(Sales_Table[[#This Row],[Date_clean]])</f>
        <v>2024</v>
      </c>
      <c r="V379" t="str">
        <f>TEXT(Sales_Table[[#This Row],[Date_clean]],"mmmm")</f>
        <v>January</v>
      </c>
      <c r="W379">
        <f>WEEKNUM(Sales_Table[[#This Row],[Date_clean]],2)</f>
        <v>3</v>
      </c>
      <c r="X379" t="str" cm="1">
        <f t="array" ref="X379">_xlfn.IFS(Sales_Table[[#This Row],[Revenue]]&gt;=50000,"High",Sales_Table[[#This Row],[Revenue]]&gt;=20000,"Medium",Sales_Table[[#This Row],[Revenue]]&lt;20000,"Low")</f>
        <v>Low</v>
      </c>
      <c r="Y379" t="str">
        <f>IF(Sales_Table[[#This Row],[Payment Method_clean]]="cash","Offline","Online")</f>
        <v>Online</v>
      </c>
      <c r="Z379">
        <f>IFERROR(Sales_Table[[#This Row],[Revenue]],0)</f>
        <v>12285</v>
      </c>
    </row>
    <row r="380" spans="1:26" x14ac:dyDescent="0.3">
      <c r="A380">
        <v>379</v>
      </c>
      <c r="B380" s="2">
        <f t="shared" si="35"/>
        <v>45307.75</v>
      </c>
      <c r="C380" t="s">
        <v>1103</v>
      </c>
      <c r="D380" t="s">
        <v>84</v>
      </c>
      <c r="E380" t="str">
        <f>PROPER(TRIM(CLEAN(Sales_Table[[#This Row],[Region]])))</f>
        <v>South</v>
      </c>
      <c r="F380" t="s">
        <v>78</v>
      </c>
      <c r="G380" t="str">
        <f t="shared" si="36"/>
        <v>Grocery</v>
      </c>
      <c r="H380" t="str">
        <f>PROPER(TRIM(CLEAN(Sales_Table[[#This Row],[Product Name]])))</f>
        <v>Washing Machine</v>
      </c>
      <c r="I380" t="s">
        <v>79</v>
      </c>
      <c r="J380" t="str">
        <f t="shared" si="37"/>
        <v>CUST0184</v>
      </c>
      <c r="K380" t="s">
        <v>781</v>
      </c>
      <c r="L380" t="str">
        <f>PROPER(TRIM(CLEAN(Sales_Table[[#This Row],[Salesperson]])))</f>
        <v>Meena</v>
      </c>
      <c r="M380" t="s">
        <v>40</v>
      </c>
      <c r="N380" t="str">
        <f t="shared" si="38"/>
        <v>Credit Card</v>
      </c>
      <c r="O380" t="s">
        <v>65</v>
      </c>
      <c r="P380">
        <f t="shared" si="39"/>
        <v>1</v>
      </c>
      <c r="Q380" t="s">
        <v>93</v>
      </c>
      <c r="R380">
        <f t="shared" si="40"/>
        <v>667</v>
      </c>
      <c r="S380" t="s">
        <v>1104</v>
      </c>
      <c r="T380">
        <f t="shared" si="41"/>
        <v>667</v>
      </c>
      <c r="U380">
        <f>YEAR(Sales_Table[[#This Row],[Date_clean]])</f>
        <v>2024</v>
      </c>
      <c r="V380" t="str">
        <f>TEXT(Sales_Table[[#This Row],[Date_clean]],"mmmm")</f>
        <v>January</v>
      </c>
      <c r="W380">
        <f>WEEKNUM(Sales_Table[[#This Row],[Date_clean]],2)</f>
        <v>3</v>
      </c>
      <c r="X380" t="str" cm="1">
        <f t="array" ref="X380">_xlfn.IFS(Sales_Table[[#This Row],[Revenue]]&gt;=50000,"High",Sales_Table[[#This Row],[Revenue]]&gt;=20000,"Medium",Sales_Table[[#This Row],[Revenue]]&lt;20000,"Low")</f>
        <v>Low</v>
      </c>
      <c r="Y380" t="str">
        <f>IF(Sales_Table[[#This Row],[Payment Method_clean]]="cash","Offline","Online")</f>
        <v>Online</v>
      </c>
      <c r="Z380">
        <f>IFERROR(Sales_Table[[#This Row],[Revenue]],0)</f>
        <v>667</v>
      </c>
    </row>
    <row r="381" spans="1:26" x14ac:dyDescent="0.3">
      <c r="A381">
        <v>380</v>
      </c>
      <c r="B381" s="2">
        <f t="shared" si="35"/>
        <v>45307.791666666664</v>
      </c>
      <c r="C381" t="s">
        <v>1105</v>
      </c>
      <c r="D381" t="s">
        <v>45</v>
      </c>
      <c r="E381" t="str">
        <f>PROPER(TRIM(CLEAN(Sales_Table[[#This Row],[Region]])))</f>
        <v>North</v>
      </c>
      <c r="F381" t="s">
        <v>37</v>
      </c>
      <c r="G381" t="str">
        <f t="shared" si="36"/>
        <v>Home Appliances</v>
      </c>
      <c r="H381" t="str">
        <f>PROPER(TRIM(CLEAN(Sales_Table[[#This Row],[Product Name]])))</f>
        <v>Rice 5Kg</v>
      </c>
      <c r="I381" t="s">
        <v>73</v>
      </c>
      <c r="J381" t="str">
        <f t="shared" si="37"/>
        <v>CUST0226</v>
      </c>
      <c r="K381" t="s">
        <v>1106</v>
      </c>
      <c r="L381" t="str">
        <f>PROPER(TRIM(CLEAN(Sales_Table[[#This Row],[Salesperson]])))</f>
        <v>Rahul</v>
      </c>
      <c r="M381" t="s">
        <v>31</v>
      </c>
      <c r="N381" t="str">
        <f t="shared" si="38"/>
        <v>Cash</v>
      </c>
      <c r="O381" t="s">
        <v>32</v>
      </c>
      <c r="P381">
        <f t="shared" si="39"/>
        <v>10</v>
      </c>
      <c r="Q381" t="s">
        <v>117</v>
      </c>
      <c r="R381">
        <f t="shared" si="40"/>
        <v>3788</v>
      </c>
      <c r="S381" t="s">
        <v>1107</v>
      </c>
      <c r="T381">
        <f t="shared" si="41"/>
        <v>37880</v>
      </c>
      <c r="U381">
        <f>YEAR(Sales_Table[[#This Row],[Date_clean]])</f>
        <v>2024</v>
      </c>
      <c r="V381" t="str">
        <f>TEXT(Sales_Table[[#This Row],[Date_clean]],"mmmm")</f>
        <v>January</v>
      </c>
      <c r="W381">
        <f>WEEKNUM(Sales_Table[[#This Row],[Date_clean]],2)</f>
        <v>3</v>
      </c>
      <c r="X381" t="str" cm="1">
        <f t="array" ref="X381">_xlfn.IFS(Sales_Table[[#This Row],[Revenue]]&gt;=50000,"High",Sales_Table[[#This Row],[Revenue]]&gt;=20000,"Medium",Sales_Table[[#This Row],[Revenue]]&lt;20000,"Low")</f>
        <v>Medium</v>
      </c>
      <c r="Y381" t="str">
        <f>IF(Sales_Table[[#This Row],[Payment Method_clean]]="cash","Offline","Online")</f>
        <v>Offline</v>
      </c>
      <c r="Z381">
        <f>IFERROR(Sales_Table[[#This Row],[Revenue]],0)</f>
        <v>37880</v>
      </c>
    </row>
    <row r="382" spans="1:26" x14ac:dyDescent="0.3">
      <c r="A382">
        <v>381</v>
      </c>
      <c r="B382" s="2">
        <f t="shared" si="35"/>
        <v>45307.833333333336</v>
      </c>
      <c r="C382" t="s">
        <v>1108</v>
      </c>
      <c r="D382" t="s">
        <v>36</v>
      </c>
      <c r="E382" t="str">
        <f>PROPER(TRIM(CLEAN(Sales_Table[[#This Row],[Region]])))</f>
        <v>West</v>
      </c>
      <c r="F382" t="s">
        <v>46</v>
      </c>
      <c r="G382" t="str">
        <f t="shared" si="36"/>
        <v>Electronics</v>
      </c>
      <c r="H382" t="str">
        <f>PROPER(TRIM(CLEAN(Sales_Table[[#This Row],[Product Name]])))</f>
        <v>Mixer Grinder</v>
      </c>
      <c r="I382" t="s">
        <v>29</v>
      </c>
      <c r="J382" t="str">
        <f t="shared" si="37"/>
        <v>CUST0777</v>
      </c>
      <c r="K382" t="s">
        <v>1109</v>
      </c>
      <c r="L382" t="str">
        <f>PROPER(TRIM(CLEAN(Sales_Table[[#This Row],[Salesperson]])))</f>
        <v>Anita</v>
      </c>
      <c r="M382" t="s">
        <v>64</v>
      </c>
      <c r="N382" t="str">
        <f t="shared" si="38"/>
        <v>Debit Card</v>
      </c>
      <c r="O382" t="s">
        <v>41</v>
      </c>
      <c r="P382">
        <f t="shared" si="39"/>
        <v>8</v>
      </c>
      <c r="Q382" t="s">
        <v>42</v>
      </c>
      <c r="R382">
        <f t="shared" si="40"/>
        <v>2279</v>
      </c>
      <c r="S382" t="s">
        <v>1110</v>
      </c>
      <c r="T382">
        <f t="shared" si="41"/>
        <v>18232</v>
      </c>
      <c r="U382">
        <f>YEAR(Sales_Table[[#This Row],[Date_clean]])</f>
        <v>2024</v>
      </c>
      <c r="V382" t="str">
        <f>TEXT(Sales_Table[[#This Row],[Date_clean]],"mmmm")</f>
        <v>January</v>
      </c>
      <c r="W382">
        <f>WEEKNUM(Sales_Table[[#This Row],[Date_clean]],2)</f>
        <v>3</v>
      </c>
      <c r="X382" t="str" cm="1">
        <f t="array" ref="X382">_xlfn.IFS(Sales_Table[[#This Row],[Revenue]]&gt;=50000,"High",Sales_Table[[#This Row],[Revenue]]&gt;=20000,"Medium",Sales_Table[[#This Row],[Revenue]]&lt;20000,"Low")</f>
        <v>Low</v>
      </c>
      <c r="Y382" t="str">
        <f>IF(Sales_Table[[#This Row],[Payment Method_clean]]="cash","Offline","Online")</f>
        <v>Online</v>
      </c>
      <c r="Z382">
        <f>IFERROR(Sales_Table[[#This Row],[Revenue]],0)</f>
        <v>18232</v>
      </c>
    </row>
    <row r="383" spans="1:26" x14ac:dyDescent="0.3">
      <c r="A383">
        <v>382</v>
      </c>
      <c r="B383" s="2">
        <f t="shared" si="35"/>
        <v>45307.875</v>
      </c>
      <c r="C383" t="s">
        <v>1111</v>
      </c>
      <c r="D383" t="s">
        <v>84</v>
      </c>
      <c r="E383" t="str">
        <f>PROPER(TRIM(CLEAN(Sales_Table[[#This Row],[Region]])))</f>
        <v>South</v>
      </c>
      <c r="F383" t="s">
        <v>78</v>
      </c>
      <c r="G383" t="str">
        <f t="shared" si="36"/>
        <v>Grocery</v>
      </c>
      <c r="H383" t="str">
        <f>PROPER(TRIM(CLEAN(Sales_Table[[#This Row],[Product Name]])))</f>
        <v>Men T-Shirt</v>
      </c>
      <c r="I383" t="s">
        <v>38</v>
      </c>
      <c r="J383" t="str">
        <f t="shared" si="37"/>
        <v>CUST0790</v>
      </c>
      <c r="K383" t="s">
        <v>344</v>
      </c>
      <c r="L383" t="str">
        <f>PROPER(TRIM(CLEAN(Sales_Table[[#This Row],[Salesperson]])))</f>
        <v>Rahul</v>
      </c>
      <c r="M383" t="s">
        <v>31</v>
      </c>
      <c r="N383" t="str">
        <f t="shared" si="38"/>
        <v>Credit Card</v>
      </c>
      <c r="O383" t="s">
        <v>65</v>
      </c>
      <c r="P383">
        <f t="shared" si="39"/>
        <v>9</v>
      </c>
      <c r="Q383" t="s">
        <v>130</v>
      </c>
      <c r="R383">
        <f t="shared" si="40"/>
        <v>2119</v>
      </c>
      <c r="S383" t="s">
        <v>1112</v>
      </c>
      <c r="T383">
        <f t="shared" si="41"/>
        <v>19071</v>
      </c>
      <c r="U383">
        <f>YEAR(Sales_Table[[#This Row],[Date_clean]])</f>
        <v>2024</v>
      </c>
      <c r="V383" t="str">
        <f>TEXT(Sales_Table[[#This Row],[Date_clean]],"mmmm")</f>
        <v>January</v>
      </c>
      <c r="W383">
        <f>WEEKNUM(Sales_Table[[#This Row],[Date_clean]],2)</f>
        <v>3</v>
      </c>
      <c r="X383" t="str" cm="1">
        <f t="array" ref="X383">_xlfn.IFS(Sales_Table[[#This Row],[Revenue]]&gt;=50000,"High",Sales_Table[[#This Row],[Revenue]]&gt;=20000,"Medium",Sales_Table[[#This Row],[Revenue]]&lt;20000,"Low")</f>
        <v>Low</v>
      </c>
      <c r="Y383" t="str">
        <f>IF(Sales_Table[[#This Row],[Payment Method_clean]]="cash","Offline","Online")</f>
        <v>Online</v>
      </c>
      <c r="Z383">
        <f>IFERROR(Sales_Table[[#This Row],[Revenue]],0)</f>
        <v>19071</v>
      </c>
    </row>
    <row r="384" spans="1:26" x14ac:dyDescent="0.3">
      <c r="A384">
        <v>383</v>
      </c>
      <c r="B384" s="2">
        <f t="shared" si="35"/>
        <v>45307.916666666664</v>
      </c>
      <c r="C384" t="s">
        <v>1113</v>
      </c>
      <c r="D384" t="s">
        <v>36</v>
      </c>
      <c r="E384" t="str">
        <f>PROPER(TRIM(CLEAN(Sales_Table[[#This Row],[Region]])))</f>
        <v>West</v>
      </c>
      <c r="F384" t="s">
        <v>46</v>
      </c>
      <c r="G384" t="str">
        <f t="shared" si="36"/>
        <v>Electronics</v>
      </c>
      <c r="H384" t="str">
        <f>PROPER(TRIM(CLEAN(Sales_Table[[#This Row],[Product Name]])))</f>
        <v>Rice 5Kg</v>
      </c>
      <c r="I384" t="s">
        <v>73</v>
      </c>
      <c r="J384" t="str">
        <f t="shared" si="37"/>
        <v>CUST0089</v>
      </c>
      <c r="K384" t="s">
        <v>1114</v>
      </c>
      <c r="L384" t="str">
        <f>PROPER(TRIM(CLEAN(Sales_Table[[#This Row],[Salesperson]])))</f>
        <v>Rahul</v>
      </c>
      <c r="M384" t="s">
        <v>31</v>
      </c>
      <c r="N384" t="str">
        <f t="shared" si="38"/>
        <v>Upi</v>
      </c>
      <c r="O384" t="s">
        <v>48</v>
      </c>
      <c r="P384">
        <f t="shared" si="39"/>
        <v>7</v>
      </c>
      <c r="Q384" t="s">
        <v>49</v>
      </c>
      <c r="R384">
        <f t="shared" si="40"/>
        <v>3419</v>
      </c>
      <c r="S384" t="s">
        <v>1115</v>
      </c>
      <c r="T384">
        <f t="shared" si="41"/>
        <v>23933</v>
      </c>
      <c r="U384">
        <f>YEAR(Sales_Table[[#This Row],[Date_clean]])</f>
        <v>2024</v>
      </c>
      <c r="V384" t="str">
        <f>TEXT(Sales_Table[[#This Row],[Date_clean]],"mmmm")</f>
        <v>January</v>
      </c>
      <c r="W384">
        <f>WEEKNUM(Sales_Table[[#This Row],[Date_clean]],2)</f>
        <v>3</v>
      </c>
      <c r="X384" t="str" cm="1">
        <f t="array" ref="X384">_xlfn.IFS(Sales_Table[[#This Row],[Revenue]]&gt;=50000,"High",Sales_Table[[#This Row],[Revenue]]&gt;=20000,"Medium",Sales_Table[[#This Row],[Revenue]]&lt;20000,"Low")</f>
        <v>Medium</v>
      </c>
      <c r="Y384" t="str">
        <f>IF(Sales_Table[[#This Row],[Payment Method_clean]]="cash","Offline","Online")</f>
        <v>Online</v>
      </c>
      <c r="Z384">
        <f>IFERROR(Sales_Table[[#This Row],[Revenue]],0)</f>
        <v>23933</v>
      </c>
    </row>
    <row r="385" spans="1:26" x14ac:dyDescent="0.3">
      <c r="A385">
        <v>384</v>
      </c>
      <c r="B385" s="2">
        <f t="shared" si="35"/>
        <v>45307.958333333336</v>
      </c>
      <c r="C385" t="s">
        <v>1116</v>
      </c>
      <c r="D385" t="s">
        <v>45</v>
      </c>
      <c r="E385" t="str">
        <f>PROPER(TRIM(CLEAN(Sales_Table[[#This Row],[Region]])))</f>
        <v>North</v>
      </c>
      <c r="F385" t="s">
        <v>46</v>
      </c>
      <c r="G385" t="str">
        <f t="shared" si="36"/>
        <v>Electronics</v>
      </c>
      <c r="H385" t="str">
        <f>PROPER(TRIM(CLEAN(Sales_Table[[#This Row],[Product Name]])))</f>
        <v>Led Tv 42Inch</v>
      </c>
      <c r="I385" t="s">
        <v>58</v>
      </c>
      <c r="J385" t="str">
        <f t="shared" si="37"/>
        <v>CUST0688</v>
      </c>
      <c r="K385" t="s">
        <v>414</v>
      </c>
      <c r="L385" t="str">
        <f>PROPER(TRIM(CLEAN(Sales_Table[[#This Row],[Salesperson]])))</f>
        <v>Meena</v>
      </c>
      <c r="M385" t="s">
        <v>40</v>
      </c>
      <c r="N385" t="str">
        <f t="shared" si="38"/>
        <v>Debit Card</v>
      </c>
      <c r="O385" t="s">
        <v>41</v>
      </c>
      <c r="P385">
        <f t="shared" si="39"/>
        <v>8</v>
      </c>
      <c r="Q385" t="s">
        <v>42</v>
      </c>
      <c r="R385">
        <f t="shared" si="40"/>
        <v>2420</v>
      </c>
      <c r="S385" t="s">
        <v>1117</v>
      </c>
      <c r="T385">
        <f t="shared" si="41"/>
        <v>19360</v>
      </c>
      <c r="U385">
        <f>YEAR(Sales_Table[[#This Row],[Date_clean]])</f>
        <v>2024</v>
      </c>
      <c r="V385" t="str">
        <f>TEXT(Sales_Table[[#This Row],[Date_clean]],"mmmm")</f>
        <v>January</v>
      </c>
      <c r="W385">
        <f>WEEKNUM(Sales_Table[[#This Row],[Date_clean]],2)</f>
        <v>3</v>
      </c>
      <c r="X385" t="str" cm="1">
        <f t="array" ref="X385">_xlfn.IFS(Sales_Table[[#This Row],[Revenue]]&gt;=50000,"High",Sales_Table[[#This Row],[Revenue]]&gt;=20000,"Medium",Sales_Table[[#This Row],[Revenue]]&lt;20000,"Low")</f>
        <v>Low</v>
      </c>
      <c r="Y385" t="str">
        <f>IF(Sales_Table[[#This Row],[Payment Method_clean]]="cash","Offline","Online")</f>
        <v>Online</v>
      </c>
      <c r="Z385">
        <f>IFERROR(Sales_Table[[#This Row],[Revenue]],0)</f>
        <v>19360</v>
      </c>
    </row>
    <row r="386" spans="1:26" x14ac:dyDescent="0.3">
      <c r="A386">
        <v>385</v>
      </c>
      <c r="B386" s="2">
        <f t="shared" si="35"/>
        <v>45308</v>
      </c>
      <c r="C386" t="s">
        <v>1118</v>
      </c>
      <c r="D386" t="s">
        <v>45</v>
      </c>
      <c r="E386" t="str">
        <f>PROPER(TRIM(CLEAN(Sales_Table[[#This Row],[Region]])))</f>
        <v>North</v>
      </c>
      <c r="F386" t="s">
        <v>78</v>
      </c>
      <c r="G386" t="str">
        <f t="shared" si="36"/>
        <v>Grocery</v>
      </c>
      <c r="H386" t="str">
        <f>PROPER(TRIM(CLEAN(Sales_Table[[#This Row],[Product Name]])))</f>
        <v>Rice 5Kg</v>
      </c>
      <c r="I386" t="s">
        <v>73</v>
      </c>
      <c r="J386" t="str">
        <f t="shared" si="37"/>
        <v>CUST0530</v>
      </c>
      <c r="K386" t="s">
        <v>1119</v>
      </c>
      <c r="L386" t="str">
        <f>PROPER(TRIM(CLEAN(Sales_Table[[#This Row],[Salesperson]])))</f>
        <v>Anita</v>
      </c>
      <c r="M386" t="s">
        <v>64</v>
      </c>
      <c r="N386" t="str">
        <f t="shared" si="38"/>
        <v>Net Banking</v>
      </c>
      <c r="O386" t="s">
        <v>60</v>
      </c>
      <c r="P386">
        <f t="shared" si="39"/>
        <v>4</v>
      </c>
      <c r="Q386" t="s">
        <v>113</v>
      </c>
      <c r="R386">
        <f t="shared" si="40"/>
        <v>1746</v>
      </c>
      <c r="S386" t="s">
        <v>1120</v>
      </c>
      <c r="T386">
        <f t="shared" si="41"/>
        <v>6984</v>
      </c>
      <c r="U386">
        <f>YEAR(Sales_Table[[#This Row],[Date_clean]])</f>
        <v>2024</v>
      </c>
      <c r="V386" t="str">
        <f>TEXT(Sales_Table[[#This Row],[Date_clean]],"mmmm")</f>
        <v>January</v>
      </c>
      <c r="W386">
        <f>WEEKNUM(Sales_Table[[#This Row],[Date_clean]],2)</f>
        <v>3</v>
      </c>
      <c r="X386" t="str" cm="1">
        <f t="array" ref="X386">_xlfn.IFS(Sales_Table[[#This Row],[Revenue]]&gt;=50000,"High",Sales_Table[[#This Row],[Revenue]]&gt;=20000,"Medium",Sales_Table[[#This Row],[Revenue]]&lt;20000,"Low")</f>
        <v>Low</v>
      </c>
      <c r="Y386" t="str">
        <f>IF(Sales_Table[[#This Row],[Payment Method_clean]]="cash","Offline","Online")</f>
        <v>Online</v>
      </c>
      <c r="Z386">
        <f>IFERROR(Sales_Table[[#This Row],[Revenue]],0)</f>
        <v>6984</v>
      </c>
    </row>
    <row r="387" spans="1:26" x14ac:dyDescent="0.3">
      <c r="A387">
        <v>386</v>
      </c>
      <c r="B387" s="2">
        <f t="shared" ref="B387:B450" si="42">DATEVALUE(LEFT(C387,10))+TIMEVALUE(MID(C387,12,8))</f>
        <v>45308.041666666664</v>
      </c>
      <c r="C387" t="s">
        <v>1121</v>
      </c>
      <c r="D387" t="s">
        <v>36</v>
      </c>
      <c r="E387" t="str">
        <f>PROPER(TRIM(CLEAN(Sales_Table[[#This Row],[Region]])))</f>
        <v>West</v>
      </c>
      <c r="F387" t="s">
        <v>46</v>
      </c>
      <c r="G387" t="str">
        <f t="shared" ref="G387:G450" si="43">PROPER(TRIM(CLEAN(F387)))</f>
        <v>Electronics</v>
      </c>
      <c r="H387" t="str">
        <f>PROPER(TRIM(CLEAN(Sales_Table[[#This Row],[Product Name]])))</f>
        <v>Washing Machine</v>
      </c>
      <c r="I387" t="s">
        <v>79</v>
      </c>
      <c r="J387" t="str">
        <f t="shared" ref="J387:J450" si="44">TRIM(K387)</f>
        <v>CUST0371</v>
      </c>
      <c r="K387" t="s">
        <v>285</v>
      </c>
      <c r="L387" t="str">
        <f>PROPER(TRIM(CLEAN(Sales_Table[[#This Row],[Salesperson]])))</f>
        <v>Rahul</v>
      </c>
      <c r="M387" t="s">
        <v>31</v>
      </c>
      <c r="N387" t="str">
        <f t="shared" ref="N387:N450" si="45">PROPER(TRIM(O387))</f>
        <v>Credit Card</v>
      </c>
      <c r="O387" t="s">
        <v>65</v>
      </c>
      <c r="P387">
        <f t="shared" ref="P387:P450" si="46">VALUE(Q387)</f>
        <v>4</v>
      </c>
      <c r="Q387" t="s">
        <v>113</v>
      </c>
      <c r="R387">
        <f t="shared" ref="R387:R450" si="47">VALUE(S387)</f>
        <v>4103</v>
      </c>
      <c r="S387" t="s">
        <v>1122</v>
      </c>
      <c r="T387">
        <f t="shared" ref="T387:T450" si="48">P387*R387</f>
        <v>16412</v>
      </c>
      <c r="U387">
        <f>YEAR(Sales_Table[[#This Row],[Date_clean]])</f>
        <v>2024</v>
      </c>
      <c r="V387" t="str">
        <f>TEXT(Sales_Table[[#This Row],[Date_clean]],"mmmm")</f>
        <v>January</v>
      </c>
      <c r="W387">
        <f>WEEKNUM(Sales_Table[[#This Row],[Date_clean]],2)</f>
        <v>3</v>
      </c>
      <c r="X387" t="str" cm="1">
        <f t="array" ref="X387">_xlfn.IFS(Sales_Table[[#This Row],[Revenue]]&gt;=50000,"High",Sales_Table[[#This Row],[Revenue]]&gt;=20000,"Medium",Sales_Table[[#This Row],[Revenue]]&lt;20000,"Low")</f>
        <v>Low</v>
      </c>
      <c r="Y387" t="str">
        <f>IF(Sales_Table[[#This Row],[Payment Method_clean]]="cash","Offline","Online")</f>
        <v>Online</v>
      </c>
      <c r="Z387">
        <f>IFERROR(Sales_Table[[#This Row],[Revenue]],0)</f>
        <v>16412</v>
      </c>
    </row>
    <row r="388" spans="1:26" x14ac:dyDescent="0.3">
      <c r="A388">
        <v>387</v>
      </c>
      <c r="B388" s="2">
        <f t="shared" si="42"/>
        <v>45308.083333333336</v>
      </c>
      <c r="C388" t="s">
        <v>1123</v>
      </c>
      <c r="D388" t="s">
        <v>27</v>
      </c>
      <c r="E388" t="str">
        <f>PROPER(TRIM(CLEAN(Sales_Table[[#This Row],[Region]])))</f>
        <v>East</v>
      </c>
      <c r="F388" t="s">
        <v>46</v>
      </c>
      <c r="G388" t="str">
        <f t="shared" si="43"/>
        <v>Electronics</v>
      </c>
      <c r="H388" t="str">
        <f>PROPER(TRIM(CLEAN(Sales_Table[[#This Row],[Product Name]])))</f>
        <v>Mixer Grinder</v>
      </c>
      <c r="I388" t="s">
        <v>29</v>
      </c>
      <c r="J388" t="str">
        <f t="shared" si="44"/>
        <v>CUST0399</v>
      </c>
      <c r="K388" t="s">
        <v>1124</v>
      </c>
      <c r="L388" t="str">
        <f>PROPER(TRIM(CLEAN(Sales_Table[[#This Row],[Salesperson]])))</f>
        <v>Karthik</v>
      </c>
      <c r="M388" t="s">
        <v>70</v>
      </c>
      <c r="N388" t="str">
        <f t="shared" si="45"/>
        <v>Net Banking</v>
      </c>
      <c r="O388" t="s">
        <v>60</v>
      </c>
      <c r="P388">
        <f t="shared" si="46"/>
        <v>13</v>
      </c>
      <c r="Q388" t="s">
        <v>81</v>
      </c>
      <c r="R388">
        <f t="shared" si="47"/>
        <v>4009</v>
      </c>
      <c r="S388" t="s">
        <v>471</v>
      </c>
      <c r="T388">
        <f t="shared" si="48"/>
        <v>52117</v>
      </c>
      <c r="U388">
        <f>YEAR(Sales_Table[[#This Row],[Date_clean]])</f>
        <v>2024</v>
      </c>
      <c r="V388" t="str">
        <f>TEXT(Sales_Table[[#This Row],[Date_clean]],"mmmm")</f>
        <v>January</v>
      </c>
      <c r="W388">
        <f>WEEKNUM(Sales_Table[[#This Row],[Date_clean]],2)</f>
        <v>3</v>
      </c>
      <c r="X388" t="str" cm="1">
        <f t="array" ref="X388">_xlfn.IFS(Sales_Table[[#This Row],[Revenue]]&gt;=50000,"High",Sales_Table[[#This Row],[Revenue]]&gt;=20000,"Medium",Sales_Table[[#This Row],[Revenue]]&lt;20000,"Low")</f>
        <v>High</v>
      </c>
      <c r="Y388" t="str">
        <f>IF(Sales_Table[[#This Row],[Payment Method_clean]]="cash","Offline","Online")</f>
        <v>Online</v>
      </c>
      <c r="Z388">
        <f>IFERROR(Sales_Table[[#This Row],[Revenue]],0)</f>
        <v>52117</v>
      </c>
    </row>
    <row r="389" spans="1:26" x14ac:dyDescent="0.3">
      <c r="A389">
        <v>388</v>
      </c>
      <c r="B389" s="2">
        <f t="shared" si="42"/>
        <v>45308.125</v>
      </c>
      <c r="C389" t="s">
        <v>1125</v>
      </c>
      <c r="D389" t="s">
        <v>27</v>
      </c>
      <c r="E389" t="str">
        <f>PROPER(TRIM(CLEAN(Sales_Table[[#This Row],[Region]])))</f>
        <v>East</v>
      </c>
      <c r="F389" t="s">
        <v>37</v>
      </c>
      <c r="G389" t="str">
        <f t="shared" si="43"/>
        <v>Home Appliances</v>
      </c>
      <c r="H389" t="str">
        <f>PROPER(TRIM(CLEAN(Sales_Table[[#This Row],[Product Name]])))</f>
        <v>Laptop</v>
      </c>
      <c r="I389" t="s">
        <v>52</v>
      </c>
      <c r="J389" t="str">
        <f t="shared" si="44"/>
        <v>CUST0106</v>
      </c>
      <c r="K389" t="s">
        <v>1099</v>
      </c>
      <c r="L389" t="str">
        <f>PROPER(TRIM(CLEAN(Sales_Table[[#This Row],[Salesperson]])))</f>
        <v>Suresh</v>
      </c>
      <c r="M389" t="s">
        <v>54</v>
      </c>
      <c r="N389" t="str">
        <f t="shared" si="45"/>
        <v>Net Banking</v>
      </c>
      <c r="O389" t="s">
        <v>60</v>
      </c>
      <c r="P389">
        <f t="shared" si="46"/>
        <v>2</v>
      </c>
      <c r="Q389" t="s">
        <v>196</v>
      </c>
      <c r="R389">
        <f t="shared" si="47"/>
        <v>3520</v>
      </c>
      <c r="S389" t="s">
        <v>1126</v>
      </c>
      <c r="T389">
        <f t="shared" si="48"/>
        <v>7040</v>
      </c>
      <c r="U389">
        <f>YEAR(Sales_Table[[#This Row],[Date_clean]])</f>
        <v>2024</v>
      </c>
      <c r="V389" t="str">
        <f>TEXT(Sales_Table[[#This Row],[Date_clean]],"mmmm")</f>
        <v>January</v>
      </c>
      <c r="W389">
        <f>WEEKNUM(Sales_Table[[#This Row],[Date_clean]],2)</f>
        <v>3</v>
      </c>
      <c r="X389" t="str" cm="1">
        <f t="array" ref="X389">_xlfn.IFS(Sales_Table[[#This Row],[Revenue]]&gt;=50000,"High",Sales_Table[[#This Row],[Revenue]]&gt;=20000,"Medium",Sales_Table[[#This Row],[Revenue]]&lt;20000,"Low")</f>
        <v>Low</v>
      </c>
      <c r="Y389" t="str">
        <f>IF(Sales_Table[[#This Row],[Payment Method_clean]]="cash","Offline","Online")</f>
        <v>Online</v>
      </c>
      <c r="Z389">
        <f>IFERROR(Sales_Table[[#This Row],[Revenue]],0)</f>
        <v>7040</v>
      </c>
    </row>
    <row r="390" spans="1:26" x14ac:dyDescent="0.3">
      <c r="A390">
        <v>389</v>
      </c>
      <c r="B390" s="2">
        <f t="shared" si="42"/>
        <v>45308.166666666664</v>
      </c>
      <c r="C390" t="s">
        <v>1127</v>
      </c>
      <c r="D390" t="s">
        <v>45</v>
      </c>
      <c r="E390" t="str">
        <f>PROPER(TRIM(CLEAN(Sales_Table[[#This Row],[Region]])))</f>
        <v>North</v>
      </c>
      <c r="F390" t="s">
        <v>28</v>
      </c>
      <c r="G390" t="str">
        <f t="shared" si="43"/>
        <v>Clothing</v>
      </c>
      <c r="H390" t="str">
        <f>PROPER(TRIM(CLEAN(Sales_Table[[#This Row],[Product Name]])))</f>
        <v>Mixer Grinder</v>
      </c>
      <c r="I390" t="s">
        <v>29</v>
      </c>
      <c r="J390" t="str">
        <f t="shared" si="44"/>
        <v>CUST0271</v>
      </c>
      <c r="K390" t="s">
        <v>1128</v>
      </c>
      <c r="L390" t="str">
        <f>PROPER(TRIM(CLEAN(Sales_Table[[#This Row],[Salesperson]])))</f>
        <v>Rahul</v>
      </c>
      <c r="M390" t="s">
        <v>31</v>
      </c>
      <c r="N390" t="str">
        <f t="shared" si="45"/>
        <v>Net Banking</v>
      </c>
      <c r="O390" t="s">
        <v>60</v>
      </c>
      <c r="P390">
        <f t="shared" si="46"/>
        <v>8</v>
      </c>
      <c r="Q390" t="s">
        <v>42</v>
      </c>
      <c r="R390">
        <f t="shared" si="47"/>
        <v>2631</v>
      </c>
      <c r="S390" t="s">
        <v>1129</v>
      </c>
      <c r="T390">
        <f t="shared" si="48"/>
        <v>21048</v>
      </c>
      <c r="U390">
        <f>YEAR(Sales_Table[[#This Row],[Date_clean]])</f>
        <v>2024</v>
      </c>
      <c r="V390" t="str">
        <f>TEXT(Sales_Table[[#This Row],[Date_clean]],"mmmm")</f>
        <v>January</v>
      </c>
      <c r="W390">
        <f>WEEKNUM(Sales_Table[[#This Row],[Date_clean]],2)</f>
        <v>3</v>
      </c>
      <c r="X390" t="str" cm="1">
        <f t="array" ref="X390">_xlfn.IFS(Sales_Table[[#This Row],[Revenue]]&gt;=50000,"High",Sales_Table[[#This Row],[Revenue]]&gt;=20000,"Medium",Sales_Table[[#This Row],[Revenue]]&lt;20000,"Low")</f>
        <v>Medium</v>
      </c>
      <c r="Y390" t="str">
        <f>IF(Sales_Table[[#This Row],[Payment Method_clean]]="cash","Offline","Online")</f>
        <v>Online</v>
      </c>
      <c r="Z390">
        <f>IFERROR(Sales_Table[[#This Row],[Revenue]],0)</f>
        <v>21048</v>
      </c>
    </row>
    <row r="391" spans="1:26" x14ac:dyDescent="0.3">
      <c r="A391">
        <v>390</v>
      </c>
      <c r="B391" s="2">
        <f t="shared" si="42"/>
        <v>45308.208333333336</v>
      </c>
      <c r="C391" t="s">
        <v>1130</v>
      </c>
      <c r="D391" t="s">
        <v>45</v>
      </c>
      <c r="E391" t="str">
        <f>PROPER(TRIM(CLEAN(Sales_Table[[#This Row],[Region]])))</f>
        <v>North</v>
      </c>
      <c r="F391" t="s">
        <v>46</v>
      </c>
      <c r="G391" t="str">
        <f t="shared" si="43"/>
        <v>Electronics</v>
      </c>
      <c r="H391" t="str">
        <f>PROPER(TRIM(CLEAN(Sales_Table[[#This Row],[Product Name]])))</f>
        <v>Laptop</v>
      </c>
      <c r="I391" t="s">
        <v>52</v>
      </c>
      <c r="J391" t="str">
        <f t="shared" si="44"/>
        <v>CUST0503</v>
      </c>
      <c r="K391" t="s">
        <v>1131</v>
      </c>
      <c r="L391" t="str">
        <f>PROPER(TRIM(CLEAN(Sales_Table[[#This Row],[Salesperson]])))</f>
        <v>Anita</v>
      </c>
      <c r="M391" t="s">
        <v>64</v>
      </c>
      <c r="N391" t="str">
        <f t="shared" si="45"/>
        <v>Cash</v>
      </c>
      <c r="O391" t="s">
        <v>32</v>
      </c>
      <c r="P391">
        <f t="shared" si="46"/>
        <v>11</v>
      </c>
      <c r="Q391" t="s">
        <v>97</v>
      </c>
      <c r="R391">
        <f t="shared" si="47"/>
        <v>456</v>
      </c>
      <c r="S391" t="s">
        <v>1132</v>
      </c>
      <c r="T391">
        <f t="shared" si="48"/>
        <v>5016</v>
      </c>
      <c r="U391">
        <f>YEAR(Sales_Table[[#This Row],[Date_clean]])</f>
        <v>2024</v>
      </c>
      <c r="V391" t="str">
        <f>TEXT(Sales_Table[[#This Row],[Date_clean]],"mmmm")</f>
        <v>January</v>
      </c>
      <c r="W391">
        <f>WEEKNUM(Sales_Table[[#This Row],[Date_clean]],2)</f>
        <v>3</v>
      </c>
      <c r="X391" t="str" cm="1">
        <f t="array" ref="X391">_xlfn.IFS(Sales_Table[[#This Row],[Revenue]]&gt;=50000,"High",Sales_Table[[#This Row],[Revenue]]&gt;=20000,"Medium",Sales_Table[[#This Row],[Revenue]]&lt;20000,"Low")</f>
        <v>Low</v>
      </c>
      <c r="Y391" t="str">
        <f>IF(Sales_Table[[#This Row],[Payment Method_clean]]="cash","Offline","Online")</f>
        <v>Offline</v>
      </c>
      <c r="Z391">
        <f>IFERROR(Sales_Table[[#This Row],[Revenue]],0)</f>
        <v>5016</v>
      </c>
    </row>
    <row r="392" spans="1:26" x14ac:dyDescent="0.3">
      <c r="A392">
        <v>391</v>
      </c>
      <c r="B392" s="2">
        <f t="shared" si="42"/>
        <v>45308.25</v>
      </c>
      <c r="C392" t="s">
        <v>1133</v>
      </c>
      <c r="D392" t="s">
        <v>27</v>
      </c>
      <c r="E392" t="str">
        <f>PROPER(TRIM(CLEAN(Sales_Table[[#This Row],[Region]])))</f>
        <v>East</v>
      </c>
      <c r="F392" t="s">
        <v>46</v>
      </c>
      <c r="G392" t="str">
        <f t="shared" si="43"/>
        <v>Electronics</v>
      </c>
      <c r="H392" t="str">
        <f>PROPER(TRIM(CLEAN(Sales_Table[[#This Row],[Product Name]])))</f>
        <v>Rice 5Kg</v>
      </c>
      <c r="I392" t="s">
        <v>73</v>
      </c>
      <c r="J392" t="str">
        <f t="shared" si="44"/>
        <v>CUST0679</v>
      </c>
      <c r="K392" t="s">
        <v>1134</v>
      </c>
      <c r="L392" t="str">
        <f>PROPER(TRIM(CLEAN(Sales_Table[[#This Row],[Salesperson]])))</f>
        <v>Rahul</v>
      </c>
      <c r="M392" t="s">
        <v>31</v>
      </c>
      <c r="N392" t="str">
        <f t="shared" si="45"/>
        <v>Net Banking</v>
      </c>
      <c r="O392" t="s">
        <v>60</v>
      </c>
      <c r="P392">
        <f t="shared" si="46"/>
        <v>2</v>
      </c>
      <c r="Q392" t="s">
        <v>196</v>
      </c>
      <c r="R392">
        <f t="shared" si="47"/>
        <v>3181</v>
      </c>
      <c r="S392" t="s">
        <v>1135</v>
      </c>
      <c r="T392">
        <f t="shared" si="48"/>
        <v>6362</v>
      </c>
      <c r="U392">
        <f>YEAR(Sales_Table[[#This Row],[Date_clean]])</f>
        <v>2024</v>
      </c>
      <c r="V392" t="str">
        <f>TEXT(Sales_Table[[#This Row],[Date_clean]],"mmmm")</f>
        <v>January</v>
      </c>
      <c r="W392">
        <f>WEEKNUM(Sales_Table[[#This Row],[Date_clean]],2)</f>
        <v>3</v>
      </c>
      <c r="X392" t="str" cm="1">
        <f t="array" ref="X392">_xlfn.IFS(Sales_Table[[#This Row],[Revenue]]&gt;=50000,"High",Sales_Table[[#This Row],[Revenue]]&gt;=20000,"Medium",Sales_Table[[#This Row],[Revenue]]&lt;20000,"Low")</f>
        <v>Low</v>
      </c>
      <c r="Y392" t="str">
        <f>IF(Sales_Table[[#This Row],[Payment Method_clean]]="cash","Offline","Online")</f>
        <v>Online</v>
      </c>
      <c r="Z392">
        <f>IFERROR(Sales_Table[[#This Row],[Revenue]],0)</f>
        <v>6362</v>
      </c>
    </row>
    <row r="393" spans="1:26" x14ac:dyDescent="0.3">
      <c r="A393">
        <v>392</v>
      </c>
      <c r="B393" s="2">
        <f t="shared" si="42"/>
        <v>45308.291666666664</v>
      </c>
      <c r="C393" t="s">
        <v>1136</v>
      </c>
      <c r="D393" t="s">
        <v>27</v>
      </c>
      <c r="E393" t="str">
        <f>PROPER(TRIM(CLEAN(Sales_Table[[#This Row],[Region]])))</f>
        <v>East</v>
      </c>
      <c r="F393" t="s">
        <v>46</v>
      </c>
      <c r="G393" t="str">
        <f t="shared" si="43"/>
        <v>Electronics</v>
      </c>
      <c r="H393" t="str">
        <f>PROPER(TRIM(CLEAN(Sales_Table[[#This Row],[Product Name]])))</f>
        <v>Men T-Shirt</v>
      </c>
      <c r="I393" t="s">
        <v>38</v>
      </c>
      <c r="J393" t="str">
        <f t="shared" si="44"/>
        <v>CUST0525</v>
      </c>
      <c r="K393" t="s">
        <v>1137</v>
      </c>
      <c r="L393" t="str">
        <f>PROPER(TRIM(CLEAN(Sales_Table[[#This Row],[Salesperson]])))</f>
        <v>Suresh</v>
      </c>
      <c r="M393" t="s">
        <v>54</v>
      </c>
      <c r="N393" t="str">
        <f t="shared" si="45"/>
        <v>Upi</v>
      </c>
      <c r="O393" t="s">
        <v>48</v>
      </c>
      <c r="P393">
        <f t="shared" si="46"/>
        <v>9</v>
      </c>
      <c r="Q393" t="s">
        <v>130</v>
      </c>
      <c r="R393">
        <f t="shared" si="47"/>
        <v>2380</v>
      </c>
      <c r="S393" t="s">
        <v>1138</v>
      </c>
      <c r="T393">
        <f t="shared" si="48"/>
        <v>21420</v>
      </c>
      <c r="U393">
        <f>YEAR(Sales_Table[[#This Row],[Date_clean]])</f>
        <v>2024</v>
      </c>
      <c r="V393" t="str">
        <f>TEXT(Sales_Table[[#This Row],[Date_clean]],"mmmm")</f>
        <v>January</v>
      </c>
      <c r="W393">
        <f>WEEKNUM(Sales_Table[[#This Row],[Date_clean]],2)</f>
        <v>3</v>
      </c>
      <c r="X393" t="str" cm="1">
        <f t="array" ref="X393">_xlfn.IFS(Sales_Table[[#This Row],[Revenue]]&gt;=50000,"High",Sales_Table[[#This Row],[Revenue]]&gt;=20000,"Medium",Sales_Table[[#This Row],[Revenue]]&lt;20000,"Low")</f>
        <v>Medium</v>
      </c>
      <c r="Y393" t="str">
        <f>IF(Sales_Table[[#This Row],[Payment Method_clean]]="cash","Offline","Online")</f>
        <v>Online</v>
      </c>
      <c r="Z393">
        <f>IFERROR(Sales_Table[[#This Row],[Revenue]],0)</f>
        <v>21420</v>
      </c>
    </row>
    <row r="394" spans="1:26" x14ac:dyDescent="0.3">
      <c r="A394">
        <v>393</v>
      </c>
      <c r="B394" s="2">
        <f t="shared" si="42"/>
        <v>45308.333333333336</v>
      </c>
      <c r="C394" t="s">
        <v>1139</v>
      </c>
      <c r="D394" t="s">
        <v>36</v>
      </c>
      <c r="E394" t="str">
        <f>PROPER(TRIM(CLEAN(Sales_Table[[#This Row],[Region]])))</f>
        <v>West</v>
      </c>
      <c r="F394" t="s">
        <v>37</v>
      </c>
      <c r="G394" t="str">
        <f t="shared" si="43"/>
        <v>Home Appliances</v>
      </c>
      <c r="H394" t="str">
        <f>PROPER(TRIM(CLEAN(Sales_Table[[#This Row],[Product Name]])))</f>
        <v>Led Tv 42Inch</v>
      </c>
      <c r="I394" t="s">
        <v>58</v>
      </c>
      <c r="J394" t="str">
        <f t="shared" si="44"/>
        <v>CUST0032</v>
      </c>
      <c r="K394" t="s">
        <v>1140</v>
      </c>
      <c r="L394" t="str">
        <f>PROPER(TRIM(CLEAN(Sales_Table[[#This Row],[Salesperson]])))</f>
        <v>Anita</v>
      </c>
      <c r="M394" t="s">
        <v>64</v>
      </c>
      <c r="N394" t="str">
        <f t="shared" si="45"/>
        <v>Upi</v>
      </c>
      <c r="O394" t="s">
        <v>48</v>
      </c>
      <c r="P394">
        <f t="shared" si="46"/>
        <v>14</v>
      </c>
      <c r="Q394" t="s">
        <v>55</v>
      </c>
      <c r="R394">
        <f t="shared" si="47"/>
        <v>4231</v>
      </c>
      <c r="S394" t="s">
        <v>1141</v>
      </c>
      <c r="T394">
        <f t="shared" si="48"/>
        <v>59234</v>
      </c>
      <c r="U394">
        <f>YEAR(Sales_Table[[#This Row],[Date_clean]])</f>
        <v>2024</v>
      </c>
      <c r="V394" t="str">
        <f>TEXT(Sales_Table[[#This Row],[Date_clean]],"mmmm")</f>
        <v>January</v>
      </c>
      <c r="W394">
        <f>WEEKNUM(Sales_Table[[#This Row],[Date_clean]],2)</f>
        <v>3</v>
      </c>
      <c r="X394" t="str" cm="1">
        <f t="array" ref="X394">_xlfn.IFS(Sales_Table[[#This Row],[Revenue]]&gt;=50000,"High",Sales_Table[[#This Row],[Revenue]]&gt;=20000,"Medium",Sales_Table[[#This Row],[Revenue]]&lt;20000,"Low")</f>
        <v>High</v>
      </c>
      <c r="Y394" t="str">
        <f>IF(Sales_Table[[#This Row],[Payment Method_clean]]="cash","Offline","Online")</f>
        <v>Online</v>
      </c>
      <c r="Z394">
        <f>IFERROR(Sales_Table[[#This Row],[Revenue]],0)</f>
        <v>59234</v>
      </c>
    </row>
    <row r="395" spans="1:26" x14ac:dyDescent="0.3">
      <c r="A395">
        <v>394</v>
      </c>
      <c r="B395" s="2">
        <f t="shared" si="42"/>
        <v>45308.375</v>
      </c>
      <c r="C395" t="s">
        <v>1142</v>
      </c>
      <c r="D395" t="s">
        <v>36</v>
      </c>
      <c r="E395" t="str">
        <f>PROPER(TRIM(CLEAN(Sales_Table[[#This Row],[Region]])))</f>
        <v>West</v>
      </c>
      <c r="F395" t="s">
        <v>28</v>
      </c>
      <c r="G395" t="str">
        <f t="shared" si="43"/>
        <v>Clothing</v>
      </c>
      <c r="H395" t="str">
        <f>PROPER(TRIM(CLEAN(Sales_Table[[#This Row],[Product Name]])))</f>
        <v>Mixer Grinder</v>
      </c>
      <c r="I395" t="s">
        <v>29</v>
      </c>
      <c r="J395" t="str">
        <f t="shared" si="44"/>
        <v>CUST0393</v>
      </c>
      <c r="K395" t="s">
        <v>1143</v>
      </c>
      <c r="L395" t="str">
        <f>PROPER(TRIM(CLEAN(Sales_Table[[#This Row],[Salesperson]])))</f>
        <v>Meena</v>
      </c>
      <c r="M395" t="s">
        <v>40</v>
      </c>
      <c r="N395" t="str">
        <f t="shared" si="45"/>
        <v>Debit Card</v>
      </c>
      <c r="O395" t="s">
        <v>41</v>
      </c>
      <c r="P395">
        <f t="shared" si="46"/>
        <v>4</v>
      </c>
      <c r="Q395" t="s">
        <v>113</v>
      </c>
      <c r="R395">
        <f t="shared" si="47"/>
        <v>2560</v>
      </c>
      <c r="S395" t="s">
        <v>497</v>
      </c>
      <c r="T395">
        <f t="shared" si="48"/>
        <v>10240</v>
      </c>
      <c r="U395">
        <f>YEAR(Sales_Table[[#This Row],[Date_clean]])</f>
        <v>2024</v>
      </c>
      <c r="V395" t="str">
        <f>TEXT(Sales_Table[[#This Row],[Date_clean]],"mmmm")</f>
        <v>January</v>
      </c>
      <c r="W395">
        <f>WEEKNUM(Sales_Table[[#This Row],[Date_clean]],2)</f>
        <v>3</v>
      </c>
      <c r="X395" t="str" cm="1">
        <f t="array" ref="X395">_xlfn.IFS(Sales_Table[[#This Row],[Revenue]]&gt;=50000,"High",Sales_Table[[#This Row],[Revenue]]&gt;=20000,"Medium",Sales_Table[[#This Row],[Revenue]]&lt;20000,"Low")</f>
        <v>Low</v>
      </c>
      <c r="Y395" t="str">
        <f>IF(Sales_Table[[#This Row],[Payment Method_clean]]="cash","Offline","Online")</f>
        <v>Online</v>
      </c>
      <c r="Z395">
        <f>IFERROR(Sales_Table[[#This Row],[Revenue]],0)</f>
        <v>10240</v>
      </c>
    </row>
    <row r="396" spans="1:26" x14ac:dyDescent="0.3">
      <c r="A396">
        <v>395</v>
      </c>
      <c r="B396" s="2">
        <f t="shared" si="42"/>
        <v>45308.416666666664</v>
      </c>
      <c r="C396" t="s">
        <v>1144</v>
      </c>
      <c r="D396" t="s">
        <v>27</v>
      </c>
      <c r="E396" t="str">
        <f>PROPER(TRIM(CLEAN(Sales_Table[[#This Row],[Region]])))</f>
        <v>East</v>
      </c>
      <c r="F396" t="s">
        <v>78</v>
      </c>
      <c r="G396" t="str">
        <f t="shared" si="43"/>
        <v>Grocery</v>
      </c>
      <c r="H396" t="str">
        <f>PROPER(TRIM(CLEAN(Sales_Table[[#This Row],[Product Name]])))</f>
        <v>Washing Machine</v>
      </c>
      <c r="I396" t="s">
        <v>79</v>
      </c>
      <c r="J396" t="str">
        <f t="shared" si="44"/>
        <v>CUST0040</v>
      </c>
      <c r="K396" t="s">
        <v>237</v>
      </c>
      <c r="L396" t="str">
        <f>PROPER(TRIM(CLEAN(Sales_Table[[#This Row],[Salesperson]])))</f>
        <v>Anita</v>
      </c>
      <c r="M396" t="s">
        <v>64</v>
      </c>
      <c r="N396" t="str">
        <f t="shared" si="45"/>
        <v>Net Banking</v>
      </c>
      <c r="O396" t="s">
        <v>60</v>
      </c>
      <c r="P396">
        <f t="shared" si="46"/>
        <v>1</v>
      </c>
      <c r="Q396" t="s">
        <v>93</v>
      </c>
      <c r="R396">
        <f t="shared" si="47"/>
        <v>2887</v>
      </c>
      <c r="S396" t="s">
        <v>1145</v>
      </c>
      <c r="T396">
        <f t="shared" si="48"/>
        <v>2887</v>
      </c>
      <c r="U396">
        <f>YEAR(Sales_Table[[#This Row],[Date_clean]])</f>
        <v>2024</v>
      </c>
      <c r="V396" t="str">
        <f>TEXT(Sales_Table[[#This Row],[Date_clean]],"mmmm")</f>
        <v>January</v>
      </c>
      <c r="W396">
        <f>WEEKNUM(Sales_Table[[#This Row],[Date_clean]],2)</f>
        <v>3</v>
      </c>
      <c r="X396" t="str" cm="1">
        <f t="array" ref="X396">_xlfn.IFS(Sales_Table[[#This Row],[Revenue]]&gt;=50000,"High",Sales_Table[[#This Row],[Revenue]]&gt;=20000,"Medium",Sales_Table[[#This Row],[Revenue]]&lt;20000,"Low")</f>
        <v>Low</v>
      </c>
      <c r="Y396" t="str">
        <f>IF(Sales_Table[[#This Row],[Payment Method_clean]]="cash","Offline","Online")</f>
        <v>Online</v>
      </c>
      <c r="Z396">
        <f>IFERROR(Sales_Table[[#This Row],[Revenue]],0)</f>
        <v>2887</v>
      </c>
    </row>
    <row r="397" spans="1:26" x14ac:dyDescent="0.3">
      <c r="A397">
        <v>396</v>
      </c>
      <c r="B397" s="2">
        <f t="shared" si="42"/>
        <v>45308.458333333336</v>
      </c>
      <c r="C397" t="s">
        <v>1146</v>
      </c>
      <c r="D397" t="s">
        <v>36</v>
      </c>
      <c r="E397" t="str">
        <f>PROPER(TRIM(CLEAN(Sales_Table[[#This Row],[Region]])))</f>
        <v>West</v>
      </c>
      <c r="F397" t="s">
        <v>37</v>
      </c>
      <c r="G397" t="str">
        <f t="shared" si="43"/>
        <v>Home Appliances</v>
      </c>
      <c r="H397" t="str">
        <f>PROPER(TRIM(CLEAN(Sales_Table[[#This Row],[Product Name]])))</f>
        <v>Laptop</v>
      </c>
      <c r="I397" t="s">
        <v>52</v>
      </c>
      <c r="J397" t="str">
        <f t="shared" si="44"/>
        <v>CUST0660</v>
      </c>
      <c r="K397" t="s">
        <v>808</v>
      </c>
      <c r="L397" t="str">
        <f>PROPER(TRIM(CLEAN(Sales_Table[[#This Row],[Salesperson]])))</f>
        <v>Meena</v>
      </c>
      <c r="M397" t="s">
        <v>40</v>
      </c>
      <c r="N397" t="str">
        <f t="shared" si="45"/>
        <v>Net Banking</v>
      </c>
      <c r="O397" t="s">
        <v>60</v>
      </c>
      <c r="P397">
        <f t="shared" si="46"/>
        <v>13</v>
      </c>
      <c r="Q397" t="s">
        <v>81</v>
      </c>
      <c r="R397">
        <f t="shared" si="47"/>
        <v>4309</v>
      </c>
      <c r="S397" t="s">
        <v>1147</v>
      </c>
      <c r="T397">
        <f t="shared" si="48"/>
        <v>56017</v>
      </c>
      <c r="U397">
        <f>YEAR(Sales_Table[[#This Row],[Date_clean]])</f>
        <v>2024</v>
      </c>
      <c r="V397" t="str">
        <f>TEXT(Sales_Table[[#This Row],[Date_clean]],"mmmm")</f>
        <v>January</v>
      </c>
      <c r="W397">
        <f>WEEKNUM(Sales_Table[[#This Row],[Date_clean]],2)</f>
        <v>3</v>
      </c>
      <c r="X397" t="str" cm="1">
        <f t="array" ref="X397">_xlfn.IFS(Sales_Table[[#This Row],[Revenue]]&gt;=50000,"High",Sales_Table[[#This Row],[Revenue]]&gt;=20000,"Medium",Sales_Table[[#This Row],[Revenue]]&lt;20000,"Low")</f>
        <v>High</v>
      </c>
      <c r="Y397" t="str">
        <f>IF(Sales_Table[[#This Row],[Payment Method_clean]]="cash","Offline","Online")</f>
        <v>Online</v>
      </c>
      <c r="Z397">
        <f>IFERROR(Sales_Table[[#This Row],[Revenue]],0)</f>
        <v>56017</v>
      </c>
    </row>
    <row r="398" spans="1:26" x14ac:dyDescent="0.3">
      <c r="A398">
        <v>397</v>
      </c>
      <c r="B398" s="2">
        <f t="shared" si="42"/>
        <v>45308.5</v>
      </c>
      <c r="C398" t="s">
        <v>1148</v>
      </c>
      <c r="D398" t="s">
        <v>36</v>
      </c>
      <c r="E398" t="str">
        <f>PROPER(TRIM(CLEAN(Sales_Table[[#This Row],[Region]])))</f>
        <v>West</v>
      </c>
      <c r="F398" t="s">
        <v>37</v>
      </c>
      <c r="G398" t="str">
        <f t="shared" si="43"/>
        <v>Home Appliances</v>
      </c>
      <c r="H398" t="str">
        <f>PROPER(TRIM(CLEAN(Sales_Table[[#This Row],[Product Name]])))</f>
        <v>Washing Machine</v>
      </c>
      <c r="I398" t="s">
        <v>79</v>
      </c>
      <c r="J398" t="str">
        <f t="shared" si="44"/>
        <v>CUST0218</v>
      </c>
      <c r="K398" t="s">
        <v>1149</v>
      </c>
      <c r="L398" t="str">
        <f>PROPER(TRIM(CLEAN(Sales_Table[[#This Row],[Salesperson]])))</f>
        <v>Anita</v>
      </c>
      <c r="M398" t="s">
        <v>64</v>
      </c>
      <c r="N398" t="str">
        <f t="shared" si="45"/>
        <v>Credit Card</v>
      </c>
      <c r="O398" t="s">
        <v>65</v>
      </c>
      <c r="P398">
        <f t="shared" si="46"/>
        <v>4</v>
      </c>
      <c r="Q398" t="s">
        <v>113</v>
      </c>
      <c r="R398">
        <f t="shared" si="47"/>
        <v>1297</v>
      </c>
      <c r="S398" t="s">
        <v>1150</v>
      </c>
      <c r="T398">
        <f t="shared" si="48"/>
        <v>5188</v>
      </c>
      <c r="U398">
        <f>YEAR(Sales_Table[[#This Row],[Date_clean]])</f>
        <v>2024</v>
      </c>
      <c r="V398" t="str">
        <f>TEXT(Sales_Table[[#This Row],[Date_clean]],"mmmm")</f>
        <v>January</v>
      </c>
      <c r="W398">
        <f>WEEKNUM(Sales_Table[[#This Row],[Date_clean]],2)</f>
        <v>3</v>
      </c>
      <c r="X398" t="str" cm="1">
        <f t="array" ref="X398">_xlfn.IFS(Sales_Table[[#This Row],[Revenue]]&gt;=50000,"High",Sales_Table[[#This Row],[Revenue]]&gt;=20000,"Medium",Sales_Table[[#This Row],[Revenue]]&lt;20000,"Low")</f>
        <v>Low</v>
      </c>
      <c r="Y398" t="str">
        <f>IF(Sales_Table[[#This Row],[Payment Method_clean]]="cash","Offline","Online")</f>
        <v>Online</v>
      </c>
      <c r="Z398">
        <f>IFERROR(Sales_Table[[#This Row],[Revenue]],0)</f>
        <v>5188</v>
      </c>
    </row>
    <row r="399" spans="1:26" x14ac:dyDescent="0.3">
      <c r="A399">
        <v>398</v>
      </c>
      <c r="B399" s="2">
        <f t="shared" si="42"/>
        <v>45308.541666666664</v>
      </c>
      <c r="C399" t="s">
        <v>1151</v>
      </c>
      <c r="D399" t="s">
        <v>84</v>
      </c>
      <c r="E399" t="str">
        <f>PROPER(TRIM(CLEAN(Sales_Table[[#This Row],[Region]])))</f>
        <v>South</v>
      </c>
      <c r="F399" t="s">
        <v>28</v>
      </c>
      <c r="G399" t="str">
        <f t="shared" si="43"/>
        <v>Clothing</v>
      </c>
      <c r="H399" t="str">
        <f>PROPER(TRIM(CLEAN(Sales_Table[[#This Row],[Product Name]])))</f>
        <v>Men T-Shirt</v>
      </c>
      <c r="I399" t="s">
        <v>38</v>
      </c>
      <c r="J399" t="str">
        <f t="shared" si="44"/>
        <v>CUST0731</v>
      </c>
      <c r="K399" t="s">
        <v>1152</v>
      </c>
      <c r="L399" t="str">
        <f>PROPER(TRIM(CLEAN(Sales_Table[[#This Row],[Salesperson]])))</f>
        <v>Suresh</v>
      </c>
      <c r="M399" t="s">
        <v>54</v>
      </c>
      <c r="N399" t="str">
        <f t="shared" si="45"/>
        <v>Cash</v>
      </c>
      <c r="O399" t="s">
        <v>32</v>
      </c>
      <c r="P399">
        <f t="shared" si="46"/>
        <v>3</v>
      </c>
      <c r="Q399" t="s">
        <v>66</v>
      </c>
      <c r="R399">
        <f t="shared" si="47"/>
        <v>1378</v>
      </c>
      <c r="S399" t="s">
        <v>1153</v>
      </c>
      <c r="T399">
        <f t="shared" si="48"/>
        <v>4134</v>
      </c>
      <c r="U399">
        <f>YEAR(Sales_Table[[#This Row],[Date_clean]])</f>
        <v>2024</v>
      </c>
      <c r="V399" t="str">
        <f>TEXT(Sales_Table[[#This Row],[Date_clean]],"mmmm")</f>
        <v>January</v>
      </c>
      <c r="W399">
        <f>WEEKNUM(Sales_Table[[#This Row],[Date_clean]],2)</f>
        <v>3</v>
      </c>
      <c r="X399" t="str" cm="1">
        <f t="array" ref="X399">_xlfn.IFS(Sales_Table[[#This Row],[Revenue]]&gt;=50000,"High",Sales_Table[[#This Row],[Revenue]]&gt;=20000,"Medium",Sales_Table[[#This Row],[Revenue]]&lt;20000,"Low")</f>
        <v>Low</v>
      </c>
      <c r="Y399" t="str">
        <f>IF(Sales_Table[[#This Row],[Payment Method_clean]]="cash","Offline","Online")</f>
        <v>Offline</v>
      </c>
      <c r="Z399">
        <f>IFERROR(Sales_Table[[#This Row],[Revenue]],0)</f>
        <v>4134</v>
      </c>
    </row>
    <row r="400" spans="1:26" x14ac:dyDescent="0.3">
      <c r="A400">
        <v>399</v>
      </c>
      <c r="B400" s="2">
        <f t="shared" si="42"/>
        <v>45308.583333333336</v>
      </c>
      <c r="C400" t="s">
        <v>1154</v>
      </c>
      <c r="D400" t="s">
        <v>36</v>
      </c>
      <c r="E400" t="str">
        <f>PROPER(TRIM(CLEAN(Sales_Table[[#This Row],[Region]])))</f>
        <v>West</v>
      </c>
      <c r="F400" t="s">
        <v>28</v>
      </c>
      <c r="G400" t="str">
        <f t="shared" si="43"/>
        <v>Clothing</v>
      </c>
      <c r="H400" t="str">
        <f>PROPER(TRIM(CLEAN(Sales_Table[[#This Row],[Product Name]])))</f>
        <v>Laptop</v>
      </c>
      <c r="I400" t="s">
        <v>52</v>
      </c>
      <c r="J400" t="str">
        <f t="shared" si="44"/>
        <v>CUST0082</v>
      </c>
      <c r="K400" t="s">
        <v>1155</v>
      </c>
      <c r="L400" t="str">
        <f>PROPER(TRIM(CLEAN(Sales_Table[[#This Row],[Salesperson]])))</f>
        <v>Suresh</v>
      </c>
      <c r="M400" t="s">
        <v>54</v>
      </c>
      <c r="N400" t="str">
        <f t="shared" si="45"/>
        <v>Debit Card</v>
      </c>
      <c r="O400" t="s">
        <v>41</v>
      </c>
      <c r="P400">
        <f t="shared" si="46"/>
        <v>12</v>
      </c>
      <c r="Q400" t="s">
        <v>33</v>
      </c>
      <c r="R400">
        <f t="shared" si="47"/>
        <v>565</v>
      </c>
      <c r="S400" t="s">
        <v>1156</v>
      </c>
      <c r="T400">
        <f t="shared" si="48"/>
        <v>6780</v>
      </c>
      <c r="U400">
        <f>YEAR(Sales_Table[[#This Row],[Date_clean]])</f>
        <v>2024</v>
      </c>
      <c r="V400" t="str">
        <f>TEXT(Sales_Table[[#This Row],[Date_clean]],"mmmm")</f>
        <v>January</v>
      </c>
      <c r="W400">
        <f>WEEKNUM(Sales_Table[[#This Row],[Date_clean]],2)</f>
        <v>3</v>
      </c>
      <c r="X400" t="str" cm="1">
        <f t="array" ref="X400">_xlfn.IFS(Sales_Table[[#This Row],[Revenue]]&gt;=50000,"High",Sales_Table[[#This Row],[Revenue]]&gt;=20000,"Medium",Sales_Table[[#This Row],[Revenue]]&lt;20000,"Low")</f>
        <v>Low</v>
      </c>
      <c r="Y400" t="str">
        <f>IF(Sales_Table[[#This Row],[Payment Method_clean]]="cash","Offline","Online")</f>
        <v>Online</v>
      </c>
      <c r="Z400">
        <f>IFERROR(Sales_Table[[#This Row],[Revenue]],0)</f>
        <v>6780</v>
      </c>
    </row>
    <row r="401" spans="1:26" x14ac:dyDescent="0.3">
      <c r="A401">
        <v>400</v>
      </c>
      <c r="B401" s="2">
        <f t="shared" si="42"/>
        <v>45308.625</v>
      </c>
      <c r="C401" t="s">
        <v>1157</v>
      </c>
      <c r="D401" t="s">
        <v>45</v>
      </c>
      <c r="E401" t="str">
        <f>PROPER(TRIM(CLEAN(Sales_Table[[#This Row],[Region]])))</f>
        <v>North</v>
      </c>
      <c r="F401" t="s">
        <v>37</v>
      </c>
      <c r="G401" t="str">
        <f t="shared" si="43"/>
        <v>Home Appliances</v>
      </c>
      <c r="H401" t="str">
        <f>PROPER(TRIM(CLEAN(Sales_Table[[#This Row],[Product Name]])))</f>
        <v>Mixer Grinder</v>
      </c>
      <c r="I401" t="s">
        <v>29</v>
      </c>
      <c r="J401" t="str">
        <f t="shared" si="44"/>
        <v>CUST0720</v>
      </c>
      <c r="K401" t="s">
        <v>1158</v>
      </c>
      <c r="L401" t="str">
        <f>PROPER(TRIM(CLEAN(Sales_Table[[#This Row],[Salesperson]])))</f>
        <v>Anita</v>
      </c>
      <c r="M401" t="s">
        <v>64</v>
      </c>
      <c r="N401" t="str">
        <f t="shared" si="45"/>
        <v>Net Banking</v>
      </c>
      <c r="O401" t="s">
        <v>60</v>
      </c>
      <c r="P401">
        <f t="shared" si="46"/>
        <v>6</v>
      </c>
      <c r="Q401" t="s">
        <v>75</v>
      </c>
      <c r="R401">
        <f t="shared" si="47"/>
        <v>4100</v>
      </c>
      <c r="S401" t="s">
        <v>1159</v>
      </c>
      <c r="T401">
        <f t="shared" si="48"/>
        <v>24600</v>
      </c>
      <c r="U401">
        <f>YEAR(Sales_Table[[#This Row],[Date_clean]])</f>
        <v>2024</v>
      </c>
      <c r="V401" t="str">
        <f>TEXT(Sales_Table[[#This Row],[Date_clean]],"mmmm")</f>
        <v>January</v>
      </c>
      <c r="W401">
        <f>WEEKNUM(Sales_Table[[#This Row],[Date_clean]],2)</f>
        <v>3</v>
      </c>
      <c r="X401" t="str" cm="1">
        <f t="array" ref="X401">_xlfn.IFS(Sales_Table[[#This Row],[Revenue]]&gt;=50000,"High",Sales_Table[[#This Row],[Revenue]]&gt;=20000,"Medium",Sales_Table[[#This Row],[Revenue]]&lt;20000,"Low")</f>
        <v>Medium</v>
      </c>
      <c r="Y401" t="str">
        <f>IF(Sales_Table[[#This Row],[Payment Method_clean]]="cash","Offline","Online")</f>
        <v>Online</v>
      </c>
      <c r="Z401">
        <f>IFERROR(Sales_Table[[#This Row],[Revenue]],0)</f>
        <v>24600</v>
      </c>
    </row>
    <row r="402" spans="1:26" x14ac:dyDescent="0.3">
      <c r="A402">
        <v>401</v>
      </c>
      <c r="B402" s="2">
        <f t="shared" si="42"/>
        <v>45308.666666666664</v>
      </c>
      <c r="C402" t="s">
        <v>1160</v>
      </c>
      <c r="D402" t="s">
        <v>36</v>
      </c>
      <c r="E402" t="str">
        <f>PROPER(TRIM(CLEAN(Sales_Table[[#This Row],[Region]])))</f>
        <v>West</v>
      </c>
      <c r="F402" t="s">
        <v>78</v>
      </c>
      <c r="G402" t="str">
        <f t="shared" si="43"/>
        <v>Grocery</v>
      </c>
      <c r="H402" t="str">
        <f>PROPER(TRIM(CLEAN(Sales_Table[[#This Row],[Product Name]])))</f>
        <v>Rice 5Kg</v>
      </c>
      <c r="I402" t="s">
        <v>73</v>
      </c>
      <c r="J402" t="str">
        <f t="shared" si="44"/>
        <v>CUST0201</v>
      </c>
      <c r="K402" t="s">
        <v>116</v>
      </c>
      <c r="L402" t="str">
        <f>PROPER(TRIM(CLEAN(Sales_Table[[#This Row],[Salesperson]])))</f>
        <v>Rahul</v>
      </c>
      <c r="M402" t="s">
        <v>31</v>
      </c>
      <c r="N402" t="str">
        <f t="shared" si="45"/>
        <v>Credit Card</v>
      </c>
      <c r="O402" t="s">
        <v>65</v>
      </c>
      <c r="P402">
        <f t="shared" si="46"/>
        <v>7</v>
      </c>
      <c r="Q402" t="s">
        <v>49</v>
      </c>
      <c r="R402">
        <f t="shared" si="47"/>
        <v>3448</v>
      </c>
      <c r="S402" t="s">
        <v>1161</v>
      </c>
      <c r="T402">
        <f t="shared" si="48"/>
        <v>24136</v>
      </c>
      <c r="U402">
        <f>YEAR(Sales_Table[[#This Row],[Date_clean]])</f>
        <v>2024</v>
      </c>
      <c r="V402" t="str">
        <f>TEXT(Sales_Table[[#This Row],[Date_clean]],"mmmm")</f>
        <v>January</v>
      </c>
      <c r="W402">
        <f>WEEKNUM(Sales_Table[[#This Row],[Date_clean]],2)</f>
        <v>3</v>
      </c>
      <c r="X402" t="str" cm="1">
        <f t="array" ref="X402">_xlfn.IFS(Sales_Table[[#This Row],[Revenue]]&gt;=50000,"High",Sales_Table[[#This Row],[Revenue]]&gt;=20000,"Medium",Sales_Table[[#This Row],[Revenue]]&lt;20000,"Low")</f>
        <v>Medium</v>
      </c>
      <c r="Y402" t="str">
        <f>IF(Sales_Table[[#This Row],[Payment Method_clean]]="cash","Offline","Online")</f>
        <v>Online</v>
      </c>
      <c r="Z402">
        <f>IFERROR(Sales_Table[[#This Row],[Revenue]],0)</f>
        <v>24136</v>
      </c>
    </row>
    <row r="403" spans="1:26" x14ac:dyDescent="0.3">
      <c r="A403">
        <v>402</v>
      </c>
      <c r="B403" s="2">
        <f t="shared" si="42"/>
        <v>45308.708333333336</v>
      </c>
      <c r="C403" t="s">
        <v>1162</v>
      </c>
      <c r="D403" t="s">
        <v>36</v>
      </c>
      <c r="E403" t="str">
        <f>PROPER(TRIM(CLEAN(Sales_Table[[#This Row],[Region]])))</f>
        <v>West</v>
      </c>
      <c r="F403" t="s">
        <v>37</v>
      </c>
      <c r="G403" t="str">
        <f t="shared" si="43"/>
        <v>Home Appliances</v>
      </c>
      <c r="H403" t="str">
        <f>PROPER(TRIM(CLEAN(Sales_Table[[#This Row],[Product Name]])))</f>
        <v>Washing Machine</v>
      </c>
      <c r="I403" t="s">
        <v>79</v>
      </c>
      <c r="J403" t="str">
        <f t="shared" si="44"/>
        <v>CUST0447</v>
      </c>
      <c r="K403" t="s">
        <v>1163</v>
      </c>
      <c r="L403" t="str">
        <f>PROPER(TRIM(CLEAN(Sales_Table[[#This Row],[Salesperson]])))</f>
        <v>Suresh</v>
      </c>
      <c r="M403" t="s">
        <v>54</v>
      </c>
      <c r="N403" t="str">
        <f t="shared" si="45"/>
        <v>Cash</v>
      </c>
      <c r="O403" t="s">
        <v>32</v>
      </c>
      <c r="P403">
        <f t="shared" si="46"/>
        <v>8</v>
      </c>
      <c r="Q403" t="s">
        <v>42</v>
      </c>
      <c r="R403">
        <f t="shared" si="47"/>
        <v>1587</v>
      </c>
      <c r="S403" t="s">
        <v>1164</v>
      </c>
      <c r="T403">
        <f t="shared" si="48"/>
        <v>12696</v>
      </c>
      <c r="U403">
        <f>YEAR(Sales_Table[[#This Row],[Date_clean]])</f>
        <v>2024</v>
      </c>
      <c r="V403" t="str">
        <f>TEXT(Sales_Table[[#This Row],[Date_clean]],"mmmm")</f>
        <v>January</v>
      </c>
      <c r="W403">
        <f>WEEKNUM(Sales_Table[[#This Row],[Date_clean]],2)</f>
        <v>3</v>
      </c>
      <c r="X403" t="str" cm="1">
        <f t="array" ref="X403">_xlfn.IFS(Sales_Table[[#This Row],[Revenue]]&gt;=50000,"High",Sales_Table[[#This Row],[Revenue]]&gt;=20000,"Medium",Sales_Table[[#This Row],[Revenue]]&lt;20000,"Low")</f>
        <v>Low</v>
      </c>
      <c r="Y403" t="str">
        <f>IF(Sales_Table[[#This Row],[Payment Method_clean]]="cash","Offline","Online")</f>
        <v>Offline</v>
      </c>
      <c r="Z403">
        <f>IFERROR(Sales_Table[[#This Row],[Revenue]],0)</f>
        <v>12696</v>
      </c>
    </row>
    <row r="404" spans="1:26" x14ac:dyDescent="0.3">
      <c r="A404">
        <v>403</v>
      </c>
      <c r="B404" s="2">
        <f t="shared" si="42"/>
        <v>45308.75</v>
      </c>
      <c r="C404" t="s">
        <v>1165</v>
      </c>
      <c r="D404" t="s">
        <v>27</v>
      </c>
      <c r="E404" t="str">
        <f>PROPER(TRIM(CLEAN(Sales_Table[[#This Row],[Region]])))</f>
        <v>East</v>
      </c>
      <c r="F404" t="s">
        <v>28</v>
      </c>
      <c r="G404" t="str">
        <f t="shared" si="43"/>
        <v>Clothing</v>
      </c>
      <c r="H404" t="str">
        <f>PROPER(TRIM(CLEAN(Sales_Table[[#This Row],[Product Name]])))</f>
        <v>Men T-Shirt</v>
      </c>
      <c r="I404" t="s">
        <v>38</v>
      </c>
      <c r="J404" t="str">
        <f t="shared" si="44"/>
        <v>CUST0428</v>
      </c>
      <c r="K404" t="s">
        <v>1166</v>
      </c>
      <c r="L404" t="str">
        <f>PROPER(TRIM(CLEAN(Sales_Table[[#This Row],[Salesperson]])))</f>
        <v>Meena</v>
      </c>
      <c r="M404" t="s">
        <v>40</v>
      </c>
      <c r="N404" t="str">
        <f t="shared" si="45"/>
        <v>Debit Card</v>
      </c>
      <c r="O404" t="s">
        <v>41</v>
      </c>
      <c r="P404">
        <f t="shared" si="46"/>
        <v>2</v>
      </c>
      <c r="Q404" t="s">
        <v>196</v>
      </c>
      <c r="R404">
        <f t="shared" si="47"/>
        <v>4697</v>
      </c>
      <c r="S404" t="s">
        <v>1167</v>
      </c>
      <c r="T404">
        <f t="shared" si="48"/>
        <v>9394</v>
      </c>
      <c r="U404">
        <f>YEAR(Sales_Table[[#This Row],[Date_clean]])</f>
        <v>2024</v>
      </c>
      <c r="V404" t="str">
        <f>TEXT(Sales_Table[[#This Row],[Date_clean]],"mmmm")</f>
        <v>January</v>
      </c>
      <c r="W404">
        <f>WEEKNUM(Sales_Table[[#This Row],[Date_clean]],2)</f>
        <v>3</v>
      </c>
      <c r="X404" t="str" cm="1">
        <f t="array" ref="X404">_xlfn.IFS(Sales_Table[[#This Row],[Revenue]]&gt;=50000,"High",Sales_Table[[#This Row],[Revenue]]&gt;=20000,"Medium",Sales_Table[[#This Row],[Revenue]]&lt;20000,"Low")</f>
        <v>Low</v>
      </c>
      <c r="Y404" t="str">
        <f>IF(Sales_Table[[#This Row],[Payment Method_clean]]="cash","Offline","Online")</f>
        <v>Online</v>
      </c>
      <c r="Z404">
        <f>IFERROR(Sales_Table[[#This Row],[Revenue]],0)</f>
        <v>9394</v>
      </c>
    </row>
    <row r="405" spans="1:26" x14ac:dyDescent="0.3">
      <c r="A405">
        <v>404</v>
      </c>
      <c r="B405" s="2">
        <f t="shared" si="42"/>
        <v>45308.791666666664</v>
      </c>
      <c r="C405" t="s">
        <v>1168</v>
      </c>
      <c r="D405" t="s">
        <v>45</v>
      </c>
      <c r="E405" t="str">
        <f>PROPER(TRIM(CLEAN(Sales_Table[[#This Row],[Region]])))</f>
        <v>North</v>
      </c>
      <c r="F405" t="s">
        <v>78</v>
      </c>
      <c r="G405" t="str">
        <f t="shared" si="43"/>
        <v>Grocery</v>
      </c>
      <c r="H405" t="str">
        <f>PROPER(TRIM(CLEAN(Sales_Table[[#This Row],[Product Name]])))</f>
        <v>Mixer Grinder</v>
      </c>
      <c r="I405" t="s">
        <v>29</v>
      </c>
      <c r="J405" t="str">
        <f t="shared" si="44"/>
        <v>CUST0038</v>
      </c>
      <c r="K405" t="s">
        <v>1169</v>
      </c>
      <c r="L405" t="str">
        <f>PROPER(TRIM(CLEAN(Sales_Table[[#This Row],[Salesperson]])))</f>
        <v>Meena</v>
      </c>
      <c r="M405" t="s">
        <v>40</v>
      </c>
      <c r="N405" t="str">
        <f t="shared" si="45"/>
        <v>Debit Card</v>
      </c>
      <c r="O405" t="s">
        <v>41</v>
      </c>
      <c r="P405">
        <f t="shared" si="46"/>
        <v>6</v>
      </c>
      <c r="Q405" t="s">
        <v>75</v>
      </c>
      <c r="R405">
        <f t="shared" si="47"/>
        <v>4636</v>
      </c>
      <c r="S405" t="s">
        <v>1170</v>
      </c>
      <c r="T405">
        <f t="shared" si="48"/>
        <v>27816</v>
      </c>
      <c r="U405">
        <f>YEAR(Sales_Table[[#This Row],[Date_clean]])</f>
        <v>2024</v>
      </c>
      <c r="V405" t="str">
        <f>TEXT(Sales_Table[[#This Row],[Date_clean]],"mmmm")</f>
        <v>January</v>
      </c>
      <c r="W405">
        <f>WEEKNUM(Sales_Table[[#This Row],[Date_clean]],2)</f>
        <v>3</v>
      </c>
      <c r="X405" t="str" cm="1">
        <f t="array" ref="X405">_xlfn.IFS(Sales_Table[[#This Row],[Revenue]]&gt;=50000,"High",Sales_Table[[#This Row],[Revenue]]&gt;=20000,"Medium",Sales_Table[[#This Row],[Revenue]]&lt;20000,"Low")</f>
        <v>Medium</v>
      </c>
      <c r="Y405" t="str">
        <f>IF(Sales_Table[[#This Row],[Payment Method_clean]]="cash","Offline","Online")</f>
        <v>Online</v>
      </c>
      <c r="Z405">
        <f>IFERROR(Sales_Table[[#This Row],[Revenue]],0)</f>
        <v>27816</v>
      </c>
    </row>
    <row r="406" spans="1:26" x14ac:dyDescent="0.3">
      <c r="A406">
        <v>405</v>
      </c>
      <c r="B406" s="2">
        <f t="shared" si="42"/>
        <v>45308.833333333336</v>
      </c>
      <c r="C406" t="s">
        <v>1171</v>
      </c>
      <c r="D406" t="s">
        <v>36</v>
      </c>
      <c r="E406" t="str">
        <f>PROPER(TRIM(CLEAN(Sales_Table[[#This Row],[Region]])))</f>
        <v>West</v>
      </c>
      <c r="F406" t="s">
        <v>28</v>
      </c>
      <c r="G406" t="str">
        <f t="shared" si="43"/>
        <v>Clothing</v>
      </c>
      <c r="H406" t="str">
        <f>PROPER(TRIM(CLEAN(Sales_Table[[#This Row],[Product Name]])))</f>
        <v>Mixer Grinder</v>
      </c>
      <c r="I406" t="s">
        <v>29</v>
      </c>
      <c r="J406" t="str">
        <f t="shared" si="44"/>
        <v>CUST0211</v>
      </c>
      <c r="K406" t="s">
        <v>150</v>
      </c>
      <c r="L406" t="str">
        <f>PROPER(TRIM(CLEAN(Sales_Table[[#This Row],[Salesperson]])))</f>
        <v>Karthik</v>
      </c>
      <c r="M406" t="s">
        <v>70</v>
      </c>
      <c r="N406" t="str">
        <f t="shared" si="45"/>
        <v>Net Banking</v>
      </c>
      <c r="O406" t="s">
        <v>60</v>
      </c>
      <c r="P406">
        <f t="shared" si="46"/>
        <v>6</v>
      </c>
      <c r="Q406" t="s">
        <v>75</v>
      </c>
      <c r="R406">
        <f t="shared" si="47"/>
        <v>425</v>
      </c>
      <c r="S406" t="s">
        <v>1172</v>
      </c>
      <c r="T406">
        <f t="shared" si="48"/>
        <v>2550</v>
      </c>
      <c r="U406">
        <f>YEAR(Sales_Table[[#This Row],[Date_clean]])</f>
        <v>2024</v>
      </c>
      <c r="V406" t="str">
        <f>TEXT(Sales_Table[[#This Row],[Date_clean]],"mmmm")</f>
        <v>January</v>
      </c>
      <c r="W406">
        <f>WEEKNUM(Sales_Table[[#This Row],[Date_clean]],2)</f>
        <v>3</v>
      </c>
      <c r="X406" t="str" cm="1">
        <f t="array" ref="X406">_xlfn.IFS(Sales_Table[[#This Row],[Revenue]]&gt;=50000,"High",Sales_Table[[#This Row],[Revenue]]&gt;=20000,"Medium",Sales_Table[[#This Row],[Revenue]]&lt;20000,"Low")</f>
        <v>Low</v>
      </c>
      <c r="Y406" t="str">
        <f>IF(Sales_Table[[#This Row],[Payment Method_clean]]="cash","Offline","Online")</f>
        <v>Online</v>
      </c>
      <c r="Z406">
        <f>IFERROR(Sales_Table[[#This Row],[Revenue]],0)</f>
        <v>2550</v>
      </c>
    </row>
    <row r="407" spans="1:26" x14ac:dyDescent="0.3">
      <c r="A407">
        <v>406</v>
      </c>
      <c r="B407" s="2">
        <f t="shared" si="42"/>
        <v>45308.875</v>
      </c>
      <c r="C407" t="s">
        <v>1173</v>
      </c>
      <c r="D407" t="s">
        <v>36</v>
      </c>
      <c r="E407" t="str">
        <f>PROPER(TRIM(CLEAN(Sales_Table[[#This Row],[Region]])))</f>
        <v>West</v>
      </c>
      <c r="F407" t="s">
        <v>78</v>
      </c>
      <c r="G407" t="str">
        <f t="shared" si="43"/>
        <v>Grocery</v>
      </c>
      <c r="H407" t="str">
        <f>PROPER(TRIM(CLEAN(Sales_Table[[#This Row],[Product Name]])))</f>
        <v>Mixer Grinder</v>
      </c>
      <c r="I407" t="s">
        <v>29</v>
      </c>
      <c r="J407" t="str">
        <f t="shared" si="44"/>
        <v>CUST0444</v>
      </c>
      <c r="K407" t="s">
        <v>1174</v>
      </c>
      <c r="L407" t="str">
        <f>PROPER(TRIM(CLEAN(Sales_Table[[#This Row],[Salesperson]])))</f>
        <v>Meena</v>
      </c>
      <c r="M407" t="s">
        <v>40</v>
      </c>
      <c r="N407" t="str">
        <f t="shared" si="45"/>
        <v>Debit Card</v>
      </c>
      <c r="O407" t="s">
        <v>41</v>
      </c>
      <c r="P407">
        <f t="shared" si="46"/>
        <v>10</v>
      </c>
      <c r="Q407" t="s">
        <v>117</v>
      </c>
      <c r="R407">
        <f t="shared" si="47"/>
        <v>1865</v>
      </c>
      <c r="S407" t="s">
        <v>1175</v>
      </c>
      <c r="T407">
        <f t="shared" si="48"/>
        <v>18650</v>
      </c>
      <c r="U407">
        <f>YEAR(Sales_Table[[#This Row],[Date_clean]])</f>
        <v>2024</v>
      </c>
      <c r="V407" t="str">
        <f>TEXT(Sales_Table[[#This Row],[Date_clean]],"mmmm")</f>
        <v>January</v>
      </c>
      <c r="W407">
        <f>WEEKNUM(Sales_Table[[#This Row],[Date_clean]],2)</f>
        <v>3</v>
      </c>
      <c r="X407" t="str" cm="1">
        <f t="array" ref="X407">_xlfn.IFS(Sales_Table[[#This Row],[Revenue]]&gt;=50000,"High",Sales_Table[[#This Row],[Revenue]]&gt;=20000,"Medium",Sales_Table[[#This Row],[Revenue]]&lt;20000,"Low")</f>
        <v>Low</v>
      </c>
      <c r="Y407" t="str">
        <f>IF(Sales_Table[[#This Row],[Payment Method_clean]]="cash","Offline","Online")</f>
        <v>Online</v>
      </c>
      <c r="Z407">
        <f>IFERROR(Sales_Table[[#This Row],[Revenue]],0)</f>
        <v>18650</v>
      </c>
    </row>
    <row r="408" spans="1:26" x14ac:dyDescent="0.3">
      <c r="A408">
        <v>407</v>
      </c>
      <c r="B408" s="2">
        <f t="shared" si="42"/>
        <v>45308.916666666664</v>
      </c>
      <c r="C408" t="s">
        <v>1176</v>
      </c>
      <c r="D408" t="s">
        <v>84</v>
      </c>
      <c r="E408" t="str">
        <f>PROPER(TRIM(CLEAN(Sales_Table[[#This Row],[Region]])))</f>
        <v>South</v>
      </c>
      <c r="F408" t="s">
        <v>46</v>
      </c>
      <c r="G408" t="str">
        <f t="shared" si="43"/>
        <v>Electronics</v>
      </c>
      <c r="H408" t="str">
        <f>PROPER(TRIM(CLEAN(Sales_Table[[#This Row],[Product Name]])))</f>
        <v>Mixer Grinder</v>
      </c>
      <c r="I408" t="s">
        <v>29</v>
      </c>
      <c r="J408" t="str">
        <f t="shared" si="44"/>
        <v>CUST0327</v>
      </c>
      <c r="K408" t="s">
        <v>1177</v>
      </c>
      <c r="L408" t="str">
        <f>PROPER(TRIM(CLEAN(Sales_Table[[#This Row],[Salesperson]])))</f>
        <v>Karthik</v>
      </c>
      <c r="M408" t="s">
        <v>70</v>
      </c>
      <c r="N408" t="str">
        <f t="shared" si="45"/>
        <v>Credit Card</v>
      </c>
      <c r="O408" t="s">
        <v>65</v>
      </c>
      <c r="P408">
        <f t="shared" si="46"/>
        <v>12</v>
      </c>
      <c r="Q408" t="s">
        <v>33</v>
      </c>
      <c r="R408">
        <f t="shared" si="47"/>
        <v>4262</v>
      </c>
      <c r="S408" t="s">
        <v>1178</v>
      </c>
      <c r="T408">
        <f t="shared" si="48"/>
        <v>51144</v>
      </c>
      <c r="U408">
        <f>YEAR(Sales_Table[[#This Row],[Date_clean]])</f>
        <v>2024</v>
      </c>
      <c r="V408" t="str">
        <f>TEXT(Sales_Table[[#This Row],[Date_clean]],"mmmm")</f>
        <v>January</v>
      </c>
      <c r="W408">
        <f>WEEKNUM(Sales_Table[[#This Row],[Date_clean]],2)</f>
        <v>3</v>
      </c>
      <c r="X408" t="str" cm="1">
        <f t="array" ref="X408">_xlfn.IFS(Sales_Table[[#This Row],[Revenue]]&gt;=50000,"High",Sales_Table[[#This Row],[Revenue]]&gt;=20000,"Medium",Sales_Table[[#This Row],[Revenue]]&lt;20000,"Low")</f>
        <v>High</v>
      </c>
      <c r="Y408" t="str">
        <f>IF(Sales_Table[[#This Row],[Payment Method_clean]]="cash","Offline","Online")</f>
        <v>Online</v>
      </c>
      <c r="Z408">
        <f>IFERROR(Sales_Table[[#This Row],[Revenue]],0)</f>
        <v>51144</v>
      </c>
    </row>
    <row r="409" spans="1:26" x14ac:dyDescent="0.3">
      <c r="A409">
        <v>408</v>
      </c>
      <c r="B409" s="2">
        <f t="shared" si="42"/>
        <v>45308.958333333336</v>
      </c>
      <c r="C409" t="s">
        <v>1179</v>
      </c>
      <c r="D409" t="s">
        <v>36</v>
      </c>
      <c r="E409" t="str">
        <f>PROPER(TRIM(CLEAN(Sales_Table[[#This Row],[Region]])))</f>
        <v>West</v>
      </c>
      <c r="F409" t="s">
        <v>28</v>
      </c>
      <c r="G409" t="str">
        <f t="shared" si="43"/>
        <v>Clothing</v>
      </c>
      <c r="H409" t="str">
        <f>PROPER(TRIM(CLEAN(Sales_Table[[#This Row],[Product Name]])))</f>
        <v>Laptop</v>
      </c>
      <c r="I409" t="s">
        <v>52</v>
      </c>
      <c r="J409" t="str">
        <f t="shared" si="44"/>
        <v>CUST0761</v>
      </c>
      <c r="K409" t="s">
        <v>1180</v>
      </c>
      <c r="L409" t="str">
        <f>PROPER(TRIM(CLEAN(Sales_Table[[#This Row],[Salesperson]])))</f>
        <v>Anita</v>
      </c>
      <c r="M409" t="s">
        <v>64</v>
      </c>
      <c r="N409" t="str">
        <f t="shared" si="45"/>
        <v>Debit Card</v>
      </c>
      <c r="O409" t="s">
        <v>41</v>
      </c>
      <c r="P409">
        <f t="shared" si="46"/>
        <v>5</v>
      </c>
      <c r="Q409" t="s">
        <v>89</v>
      </c>
      <c r="R409">
        <f t="shared" si="47"/>
        <v>403</v>
      </c>
      <c r="S409" t="s">
        <v>1181</v>
      </c>
      <c r="T409">
        <f t="shared" si="48"/>
        <v>2015</v>
      </c>
      <c r="U409">
        <f>YEAR(Sales_Table[[#This Row],[Date_clean]])</f>
        <v>2024</v>
      </c>
      <c r="V409" t="str">
        <f>TEXT(Sales_Table[[#This Row],[Date_clean]],"mmmm")</f>
        <v>January</v>
      </c>
      <c r="W409">
        <f>WEEKNUM(Sales_Table[[#This Row],[Date_clean]],2)</f>
        <v>3</v>
      </c>
      <c r="X409" t="str" cm="1">
        <f t="array" ref="X409">_xlfn.IFS(Sales_Table[[#This Row],[Revenue]]&gt;=50000,"High",Sales_Table[[#This Row],[Revenue]]&gt;=20000,"Medium",Sales_Table[[#This Row],[Revenue]]&lt;20000,"Low")</f>
        <v>Low</v>
      </c>
      <c r="Y409" t="str">
        <f>IF(Sales_Table[[#This Row],[Payment Method_clean]]="cash","Offline","Online")</f>
        <v>Online</v>
      </c>
      <c r="Z409">
        <f>IFERROR(Sales_Table[[#This Row],[Revenue]],0)</f>
        <v>2015</v>
      </c>
    </row>
    <row r="410" spans="1:26" x14ac:dyDescent="0.3">
      <c r="A410">
        <v>409</v>
      </c>
      <c r="B410" s="2">
        <f t="shared" si="42"/>
        <v>45309</v>
      </c>
      <c r="C410" t="s">
        <v>1182</v>
      </c>
      <c r="D410" t="s">
        <v>36</v>
      </c>
      <c r="E410" t="str">
        <f>PROPER(TRIM(CLEAN(Sales_Table[[#This Row],[Region]])))</f>
        <v>West</v>
      </c>
      <c r="F410" t="s">
        <v>28</v>
      </c>
      <c r="G410" t="str">
        <f t="shared" si="43"/>
        <v>Clothing</v>
      </c>
      <c r="H410" t="str">
        <f>PROPER(TRIM(CLEAN(Sales_Table[[#This Row],[Product Name]])))</f>
        <v>Mixer Grinder</v>
      </c>
      <c r="I410" t="s">
        <v>29</v>
      </c>
      <c r="J410" t="str">
        <f t="shared" si="44"/>
        <v>CUST0227</v>
      </c>
      <c r="K410" t="s">
        <v>1183</v>
      </c>
      <c r="L410" t="str">
        <f>PROPER(TRIM(CLEAN(Sales_Table[[#This Row],[Salesperson]])))</f>
        <v>Anita</v>
      </c>
      <c r="M410" t="s">
        <v>64</v>
      </c>
      <c r="N410" t="str">
        <f t="shared" si="45"/>
        <v>Upi</v>
      </c>
      <c r="O410" t="s">
        <v>48</v>
      </c>
      <c r="P410">
        <f t="shared" si="46"/>
        <v>10</v>
      </c>
      <c r="Q410" t="s">
        <v>117</v>
      </c>
      <c r="R410">
        <f t="shared" si="47"/>
        <v>4679</v>
      </c>
      <c r="S410" t="s">
        <v>1184</v>
      </c>
      <c r="T410">
        <f t="shared" si="48"/>
        <v>46790</v>
      </c>
      <c r="U410">
        <f>YEAR(Sales_Table[[#This Row],[Date_clean]])</f>
        <v>2024</v>
      </c>
      <c r="V410" t="str">
        <f>TEXT(Sales_Table[[#This Row],[Date_clean]],"mmmm")</f>
        <v>January</v>
      </c>
      <c r="W410">
        <f>WEEKNUM(Sales_Table[[#This Row],[Date_clean]],2)</f>
        <v>3</v>
      </c>
      <c r="X410" t="str" cm="1">
        <f t="array" ref="X410">_xlfn.IFS(Sales_Table[[#This Row],[Revenue]]&gt;=50000,"High",Sales_Table[[#This Row],[Revenue]]&gt;=20000,"Medium",Sales_Table[[#This Row],[Revenue]]&lt;20000,"Low")</f>
        <v>Medium</v>
      </c>
      <c r="Y410" t="str">
        <f>IF(Sales_Table[[#This Row],[Payment Method_clean]]="cash","Offline","Online")</f>
        <v>Online</v>
      </c>
      <c r="Z410">
        <f>IFERROR(Sales_Table[[#This Row],[Revenue]],0)</f>
        <v>46790</v>
      </c>
    </row>
    <row r="411" spans="1:26" x14ac:dyDescent="0.3">
      <c r="A411">
        <v>410</v>
      </c>
      <c r="B411" s="2">
        <f t="shared" si="42"/>
        <v>45309.041666666664</v>
      </c>
      <c r="C411" t="s">
        <v>1185</v>
      </c>
      <c r="D411" t="s">
        <v>84</v>
      </c>
      <c r="E411" t="str">
        <f>PROPER(TRIM(CLEAN(Sales_Table[[#This Row],[Region]])))</f>
        <v>South</v>
      </c>
      <c r="F411" t="s">
        <v>37</v>
      </c>
      <c r="G411" t="str">
        <f t="shared" si="43"/>
        <v>Home Appliances</v>
      </c>
      <c r="H411" t="str">
        <f>PROPER(TRIM(CLEAN(Sales_Table[[#This Row],[Product Name]])))</f>
        <v>Washing Machine</v>
      </c>
      <c r="I411" t="s">
        <v>79</v>
      </c>
      <c r="J411" t="str">
        <f t="shared" si="44"/>
        <v>CUST0048</v>
      </c>
      <c r="K411" t="s">
        <v>106</v>
      </c>
      <c r="L411" t="str">
        <f>PROPER(TRIM(CLEAN(Sales_Table[[#This Row],[Salesperson]])))</f>
        <v>Anita</v>
      </c>
      <c r="M411" t="s">
        <v>64</v>
      </c>
      <c r="N411" t="str">
        <f t="shared" si="45"/>
        <v>Credit Card</v>
      </c>
      <c r="O411" t="s">
        <v>65</v>
      </c>
      <c r="P411">
        <f t="shared" si="46"/>
        <v>10</v>
      </c>
      <c r="Q411" t="s">
        <v>117</v>
      </c>
      <c r="R411">
        <f t="shared" si="47"/>
        <v>1540</v>
      </c>
      <c r="S411" t="s">
        <v>1186</v>
      </c>
      <c r="T411">
        <f t="shared" si="48"/>
        <v>15400</v>
      </c>
      <c r="U411">
        <f>YEAR(Sales_Table[[#This Row],[Date_clean]])</f>
        <v>2024</v>
      </c>
      <c r="V411" t="str">
        <f>TEXT(Sales_Table[[#This Row],[Date_clean]],"mmmm")</f>
        <v>January</v>
      </c>
      <c r="W411">
        <f>WEEKNUM(Sales_Table[[#This Row],[Date_clean]],2)</f>
        <v>3</v>
      </c>
      <c r="X411" t="str" cm="1">
        <f t="array" ref="X411">_xlfn.IFS(Sales_Table[[#This Row],[Revenue]]&gt;=50000,"High",Sales_Table[[#This Row],[Revenue]]&gt;=20000,"Medium",Sales_Table[[#This Row],[Revenue]]&lt;20000,"Low")</f>
        <v>Low</v>
      </c>
      <c r="Y411" t="str">
        <f>IF(Sales_Table[[#This Row],[Payment Method_clean]]="cash","Offline","Online")</f>
        <v>Online</v>
      </c>
      <c r="Z411">
        <f>IFERROR(Sales_Table[[#This Row],[Revenue]],0)</f>
        <v>15400</v>
      </c>
    </row>
    <row r="412" spans="1:26" x14ac:dyDescent="0.3">
      <c r="A412">
        <v>411</v>
      </c>
      <c r="B412" s="2">
        <f t="shared" si="42"/>
        <v>45309.083333333336</v>
      </c>
      <c r="C412" t="s">
        <v>1187</v>
      </c>
      <c r="D412" t="s">
        <v>27</v>
      </c>
      <c r="E412" t="str">
        <f>PROPER(TRIM(CLEAN(Sales_Table[[#This Row],[Region]])))</f>
        <v>East</v>
      </c>
      <c r="F412" t="s">
        <v>28</v>
      </c>
      <c r="G412" t="str">
        <f t="shared" si="43"/>
        <v>Clothing</v>
      </c>
      <c r="H412" t="str">
        <f>PROPER(TRIM(CLEAN(Sales_Table[[#This Row],[Product Name]])))</f>
        <v>Men T-Shirt</v>
      </c>
      <c r="I412" t="s">
        <v>38</v>
      </c>
      <c r="J412" t="str">
        <f t="shared" si="44"/>
        <v>CUST0018</v>
      </c>
      <c r="K412" t="s">
        <v>1188</v>
      </c>
      <c r="L412" t="str">
        <f>PROPER(TRIM(CLEAN(Sales_Table[[#This Row],[Salesperson]])))</f>
        <v>Rahul</v>
      </c>
      <c r="M412" t="s">
        <v>31</v>
      </c>
      <c r="N412" t="str">
        <f t="shared" si="45"/>
        <v>Cash</v>
      </c>
      <c r="O412" t="s">
        <v>32</v>
      </c>
      <c r="P412">
        <f t="shared" si="46"/>
        <v>7</v>
      </c>
      <c r="Q412" t="s">
        <v>49</v>
      </c>
      <c r="R412">
        <f t="shared" si="47"/>
        <v>248</v>
      </c>
      <c r="S412" t="s">
        <v>1189</v>
      </c>
      <c r="T412">
        <f t="shared" si="48"/>
        <v>1736</v>
      </c>
      <c r="U412">
        <f>YEAR(Sales_Table[[#This Row],[Date_clean]])</f>
        <v>2024</v>
      </c>
      <c r="V412" t="str">
        <f>TEXT(Sales_Table[[#This Row],[Date_clean]],"mmmm")</f>
        <v>January</v>
      </c>
      <c r="W412">
        <f>WEEKNUM(Sales_Table[[#This Row],[Date_clean]],2)</f>
        <v>3</v>
      </c>
      <c r="X412" t="str" cm="1">
        <f t="array" ref="X412">_xlfn.IFS(Sales_Table[[#This Row],[Revenue]]&gt;=50000,"High",Sales_Table[[#This Row],[Revenue]]&gt;=20000,"Medium",Sales_Table[[#This Row],[Revenue]]&lt;20000,"Low")</f>
        <v>Low</v>
      </c>
      <c r="Y412" t="str">
        <f>IF(Sales_Table[[#This Row],[Payment Method_clean]]="cash","Offline","Online")</f>
        <v>Offline</v>
      </c>
      <c r="Z412">
        <f>IFERROR(Sales_Table[[#This Row],[Revenue]],0)</f>
        <v>1736</v>
      </c>
    </row>
    <row r="413" spans="1:26" x14ac:dyDescent="0.3">
      <c r="A413">
        <v>412</v>
      </c>
      <c r="B413" s="2">
        <f t="shared" si="42"/>
        <v>45309.125</v>
      </c>
      <c r="C413" t="s">
        <v>1190</v>
      </c>
      <c r="D413" t="s">
        <v>36</v>
      </c>
      <c r="E413" t="str">
        <f>PROPER(TRIM(CLEAN(Sales_Table[[#This Row],[Region]])))</f>
        <v>West</v>
      </c>
      <c r="F413" t="s">
        <v>28</v>
      </c>
      <c r="G413" t="str">
        <f t="shared" si="43"/>
        <v>Clothing</v>
      </c>
      <c r="H413" t="str">
        <f>PROPER(TRIM(CLEAN(Sales_Table[[#This Row],[Product Name]])))</f>
        <v>Laptop</v>
      </c>
      <c r="I413" t="s">
        <v>52</v>
      </c>
      <c r="J413" t="str">
        <f t="shared" si="44"/>
        <v>CUST0439</v>
      </c>
      <c r="K413" t="s">
        <v>828</v>
      </c>
      <c r="L413" t="str">
        <f>PROPER(TRIM(CLEAN(Sales_Table[[#This Row],[Salesperson]])))</f>
        <v>Rahul</v>
      </c>
      <c r="M413" t="s">
        <v>31</v>
      </c>
      <c r="N413" t="str">
        <f t="shared" si="45"/>
        <v>Cash</v>
      </c>
      <c r="O413" t="s">
        <v>32</v>
      </c>
      <c r="P413">
        <f t="shared" si="46"/>
        <v>3</v>
      </c>
      <c r="Q413" t="s">
        <v>66</v>
      </c>
      <c r="R413">
        <f t="shared" si="47"/>
        <v>3134</v>
      </c>
      <c r="S413" t="s">
        <v>1191</v>
      </c>
      <c r="T413">
        <f t="shared" si="48"/>
        <v>9402</v>
      </c>
      <c r="U413">
        <f>YEAR(Sales_Table[[#This Row],[Date_clean]])</f>
        <v>2024</v>
      </c>
      <c r="V413" t="str">
        <f>TEXT(Sales_Table[[#This Row],[Date_clean]],"mmmm")</f>
        <v>January</v>
      </c>
      <c r="W413">
        <f>WEEKNUM(Sales_Table[[#This Row],[Date_clean]],2)</f>
        <v>3</v>
      </c>
      <c r="X413" t="str" cm="1">
        <f t="array" ref="X413">_xlfn.IFS(Sales_Table[[#This Row],[Revenue]]&gt;=50000,"High",Sales_Table[[#This Row],[Revenue]]&gt;=20000,"Medium",Sales_Table[[#This Row],[Revenue]]&lt;20000,"Low")</f>
        <v>Low</v>
      </c>
      <c r="Y413" t="str">
        <f>IF(Sales_Table[[#This Row],[Payment Method_clean]]="cash","Offline","Online")</f>
        <v>Offline</v>
      </c>
      <c r="Z413">
        <f>IFERROR(Sales_Table[[#This Row],[Revenue]],0)</f>
        <v>9402</v>
      </c>
    </row>
    <row r="414" spans="1:26" x14ac:dyDescent="0.3">
      <c r="A414">
        <v>413</v>
      </c>
      <c r="B414" s="2">
        <f t="shared" si="42"/>
        <v>45309.166666666664</v>
      </c>
      <c r="C414" t="s">
        <v>1192</v>
      </c>
      <c r="D414" t="s">
        <v>84</v>
      </c>
      <c r="E414" t="str">
        <f>PROPER(TRIM(CLEAN(Sales_Table[[#This Row],[Region]])))</f>
        <v>South</v>
      </c>
      <c r="F414" t="s">
        <v>46</v>
      </c>
      <c r="G414" t="str">
        <f t="shared" si="43"/>
        <v>Electronics</v>
      </c>
      <c r="H414" t="str">
        <f>PROPER(TRIM(CLEAN(Sales_Table[[#This Row],[Product Name]])))</f>
        <v>Mixer Grinder</v>
      </c>
      <c r="I414" t="s">
        <v>29</v>
      </c>
      <c r="J414" t="str">
        <f t="shared" si="44"/>
        <v>CUST0708</v>
      </c>
      <c r="K414" t="s">
        <v>1193</v>
      </c>
      <c r="L414" t="str">
        <f>PROPER(TRIM(CLEAN(Sales_Table[[#This Row],[Salesperson]])))</f>
        <v>Karthik</v>
      </c>
      <c r="M414" t="s">
        <v>70</v>
      </c>
      <c r="N414" t="str">
        <f t="shared" si="45"/>
        <v>Net Banking</v>
      </c>
      <c r="O414" t="s">
        <v>60</v>
      </c>
      <c r="P414">
        <f t="shared" si="46"/>
        <v>4</v>
      </c>
      <c r="Q414" t="s">
        <v>113</v>
      </c>
      <c r="R414">
        <f t="shared" si="47"/>
        <v>2731</v>
      </c>
      <c r="S414" t="s">
        <v>1194</v>
      </c>
      <c r="T414">
        <f t="shared" si="48"/>
        <v>10924</v>
      </c>
      <c r="U414">
        <f>YEAR(Sales_Table[[#This Row],[Date_clean]])</f>
        <v>2024</v>
      </c>
      <c r="V414" t="str">
        <f>TEXT(Sales_Table[[#This Row],[Date_clean]],"mmmm")</f>
        <v>January</v>
      </c>
      <c r="W414">
        <f>WEEKNUM(Sales_Table[[#This Row],[Date_clean]],2)</f>
        <v>3</v>
      </c>
      <c r="X414" t="str" cm="1">
        <f t="array" ref="X414">_xlfn.IFS(Sales_Table[[#This Row],[Revenue]]&gt;=50000,"High",Sales_Table[[#This Row],[Revenue]]&gt;=20000,"Medium",Sales_Table[[#This Row],[Revenue]]&lt;20000,"Low")</f>
        <v>Low</v>
      </c>
      <c r="Y414" t="str">
        <f>IF(Sales_Table[[#This Row],[Payment Method_clean]]="cash","Offline","Online")</f>
        <v>Online</v>
      </c>
      <c r="Z414">
        <f>IFERROR(Sales_Table[[#This Row],[Revenue]],0)</f>
        <v>10924</v>
      </c>
    </row>
    <row r="415" spans="1:26" x14ac:dyDescent="0.3">
      <c r="A415">
        <v>414</v>
      </c>
      <c r="B415" s="2">
        <f t="shared" si="42"/>
        <v>45309.208333333336</v>
      </c>
      <c r="C415" t="s">
        <v>1195</v>
      </c>
      <c r="D415" t="s">
        <v>45</v>
      </c>
      <c r="E415" t="str">
        <f>PROPER(TRIM(CLEAN(Sales_Table[[#This Row],[Region]])))</f>
        <v>North</v>
      </c>
      <c r="F415" t="s">
        <v>28</v>
      </c>
      <c r="G415" t="str">
        <f t="shared" si="43"/>
        <v>Clothing</v>
      </c>
      <c r="H415" t="str">
        <f>PROPER(TRIM(CLEAN(Sales_Table[[#This Row],[Product Name]])))</f>
        <v>Led Tv 42Inch</v>
      </c>
      <c r="I415" t="s">
        <v>58</v>
      </c>
      <c r="J415" t="str">
        <f t="shared" si="44"/>
        <v>CUST0187</v>
      </c>
      <c r="K415" t="s">
        <v>1196</v>
      </c>
      <c r="L415" t="str">
        <f>PROPER(TRIM(CLEAN(Sales_Table[[#This Row],[Salesperson]])))</f>
        <v>Meena</v>
      </c>
      <c r="M415" t="s">
        <v>40</v>
      </c>
      <c r="N415" t="str">
        <f t="shared" si="45"/>
        <v>Net Banking</v>
      </c>
      <c r="O415" t="s">
        <v>60</v>
      </c>
      <c r="P415">
        <f t="shared" si="46"/>
        <v>10</v>
      </c>
      <c r="Q415" t="s">
        <v>117</v>
      </c>
      <c r="R415">
        <f t="shared" si="47"/>
        <v>195</v>
      </c>
      <c r="S415" t="s">
        <v>1197</v>
      </c>
      <c r="T415">
        <f t="shared" si="48"/>
        <v>1950</v>
      </c>
      <c r="U415">
        <f>YEAR(Sales_Table[[#This Row],[Date_clean]])</f>
        <v>2024</v>
      </c>
      <c r="V415" t="str">
        <f>TEXT(Sales_Table[[#This Row],[Date_clean]],"mmmm")</f>
        <v>January</v>
      </c>
      <c r="W415">
        <f>WEEKNUM(Sales_Table[[#This Row],[Date_clean]],2)</f>
        <v>3</v>
      </c>
      <c r="X415" t="str" cm="1">
        <f t="array" ref="X415">_xlfn.IFS(Sales_Table[[#This Row],[Revenue]]&gt;=50000,"High",Sales_Table[[#This Row],[Revenue]]&gt;=20000,"Medium",Sales_Table[[#This Row],[Revenue]]&lt;20000,"Low")</f>
        <v>Low</v>
      </c>
      <c r="Y415" t="str">
        <f>IF(Sales_Table[[#This Row],[Payment Method_clean]]="cash","Offline","Online")</f>
        <v>Online</v>
      </c>
      <c r="Z415">
        <f>IFERROR(Sales_Table[[#This Row],[Revenue]],0)</f>
        <v>1950</v>
      </c>
    </row>
    <row r="416" spans="1:26" x14ac:dyDescent="0.3">
      <c r="A416">
        <v>415</v>
      </c>
      <c r="B416" s="2">
        <f t="shared" si="42"/>
        <v>45309.25</v>
      </c>
      <c r="C416" t="s">
        <v>1198</v>
      </c>
      <c r="D416" t="s">
        <v>27</v>
      </c>
      <c r="E416" t="str">
        <f>PROPER(TRIM(CLEAN(Sales_Table[[#This Row],[Region]])))</f>
        <v>East</v>
      </c>
      <c r="F416" t="s">
        <v>46</v>
      </c>
      <c r="G416" t="str">
        <f t="shared" si="43"/>
        <v>Electronics</v>
      </c>
      <c r="H416" t="str">
        <f>PROPER(TRIM(CLEAN(Sales_Table[[#This Row],[Product Name]])))</f>
        <v>Led Tv 42Inch</v>
      </c>
      <c r="I416" t="s">
        <v>58</v>
      </c>
      <c r="J416" t="str">
        <f t="shared" si="44"/>
        <v>CUST0345</v>
      </c>
      <c r="K416" t="s">
        <v>1199</v>
      </c>
      <c r="L416" t="str">
        <f>PROPER(TRIM(CLEAN(Sales_Table[[#This Row],[Salesperson]])))</f>
        <v>Meena</v>
      </c>
      <c r="M416" t="s">
        <v>40</v>
      </c>
      <c r="N416" t="str">
        <f t="shared" si="45"/>
        <v>Upi</v>
      </c>
      <c r="O416" t="s">
        <v>48</v>
      </c>
      <c r="P416">
        <f t="shared" si="46"/>
        <v>13</v>
      </c>
      <c r="Q416" t="s">
        <v>81</v>
      </c>
      <c r="R416">
        <f t="shared" si="47"/>
        <v>3555</v>
      </c>
      <c r="S416" t="s">
        <v>1200</v>
      </c>
      <c r="T416">
        <f t="shared" si="48"/>
        <v>46215</v>
      </c>
      <c r="U416">
        <f>YEAR(Sales_Table[[#This Row],[Date_clean]])</f>
        <v>2024</v>
      </c>
      <c r="V416" t="str">
        <f>TEXT(Sales_Table[[#This Row],[Date_clean]],"mmmm")</f>
        <v>January</v>
      </c>
      <c r="W416">
        <f>WEEKNUM(Sales_Table[[#This Row],[Date_clean]],2)</f>
        <v>3</v>
      </c>
      <c r="X416" t="str" cm="1">
        <f t="array" ref="X416">_xlfn.IFS(Sales_Table[[#This Row],[Revenue]]&gt;=50000,"High",Sales_Table[[#This Row],[Revenue]]&gt;=20000,"Medium",Sales_Table[[#This Row],[Revenue]]&lt;20000,"Low")</f>
        <v>Medium</v>
      </c>
      <c r="Y416" t="str">
        <f>IF(Sales_Table[[#This Row],[Payment Method_clean]]="cash","Offline","Online")</f>
        <v>Online</v>
      </c>
      <c r="Z416">
        <f>IFERROR(Sales_Table[[#This Row],[Revenue]],0)</f>
        <v>46215</v>
      </c>
    </row>
    <row r="417" spans="1:26" x14ac:dyDescent="0.3">
      <c r="A417">
        <v>416</v>
      </c>
      <c r="B417" s="2">
        <f t="shared" si="42"/>
        <v>45309.291666666664</v>
      </c>
      <c r="C417" t="s">
        <v>1201</v>
      </c>
      <c r="D417" t="s">
        <v>45</v>
      </c>
      <c r="E417" t="str">
        <f>PROPER(TRIM(CLEAN(Sales_Table[[#This Row],[Region]])))</f>
        <v>North</v>
      </c>
      <c r="F417" t="s">
        <v>46</v>
      </c>
      <c r="G417" t="str">
        <f t="shared" si="43"/>
        <v>Electronics</v>
      </c>
      <c r="H417" t="str">
        <f>PROPER(TRIM(CLEAN(Sales_Table[[#This Row],[Product Name]])))</f>
        <v>Men T-Shirt</v>
      </c>
      <c r="I417" t="s">
        <v>38</v>
      </c>
      <c r="J417" t="str">
        <f t="shared" si="44"/>
        <v>CUST0224</v>
      </c>
      <c r="K417" t="s">
        <v>1202</v>
      </c>
      <c r="L417" t="str">
        <f>PROPER(TRIM(CLEAN(Sales_Table[[#This Row],[Salesperson]])))</f>
        <v>Anita</v>
      </c>
      <c r="M417" t="s">
        <v>64</v>
      </c>
      <c r="N417" t="str">
        <f t="shared" si="45"/>
        <v>Cash</v>
      </c>
      <c r="O417" t="s">
        <v>32</v>
      </c>
      <c r="P417">
        <f t="shared" si="46"/>
        <v>9</v>
      </c>
      <c r="Q417" t="s">
        <v>130</v>
      </c>
      <c r="R417">
        <f t="shared" si="47"/>
        <v>4477</v>
      </c>
      <c r="S417" t="s">
        <v>1203</v>
      </c>
      <c r="T417">
        <f t="shared" si="48"/>
        <v>40293</v>
      </c>
      <c r="U417">
        <f>YEAR(Sales_Table[[#This Row],[Date_clean]])</f>
        <v>2024</v>
      </c>
      <c r="V417" t="str">
        <f>TEXT(Sales_Table[[#This Row],[Date_clean]],"mmmm")</f>
        <v>January</v>
      </c>
      <c r="W417">
        <f>WEEKNUM(Sales_Table[[#This Row],[Date_clean]],2)</f>
        <v>3</v>
      </c>
      <c r="X417" t="str" cm="1">
        <f t="array" ref="X417">_xlfn.IFS(Sales_Table[[#This Row],[Revenue]]&gt;=50000,"High",Sales_Table[[#This Row],[Revenue]]&gt;=20000,"Medium",Sales_Table[[#This Row],[Revenue]]&lt;20000,"Low")</f>
        <v>Medium</v>
      </c>
      <c r="Y417" t="str">
        <f>IF(Sales_Table[[#This Row],[Payment Method_clean]]="cash","Offline","Online")</f>
        <v>Offline</v>
      </c>
      <c r="Z417">
        <f>IFERROR(Sales_Table[[#This Row],[Revenue]],0)</f>
        <v>40293</v>
      </c>
    </row>
    <row r="418" spans="1:26" x14ac:dyDescent="0.3">
      <c r="A418">
        <v>417</v>
      </c>
      <c r="B418" s="2">
        <f t="shared" si="42"/>
        <v>45309.333333333336</v>
      </c>
      <c r="C418" t="s">
        <v>1204</v>
      </c>
      <c r="D418" t="s">
        <v>45</v>
      </c>
      <c r="E418" t="str">
        <f>PROPER(TRIM(CLEAN(Sales_Table[[#This Row],[Region]])))</f>
        <v>North</v>
      </c>
      <c r="F418" t="s">
        <v>46</v>
      </c>
      <c r="G418" t="str">
        <f t="shared" si="43"/>
        <v>Electronics</v>
      </c>
      <c r="H418" t="str">
        <f>PROPER(TRIM(CLEAN(Sales_Table[[#This Row],[Product Name]])))</f>
        <v>Rice 5Kg</v>
      </c>
      <c r="I418" t="s">
        <v>73</v>
      </c>
      <c r="J418" t="str">
        <f t="shared" si="44"/>
        <v>CUST0488</v>
      </c>
      <c r="K418" t="s">
        <v>1205</v>
      </c>
      <c r="L418" t="str">
        <f>PROPER(TRIM(CLEAN(Sales_Table[[#This Row],[Salesperson]])))</f>
        <v>Suresh</v>
      </c>
      <c r="M418" t="s">
        <v>54</v>
      </c>
      <c r="N418" t="str">
        <f t="shared" si="45"/>
        <v>Cash</v>
      </c>
      <c r="O418" t="s">
        <v>32</v>
      </c>
      <c r="P418">
        <f t="shared" si="46"/>
        <v>4</v>
      </c>
      <c r="Q418" t="s">
        <v>113</v>
      </c>
      <c r="R418">
        <f t="shared" si="47"/>
        <v>2469</v>
      </c>
      <c r="S418" t="s">
        <v>1206</v>
      </c>
      <c r="T418">
        <f t="shared" si="48"/>
        <v>9876</v>
      </c>
      <c r="U418">
        <f>YEAR(Sales_Table[[#This Row],[Date_clean]])</f>
        <v>2024</v>
      </c>
      <c r="V418" t="str">
        <f>TEXT(Sales_Table[[#This Row],[Date_clean]],"mmmm")</f>
        <v>January</v>
      </c>
      <c r="W418">
        <f>WEEKNUM(Sales_Table[[#This Row],[Date_clean]],2)</f>
        <v>3</v>
      </c>
      <c r="X418" t="str" cm="1">
        <f t="array" ref="X418">_xlfn.IFS(Sales_Table[[#This Row],[Revenue]]&gt;=50000,"High",Sales_Table[[#This Row],[Revenue]]&gt;=20000,"Medium",Sales_Table[[#This Row],[Revenue]]&lt;20000,"Low")</f>
        <v>Low</v>
      </c>
      <c r="Y418" t="str">
        <f>IF(Sales_Table[[#This Row],[Payment Method_clean]]="cash","Offline","Online")</f>
        <v>Offline</v>
      </c>
      <c r="Z418">
        <f>IFERROR(Sales_Table[[#This Row],[Revenue]],0)</f>
        <v>9876</v>
      </c>
    </row>
    <row r="419" spans="1:26" x14ac:dyDescent="0.3">
      <c r="A419">
        <v>418</v>
      </c>
      <c r="B419" s="2">
        <f t="shared" si="42"/>
        <v>45309.375</v>
      </c>
      <c r="C419" t="s">
        <v>1207</v>
      </c>
      <c r="D419" t="s">
        <v>84</v>
      </c>
      <c r="E419" t="str">
        <f>PROPER(TRIM(CLEAN(Sales_Table[[#This Row],[Region]])))</f>
        <v>South</v>
      </c>
      <c r="F419" t="s">
        <v>46</v>
      </c>
      <c r="G419" t="str">
        <f t="shared" si="43"/>
        <v>Electronics</v>
      </c>
      <c r="H419" t="str">
        <f>PROPER(TRIM(CLEAN(Sales_Table[[#This Row],[Product Name]])))</f>
        <v>Rice 5Kg</v>
      </c>
      <c r="I419" t="s">
        <v>73</v>
      </c>
      <c r="J419" t="str">
        <f t="shared" si="44"/>
        <v>CUST0229</v>
      </c>
      <c r="K419" t="s">
        <v>1208</v>
      </c>
      <c r="L419" t="str">
        <f>PROPER(TRIM(CLEAN(Sales_Table[[#This Row],[Salesperson]])))</f>
        <v>Rahul</v>
      </c>
      <c r="M419" t="s">
        <v>31</v>
      </c>
      <c r="N419" t="str">
        <f t="shared" si="45"/>
        <v>Cash</v>
      </c>
      <c r="O419" t="s">
        <v>32</v>
      </c>
      <c r="P419">
        <f t="shared" si="46"/>
        <v>3</v>
      </c>
      <c r="Q419" t="s">
        <v>66</v>
      </c>
      <c r="R419">
        <f t="shared" si="47"/>
        <v>3567</v>
      </c>
      <c r="S419" t="s">
        <v>1209</v>
      </c>
      <c r="T419">
        <f t="shared" si="48"/>
        <v>10701</v>
      </c>
      <c r="U419">
        <f>YEAR(Sales_Table[[#This Row],[Date_clean]])</f>
        <v>2024</v>
      </c>
      <c r="V419" t="str">
        <f>TEXT(Sales_Table[[#This Row],[Date_clean]],"mmmm")</f>
        <v>January</v>
      </c>
      <c r="W419">
        <f>WEEKNUM(Sales_Table[[#This Row],[Date_clean]],2)</f>
        <v>3</v>
      </c>
      <c r="X419" t="str" cm="1">
        <f t="array" ref="X419">_xlfn.IFS(Sales_Table[[#This Row],[Revenue]]&gt;=50000,"High",Sales_Table[[#This Row],[Revenue]]&gt;=20000,"Medium",Sales_Table[[#This Row],[Revenue]]&lt;20000,"Low")</f>
        <v>Low</v>
      </c>
      <c r="Y419" t="str">
        <f>IF(Sales_Table[[#This Row],[Payment Method_clean]]="cash","Offline","Online")</f>
        <v>Offline</v>
      </c>
      <c r="Z419">
        <f>IFERROR(Sales_Table[[#This Row],[Revenue]],0)</f>
        <v>10701</v>
      </c>
    </row>
    <row r="420" spans="1:26" x14ac:dyDescent="0.3">
      <c r="A420">
        <v>419</v>
      </c>
      <c r="B420" s="2">
        <f t="shared" si="42"/>
        <v>45309.416666666664</v>
      </c>
      <c r="C420" t="s">
        <v>1210</v>
      </c>
      <c r="D420" t="s">
        <v>36</v>
      </c>
      <c r="E420" t="str">
        <f>PROPER(TRIM(CLEAN(Sales_Table[[#This Row],[Region]])))</f>
        <v>West</v>
      </c>
      <c r="F420" t="s">
        <v>78</v>
      </c>
      <c r="G420" t="str">
        <f t="shared" si="43"/>
        <v>Grocery</v>
      </c>
      <c r="H420" t="str">
        <f>PROPER(TRIM(CLEAN(Sales_Table[[#This Row],[Product Name]])))</f>
        <v>Laptop</v>
      </c>
      <c r="I420" t="s">
        <v>52</v>
      </c>
      <c r="J420" t="str">
        <f t="shared" si="44"/>
        <v>CUST0390</v>
      </c>
      <c r="K420" t="s">
        <v>1211</v>
      </c>
      <c r="L420" t="str">
        <f>PROPER(TRIM(CLEAN(Sales_Table[[#This Row],[Salesperson]])))</f>
        <v>Rahul</v>
      </c>
      <c r="M420" t="s">
        <v>31</v>
      </c>
      <c r="N420" t="str">
        <f t="shared" si="45"/>
        <v>Cash</v>
      </c>
      <c r="O420" t="s">
        <v>32</v>
      </c>
      <c r="P420">
        <f t="shared" si="46"/>
        <v>14</v>
      </c>
      <c r="Q420" t="s">
        <v>55</v>
      </c>
      <c r="R420">
        <f t="shared" si="47"/>
        <v>628</v>
      </c>
      <c r="S420" t="s">
        <v>1212</v>
      </c>
      <c r="T420">
        <f t="shared" si="48"/>
        <v>8792</v>
      </c>
      <c r="U420">
        <f>YEAR(Sales_Table[[#This Row],[Date_clean]])</f>
        <v>2024</v>
      </c>
      <c r="V420" t="str">
        <f>TEXT(Sales_Table[[#This Row],[Date_clean]],"mmmm")</f>
        <v>January</v>
      </c>
      <c r="W420">
        <f>WEEKNUM(Sales_Table[[#This Row],[Date_clean]],2)</f>
        <v>3</v>
      </c>
      <c r="X420" t="str" cm="1">
        <f t="array" ref="X420">_xlfn.IFS(Sales_Table[[#This Row],[Revenue]]&gt;=50000,"High",Sales_Table[[#This Row],[Revenue]]&gt;=20000,"Medium",Sales_Table[[#This Row],[Revenue]]&lt;20000,"Low")</f>
        <v>Low</v>
      </c>
      <c r="Y420" t="str">
        <f>IF(Sales_Table[[#This Row],[Payment Method_clean]]="cash","Offline","Online")</f>
        <v>Offline</v>
      </c>
      <c r="Z420">
        <f>IFERROR(Sales_Table[[#This Row],[Revenue]],0)</f>
        <v>8792</v>
      </c>
    </row>
    <row r="421" spans="1:26" x14ac:dyDescent="0.3">
      <c r="A421">
        <v>420</v>
      </c>
      <c r="B421" s="2">
        <f t="shared" si="42"/>
        <v>45309.458333333336</v>
      </c>
      <c r="C421" t="s">
        <v>1213</v>
      </c>
      <c r="D421" t="s">
        <v>84</v>
      </c>
      <c r="E421" t="str">
        <f>PROPER(TRIM(CLEAN(Sales_Table[[#This Row],[Region]])))</f>
        <v>South</v>
      </c>
      <c r="F421" t="s">
        <v>37</v>
      </c>
      <c r="G421" t="str">
        <f t="shared" si="43"/>
        <v>Home Appliances</v>
      </c>
      <c r="H421" t="str">
        <f>PROPER(TRIM(CLEAN(Sales_Table[[#This Row],[Product Name]])))</f>
        <v>Laptop</v>
      </c>
      <c r="I421" t="s">
        <v>52</v>
      </c>
      <c r="J421" t="str">
        <f t="shared" si="44"/>
        <v>CUST0589</v>
      </c>
      <c r="K421" t="s">
        <v>1214</v>
      </c>
      <c r="L421" t="str">
        <f>PROPER(TRIM(CLEAN(Sales_Table[[#This Row],[Salesperson]])))</f>
        <v>Anita</v>
      </c>
      <c r="M421" t="s">
        <v>64</v>
      </c>
      <c r="N421" t="str">
        <f t="shared" si="45"/>
        <v>Debit Card</v>
      </c>
      <c r="O421" t="s">
        <v>41</v>
      </c>
      <c r="P421">
        <f t="shared" si="46"/>
        <v>2</v>
      </c>
      <c r="Q421" t="s">
        <v>196</v>
      </c>
      <c r="R421">
        <f t="shared" si="47"/>
        <v>2410</v>
      </c>
      <c r="S421" t="s">
        <v>1215</v>
      </c>
      <c r="T421">
        <f t="shared" si="48"/>
        <v>4820</v>
      </c>
      <c r="U421">
        <f>YEAR(Sales_Table[[#This Row],[Date_clean]])</f>
        <v>2024</v>
      </c>
      <c r="V421" t="str">
        <f>TEXT(Sales_Table[[#This Row],[Date_clean]],"mmmm")</f>
        <v>January</v>
      </c>
      <c r="W421">
        <f>WEEKNUM(Sales_Table[[#This Row],[Date_clean]],2)</f>
        <v>3</v>
      </c>
      <c r="X421" t="str" cm="1">
        <f t="array" ref="X421">_xlfn.IFS(Sales_Table[[#This Row],[Revenue]]&gt;=50000,"High",Sales_Table[[#This Row],[Revenue]]&gt;=20000,"Medium",Sales_Table[[#This Row],[Revenue]]&lt;20000,"Low")</f>
        <v>Low</v>
      </c>
      <c r="Y421" t="str">
        <f>IF(Sales_Table[[#This Row],[Payment Method_clean]]="cash","Offline","Online")</f>
        <v>Online</v>
      </c>
      <c r="Z421">
        <f>IFERROR(Sales_Table[[#This Row],[Revenue]],0)</f>
        <v>4820</v>
      </c>
    </row>
    <row r="422" spans="1:26" x14ac:dyDescent="0.3">
      <c r="A422">
        <v>421</v>
      </c>
      <c r="B422" s="2">
        <f t="shared" si="42"/>
        <v>45309.5</v>
      </c>
      <c r="C422" t="s">
        <v>1216</v>
      </c>
      <c r="D422" t="s">
        <v>84</v>
      </c>
      <c r="E422" t="str">
        <f>PROPER(TRIM(CLEAN(Sales_Table[[#This Row],[Region]])))</f>
        <v>South</v>
      </c>
      <c r="F422" t="s">
        <v>78</v>
      </c>
      <c r="G422" t="str">
        <f t="shared" si="43"/>
        <v>Grocery</v>
      </c>
      <c r="H422" t="str">
        <f>PROPER(TRIM(CLEAN(Sales_Table[[#This Row],[Product Name]])))</f>
        <v>Laptop</v>
      </c>
      <c r="I422" t="s">
        <v>52</v>
      </c>
      <c r="J422" t="str">
        <f t="shared" si="44"/>
        <v>CUST0188</v>
      </c>
      <c r="K422" t="s">
        <v>1217</v>
      </c>
      <c r="L422" t="str">
        <f>PROPER(TRIM(CLEAN(Sales_Table[[#This Row],[Salesperson]])))</f>
        <v>Rahul</v>
      </c>
      <c r="M422" t="s">
        <v>31</v>
      </c>
      <c r="N422" t="str">
        <f t="shared" si="45"/>
        <v>Credit Card</v>
      </c>
      <c r="O422" t="s">
        <v>65</v>
      </c>
      <c r="P422">
        <f t="shared" si="46"/>
        <v>5</v>
      </c>
      <c r="Q422" t="s">
        <v>89</v>
      </c>
      <c r="R422">
        <f t="shared" si="47"/>
        <v>4775</v>
      </c>
      <c r="S422" t="s">
        <v>1218</v>
      </c>
      <c r="T422">
        <f t="shared" si="48"/>
        <v>23875</v>
      </c>
      <c r="U422">
        <f>YEAR(Sales_Table[[#This Row],[Date_clean]])</f>
        <v>2024</v>
      </c>
      <c r="V422" t="str">
        <f>TEXT(Sales_Table[[#This Row],[Date_clean]],"mmmm")</f>
        <v>January</v>
      </c>
      <c r="W422">
        <f>WEEKNUM(Sales_Table[[#This Row],[Date_clean]],2)</f>
        <v>3</v>
      </c>
      <c r="X422" t="str" cm="1">
        <f t="array" ref="X422">_xlfn.IFS(Sales_Table[[#This Row],[Revenue]]&gt;=50000,"High",Sales_Table[[#This Row],[Revenue]]&gt;=20000,"Medium",Sales_Table[[#This Row],[Revenue]]&lt;20000,"Low")</f>
        <v>Medium</v>
      </c>
      <c r="Y422" t="str">
        <f>IF(Sales_Table[[#This Row],[Payment Method_clean]]="cash","Offline","Online")</f>
        <v>Online</v>
      </c>
      <c r="Z422">
        <f>IFERROR(Sales_Table[[#This Row],[Revenue]],0)</f>
        <v>23875</v>
      </c>
    </row>
    <row r="423" spans="1:26" x14ac:dyDescent="0.3">
      <c r="A423">
        <v>422</v>
      </c>
      <c r="B423" s="2">
        <f t="shared" si="42"/>
        <v>45309.541666666664</v>
      </c>
      <c r="C423" t="s">
        <v>1219</v>
      </c>
      <c r="D423" t="s">
        <v>84</v>
      </c>
      <c r="E423" t="str">
        <f>PROPER(TRIM(CLEAN(Sales_Table[[#This Row],[Region]])))</f>
        <v>South</v>
      </c>
      <c r="F423" t="s">
        <v>28</v>
      </c>
      <c r="G423" t="str">
        <f t="shared" si="43"/>
        <v>Clothing</v>
      </c>
      <c r="H423" t="str">
        <f>PROPER(TRIM(CLEAN(Sales_Table[[#This Row],[Product Name]])))</f>
        <v>Rice 5Kg</v>
      </c>
      <c r="I423" t="s">
        <v>73</v>
      </c>
      <c r="J423" t="str">
        <f t="shared" si="44"/>
        <v>CUST0270</v>
      </c>
      <c r="K423" t="s">
        <v>1220</v>
      </c>
      <c r="L423" t="str">
        <f>PROPER(TRIM(CLEAN(Sales_Table[[#This Row],[Salesperson]])))</f>
        <v>Anita</v>
      </c>
      <c r="M423" t="s">
        <v>64</v>
      </c>
      <c r="N423" t="str">
        <f t="shared" si="45"/>
        <v>Credit Card</v>
      </c>
      <c r="O423" t="s">
        <v>65</v>
      </c>
      <c r="P423">
        <f t="shared" si="46"/>
        <v>4</v>
      </c>
      <c r="Q423" t="s">
        <v>113</v>
      </c>
      <c r="R423">
        <f t="shared" si="47"/>
        <v>1763</v>
      </c>
      <c r="S423" t="s">
        <v>1221</v>
      </c>
      <c r="T423">
        <f t="shared" si="48"/>
        <v>7052</v>
      </c>
      <c r="U423">
        <f>YEAR(Sales_Table[[#This Row],[Date_clean]])</f>
        <v>2024</v>
      </c>
      <c r="V423" t="str">
        <f>TEXT(Sales_Table[[#This Row],[Date_clean]],"mmmm")</f>
        <v>January</v>
      </c>
      <c r="W423">
        <f>WEEKNUM(Sales_Table[[#This Row],[Date_clean]],2)</f>
        <v>3</v>
      </c>
      <c r="X423" t="str" cm="1">
        <f t="array" ref="X423">_xlfn.IFS(Sales_Table[[#This Row],[Revenue]]&gt;=50000,"High",Sales_Table[[#This Row],[Revenue]]&gt;=20000,"Medium",Sales_Table[[#This Row],[Revenue]]&lt;20000,"Low")</f>
        <v>Low</v>
      </c>
      <c r="Y423" t="str">
        <f>IF(Sales_Table[[#This Row],[Payment Method_clean]]="cash","Offline","Online")</f>
        <v>Online</v>
      </c>
      <c r="Z423">
        <f>IFERROR(Sales_Table[[#This Row],[Revenue]],0)</f>
        <v>7052</v>
      </c>
    </row>
    <row r="424" spans="1:26" x14ac:dyDescent="0.3">
      <c r="A424">
        <v>423</v>
      </c>
      <c r="B424" s="2">
        <f t="shared" si="42"/>
        <v>45309.583333333336</v>
      </c>
      <c r="C424" t="s">
        <v>1222</v>
      </c>
      <c r="D424" t="s">
        <v>84</v>
      </c>
      <c r="E424" t="str">
        <f>PROPER(TRIM(CLEAN(Sales_Table[[#This Row],[Region]])))</f>
        <v>South</v>
      </c>
      <c r="F424" t="s">
        <v>78</v>
      </c>
      <c r="G424" t="str">
        <f t="shared" si="43"/>
        <v>Grocery</v>
      </c>
      <c r="H424" t="str">
        <f>PROPER(TRIM(CLEAN(Sales_Table[[#This Row],[Product Name]])))</f>
        <v>Led Tv 42Inch</v>
      </c>
      <c r="I424" t="s">
        <v>58</v>
      </c>
      <c r="J424" t="str">
        <f t="shared" si="44"/>
        <v>CUST0607</v>
      </c>
      <c r="K424" t="s">
        <v>886</v>
      </c>
      <c r="L424" t="str">
        <f>PROPER(TRIM(CLEAN(Sales_Table[[#This Row],[Salesperson]])))</f>
        <v>Karthik</v>
      </c>
      <c r="M424" t="s">
        <v>70</v>
      </c>
      <c r="N424" t="str">
        <f t="shared" si="45"/>
        <v>Upi</v>
      </c>
      <c r="O424" t="s">
        <v>48</v>
      </c>
      <c r="P424">
        <f t="shared" si="46"/>
        <v>13</v>
      </c>
      <c r="Q424" t="s">
        <v>81</v>
      </c>
      <c r="R424">
        <f t="shared" si="47"/>
        <v>3464</v>
      </c>
      <c r="S424" t="s">
        <v>1223</v>
      </c>
      <c r="T424">
        <f t="shared" si="48"/>
        <v>45032</v>
      </c>
      <c r="U424">
        <f>YEAR(Sales_Table[[#This Row],[Date_clean]])</f>
        <v>2024</v>
      </c>
      <c r="V424" t="str">
        <f>TEXT(Sales_Table[[#This Row],[Date_clean]],"mmmm")</f>
        <v>January</v>
      </c>
      <c r="W424">
        <f>WEEKNUM(Sales_Table[[#This Row],[Date_clean]],2)</f>
        <v>3</v>
      </c>
      <c r="X424" t="str" cm="1">
        <f t="array" ref="X424">_xlfn.IFS(Sales_Table[[#This Row],[Revenue]]&gt;=50000,"High",Sales_Table[[#This Row],[Revenue]]&gt;=20000,"Medium",Sales_Table[[#This Row],[Revenue]]&lt;20000,"Low")</f>
        <v>Medium</v>
      </c>
      <c r="Y424" t="str">
        <f>IF(Sales_Table[[#This Row],[Payment Method_clean]]="cash","Offline","Online")</f>
        <v>Online</v>
      </c>
      <c r="Z424">
        <f>IFERROR(Sales_Table[[#This Row],[Revenue]],0)</f>
        <v>45032</v>
      </c>
    </row>
    <row r="425" spans="1:26" x14ac:dyDescent="0.3">
      <c r="A425">
        <v>424</v>
      </c>
      <c r="B425" s="2">
        <f t="shared" si="42"/>
        <v>45309.625</v>
      </c>
      <c r="C425" t="s">
        <v>1224</v>
      </c>
      <c r="D425" t="s">
        <v>27</v>
      </c>
      <c r="E425" t="str">
        <f>PROPER(TRIM(CLEAN(Sales_Table[[#This Row],[Region]])))</f>
        <v>East</v>
      </c>
      <c r="F425" t="s">
        <v>78</v>
      </c>
      <c r="G425" t="str">
        <f t="shared" si="43"/>
        <v>Grocery</v>
      </c>
      <c r="H425" t="str">
        <f>PROPER(TRIM(CLEAN(Sales_Table[[#This Row],[Product Name]])))</f>
        <v>Rice 5Kg</v>
      </c>
      <c r="I425" t="s">
        <v>73</v>
      </c>
      <c r="J425" t="str">
        <f t="shared" si="44"/>
        <v>CUST0310</v>
      </c>
      <c r="K425" t="s">
        <v>1225</v>
      </c>
      <c r="L425" t="str">
        <f>PROPER(TRIM(CLEAN(Sales_Table[[#This Row],[Salesperson]])))</f>
        <v>Meena</v>
      </c>
      <c r="M425" t="s">
        <v>40</v>
      </c>
      <c r="N425" t="str">
        <f t="shared" si="45"/>
        <v>Debit Card</v>
      </c>
      <c r="O425" t="s">
        <v>41</v>
      </c>
      <c r="P425">
        <f t="shared" si="46"/>
        <v>13</v>
      </c>
      <c r="Q425" t="s">
        <v>81</v>
      </c>
      <c r="R425">
        <f t="shared" si="47"/>
        <v>2441</v>
      </c>
      <c r="S425" t="s">
        <v>1226</v>
      </c>
      <c r="T425">
        <f t="shared" si="48"/>
        <v>31733</v>
      </c>
      <c r="U425">
        <f>YEAR(Sales_Table[[#This Row],[Date_clean]])</f>
        <v>2024</v>
      </c>
      <c r="V425" t="str">
        <f>TEXT(Sales_Table[[#This Row],[Date_clean]],"mmmm")</f>
        <v>January</v>
      </c>
      <c r="W425">
        <f>WEEKNUM(Sales_Table[[#This Row],[Date_clean]],2)</f>
        <v>3</v>
      </c>
      <c r="X425" t="str" cm="1">
        <f t="array" ref="X425">_xlfn.IFS(Sales_Table[[#This Row],[Revenue]]&gt;=50000,"High",Sales_Table[[#This Row],[Revenue]]&gt;=20000,"Medium",Sales_Table[[#This Row],[Revenue]]&lt;20000,"Low")</f>
        <v>Medium</v>
      </c>
      <c r="Y425" t="str">
        <f>IF(Sales_Table[[#This Row],[Payment Method_clean]]="cash","Offline","Online")</f>
        <v>Online</v>
      </c>
      <c r="Z425">
        <f>IFERROR(Sales_Table[[#This Row],[Revenue]],0)</f>
        <v>31733</v>
      </c>
    </row>
    <row r="426" spans="1:26" x14ac:dyDescent="0.3">
      <c r="A426">
        <v>425</v>
      </c>
      <c r="B426" s="2">
        <f t="shared" si="42"/>
        <v>45309.666666666664</v>
      </c>
      <c r="C426" t="s">
        <v>1227</v>
      </c>
      <c r="D426" t="s">
        <v>36</v>
      </c>
      <c r="E426" t="str">
        <f>PROPER(TRIM(CLEAN(Sales_Table[[#This Row],[Region]])))</f>
        <v>West</v>
      </c>
      <c r="F426" t="s">
        <v>28</v>
      </c>
      <c r="G426" t="str">
        <f t="shared" si="43"/>
        <v>Clothing</v>
      </c>
      <c r="H426" t="str">
        <f>PROPER(TRIM(CLEAN(Sales_Table[[#This Row],[Product Name]])))</f>
        <v>Washing Machine</v>
      </c>
      <c r="I426" t="s">
        <v>79</v>
      </c>
      <c r="J426" t="str">
        <f t="shared" si="44"/>
        <v>CUST0132</v>
      </c>
      <c r="K426" t="s">
        <v>1228</v>
      </c>
      <c r="L426" t="str">
        <f>PROPER(TRIM(CLEAN(Sales_Table[[#This Row],[Salesperson]])))</f>
        <v>Suresh</v>
      </c>
      <c r="M426" t="s">
        <v>54</v>
      </c>
      <c r="N426" t="str">
        <f t="shared" si="45"/>
        <v>Cash</v>
      </c>
      <c r="O426" t="s">
        <v>32</v>
      </c>
      <c r="P426">
        <f t="shared" si="46"/>
        <v>8</v>
      </c>
      <c r="Q426" t="s">
        <v>42</v>
      </c>
      <c r="R426">
        <f t="shared" si="47"/>
        <v>792</v>
      </c>
      <c r="S426" t="s">
        <v>1229</v>
      </c>
      <c r="T426">
        <f t="shared" si="48"/>
        <v>6336</v>
      </c>
      <c r="U426">
        <f>YEAR(Sales_Table[[#This Row],[Date_clean]])</f>
        <v>2024</v>
      </c>
      <c r="V426" t="str">
        <f>TEXT(Sales_Table[[#This Row],[Date_clean]],"mmmm")</f>
        <v>January</v>
      </c>
      <c r="W426">
        <f>WEEKNUM(Sales_Table[[#This Row],[Date_clean]],2)</f>
        <v>3</v>
      </c>
      <c r="X426" t="str" cm="1">
        <f t="array" ref="X426">_xlfn.IFS(Sales_Table[[#This Row],[Revenue]]&gt;=50000,"High",Sales_Table[[#This Row],[Revenue]]&gt;=20000,"Medium",Sales_Table[[#This Row],[Revenue]]&lt;20000,"Low")</f>
        <v>Low</v>
      </c>
      <c r="Y426" t="str">
        <f>IF(Sales_Table[[#This Row],[Payment Method_clean]]="cash","Offline","Online")</f>
        <v>Offline</v>
      </c>
      <c r="Z426">
        <f>IFERROR(Sales_Table[[#This Row],[Revenue]],0)</f>
        <v>6336</v>
      </c>
    </row>
    <row r="427" spans="1:26" x14ac:dyDescent="0.3">
      <c r="A427">
        <v>426</v>
      </c>
      <c r="B427" s="2">
        <f t="shared" si="42"/>
        <v>45309.708333333336</v>
      </c>
      <c r="C427" t="s">
        <v>1230</v>
      </c>
      <c r="D427" t="s">
        <v>45</v>
      </c>
      <c r="E427" t="str">
        <f>PROPER(TRIM(CLEAN(Sales_Table[[#This Row],[Region]])))</f>
        <v>North</v>
      </c>
      <c r="F427" t="s">
        <v>28</v>
      </c>
      <c r="G427" t="str">
        <f t="shared" si="43"/>
        <v>Clothing</v>
      </c>
      <c r="H427" t="str">
        <f>PROPER(TRIM(CLEAN(Sales_Table[[#This Row],[Product Name]])))</f>
        <v>Mixer Grinder</v>
      </c>
      <c r="I427" t="s">
        <v>29</v>
      </c>
      <c r="J427" t="str">
        <f t="shared" si="44"/>
        <v>CUST0551</v>
      </c>
      <c r="K427" t="s">
        <v>1231</v>
      </c>
      <c r="L427" t="str">
        <f>PROPER(TRIM(CLEAN(Sales_Table[[#This Row],[Salesperson]])))</f>
        <v>Meena</v>
      </c>
      <c r="M427" t="s">
        <v>40</v>
      </c>
      <c r="N427" t="str">
        <f t="shared" si="45"/>
        <v>Cash</v>
      </c>
      <c r="O427" t="s">
        <v>32</v>
      </c>
      <c r="P427">
        <f t="shared" si="46"/>
        <v>7</v>
      </c>
      <c r="Q427" t="s">
        <v>49</v>
      </c>
      <c r="R427">
        <f t="shared" si="47"/>
        <v>4430</v>
      </c>
      <c r="S427" t="s">
        <v>1232</v>
      </c>
      <c r="T427">
        <f t="shared" si="48"/>
        <v>31010</v>
      </c>
      <c r="U427">
        <f>YEAR(Sales_Table[[#This Row],[Date_clean]])</f>
        <v>2024</v>
      </c>
      <c r="V427" t="str">
        <f>TEXT(Sales_Table[[#This Row],[Date_clean]],"mmmm")</f>
        <v>January</v>
      </c>
      <c r="W427">
        <f>WEEKNUM(Sales_Table[[#This Row],[Date_clean]],2)</f>
        <v>3</v>
      </c>
      <c r="X427" t="str" cm="1">
        <f t="array" ref="X427">_xlfn.IFS(Sales_Table[[#This Row],[Revenue]]&gt;=50000,"High",Sales_Table[[#This Row],[Revenue]]&gt;=20000,"Medium",Sales_Table[[#This Row],[Revenue]]&lt;20000,"Low")</f>
        <v>Medium</v>
      </c>
      <c r="Y427" t="str">
        <f>IF(Sales_Table[[#This Row],[Payment Method_clean]]="cash","Offline","Online")</f>
        <v>Offline</v>
      </c>
      <c r="Z427">
        <f>IFERROR(Sales_Table[[#This Row],[Revenue]],0)</f>
        <v>31010</v>
      </c>
    </row>
    <row r="428" spans="1:26" x14ac:dyDescent="0.3">
      <c r="A428">
        <v>427</v>
      </c>
      <c r="B428" s="2">
        <f t="shared" si="42"/>
        <v>45309.75</v>
      </c>
      <c r="C428" t="s">
        <v>1233</v>
      </c>
      <c r="D428" t="s">
        <v>45</v>
      </c>
      <c r="E428" t="str">
        <f>PROPER(TRIM(CLEAN(Sales_Table[[#This Row],[Region]])))</f>
        <v>North</v>
      </c>
      <c r="F428" t="s">
        <v>28</v>
      </c>
      <c r="G428" t="str">
        <f t="shared" si="43"/>
        <v>Clothing</v>
      </c>
      <c r="H428" t="str">
        <f>PROPER(TRIM(CLEAN(Sales_Table[[#This Row],[Product Name]])))</f>
        <v>Laptop</v>
      </c>
      <c r="I428" t="s">
        <v>52</v>
      </c>
      <c r="J428" t="str">
        <f t="shared" si="44"/>
        <v>CUST0072</v>
      </c>
      <c r="K428" t="s">
        <v>1234</v>
      </c>
      <c r="L428" t="str">
        <f>PROPER(TRIM(CLEAN(Sales_Table[[#This Row],[Salesperson]])))</f>
        <v>Meena</v>
      </c>
      <c r="M428" t="s">
        <v>40</v>
      </c>
      <c r="N428" t="str">
        <f t="shared" si="45"/>
        <v>Net Banking</v>
      </c>
      <c r="O428" t="s">
        <v>60</v>
      </c>
      <c r="P428">
        <f t="shared" si="46"/>
        <v>6</v>
      </c>
      <c r="Q428" t="s">
        <v>75</v>
      </c>
      <c r="R428">
        <f t="shared" si="47"/>
        <v>1051</v>
      </c>
      <c r="S428" t="s">
        <v>847</v>
      </c>
      <c r="T428">
        <f t="shared" si="48"/>
        <v>6306</v>
      </c>
      <c r="U428">
        <f>YEAR(Sales_Table[[#This Row],[Date_clean]])</f>
        <v>2024</v>
      </c>
      <c r="V428" t="str">
        <f>TEXT(Sales_Table[[#This Row],[Date_clean]],"mmmm")</f>
        <v>January</v>
      </c>
      <c r="W428">
        <f>WEEKNUM(Sales_Table[[#This Row],[Date_clean]],2)</f>
        <v>3</v>
      </c>
      <c r="X428" t="str" cm="1">
        <f t="array" ref="X428">_xlfn.IFS(Sales_Table[[#This Row],[Revenue]]&gt;=50000,"High",Sales_Table[[#This Row],[Revenue]]&gt;=20000,"Medium",Sales_Table[[#This Row],[Revenue]]&lt;20000,"Low")</f>
        <v>Low</v>
      </c>
      <c r="Y428" t="str">
        <f>IF(Sales_Table[[#This Row],[Payment Method_clean]]="cash","Offline","Online")</f>
        <v>Online</v>
      </c>
      <c r="Z428">
        <f>IFERROR(Sales_Table[[#This Row],[Revenue]],0)</f>
        <v>6306</v>
      </c>
    </row>
    <row r="429" spans="1:26" x14ac:dyDescent="0.3">
      <c r="A429">
        <v>428</v>
      </c>
      <c r="B429" s="2">
        <f t="shared" si="42"/>
        <v>45309.791666666664</v>
      </c>
      <c r="C429" t="s">
        <v>1235</v>
      </c>
      <c r="D429" t="s">
        <v>36</v>
      </c>
      <c r="E429" t="str">
        <f>PROPER(TRIM(CLEAN(Sales_Table[[#This Row],[Region]])))</f>
        <v>West</v>
      </c>
      <c r="F429" t="s">
        <v>78</v>
      </c>
      <c r="G429" t="str">
        <f t="shared" si="43"/>
        <v>Grocery</v>
      </c>
      <c r="H429" t="str">
        <f>PROPER(TRIM(CLEAN(Sales_Table[[#This Row],[Product Name]])))</f>
        <v>Led Tv 42Inch</v>
      </c>
      <c r="I429" t="s">
        <v>58</v>
      </c>
      <c r="J429" t="str">
        <f t="shared" si="44"/>
        <v>CUST0793</v>
      </c>
      <c r="K429" t="s">
        <v>1236</v>
      </c>
      <c r="L429" t="str">
        <f>PROPER(TRIM(CLEAN(Sales_Table[[#This Row],[Salesperson]])))</f>
        <v>Karthik</v>
      </c>
      <c r="M429" t="s">
        <v>70</v>
      </c>
      <c r="N429" t="str">
        <f t="shared" si="45"/>
        <v>Net Banking</v>
      </c>
      <c r="O429" t="s">
        <v>60</v>
      </c>
      <c r="P429">
        <f t="shared" si="46"/>
        <v>11</v>
      </c>
      <c r="Q429" t="s">
        <v>97</v>
      </c>
      <c r="R429">
        <f t="shared" si="47"/>
        <v>1460</v>
      </c>
      <c r="S429" t="s">
        <v>1237</v>
      </c>
      <c r="T429">
        <f t="shared" si="48"/>
        <v>16060</v>
      </c>
      <c r="U429">
        <f>YEAR(Sales_Table[[#This Row],[Date_clean]])</f>
        <v>2024</v>
      </c>
      <c r="V429" t="str">
        <f>TEXT(Sales_Table[[#This Row],[Date_clean]],"mmmm")</f>
        <v>January</v>
      </c>
      <c r="W429">
        <f>WEEKNUM(Sales_Table[[#This Row],[Date_clean]],2)</f>
        <v>3</v>
      </c>
      <c r="X429" t="str" cm="1">
        <f t="array" ref="X429">_xlfn.IFS(Sales_Table[[#This Row],[Revenue]]&gt;=50000,"High",Sales_Table[[#This Row],[Revenue]]&gt;=20000,"Medium",Sales_Table[[#This Row],[Revenue]]&lt;20000,"Low")</f>
        <v>Low</v>
      </c>
      <c r="Y429" t="str">
        <f>IF(Sales_Table[[#This Row],[Payment Method_clean]]="cash","Offline","Online")</f>
        <v>Online</v>
      </c>
      <c r="Z429">
        <f>IFERROR(Sales_Table[[#This Row],[Revenue]],0)</f>
        <v>16060</v>
      </c>
    </row>
    <row r="430" spans="1:26" x14ac:dyDescent="0.3">
      <c r="A430">
        <v>429</v>
      </c>
      <c r="B430" s="2">
        <f t="shared" si="42"/>
        <v>45309.833333333336</v>
      </c>
      <c r="C430" t="s">
        <v>1238</v>
      </c>
      <c r="D430" t="s">
        <v>45</v>
      </c>
      <c r="E430" t="str">
        <f>PROPER(TRIM(CLEAN(Sales_Table[[#This Row],[Region]])))</f>
        <v>North</v>
      </c>
      <c r="F430" t="s">
        <v>78</v>
      </c>
      <c r="G430" t="str">
        <f t="shared" si="43"/>
        <v>Grocery</v>
      </c>
      <c r="H430" t="str">
        <f>PROPER(TRIM(CLEAN(Sales_Table[[#This Row],[Product Name]])))</f>
        <v>Men T-Shirt</v>
      </c>
      <c r="I430" t="s">
        <v>38</v>
      </c>
      <c r="J430" t="str">
        <f t="shared" si="44"/>
        <v>CUST0672</v>
      </c>
      <c r="K430" t="s">
        <v>1239</v>
      </c>
      <c r="L430" t="str">
        <f>PROPER(TRIM(CLEAN(Sales_Table[[#This Row],[Salesperson]])))</f>
        <v>Rahul</v>
      </c>
      <c r="M430" t="s">
        <v>31</v>
      </c>
      <c r="N430" t="str">
        <f t="shared" si="45"/>
        <v>Upi</v>
      </c>
      <c r="O430" t="s">
        <v>48</v>
      </c>
      <c r="P430">
        <f t="shared" si="46"/>
        <v>12</v>
      </c>
      <c r="Q430" t="s">
        <v>33</v>
      </c>
      <c r="R430">
        <f t="shared" si="47"/>
        <v>638</v>
      </c>
      <c r="S430" t="s">
        <v>1240</v>
      </c>
      <c r="T430">
        <f t="shared" si="48"/>
        <v>7656</v>
      </c>
      <c r="U430">
        <f>YEAR(Sales_Table[[#This Row],[Date_clean]])</f>
        <v>2024</v>
      </c>
      <c r="V430" t="str">
        <f>TEXT(Sales_Table[[#This Row],[Date_clean]],"mmmm")</f>
        <v>January</v>
      </c>
      <c r="W430">
        <f>WEEKNUM(Sales_Table[[#This Row],[Date_clean]],2)</f>
        <v>3</v>
      </c>
      <c r="X430" t="str" cm="1">
        <f t="array" ref="X430">_xlfn.IFS(Sales_Table[[#This Row],[Revenue]]&gt;=50000,"High",Sales_Table[[#This Row],[Revenue]]&gt;=20000,"Medium",Sales_Table[[#This Row],[Revenue]]&lt;20000,"Low")</f>
        <v>Low</v>
      </c>
      <c r="Y430" t="str">
        <f>IF(Sales_Table[[#This Row],[Payment Method_clean]]="cash","Offline","Online")</f>
        <v>Online</v>
      </c>
      <c r="Z430">
        <f>IFERROR(Sales_Table[[#This Row],[Revenue]],0)</f>
        <v>7656</v>
      </c>
    </row>
    <row r="431" spans="1:26" x14ac:dyDescent="0.3">
      <c r="A431">
        <v>430</v>
      </c>
      <c r="B431" s="2">
        <f t="shared" si="42"/>
        <v>45309.875</v>
      </c>
      <c r="C431" t="s">
        <v>1241</v>
      </c>
      <c r="D431" t="s">
        <v>36</v>
      </c>
      <c r="E431" t="str">
        <f>PROPER(TRIM(CLEAN(Sales_Table[[#This Row],[Region]])))</f>
        <v>West</v>
      </c>
      <c r="F431" t="s">
        <v>28</v>
      </c>
      <c r="G431" t="str">
        <f t="shared" si="43"/>
        <v>Clothing</v>
      </c>
      <c r="H431" t="str">
        <f>PROPER(TRIM(CLEAN(Sales_Table[[#This Row],[Product Name]])))</f>
        <v>Men T-Shirt</v>
      </c>
      <c r="I431" t="s">
        <v>38</v>
      </c>
      <c r="J431" t="str">
        <f t="shared" si="44"/>
        <v>CUST0187</v>
      </c>
      <c r="K431" t="s">
        <v>1196</v>
      </c>
      <c r="L431" t="str">
        <f>PROPER(TRIM(CLEAN(Sales_Table[[#This Row],[Salesperson]])))</f>
        <v>Suresh</v>
      </c>
      <c r="M431" t="s">
        <v>54</v>
      </c>
      <c r="N431" t="str">
        <f t="shared" si="45"/>
        <v>Cash</v>
      </c>
      <c r="O431" t="s">
        <v>32</v>
      </c>
      <c r="P431">
        <f t="shared" si="46"/>
        <v>2</v>
      </c>
      <c r="Q431" t="s">
        <v>196</v>
      </c>
      <c r="R431">
        <f t="shared" si="47"/>
        <v>919</v>
      </c>
      <c r="S431" t="s">
        <v>1242</v>
      </c>
      <c r="T431">
        <f t="shared" si="48"/>
        <v>1838</v>
      </c>
      <c r="U431">
        <f>YEAR(Sales_Table[[#This Row],[Date_clean]])</f>
        <v>2024</v>
      </c>
      <c r="V431" t="str">
        <f>TEXT(Sales_Table[[#This Row],[Date_clean]],"mmmm")</f>
        <v>January</v>
      </c>
      <c r="W431">
        <f>WEEKNUM(Sales_Table[[#This Row],[Date_clean]],2)</f>
        <v>3</v>
      </c>
      <c r="X431" t="str" cm="1">
        <f t="array" ref="X431">_xlfn.IFS(Sales_Table[[#This Row],[Revenue]]&gt;=50000,"High",Sales_Table[[#This Row],[Revenue]]&gt;=20000,"Medium",Sales_Table[[#This Row],[Revenue]]&lt;20000,"Low")</f>
        <v>Low</v>
      </c>
      <c r="Y431" t="str">
        <f>IF(Sales_Table[[#This Row],[Payment Method_clean]]="cash","Offline","Online")</f>
        <v>Offline</v>
      </c>
      <c r="Z431">
        <f>IFERROR(Sales_Table[[#This Row],[Revenue]],0)</f>
        <v>1838</v>
      </c>
    </row>
    <row r="432" spans="1:26" x14ac:dyDescent="0.3">
      <c r="A432">
        <v>431</v>
      </c>
      <c r="B432" s="2">
        <f t="shared" si="42"/>
        <v>45309.916666666664</v>
      </c>
      <c r="C432" t="s">
        <v>1243</v>
      </c>
      <c r="D432" t="s">
        <v>45</v>
      </c>
      <c r="E432" t="str">
        <f>PROPER(TRIM(CLEAN(Sales_Table[[#This Row],[Region]])))</f>
        <v>North</v>
      </c>
      <c r="F432" t="s">
        <v>37</v>
      </c>
      <c r="G432" t="str">
        <f t="shared" si="43"/>
        <v>Home Appliances</v>
      </c>
      <c r="H432" t="str">
        <f>PROPER(TRIM(CLEAN(Sales_Table[[#This Row],[Product Name]])))</f>
        <v>Mixer Grinder</v>
      </c>
      <c r="I432" t="s">
        <v>29</v>
      </c>
      <c r="J432" t="str">
        <f t="shared" si="44"/>
        <v>CUST0486</v>
      </c>
      <c r="K432" t="s">
        <v>1059</v>
      </c>
      <c r="L432" t="str">
        <f>PROPER(TRIM(CLEAN(Sales_Table[[#This Row],[Salesperson]])))</f>
        <v>Rahul</v>
      </c>
      <c r="M432" t="s">
        <v>31</v>
      </c>
      <c r="N432" t="str">
        <f t="shared" si="45"/>
        <v>Upi</v>
      </c>
      <c r="O432" t="s">
        <v>48</v>
      </c>
      <c r="P432">
        <f t="shared" si="46"/>
        <v>3</v>
      </c>
      <c r="Q432" t="s">
        <v>66</v>
      </c>
      <c r="R432">
        <f t="shared" si="47"/>
        <v>3262</v>
      </c>
      <c r="S432" t="s">
        <v>1244</v>
      </c>
      <c r="T432">
        <f t="shared" si="48"/>
        <v>9786</v>
      </c>
      <c r="U432">
        <f>YEAR(Sales_Table[[#This Row],[Date_clean]])</f>
        <v>2024</v>
      </c>
      <c r="V432" t="str">
        <f>TEXT(Sales_Table[[#This Row],[Date_clean]],"mmmm")</f>
        <v>January</v>
      </c>
      <c r="W432">
        <f>WEEKNUM(Sales_Table[[#This Row],[Date_clean]],2)</f>
        <v>3</v>
      </c>
      <c r="X432" t="str" cm="1">
        <f t="array" ref="X432">_xlfn.IFS(Sales_Table[[#This Row],[Revenue]]&gt;=50000,"High",Sales_Table[[#This Row],[Revenue]]&gt;=20000,"Medium",Sales_Table[[#This Row],[Revenue]]&lt;20000,"Low")</f>
        <v>Low</v>
      </c>
      <c r="Y432" t="str">
        <f>IF(Sales_Table[[#This Row],[Payment Method_clean]]="cash","Offline","Online")</f>
        <v>Online</v>
      </c>
      <c r="Z432">
        <f>IFERROR(Sales_Table[[#This Row],[Revenue]],0)</f>
        <v>9786</v>
      </c>
    </row>
    <row r="433" spans="1:26" x14ac:dyDescent="0.3">
      <c r="A433">
        <v>432</v>
      </c>
      <c r="B433" s="2">
        <f t="shared" si="42"/>
        <v>45309.958333333336</v>
      </c>
      <c r="C433" t="s">
        <v>1245</v>
      </c>
      <c r="D433" t="s">
        <v>84</v>
      </c>
      <c r="E433" t="str">
        <f>PROPER(TRIM(CLEAN(Sales_Table[[#This Row],[Region]])))</f>
        <v>South</v>
      </c>
      <c r="F433" t="s">
        <v>37</v>
      </c>
      <c r="G433" t="str">
        <f t="shared" si="43"/>
        <v>Home Appliances</v>
      </c>
      <c r="H433" t="str">
        <f>PROPER(TRIM(CLEAN(Sales_Table[[#This Row],[Product Name]])))</f>
        <v>Led Tv 42Inch</v>
      </c>
      <c r="I433" t="s">
        <v>58</v>
      </c>
      <c r="J433" t="str">
        <f t="shared" si="44"/>
        <v>CUST0191</v>
      </c>
      <c r="K433" t="s">
        <v>625</v>
      </c>
      <c r="L433" t="str">
        <f>PROPER(TRIM(CLEAN(Sales_Table[[#This Row],[Salesperson]])))</f>
        <v>Meena</v>
      </c>
      <c r="M433" t="s">
        <v>40</v>
      </c>
      <c r="N433" t="str">
        <f t="shared" si="45"/>
        <v>Debit Card</v>
      </c>
      <c r="O433" t="s">
        <v>41</v>
      </c>
      <c r="P433">
        <f t="shared" si="46"/>
        <v>10</v>
      </c>
      <c r="Q433" t="s">
        <v>117</v>
      </c>
      <c r="R433">
        <f t="shared" si="47"/>
        <v>4025</v>
      </c>
      <c r="S433" t="s">
        <v>1246</v>
      </c>
      <c r="T433">
        <f t="shared" si="48"/>
        <v>40250</v>
      </c>
      <c r="U433">
        <f>YEAR(Sales_Table[[#This Row],[Date_clean]])</f>
        <v>2024</v>
      </c>
      <c r="V433" t="str">
        <f>TEXT(Sales_Table[[#This Row],[Date_clean]],"mmmm")</f>
        <v>January</v>
      </c>
      <c r="W433">
        <f>WEEKNUM(Sales_Table[[#This Row],[Date_clean]],2)</f>
        <v>3</v>
      </c>
      <c r="X433" t="str" cm="1">
        <f t="array" ref="X433">_xlfn.IFS(Sales_Table[[#This Row],[Revenue]]&gt;=50000,"High",Sales_Table[[#This Row],[Revenue]]&gt;=20000,"Medium",Sales_Table[[#This Row],[Revenue]]&lt;20000,"Low")</f>
        <v>Medium</v>
      </c>
      <c r="Y433" t="str">
        <f>IF(Sales_Table[[#This Row],[Payment Method_clean]]="cash","Offline","Online")</f>
        <v>Online</v>
      </c>
      <c r="Z433">
        <f>IFERROR(Sales_Table[[#This Row],[Revenue]],0)</f>
        <v>40250</v>
      </c>
    </row>
    <row r="434" spans="1:26" x14ac:dyDescent="0.3">
      <c r="A434">
        <v>433</v>
      </c>
      <c r="B434" s="2">
        <f t="shared" si="42"/>
        <v>45310</v>
      </c>
      <c r="C434" t="s">
        <v>1247</v>
      </c>
      <c r="D434" t="s">
        <v>45</v>
      </c>
      <c r="E434" t="str">
        <f>PROPER(TRIM(CLEAN(Sales_Table[[#This Row],[Region]])))</f>
        <v>North</v>
      </c>
      <c r="F434" t="s">
        <v>46</v>
      </c>
      <c r="G434" t="str">
        <f t="shared" si="43"/>
        <v>Electronics</v>
      </c>
      <c r="H434" t="str">
        <f>PROPER(TRIM(CLEAN(Sales_Table[[#This Row],[Product Name]])))</f>
        <v>Rice 5Kg</v>
      </c>
      <c r="I434" t="s">
        <v>73</v>
      </c>
      <c r="J434" t="str">
        <f t="shared" si="44"/>
        <v>CUST0422</v>
      </c>
      <c r="K434" t="s">
        <v>1248</v>
      </c>
      <c r="L434" t="str">
        <f>PROPER(TRIM(CLEAN(Sales_Table[[#This Row],[Salesperson]])))</f>
        <v>Anita</v>
      </c>
      <c r="M434" t="s">
        <v>64</v>
      </c>
      <c r="N434" t="str">
        <f t="shared" si="45"/>
        <v>Credit Card</v>
      </c>
      <c r="O434" t="s">
        <v>65</v>
      </c>
      <c r="P434">
        <f t="shared" si="46"/>
        <v>9</v>
      </c>
      <c r="Q434" t="s">
        <v>130</v>
      </c>
      <c r="R434">
        <f t="shared" si="47"/>
        <v>371</v>
      </c>
      <c r="S434" t="s">
        <v>1249</v>
      </c>
      <c r="T434">
        <f t="shared" si="48"/>
        <v>3339</v>
      </c>
      <c r="U434">
        <f>YEAR(Sales_Table[[#This Row],[Date_clean]])</f>
        <v>2024</v>
      </c>
      <c r="V434" t="str">
        <f>TEXT(Sales_Table[[#This Row],[Date_clean]],"mmmm")</f>
        <v>January</v>
      </c>
      <c r="W434">
        <f>WEEKNUM(Sales_Table[[#This Row],[Date_clean]],2)</f>
        <v>3</v>
      </c>
      <c r="X434" t="str" cm="1">
        <f t="array" ref="X434">_xlfn.IFS(Sales_Table[[#This Row],[Revenue]]&gt;=50000,"High",Sales_Table[[#This Row],[Revenue]]&gt;=20000,"Medium",Sales_Table[[#This Row],[Revenue]]&lt;20000,"Low")</f>
        <v>Low</v>
      </c>
      <c r="Y434" t="str">
        <f>IF(Sales_Table[[#This Row],[Payment Method_clean]]="cash","Offline","Online")</f>
        <v>Online</v>
      </c>
      <c r="Z434">
        <f>IFERROR(Sales_Table[[#This Row],[Revenue]],0)</f>
        <v>3339</v>
      </c>
    </row>
    <row r="435" spans="1:26" x14ac:dyDescent="0.3">
      <c r="A435">
        <v>434</v>
      </c>
      <c r="B435" s="2">
        <f t="shared" si="42"/>
        <v>45310.041666666664</v>
      </c>
      <c r="C435" t="s">
        <v>1250</v>
      </c>
      <c r="D435" t="s">
        <v>36</v>
      </c>
      <c r="E435" t="str">
        <f>PROPER(TRIM(CLEAN(Sales_Table[[#This Row],[Region]])))</f>
        <v>West</v>
      </c>
      <c r="F435" t="s">
        <v>28</v>
      </c>
      <c r="G435" t="str">
        <f t="shared" si="43"/>
        <v>Clothing</v>
      </c>
      <c r="H435" t="str">
        <f>PROPER(TRIM(CLEAN(Sales_Table[[#This Row],[Product Name]])))</f>
        <v>Rice 5Kg</v>
      </c>
      <c r="I435" t="s">
        <v>73</v>
      </c>
      <c r="J435" t="str">
        <f t="shared" si="44"/>
        <v>CUST0120</v>
      </c>
      <c r="K435" t="s">
        <v>408</v>
      </c>
      <c r="L435" t="str">
        <f>PROPER(TRIM(CLEAN(Sales_Table[[#This Row],[Salesperson]])))</f>
        <v>Meena</v>
      </c>
      <c r="M435" t="s">
        <v>40</v>
      </c>
      <c r="N435" t="str">
        <f t="shared" si="45"/>
        <v>Cash</v>
      </c>
      <c r="O435" t="s">
        <v>32</v>
      </c>
      <c r="P435">
        <f t="shared" si="46"/>
        <v>13</v>
      </c>
      <c r="Q435" t="s">
        <v>81</v>
      </c>
      <c r="R435">
        <f t="shared" si="47"/>
        <v>1128</v>
      </c>
      <c r="S435" t="s">
        <v>1251</v>
      </c>
      <c r="T435">
        <f t="shared" si="48"/>
        <v>14664</v>
      </c>
      <c r="U435">
        <f>YEAR(Sales_Table[[#This Row],[Date_clean]])</f>
        <v>2024</v>
      </c>
      <c r="V435" t="str">
        <f>TEXT(Sales_Table[[#This Row],[Date_clean]],"mmmm")</f>
        <v>January</v>
      </c>
      <c r="W435">
        <f>WEEKNUM(Sales_Table[[#This Row],[Date_clean]],2)</f>
        <v>3</v>
      </c>
      <c r="X435" t="str" cm="1">
        <f t="array" ref="X435">_xlfn.IFS(Sales_Table[[#This Row],[Revenue]]&gt;=50000,"High",Sales_Table[[#This Row],[Revenue]]&gt;=20000,"Medium",Sales_Table[[#This Row],[Revenue]]&lt;20000,"Low")</f>
        <v>Low</v>
      </c>
      <c r="Y435" t="str">
        <f>IF(Sales_Table[[#This Row],[Payment Method_clean]]="cash","Offline","Online")</f>
        <v>Offline</v>
      </c>
      <c r="Z435">
        <f>IFERROR(Sales_Table[[#This Row],[Revenue]],0)</f>
        <v>14664</v>
      </c>
    </row>
    <row r="436" spans="1:26" x14ac:dyDescent="0.3">
      <c r="A436">
        <v>435</v>
      </c>
      <c r="B436" s="2">
        <f t="shared" si="42"/>
        <v>45310.083333333336</v>
      </c>
      <c r="C436" t="s">
        <v>1252</v>
      </c>
      <c r="D436" t="s">
        <v>36</v>
      </c>
      <c r="E436" t="str">
        <f>PROPER(TRIM(CLEAN(Sales_Table[[#This Row],[Region]])))</f>
        <v>West</v>
      </c>
      <c r="F436" t="s">
        <v>46</v>
      </c>
      <c r="G436" t="str">
        <f t="shared" si="43"/>
        <v>Electronics</v>
      </c>
      <c r="H436" t="str">
        <f>PROPER(TRIM(CLEAN(Sales_Table[[#This Row],[Product Name]])))</f>
        <v>Washing Machine</v>
      </c>
      <c r="I436" t="s">
        <v>79</v>
      </c>
      <c r="J436" t="str">
        <f t="shared" si="44"/>
        <v>CUST0220</v>
      </c>
      <c r="K436" t="s">
        <v>174</v>
      </c>
      <c r="L436" t="str">
        <f>PROPER(TRIM(CLEAN(Sales_Table[[#This Row],[Salesperson]])))</f>
        <v>Rahul</v>
      </c>
      <c r="M436" t="s">
        <v>31</v>
      </c>
      <c r="N436" t="str">
        <f t="shared" si="45"/>
        <v>Debit Card</v>
      </c>
      <c r="O436" t="s">
        <v>41</v>
      </c>
      <c r="P436">
        <f t="shared" si="46"/>
        <v>9</v>
      </c>
      <c r="Q436" t="s">
        <v>130</v>
      </c>
      <c r="R436">
        <f t="shared" si="47"/>
        <v>3765</v>
      </c>
      <c r="S436" t="s">
        <v>1253</v>
      </c>
      <c r="T436">
        <f t="shared" si="48"/>
        <v>33885</v>
      </c>
      <c r="U436">
        <f>YEAR(Sales_Table[[#This Row],[Date_clean]])</f>
        <v>2024</v>
      </c>
      <c r="V436" t="str">
        <f>TEXT(Sales_Table[[#This Row],[Date_clean]],"mmmm")</f>
        <v>January</v>
      </c>
      <c r="W436">
        <f>WEEKNUM(Sales_Table[[#This Row],[Date_clean]],2)</f>
        <v>3</v>
      </c>
      <c r="X436" t="str" cm="1">
        <f t="array" ref="X436">_xlfn.IFS(Sales_Table[[#This Row],[Revenue]]&gt;=50000,"High",Sales_Table[[#This Row],[Revenue]]&gt;=20000,"Medium",Sales_Table[[#This Row],[Revenue]]&lt;20000,"Low")</f>
        <v>Medium</v>
      </c>
      <c r="Y436" t="str">
        <f>IF(Sales_Table[[#This Row],[Payment Method_clean]]="cash","Offline","Online")</f>
        <v>Online</v>
      </c>
      <c r="Z436">
        <f>IFERROR(Sales_Table[[#This Row],[Revenue]],0)</f>
        <v>33885</v>
      </c>
    </row>
    <row r="437" spans="1:26" x14ac:dyDescent="0.3">
      <c r="A437">
        <v>436</v>
      </c>
      <c r="B437" s="2">
        <f t="shared" si="42"/>
        <v>45310.125</v>
      </c>
      <c r="C437" t="s">
        <v>1254</v>
      </c>
      <c r="D437" t="s">
        <v>36</v>
      </c>
      <c r="E437" t="str">
        <f>PROPER(TRIM(CLEAN(Sales_Table[[#This Row],[Region]])))</f>
        <v>West</v>
      </c>
      <c r="F437" t="s">
        <v>37</v>
      </c>
      <c r="G437" t="str">
        <f t="shared" si="43"/>
        <v>Home Appliances</v>
      </c>
      <c r="H437" t="str">
        <f>PROPER(TRIM(CLEAN(Sales_Table[[#This Row],[Product Name]])))</f>
        <v>Washing Machine</v>
      </c>
      <c r="I437" t="s">
        <v>79</v>
      </c>
      <c r="J437" t="str">
        <f t="shared" si="44"/>
        <v>CUST0053</v>
      </c>
      <c r="K437" t="s">
        <v>1255</v>
      </c>
      <c r="L437" t="str">
        <f>PROPER(TRIM(CLEAN(Sales_Table[[#This Row],[Salesperson]])))</f>
        <v>Meena</v>
      </c>
      <c r="M437" t="s">
        <v>40</v>
      </c>
      <c r="N437" t="str">
        <f t="shared" si="45"/>
        <v>Cash</v>
      </c>
      <c r="O437" t="s">
        <v>32</v>
      </c>
      <c r="P437">
        <f t="shared" si="46"/>
        <v>5</v>
      </c>
      <c r="Q437" t="s">
        <v>89</v>
      </c>
      <c r="R437">
        <f t="shared" si="47"/>
        <v>1342</v>
      </c>
      <c r="S437" t="s">
        <v>1256</v>
      </c>
      <c r="T437">
        <f t="shared" si="48"/>
        <v>6710</v>
      </c>
      <c r="U437">
        <f>YEAR(Sales_Table[[#This Row],[Date_clean]])</f>
        <v>2024</v>
      </c>
      <c r="V437" t="str">
        <f>TEXT(Sales_Table[[#This Row],[Date_clean]],"mmmm")</f>
        <v>January</v>
      </c>
      <c r="W437">
        <f>WEEKNUM(Sales_Table[[#This Row],[Date_clean]],2)</f>
        <v>3</v>
      </c>
      <c r="X437" t="str" cm="1">
        <f t="array" ref="X437">_xlfn.IFS(Sales_Table[[#This Row],[Revenue]]&gt;=50000,"High",Sales_Table[[#This Row],[Revenue]]&gt;=20000,"Medium",Sales_Table[[#This Row],[Revenue]]&lt;20000,"Low")</f>
        <v>Low</v>
      </c>
      <c r="Y437" t="str">
        <f>IF(Sales_Table[[#This Row],[Payment Method_clean]]="cash","Offline","Online")</f>
        <v>Offline</v>
      </c>
      <c r="Z437">
        <f>IFERROR(Sales_Table[[#This Row],[Revenue]],0)</f>
        <v>6710</v>
      </c>
    </row>
    <row r="438" spans="1:26" x14ac:dyDescent="0.3">
      <c r="A438">
        <v>437</v>
      </c>
      <c r="B438" s="2">
        <f t="shared" si="42"/>
        <v>45310.166666666664</v>
      </c>
      <c r="C438" t="s">
        <v>1257</v>
      </c>
      <c r="D438" t="s">
        <v>36</v>
      </c>
      <c r="E438" t="str">
        <f>PROPER(TRIM(CLEAN(Sales_Table[[#This Row],[Region]])))</f>
        <v>West</v>
      </c>
      <c r="F438" t="s">
        <v>46</v>
      </c>
      <c r="G438" t="str">
        <f t="shared" si="43"/>
        <v>Electronics</v>
      </c>
      <c r="H438" t="str">
        <f>PROPER(TRIM(CLEAN(Sales_Table[[#This Row],[Product Name]])))</f>
        <v>Rice 5Kg</v>
      </c>
      <c r="I438" t="s">
        <v>73</v>
      </c>
      <c r="J438" t="str">
        <f t="shared" si="44"/>
        <v>CUST0734</v>
      </c>
      <c r="K438" t="s">
        <v>249</v>
      </c>
      <c r="L438" t="str">
        <f>PROPER(TRIM(CLEAN(Sales_Table[[#This Row],[Salesperson]])))</f>
        <v>Anita</v>
      </c>
      <c r="M438" t="s">
        <v>64</v>
      </c>
      <c r="N438" t="str">
        <f t="shared" si="45"/>
        <v>Net Banking</v>
      </c>
      <c r="O438" t="s">
        <v>60</v>
      </c>
      <c r="P438">
        <f t="shared" si="46"/>
        <v>14</v>
      </c>
      <c r="Q438" t="s">
        <v>55</v>
      </c>
      <c r="R438">
        <f t="shared" si="47"/>
        <v>1241</v>
      </c>
      <c r="S438" t="s">
        <v>841</v>
      </c>
      <c r="T438">
        <f t="shared" si="48"/>
        <v>17374</v>
      </c>
      <c r="U438">
        <f>YEAR(Sales_Table[[#This Row],[Date_clean]])</f>
        <v>2024</v>
      </c>
      <c r="V438" t="str">
        <f>TEXT(Sales_Table[[#This Row],[Date_clean]],"mmmm")</f>
        <v>January</v>
      </c>
      <c r="W438">
        <f>WEEKNUM(Sales_Table[[#This Row],[Date_clean]],2)</f>
        <v>3</v>
      </c>
      <c r="X438" t="str" cm="1">
        <f t="array" ref="X438">_xlfn.IFS(Sales_Table[[#This Row],[Revenue]]&gt;=50000,"High",Sales_Table[[#This Row],[Revenue]]&gt;=20000,"Medium",Sales_Table[[#This Row],[Revenue]]&lt;20000,"Low")</f>
        <v>Low</v>
      </c>
      <c r="Y438" t="str">
        <f>IF(Sales_Table[[#This Row],[Payment Method_clean]]="cash","Offline","Online")</f>
        <v>Online</v>
      </c>
      <c r="Z438">
        <f>IFERROR(Sales_Table[[#This Row],[Revenue]],0)</f>
        <v>17374</v>
      </c>
    </row>
    <row r="439" spans="1:26" x14ac:dyDescent="0.3">
      <c r="A439">
        <v>438</v>
      </c>
      <c r="B439" s="2">
        <f t="shared" si="42"/>
        <v>45310.208333333336</v>
      </c>
      <c r="C439" t="s">
        <v>1258</v>
      </c>
      <c r="D439" t="s">
        <v>36</v>
      </c>
      <c r="E439" t="str">
        <f>PROPER(TRIM(CLEAN(Sales_Table[[#This Row],[Region]])))</f>
        <v>West</v>
      </c>
      <c r="F439" t="s">
        <v>28</v>
      </c>
      <c r="G439" t="str">
        <f t="shared" si="43"/>
        <v>Clothing</v>
      </c>
      <c r="H439" t="str">
        <f>PROPER(TRIM(CLEAN(Sales_Table[[#This Row],[Product Name]])))</f>
        <v>Men T-Shirt</v>
      </c>
      <c r="I439" t="s">
        <v>38</v>
      </c>
      <c r="J439" t="str">
        <f t="shared" si="44"/>
        <v>CUST0451</v>
      </c>
      <c r="K439" t="s">
        <v>493</v>
      </c>
      <c r="L439" t="str">
        <f>PROPER(TRIM(CLEAN(Sales_Table[[#This Row],[Salesperson]])))</f>
        <v>Karthik</v>
      </c>
      <c r="M439" t="s">
        <v>70</v>
      </c>
      <c r="N439" t="str">
        <f t="shared" si="45"/>
        <v>Upi</v>
      </c>
      <c r="O439" t="s">
        <v>48</v>
      </c>
      <c r="P439">
        <f t="shared" si="46"/>
        <v>3</v>
      </c>
      <c r="Q439" t="s">
        <v>66</v>
      </c>
      <c r="R439">
        <f t="shared" si="47"/>
        <v>692</v>
      </c>
      <c r="S439" t="s">
        <v>1259</v>
      </c>
      <c r="T439">
        <f t="shared" si="48"/>
        <v>2076</v>
      </c>
      <c r="U439">
        <f>YEAR(Sales_Table[[#This Row],[Date_clean]])</f>
        <v>2024</v>
      </c>
      <c r="V439" t="str">
        <f>TEXT(Sales_Table[[#This Row],[Date_clean]],"mmmm")</f>
        <v>January</v>
      </c>
      <c r="W439">
        <f>WEEKNUM(Sales_Table[[#This Row],[Date_clean]],2)</f>
        <v>3</v>
      </c>
      <c r="X439" t="str" cm="1">
        <f t="array" ref="X439">_xlfn.IFS(Sales_Table[[#This Row],[Revenue]]&gt;=50000,"High",Sales_Table[[#This Row],[Revenue]]&gt;=20000,"Medium",Sales_Table[[#This Row],[Revenue]]&lt;20000,"Low")</f>
        <v>Low</v>
      </c>
      <c r="Y439" t="str">
        <f>IF(Sales_Table[[#This Row],[Payment Method_clean]]="cash","Offline","Online")</f>
        <v>Online</v>
      </c>
      <c r="Z439">
        <f>IFERROR(Sales_Table[[#This Row],[Revenue]],0)</f>
        <v>2076</v>
      </c>
    </row>
    <row r="440" spans="1:26" x14ac:dyDescent="0.3">
      <c r="A440">
        <v>439</v>
      </c>
      <c r="B440" s="2">
        <f t="shared" si="42"/>
        <v>45310.25</v>
      </c>
      <c r="C440" t="s">
        <v>1260</v>
      </c>
      <c r="D440" t="s">
        <v>27</v>
      </c>
      <c r="E440" t="str">
        <f>PROPER(TRIM(CLEAN(Sales_Table[[#This Row],[Region]])))</f>
        <v>East</v>
      </c>
      <c r="F440" t="s">
        <v>28</v>
      </c>
      <c r="G440" t="str">
        <f t="shared" si="43"/>
        <v>Clothing</v>
      </c>
      <c r="H440" t="str">
        <f>PROPER(TRIM(CLEAN(Sales_Table[[#This Row],[Product Name]])))</f>
        <v>Laptop</v>
      </c>
      <c r="I440" t="s">
        <v>52</v>
      </c>
      <c r="J440" t="str">
        <f t="shared" si="44"/>
        <v>CUST0412</v>
      </c>
      <c r="K440" t="s">
        <v>1261</v>
      </c>
      <c r="L440" t="str">
        <f>PROPER(TRIM(CLEAN(Sales_Table[[#This Row],[Salesperson]])))</f>
        <v>Rahul</v>
      </c>
      <c r="M440" t="s">
        <v>31</v>
      </c>
      <c r="N440" t="str">
        <f t="shared" si="45"/>
        <v>Net Banking</v>
      </c>
      <c r="O440" t="s">
        <v>60</v>
      </c>
      <c r="P440">
        <f t="shared" si="46"/>
        <v>2</v>
      </c>
      <c r="Q440" t="s">
        <v>196</v>
      </c>
      <c r="R440">
        <f t="shared" si="47"/>
        <v>1705</v>
      </c>
      <c r="S440" t="s">
        <v>1262</v>
      </c>
      <c r="T440">
        <f t="shared" si="48"/>
        <v>3410</v>
      </c>
      <c r="U440">
        <f>YEAR(Sales_Table[[#This Row],[Date_clean]])</f>
        <v>2024</v>
      </c>
      <c r="V440" t="str">
        <f>TEXT(Sales_Table[[#This Row],[Date_clean]],"mmmm")</f>
        <v>January</v>
      </c>
      <c r="W440">
        <f>WEEKNUM(Sales_Table[[#This Row],[Date_clean]],2)</f>
        <v>3</v>
      </c>
      <c r="X440" t="str" cm="1">
        <f t="array" ref="X440">_xlfn.IFS(Sales_Table[[#This Row],[Revenue]]&gt;=50000,"High",Sales_Table[[#This Row],[Revenue]]&gt;=20000,"Medium",Sales_Table[[#This Row],[Revenue]]&lt;20000,"Low")</f>
        <v>Low</v>
      </c>
      <c r="Y440" t="str">
        <f>IF(Sales_Table[[#This Row],[Payment Method_clean]]="cash","Offline","Online")</f>
        <v>Online</v>
      </c>
      <c r="Z440">
        <f>IFERROR(Sales_Table[[#This Row],[Revenue]],0)</f>
        <v>3410</v>
      </c>
    </row>
    <row r="441" spans="1:26" x14ac:dyDescent="0.3">
      <c r="A441">
        <v>440</v>
      </c>
      <c r="B441" s="2">
        <f t="shared" si="42"/>
        <v>45310.291666666664</v>
      </c>
      <c r="C441" t="s">
        <v>1263</v>
      </c>
      <c r="D441" t="s">
        <v>27</v>
      </c>
      <c r="E441" t="str">
        <f>PROPER(TRIM(CLEAN(Sales_Table[[#This Row],[Region]])))</f>
        <v>East</v>
      </c>
      <c r="F441" t="s">
        <v>28</v>
      </c>
      <c r="G441" t="str">
        <f t="shared" si="43"/>
        <v>Clothing</v>
      </c>
      <c r="H441" t="str">
        <f>PROPER(TRIM(CLEAN(Sales_Table[[#This Row],[Product Name]])))</f>
        <v>Men T-Shirt</v>
      </c>
      <c r="I441" t="s">
        <v>38</v>
      </c>
      <c r="J441" t="str">
        <f t="shared" si="44"/>
        <v>CUST0643</v>
      </c>
      <c r="K441" t="s">
        <v>776</v>
      </c>
      <c r="L441" t="str">
        <f>PROPER(TRIM(CLEAN(Sales_Table[[#This Row],[Salesperson]])))</f>
        <v>Meena</v>
      </c>
      <c r="M441" t="s">
        <v>40</v>
      </c>
      <c r="N441" t="str">
        <f t="shared" si="45"/>
        <v>Credit Card</v>
      </c>
      <c r="O441" t="s">
        <v>65</v>
      </c>
      <c r="P441">
        <f t="shared" si="46"/>
        <v>8</v>
      </c>
      <c r="Q441" t="s">
        <v>42</v>
      </c>
      <c r="R441">
        <f t="shared" si="47"/>
        <v>4310</v>
      </c>
      <c r="S441" t="s">
        <v>1264</v>
      </c>
      <c r="T441">
        <f t="shared" si="48"/>
        <v>34480</v>
      </c>
      <c r="U441">
        <f>YEAR(Sales_Table[[#This Row],[Date_clean]])</f>
        <v>2024</v>
      </c>
      <c r="V441" t="str">
        <f>TEXT(Sales_Table[[#This Row],[Date_clean]],"mmmm")</f>
        <v>January</v>
      </c>
      <c r="W441">
        <f>WEEKNUM(Sales_Table[[#This Row],[Date_clean]],2)</f>
        <v>3</v>
      </c>
      <c r="X441" t="str" cm="1">
        <f t="array" ref="X441">_xlfn.IFS(Sales_Table[[#This Row],[Revenue]]&gt;=50000,"High",Sales_Table[[#This Row],[Revenue]]&gt;=20000,"Medium",Sales_Table[[#This Row],[Revenue]]&lt;20000,"Low")</f>
        <v>Medium</v>
      </c>
      <c r="Y441" t="str">
        <f>IF(Sales_Table[[#This Row],[Payment Method_clean]]="cash","Offline","Online")</f>
        <v>Online</v>
      </c>
      <c r="Z441">
        <f>IFERROR(Sales_Table[[#This Row],[Revenue]],0)</f>
        <v>34480</v>
      </c>
    </row>
    <row r="442" spans="1:26" x14ac:dyDescent="0.3">
      <c r="A442">
        <v>441</v>
      </c>
      <c r="B442" s="2">
        <f t="shared" si="42"/>
        <v>45310.333333333336</v>
      </c>
      <c r="C442" t="s">
        <v>1265</v>
      </c>
      <c r="D442" t="s">
        <v>45</v>
      </c>
      <c r="E442" t="str">
        <f>PROPER(TRIM(CLEAN(Sales_Table[[#This Row],[Region]])))</f>
        <v>North</v>
      </c>
      <c r="F442" t="s">
        <v>78</v>
      </c>
      <c r="G442" t="str">
        <f t="shared" si="43"/>
        <v>Grocery</v>
      </c>
      <c r="H442" t="str">
        <f>PROPER(TRIM(CLEAN(Sales_Table[[#This Row],[Product Name]])))</f>
        <v>Washing Machine</v>
      </c>
      <c r="I442" t="s">
        <v>79</v>
      </c>
      <c r="J442" t="str">
        <f t="shared" si="44"/>
        <v>CUST0237</v>
      </c>
      <c r="K442" t="s">
        <v>240</v>
      </c>
      <c r="L442" t="str">
        <f>PROPER(TRIM(CLEAN(Sales_Table[[#This Row],[Salesperson]])))</f>
        <v>Rahul</v>
      </c>
      <c r="M442" t="s">
        <v>31</v>
      </c>
      <c r="N442" t="str">
        <f t="shared" si="45"/>
        <v>Net Banking</v>
      </c>
      <c r="O442" t="s">
        <v>60</v>
      </c>
      <c r="P442">
        <f t="shared" si="46"/>
        <v>6</v>
      </c>
      <c r="Q442" t="s">
        <v>75</v>
      </c>
      <c r="R442">
        <f t="shared" si="47"/>
        <v>3477</v>
      </c>
      <c r="S442" t="s">
        <v>1266</v>
      </c>
      <c r="T442">
        <f t="shared" si="48"/>
        <v>20862</v>
      </c>
      <c r="U442">
        <f>YEAR(Sales_Table[[#This Row],[Date_clean]])</f>
        <v>2024</v>
      </c>
      <c r="V442" t="str">
        <f>TEXT(Sales_Table[[#This Row],[Date_clean]],"mmmm")</f>
        <v>January</v>
      </c>
      <c r="W442">
        <f>WEEKNUM(Sales_Table[[#This Row],[Date_clean]],2)</f>
        <v>3</v>
      </c>
      <c r="X442" t="str" cm="1">
        <f t="array" ref="X442">_xlfn.IFS(Sales_Table[[#This Row],[Revenue]]&gt;=50000,"High",Sales_Table[[#This Row],[Revenue]]&gt;=20000,"Medium",Sales_Table[[#This Row],[Revenue]]&lt;20000,"Low")</f>
        <v>Medium</v>
      </c>
      <c r="Y442" t="str">
        <f>IF(Sales_Table[[#This Row],[Payment Method_clean]]="cash","Offline","Online")</f>
        <v>Online</v>
      </c>
      <c r="Z442">
        <f>IFERROR(Sales_Table[[#This Row],[Revenue]],0)</f>
        <v>20862</v>
      </c>
    </row>
    <row r="443" spans="1:26" x14ac:dyDescent="0.3">
      <c r="A443">
        <v>442</v>
      </c>
      <c r="B443" s="2">
        <f t="shared" si="42"/>
        <v>45310.375</v>
      </c>
      <c r="C443" t="s">
        <v>1267</v>
      </c>
      <c r="D443" t="s">
        <v>36</v>
      </c>
      <c r="E443" t="str">
        <f>PROPER(TRIM(CLEAN(Sales_Table[[#This Row],[Region]])))</f>
        <v>West</v>
      </c>
      <c r="F443" t="s">
        <v>46</v>
      </c>
      <c r="G443" t="str">
        <f t="shared" si="43"/>
        <v>Electronics</v>
      </c>
      <c r="H443" t="str">
        <f>PROPER(TRIM(CLEAN(Sales_Table[[#This Row],[Product Name]])))</f>
        <v>Mixer Grinder</v>
      </c>
      <c r="I443" t="s">
        <v>29</v>
      </c>
      <c r="J443" t="str">
        <f t="shared" si="44"/>
        <v>CUST0758</v>
      </c>
      <c r="K443" t="s">
        <v>643</v>
      </c>
      <c r="L443" t="str">
        <f>PROPER(TRIM(CLEAN(Sales_Table[[#This Row],[Salesperson]])))</f>
        <v>Karthik</v>
      </c>
      <c r="M443" t="s">
        <v>70</v>
      </c>
      <c r="N443" t="str">
        <f t="shared" si="45"/>
        <v>Cash</v>
      </c>
      <c r="O443" t="s">
        <v>32</v>
      </c>
      <c r="P443">
        <f t="shared" si="46"/>
        <v>10</v>
      </c>
      <c r="Q443" t="s">
        <v>117</v>
      </c>
      <c r="R443">
        <f t="shared" si="47"/>
        <v>4171</v>
      </c>
      <c r="S443" t="s">
        <v>1268</v>
      </c>
      <c r="T443">
        <f t="shared" si="48"/>
        <v>41710</v>
      </c>
      <c r="U443">
        <f>YEAR(Sales_Table[[#This Row],[Date_clean]])</f>
        <v>2024</v>
      </c>
      <c r="V443" t="str">
        <f>TEXT(Sales_Table[[#This Row],[Date_clean]],"mmmm")</f>
        <v>January</v>
      </c>
      <c r="W443">
        <f>WEEKNUM(Sales_Table[[#This Row],[Date_clean]],2)</f>
        <v>3</v>
      </c>
      <c r="X443" t="str" cm="1">
        <f t="array" ref="X443">_xlfn.IFS(Sales_Table[[#This Row],[Revenue]]&gt;=50000,"High",Sales_Table[[#This Row],[Revenue]]&gt;=20000,"Medium",Sales_Table[[#This Row],[Revenue]]&lt;20000,"Low")</f>
        <v>Medium</v>
      </c>
      <c r="Y443" t="str">
        <f>IF(Sales_Table[[#This Row],[Payment Method_clean]]="cash","Offline","Online")</f>
        <v>Offline</v>
      </c>
      <c r="Z443">
        <f>IFERROR(Sales_Table[[#This Row],[Revenue]],0)</f>
        <v>41710</v>
      </c>
    </row>
    <row r="444" spans="1:26" x14ac:dyDescent="0.3">
      <c r="A444">
        <v>443</v>
      </c>
      <c r="B444" s="2">
        <f t="shared" si="42"/>
        <v>45310.416666666664</v>
      </c>
      <c r="C444" t="s">
        <v>1269</v>
      </c>
      <c r="D444" t="s">
        <v>45</v>
      </c>
      <c r="E444" t="str">
        <f>PROPER(TRIM(CLEAN(Sales_Table[[#This Row],[Region]])))</f>
        <v>North</v>
      </c>
      <c r="F444" t="s">
        <v>37</v>
      </c>
      <c r="G444" t="str">
        <f t="shared" si="43"/>
        <v>Home Appliances</v>
      </c>
      <c r="H444" t="str">
        <f>PROPER(TRIM(CLEAN(Sales_Table[[#This Row],[Product Name]])))</f>
        <v>Rice 5Kg</v>
      </c>
      <c r="I444" t="s">
        <v>73</v>
      </c>
      <c r="J444" t="str">
        <f t="shared" si="44"/>
        <v>CUST0738</v>
      </c>
      <c r="K444" t="s">
        <v>1270</v>
      </c>
      <c r="L444" t="str">
        <f>PROPER(TRIM(CLEAN(Sales_Table[[#This Row],[Salesperson]])))</f>
        <v>Meena</v>
      </c>
      <c r="M444" t="s">
        <v>40</v>
      </c>
      <c r="N444" t="str">
        <f t="shared" si="45"/>
        <v>Net Banking</v>
      </c>
      <c r="O444" t="s">
        <v>60</v>
      </c>
      <c r="P444">
        <f t="shared" si="46"/>
        <v>11</v>
      </c>
      <c r="Q444" t="s">
        <v>97</v>
      </c>
      <c r="R444">
        <f t="shared" si="47"/>
        <v>4402</v>
      </c>
      <c r="S444" t="s">
        <v>1271</v>
      </c>
      <c r="T444">
        <f t="shared" si="48"/>
        <v>48422</v>
      </c>
      <c r="U444">
        <f>YEAR(Sales_Table[[#This Row],[Date_clean]])</f>
        <v>2024</v>
      </c>
      <c r="V444" t="str">
        <f>TEXT(Sales_Table[[#This Row],[Date_clean]],"mmmm")</f>
        <v>January</v>
      </c>
      <c r="W444">
        <f>WEEKNUM(Sales_Table[[#This Row],[Date_clean]],2)</f>
        <v>3</v>
      </c>
      <c r="X444" t="str" cm="1">
        <f t="array" ref="X444">_xlfn.IFS(Sales_Table[[#This Row],[Revenue]]&gt;=50000,"High",Sales_Table[[#This Row],[Revenue]]&gt;=20000,"Medium",Sales_Table[[#This Row],[Revenue]]&lt;20000,"Low")</f>
        <v>Medium</v>
      </c>
      <c r="Y444" t="str">
        <f>IF(Sales_Table[[#This Row],[Payment Method_clean]]="cash","Offline","Online")</f>
        <v>Online</v>
      </c>
      <c r="Z444">
        <f>IFERROR(Sales_Table[[#This Row],[Revenue]],0)</f>
        <v>48422</v>
      </c>
    </row>
    <row r="445" spans="1:26" x14ac:dyDescent="0.3">
      <c r="A445">
        <v>444</v>
      </c>
      <c r="B445" s="2">
        <f t="shared" si="42"/>
        <v>45310.458333333336</v>
      </c>
      <c r="C445" t="s">
        <v>1272</v>
      </c>
      <c r="D445" t="s">
        <v>36</v>
      </c>
      <c r="E445" t="str">
        <f>PROPER(TRIM(CLEAN(Sales_Table[[#This Row],[Region]])))</f>
        <v>West</v>
      </c>
      <c r="F445" t="s">
        <v>37</v>
      </c>
      <c r="G445" t="str">
        <f t="shared" si="43"/>
        <v>Home Appliances</v>
      </c>
      <c r="H445" t="str">
        <f>PROPER(TRIM(CLEAN(Sales_Table[[#This Row],[Product Name]])))</f>
        <v>Washing Machine</v>
      </c>
      <c r="I445" t="s">
        <v>79</v>
      </c>
      <c r="J445" t="str">
        <f t="shared" si="44"/>
        <v>CUST0720</v>
      </c>
      <c r="K445" t="s">
        <v>1158</v>
      </c>
      <c r="L445" t="str">
        <f>PROPER(TRIM(CLEAN(Sales_Table[[#This Row],[Salesperson]])))</f>
        <v>Meena</v>
      </c>
      <c r="M445" t="s">
        <v>40</v>
      </c>
      <c r="N445" t="str">
        <f t="shared" si="45"/>
        <v>Cash</v>
      </c>
      <c r="O445" t="s">
        <v>32</v>
      </c>
      <c r="P445">
        <f t="shared" si="46"/>
        <v>12</v>
      </c>
      <c r="Q445" t="s">
        <v>33</v>
      </c>
      <c r="R445">
        <f t="shared" si="47"/>
        <v>3794</v>
      </c>
      <c r="S445" t="s">
        <v>1273</v>
      </c>
      <c r="T445">
        <f t="shared" si="48"/>
        <v>45528</v>
      </c>
      <c r="U445">
        <f>YEAR(Sales_Table[[#This Row],[Date_clean]])</f>
        <v>2024</v>
      </c>
      <c r="V445" t="str">
        <f>TEXT(Sales_Table[[#This Row],[Date_clean]],"mmmm")</f>
        <v>January</v>
      </c>
      <c r="W445">
        <f>WEEKNUM(Sales_Table[[#This Row],[Date_clean]],2)</f>
        <v>3</v>
      </c>
      <c r="X445" t="str" cm="1">
        <f t="array" ref="X445">_xlfn.IFS(Sales_Table[[#This Row],[Revenue]]&gt;=50000,"High",Sales_Table[[#This Row],[Revenue]]&gt;=20000,"Medium",Sales_Table[[#This Row],[Revenue]]&lt;20000,"Low")</f>
        <v>Medium</v>
      </c>
      <c r="Y445" t="str">
        <f>IF(Sales_Table[[#This Row],[Payment Method_clean]]="cash","Offline","Online")</f>
        <v>Offline</v>
      </c>
      <c r="Z445">
        <f>IFERROR(Sales_Table[[#This Row],[Revenue]],0)</f>
        <v>45528</v>
      </c>
    </row>
    <row r="446" spans="1:26" x14ac:dyDescent="0.3">
      <c r="A446">
        <v>445</v>
      </c>
      <c r="B446" s="2">
        <f t="shared" si="42"/>
        <v>45310.5</v>
      </c>
      <c r="C446" t="s">
        <v>1274</v>
      </c>
      <c r="D446" t="s">
        <v>36</v>
      </c>
      <c r="E446" t="str">
        <f>PROPER(TRIM(CLEAN(Sales_Table[[#This Row],[Region]])))</f>
        <v>West</v>
      </c>
      <c r="F446" t="s">
        <v>37</v>
      </c>
      <c r="G446" t="str">
        <f t="shared" si="43"/>
        <v>Home Appliances</v>
      </c>
      <c r="H446" t="str">
        <f>PROPER(TRIM(CLEAN(Sales_Table[[#This Row],[Product Name]])))</f>
        <v>Washing Machine</v>
      </c>
      <c r="I446" t="s">
        <v>79</v>
      </c>
      <c r="J446" t="str">
        <f t="shared" si="44"/>
        <v>CUST0406</v>
      </c>
      <c r="K446" t="s">
        <v>720</v>
      </c>
      <c r="L446" t="str">
        <f>PROPER(TRIM(CLEAN(Sales_Table[[#This Row],[Salesperson]])))</f>
        <v>Rahul</v>
      </c>
      <c r="M446" t="s">
        <v>31</v>
      </c>
      <c r="N446" t="str">
        <f t="shared" si="45"/>
        <v>Credit Card</v>
      </c>
      <c r="O446" t="s">
        <v>65</v>
      </c>
      <c r="P446">
        <f t="shared" si="46"/>
        <v>7</v>
      </c>
      <c r="Q446" t="s">
        <v>49</v>
      </c>
      <c r="R446">
        <f t="shared" si="47"/>
        <v>2450</v>
      </c>
      <c r="S446" t="s">
        <v>1275</v>
      </c>
      <c r="T446">
        <f t="shared" si="48"/>
        <v>17150</v>
      </c>
      <c r="U446">
        <f>YEAR(Sales_Table[[#This Row],[Date_clean]])</f>
        <v>2024</v>
      </c>
      <c r="V446" t="str">
        <f>TEXT(Sales_Table[[#This Row],[Date_clean]],"mmmm")</f>
        <v>January</v>
      </c>
      <c r="W446">
        <f>WEEKNUM(Sales_Table[[#This Row],[Date_clean]],2)</f>
        <v>3</v>
      </c>
      <c r="X446" t="str" cm="1">
        <f t="array" ref="X446">_xlfn.IFS(Sales_Table[[#This Row],[Revenue]]&gt;=50000,"High",Sales_Table[[#This Row],[Revenue]]&gt;=20000,"Medium",Sales_Table[[#This Row],[Revenue]]&lt;20000,"Low")</f>
        <v>Low</v>
      </c>
      <c r="Y446" t="str">
        <f>IF(Sales_Table[[#This Row],[Payment Method_clean]]="cash","Offline","Online")</f>
        <v>Online</v>
      </c>
      <c r="Z446">
        <f>IFERROR(Sales_Table[[#This Row],[Revenue]],0)</f>
        <v>17150</v>
      </c>
    </row>
    <row r="447" spans="1:26" x14ac:dyDescent="0.3">
      <c r="A447">
        <v>446</v>
      </c>
      <c r="B447" s="2">
        <f t="shared" si="42"/>
        <v>45310.541666666664</v>
      </c>
      <c r="C447" t="s">
        <v>1276</v>
      </c>
      <c r="D447" t="s">
        <v>27</v>
      </c>
      <c r="E447" t="str">
        <f>PROPER(TRIM(CLEAN(Sales_Table[[#This Row],[Region]])))</f>
        <v>East</v>
      </c>
      <c r="F447" t="s">
        <v>78</v>
      </c>
      <c r="G447" t="str">
        <f t="shared" si="43"/>
        <v>Grocery</v>
      </c>
      <c r="H447" t="str">
        <f>PROPER(TRIM(CLEAN(Sales_Table[[#This Row],[Product Name]])))</f>
        <v>Laptop</v>
      </c>
      <c r="I447" t="s">
        <v>52</v>
      </c>
      <c r="J447" t="str">
        <f t="shared" si="44"/>
        <v>CUST0608</v>
      </c>
      <c r="K447" t="s">
        <v>396</v>
      </c>
      <c r="L447" t="str">
        <f>PROPER(TRIM(CLEAN(Sales_Table[[#This Row],[Salesperson]])))</f>
        <v>Rahul</v>
      </c>
      <c r="M447" t="s">
        <v>31</v>
      </c>
      <c r="N447" t="str">
        <f t="shared" si="45"/>
        <v>Net Banking</v>
      </c>
      <c r="O447" t="s">
        <v>60</v>
      </c>
      <c r="P447">
        <f t="shared" si="46"/>
        <v>1</v>
      </c>
      <c r="Q447" t="s">
        <v>93</v>
      </c>
      <c r="R447">
        <f t="shared" si="47"/>
        <v>4307</v>
      </c>
      <c r="S447" t="s">
        <v>1277</v>
      </c>
      <c r="T447">
        <f t="shared" si="48"/>
        <v>4307</v>
      </c>
      <c r="U447">
        <f>YEAR(Sales_Table[[#This Row],[Date_clean]])</f>
        <v>2024</v>
      </c>
      <c r="V447" t="str">
        <f>TEXT(Sales_Table[[#This Row],[Date_clean]],"mmmm")</f>
        <v>January</v>
      </c>
      <c r="W447">
        <f>WEEKNUM(Sales_Table[[#This Row],[Date_clean]],2)</f>
        <v>3</v>
      </c>
      <c r="X447" t="str" cm="1">
        <f t="array" ref="X447">_xlfn.IFS(Sales_Table[[#This Row],[Revenue]]&gt;=50000,"High",Sales_Table[[#This Row],[Revenue]]&gt;=20000,"Medium",Sales_Table[[#This Row],[Revenue]]&lt;20000,"Low")</f>
        <v>Low</v>
      </c>
      <c r="Y447" t="str">
        <f>IF(Sales_Table[[#This Row],[Payment Method_clean]]="cash","Offline","Online")</f>
        <v>Online</v>
      </c>
      <c r="Z447">
        <f>IFERROR(Sales_Table[[#This Row],[Revenue]],0)</f>
        <v>4307</v>
      </c>
    </row>
    <row r="448" spans="1:26" x14ac:dyDescent="0.3">
      <c r="A448">
        <v>447</v>
      </c>
      <c r="B448" s="2">
        <f t="shared" si="42"/>
        <v>45310.583333333336</v>
      </c>
      <c r="C448" t="s">
        <v>1278</v>
      </c>
      <c r="D448" t="s">
        <v>27</v>
      </c>
      <c r="E448" t="str">
        <f>PROPER(TRIM(CLEAN(Sales_Table[[#This Row],[Region]])))</f>
        <v>East</v>
      </c>
      <c r="F448" t="s">
        <v>78</v>
      </c>
      <c r="G448" t="str">
        <f t="shared" si="43"/>
        <v>Grocery</v>
      </c>
      <c r="H448" t="str">
        <f>PROPER(TRIM(CLEAN(Sales_Table[[#This Row],[Product Name]])))</f>
        <v>Rice 5Kg</v>
      </c>
      <c r="I448" t="s">
        <v>73</v>
      </c>
      <c r="J448" t="str">
        <f t="shared" si="44"/>
        <v>CUST0422</v>
      </c>
      <c r="K448" t="s">
        <v>1248</v>
      </c>
      <c r="L448" t="str">
        <f>PROPER(TRIM(CLEAN(Sales_Table[[#This Row],[Salesperson]])))</f>
        <v>Anita</v>
      </c>
      <c r="M448" t="s">
        <v>64</v>
      </c>
      <c r="N448" t="str">
        <f t="shared" si="45"/>
        <v>Upi</v>
      </c>
      <c r="O448" t="s">
        <v>48</v>
      </c>
      <c r="P448">
        <f t="shared" si="46"/>
        <v>1</v>
      </c>
      <c r="Q448" t="s">
        <v>93</v>
      </c>
      <c r="R448">
        <f t="shared" si="47"/>
        <v>1540</v>
      </c>
      <c r="S448" t="s">
        <v>1186</v>
      </c>
      <c r="T448">
        <f t="shared" si="48"/>
        <v>1540</v>
      </c>
      <c r="U448">
        <f>YEAR(Sales_Table[[#This Row],[Date_clean]])</f>
        <v>2024</v>
      </c>
      <c r="V448" t="str">
        <f>TEXT(Sales_Table[[#This Row],[Date_clean]],"mmmm")</f>
        <v>January</v>
      </c>
      <c r="W448">
        <f>WEEKNUM(Sales_Table[[#This Row],[Date_clean]],2)</f>
        <v>3</v>
      </c>
      <c r="X448" t="str" cm="1">
        <f t="array" ref="X448">_xlfn.IFS(Sales_Table[[#This Row],[Revenue]]&gt;=50000,"High",Sales_Table[[#This Row],[Revenue]]&gt;=20000,"Medium",Sales_Table[[#This Row],[Revenue]]&lt;20000,"Low")</f>
        <v>Low</v>
      </c>
      <c r="Y448" t="str">
        <f>IF(Sales_Table[[#This Row],[Payment Method_clean]]="cash","Offline","Online")</f>
        <v>Online</v>
      </c>
      <c r="Z448">
        <f>IFERROR(Sales_Table[[#This Row],[Revenue]],0)</f>
        <v>1540</v>
      </c>
    </row>
    <row r="449" spans="1:26" x14ac:dyDescent="0.3">
      <c r="A449">
        <v>448</v>
      </c>
      <c r="B449" s="2">
        <f t="shared" si="42"/>
        <v>45310.625</v>
      </c>
      <c r="C449" t="s">
        <v>1279</v>
      </c>
      <c r="D449" t="s">
        <v>84</v>
      </c>
      <c r="E449" t="str">
        <f>PROPER(TRIM(CLEAN(Sales_Table[[#This Row],[Region]])))</f>
        <v>South</v>
      </c>
      <c r="F449" t="s">
        <v>28</v>
      </c>
      <c r="G449" t="str">
        <f t="shared" si="43"/>
        <v>Clothing</v>
      </c>
      <c r="H449" t="str">
        <f>PROPER(TRIM(CLEAN(Sales_Table[[#This Row],[Product Name]])))</f>
        <v>Laptop</v>
      </c>
      <c r="I449" t="s">
        <v>52</v>
      </c>
      <c r="J449" t="str">
        <f t="shared" si="44"/>
        <v>CUST0712</v>
      </c>
      <c r="K449" t="s">
        <v>1280</v>
      </c>
      <c r="L449" t="str">
        <f>PROPER(TRIM(CLEAN(Sales_Table[[#This Row],[Salesperson]])))</f>
        <v>Karthik</v>
      </c>
      <c r="M449" t="s">
        <v>70</v>
      </c>
      <c r="N449" t="str">
        <f t="shared" si="45"/>
        <v>Upi</v>
      </c>
      <c r="O449" t="s">
        <v>48</v>
      </c>
      <c r="P449">
        <f t="shared" si="46"/>
        <v>10</v>
      </c>
      <c r="Q449" t="s">
        <v>117</v>
      </c>
      <c r="R449">
        <f t="shared" si="47"/>
        <v>3726</v>
      </c>
      <c r="S449" t="s">
        <v>1281</v>
      </c>
      <c r="T449">
        <f t="shared" si="48"/>
        <v>37260</v>
      </c>
      <c r="U449">
        <f>YEAR(Sales_Table[[#This Row],[Date_clean]])</f>
        <v>2024</v>
      </c>
      <c r="V449" t="str">
        <f>TEXT(Sales_Table[[#This Row],[Date_clean]],"mmmm")</f>
        <v>January</v>
      </c>
      <c r="W449">
        <f>WEEKNUM(Sales_Table[[#This Row],[Date_clean]],2)</f>
        <v>3</v>
      </c>
      <c r="X449" t="str" cm="1">
        <f t="array" ref="X449">_xlfn.IFS(Sales_Table[[#This Row],[Revenue]]&gt;=50000,"High",Sales_Table[[#This Row],[Revenue]]&gt;=20000,"Medium",Sales_Table[[#This Row],[Revenue]]&lt;20000,"Low")</f>
        <v>Medium</v>
      </c>
      <c r="Y449" t="str">
        <f>IF(Sales_Table[[#This Row],[Payment Method_clean]]="cash","Offline","Online")</f>
        <v>Online</v>
      </c>
      <c r="Z449">
        <f>IFERROR(Sales_Table[[#This Row],[Revenue]],0)</f>
        <v>37260</v>
      </c>
    </row>
    <row r="450" spans="1:26" x14ac:dyDescent="0.3">
      <c r="A450">
        <v>449</v>
      </c>
      <c r="B450" s="2">
        <f t="shared" si="42"/>
        <v>45310.666666666664</v>
      </c>
      <c r="C450" t="s">
        <v>1282</v>
      </c>
      <c r="D450" t="s">
        <v>27</v>
      </c>
      <c r="E450" t="str">
        <f>PROPER(TRIM(CLEAN(Sales_Table[[#This Row],[Region]])))</f>
        <v>East</v>
      </c>
      <c r="F450" t="s">
        <v>37</v>
      </c>
      <c r="G450" t="str">
        <f t="shared" si="43"/>
        <v>Home Appliances</v>
      </c>
      <c r="H450" t="str">
        <f>PROPER(TRIM(CLEAN(Sales_Table[[#This Row],[Product Name]])))</f>
        <v>Rice 5Kg</v>
      </c>
      <c r="I450" t="s">
        <v>73</v>
      </c>
      <c r="J450" t="str">
        <f t="shared" si="44"/>
        <v>CUST0247</v>
      </c>
      <c r="K450" t="s">
        <v>1089</v>
      </c>
      <c r="L450" t="str">
        <f>PROPER(TRIM(CLEAN(Sales_Table[[#This Row],[Salesperson]])))</f>
        <v>Anita</v>
      </c>
      <c r="M450" t="s">
        <v>64</v>
      </c>
      <c r="N450" t="str">
        <f t="shared" si="45"/>
        <v>Upi</v>
      </c>
      <c r="O450" t="s">
        <v>48</v>
      </c>
      <c r="P450">
        <f t="shared" si="46"/>
        <v>2</v>
      </c>
      <c r="Q450" t="s">
        <v>196</v>
      </c>
      <c r="R450">
        <f t="shared" si="47"/>
        <v>1982</v>
      </c>
      <c r="S450" t="s">
        <v>1283</v>
      </c>
      <c r="T450">
        <f t="shared" si="48"/>
        <v>3964</v>
      </c>
      <c r="U450">
        <f>YEAR(Sales_Table[[#This Row],[Date_clean]])</f>
        <v>2024</v>
      </c>
      <c r="V450" t="str">
        <f>TEXT(Sales_Table[[#This Row],[Date_clean]],"mmmm")</f>
        <v>January</v>
      </c>
      <c r="W450">
        <f>WEEKNUM(Sales_Table[[#This Row],[Date_clean]],2)</f>
        <v>3</v>
      </c>
      <c r="X450" t="str" cm="1">
        <f t="array" ref="X450">_xlfn.IFS(Sales_Table[[#This Row],[Revenue]]&gt;=50000,"High",Sales_Table[[#This Row],[Revenue]]&gt;=20000,"Medium",Sales_Table[[#This Row],[Revenue]]&lt;20000,"Low")</f>
        <v>Low</v>
      </c>
      <c r="Y450" t="str">
        <f>IF(Sales_Table[[#This Row],[Payment Method_clean]]="cash","Offline","Online")</f>
        <v>Online</v>
      </c>
      <c r="Z450">
        <f>IFERROR(Sales_Table[[#This Row],[Revenue]],0)</f>
        <v>3964</v>
      </c>
    </row>
    <row r="451" spans="1:26" x14ac:dyDescent="0.3">
      <c r="A451">
        <v>450</v>
      </c>
      <c r="B451" s="2">
        <f t="shared" ref="B451:B514" si="49">DATEVALUE(LEFT(C451,10))+TIMEVALUE(MID(C451,12,8))</f>
        <v>45310.708333333336</v>
      </c>
      <c r="C451" t="s">
        <v>1284</v>
      </c>
      <c r="D451" t="s">
        <v>84</v>
      </c>
      <c r="E451" t="str">
        <f>PROPER(TRIM(CLEAN(Sales_Table[[#This Row],[Region]])))</f>
        <v>South</v>
      </c>
      <c r="F451" t="s">
        <v>78</v>
      </c>
      <c r="G451" t="str">
        <f t="shared" ref="G451:G514" si="50">PROPER(TRIM(CLEAN(F451)))</f>
        <v>Grocery</v>
      </c>
      <c r="H451" t="str">
        <f>PROPER(TRIM(CLEAN(Sales_Table[[#This Row],[Product Name]])))</f>
        <v>Laptop</v>
      </c>
      <c r="I451" t="s">
        <v>52</v>
      </c>
      <c r="J451" t="str">
        <f t="shared" ref="J451:J514" si="51">TRIM(K451)</f>
        <v>CUST0072</v>
      </c>
      <c r="K451" t="s">
        <v>1234</v>
      </c>
      <c r="L451" t="str">
        <f>PROPER(TRIM(CLEAN(Sales_Table[[#This Row],[Salesperson]])))</f>
        <v>Meena</v>
      </c>
      <c r="M451" t="s">
        <v>40</v>
      </c>
      <c r="N451" t="str">
        <f t="shared" ref="N451:N514" si="52">PROPER(TRIM(O451))</f>
        <v>Net Banking</v>
      </c>
      <c r="O451" t="s">
        <v>60</v>
      </c>
      <c r="P451">
        <f t="shared" ref="P451:P514" si="53">VALUE(Q451)</f>
        <v>10</v>
      </c>
      <c r="Q451" t="s">
        <v>117</v>
      </c>
      <c r="R451">
        <f t="shared" ref="R451:R514" si="54">VALUE(S451)</f>
        <v>3811</v>
      </c>
      <c r="S451" t="s">
        <v>1285</v>
      </c>
      <c r="T451">
        <f t="shared" ref="T451:T514" si="55">P451*R451</f>
        <v>38110</v>
      </c>
      <c r="U451">
        <f>YEAR(Sales_Table[[#This Row],[Date_clean]])</f>
        <v>2024</v>
      </c>
      <c r="V451" t="str">
        <f>TEXT(Sales_Table[[#This Row],[Date_clean]],"mmmm")</f>
        <v>January</v>
      </c>
      <c r="W451">
        <f>WEEKNUM(Sales_Table[[#This Row],[Date_clean]],2)</f>
        <v>3</v>
      </c>
      <c r="X451" t="str" cm="1">
        <f t="array" ref="X451">_xlfn.IFS(Sales_Table[[#This Row],[Revenue]]&gt;=50000,"High",Sales_Table[[#This Row],[Revenue]]&gt;=20000,"Medium",Sales_Table[[#This Row],[Revenue]]&lt;20000,"Low")</f>
        <v>Medium</v>
      </c>
      <c r="Y451" t="str">
        <f>IF(Sales_Table[[#This Row],[Payment Method_clean]]="cash","Offline","Online")</f>
        <v>Online</v>
      </c>
      <c r="Z451">
        <f>IFERROR(Sales_Table[[#This Row],[Revenue]],0)</f>
        <v>38110</v>
      </c>
    </row>
    <row r="452" spans="1:26" x14ac:dyDescent="0.3">
      <c r="A452">
        <v>451</v>
      </c>
      <c r="B452" s="2">
        <f t="shared" si="49"/>
        <v>45310.75</v>
      </c>
      <c r="C452" t="s">
        <v>1286</v>
      </c>
      <c r="D452" t="s">
        <v>84</v>
      </c>
      <c r="E452" t="str">
        <f>PROPER(TRIM(CLEAN(Sales_Table[[#This Row],[Region]])))</f>
        <v>South</v>
      </c>
      <c r="F452" t="s">
        <v>28</v>
      </c>
      <c r="G452" t="str">
        <f t="shared" si="50"/>
        <v>Clothing</v>
      </c>
      <c r="H452" t="str">
        <f>PROPER(TRIM(CLEAN(Sales_Table[[#This Row],[Product Name]])))</f>
        <v>Men T-Shirt</v>
      </c>
      <c r="I452" t="s">
        <v>38</v>
      </c>
      <c r="J452" t="str">
        <f t="shared" si="51"/>
        <v>CUST0185</v>
      </c>
      <c r="K452" t="s">
        <v>1287</v>
      </c>
      <c r="L452" t="str">
        <f>PROPER(TRIM(CLEAN(Sales_Table[[#This Row],[Salesperson]])))</f>
        <v>Rahul</v>
      </c>
      <c r="M452" t="s">
        <v>31</v>
      </c>
      <c r="N452" t="str">
        <f t="shared" si="52"/>
        <v>Net Banking</v>
      </c>
      <c r="O452" t="s">
        <v>60</v>
      </c>
      <c r="P452">
        <f t="shared" si="53"/>
        <v>3</v>
      </c>
      <c r="Q452" t="s">
        <v>66</v>
      </c>
      <c r="R452">
        <f t="shared" si="54"/>
        <v>284</v>
      </c>
      <c r="S452" t="s">
        <v>1288</v>
      </c>
      <c r="T452">
        <f t="shared" si="55"/>
        <v>852</v>
      </c>
      <c r="U452">
        <f>YEAR(Sales_Table[[#This Row],[Date_clean]])</f>
        <v>2024</v>
      </c>
      <c r="V452" t="str">
        <f>TEXT(Sales_Table[[#This Row],[Date_clean]],"mmmm")</f>
        <v>January</v>
      </c>
      <c r="W452">
        <f>WEEKNUM(Sales_Table[[#This Row],[Date_clean]],2)</f>
        <v>3</v>
      </c>
      <c r="X452" t="str" cm="1">
        <f t="array" ref="X452">_xlfn.IFS(Sales_Table[[#This Row],[Revenue]]&gt;=50000,"High",Sales_Table[[#This Row],[Revenue]]&gt;=20000,"Medium",Sales_Table[[#This Row],[Revenue]]&lt;20000,"Low")</f>
        <v>Low</v>
      </c>
      <c r="Y452" t="str">
        <f>IF(Sales_Table[[#This Row],[Payment Method_clean]]="cash","Offline","Online")</f>
        <v>Online</v>
      </c>
      <c r="Z452">
        <f>IFERROR(Sales_Table[[#This Row],[Revenue]],0)</f>
        <v>852</v>
      </c>
    </row>
    <row r="453" spans="1:26" x14ac:dyDescent="0.3">
      <c r="A453">
        <v>452</v>
      </c>
      <c r="B453" s="2">
        <f t="shared" si="49"/>
        <v>45310.791666666664</v>
      </c>
      <c r="C453" t="s">
        <v>1289</v>
      </c>
      <c r="D453" t="s">
        <v>84</v>
      </c>
      <c r="E453" t="str">
        <f>PROPER(TRIM(CLEAN(Sales_Table[[#This Row],[Region]])))</f>
        <v>South</v>
      </c>
      <c r="F453" t="s">
        <v>37</v>
      </c>
      <c r="G453" t="str">
        <f t="shared" si="50"/>
        <v>Home Appliances</v>
      </c>
      <c r="H453" t="str">
        <f>PROPER(TRIM(CLEAN(Sales_Table[[#This Row],[Product Name]])))</f>
        <v>Mixer Grinder</v>
      </c>
      <c r="I453" t="s">
        <v>29</v>
      </c>
      <c r="J453" t="str">
        <f t="shared" si="51"/>
        <v>CUST0006</v>
      </c>
      <c r="K453" t="s">
        <v>1290</v>
      </c>
      <c r="L453" t="str">
        <f>PROPER(TRIM(CLEAN(Sales_Table[[#This Row],[Salesperson]])))</f>
        <v>Meena</v>
      </c>
      <c r="M453" t="s">
        <v>40</v>
      </c>
      <c r="N453" t="str">
        <f t="shared" si="52"/>
        <v>Net Banking</v>
      </c>
      <c r="O453" t="s">
        <v>60</v>
      </c>
      <c r="P453">
        <f t="shared" si="53"/>
        <v>12</v>
      </c>
      <c r="Q453" t="s">
        <v>33</v>
      </c>
      <c r="R453">
        <f t="shared" si="54"/>
        <v>320</v>
      </c>
      <c r="S453" t="s">
        <v>1291</v>
      </c>
      <c r="T453">
        <f t="shared" si="55"/>
        <v>3840</v>
      </c>
      <c r="U453">
        <f>YEAR(Sales_Table[[#This Row],[Date_clean]])</f>
        <v>2024</v>
      </c>
      <c r="V453" t="str">
        <f>TEXT(Sales_Table[[#This Row],[Date_clean]],"mmmm")</f>
        <v>January</v>
      </c>
      <c r="W453">
        <f>WEEKNUM(Sales_Table[[#This Row],[Date_clean]],2)</f>
        <v>3</v>
      </c>
      <c r="X453" t="str" cm="1">
        <f t="array" ref="X453">_xlfn.IFS(Sales_Table[[#This Row],[Revenue]]&gt;=50000,"High",Sales_Table[[#This Row],[Revenue]]&gt;=20000,"Medium",Sales_Table[[#This Row],[Revenue]]&lt;20000,"Low")</f>
        <v>Low</v>
      </c>
      <c r="Y453" t="str">
        <f>IF(Sales_Table[[#This Row],[Payment Method_clean]]="cash","Offline","Online")</f>
        <v>Online</v>
      </c>
      <c r="Z453">
        <f>IFERROR(Sales_Table[[#This Row],[Revenue]],0)</f>
        <v>3840</v>
      </c>
    </row>
    <row r="454" spans="1:26" x14ac:dyDescent="0.3">
      <c r="A454">
        <v>453</v>
      </c>
      <c r="B454" s="2">
        <f t="shared" si="49"/>
        <v>45310.833333333336</v>
      </c>
      <c r="C454" t="s">
        <v>1292</v>
      </c>
      <c r="D454" t="s">
        <v>84</v>
      </c>
      <c r="E454" t="str">
        <f>PROPER(TRIM(CLEAN(Sales_Table[[#This Row],[Region]])))</f>
        <v>South</v>
      </c>
      <c r="F454" t="s">
        <v>46</v>
      </c>
      <c r="G454" t="str">
        <f t="shared" si="50"/>
        <v>Electronics</v>
      </c>
      <c r="H454" t="str">
        <f>PROPER(TRIM(CLEAN(Sales_Table[[#This Row],[Product Name]])))</f>
        <v>Mixer Grinder</v>
      </c>
      <c r="I454" t="s">
        <v>29</v>
      </c>
      <c r="J454" t="str">
        <f t="shared" si="51"/>
        <v>CUST0206</v>
      </c>
      <c r="K454" t="s">
        <v>1293</v>
      </c>
      <c r="L454" t="str">
        <f>PROPER(TRIM(CLEAN(Sales_Table[[#This Row],[Salesperson]])))</f>
        <v>Meena</v>
      </c>
      <c r="M454" t="s">
        <v>40</v>
      </c>
      <c r="N454" t="str">
        <f t="shared" si="52"/>
        <v>Cash</v>
      </c>
      <c r="O454" t="s">
        <v>32</v>
      </c>
      <c r="P454">
        <f t="shared" si="53"/>
        <v>1</v>
      </c>
      <c r="Q454" t="s">
        <v>93</v>
      </c>
      <c r="R454">
        <f t="shared" si="54"/>
        <v>3288</v>
      </c>
      <c r="S454" t="s">
        <v>1294</v>
      </c>
      <c r="T454">
        <f t="shared" si="55"/>
        <v>3288</v>
      </c>
      <c r="U454">
        <f>YEAR(Sales_Table[[#This Row],[Date_clean]])</f>
        <v>2024</v>
      </c>
      <c r="V454" t="str">
        <f>TEXT(Sales_Table[[#This Row],[Date_clean]],"mmmm")</f>
        <v>January</v>
      </c>
      <c r="W454">
        <f>WEEKNUM(Sales_Table[[#This Row],[Date_clean]],2)</f>
        <v>3</v>
      </c>
      <c r="X454" t="str" cm="1">
        <f t="array" ref="X454">_xlfn.IFS(Sales_Table[[#This Row],[Revenue]]&gt;=50000,"High",Sales_Table[[#This Row],[Revenue]]&gt;=20000,"Medium",Sales_Table[[#This Row],[Revenue]]&lt;20000,"Low")</f>
        <v>Low</v>
      </c>
      <c r="Y454" t="str">
        <f>IF(Sales_Table[[#This Row],[Payment Method_clean]]="cash","Offline","Online")</f>
        <v>Offline</v>
      </c>
      <c r="Z454">
        <f>IFERROR(Sales_Table[[#This Row],[Revenue]],0)</f>
        <v>3288</v>
      </c>
    </row>
    <row r="455" spans="1:26" x14ac:dyDescent="0.3">
      <c r="A455">
        <v>454</v>
      </c>
      <c r="B455" s="2">
        <f t="shared" si="49"/>
        <v>45310.875</v>
      </c>
      <c r="C455" t="s">
        <v>1295</v>
      </c>
      <c r="D455" t="s">
        <v>84</v>
      </c>
      <c r="E455" t="str">
        <f>PROPER(TRIM(CLEAN(Sales_Table[[#This Row],[Region]])))</f>
        <v>South</v>
      </c>
      <c r="F455" t="s">
        <v>28</v>
      </c>
      <c r="G455" t="str">
        <f t="shared" si="50"/>
        <v>Clothing</v>
      </c>
      <c r="H455" t="str">
        <f>PROPER(TRIM(CLEAN(Sales_Table[[#This Row],[Product Name]])))</f>
        <v>Rice 5Kg</v>
      </c>
      <c r="I455" t="s">
        <v>73</v>
      </c>
      <c r="J455" t="str">
        <f t="shared" si="51"/>
        <v>CUST0544</v>
      </c>
      <c r="K455" t="s">
        <v>1296</v>
      </c>
      <c r="L455" t="str">
        <f>PROPER(TRIM(CLEAN(Sales_Table[[#This Row],[Salesperson]])))</f>
        <v>Suresh</v>
      </c>
      <c r="M455" t="s">
        <v>54</v>
      </c>
      <c r="N455" t="str">
        <f t="shared" si="52"/>
        <v>Credit Card</v>
      </c>
      <c r="O455" t="s">
        <v>65</v>
      </c>
      <c r="P455">
        <f t="shared" si="53"/>
        <v>14</v>
      </c>
      <c r="Q455" t="s">
        <v>55</v>
      </c>
      <c r="R455">
        <f t="shared" si="54"/>
        <v>1193</v>
      </c>
      <c r="S455" t="s">
        <v>1297</v>
      </c>
      <c r="T455">
        <f t="shared" si="55"/>
        <v>16702</v>
      </c>
      <c r="U455">
        <f>YEAR(Sales_Table[[#This Row],[Date_clean]])</f>
        <v>2024</v>
      </c>
      <c r="V455" t="str">
        <f>TEXT(Sales_Table[[#This Row],[Date_clean]],"mmmm")</f>
        <v>January</v>
      </c>
      <c r="W455">
        <f>WEEKNUM(Sales_Table[[#This Row],[Date_clean]],2)</f>
        <v>3</v>
      </c>
      <c r="X455" t="str" cm="1">
        <f t="array" ref="X455">_xlfn.IFS(Sales_Table[[#This Row],[Revenue]]&gt;=50000,"High",Sales_Table[[#This Row],[Revenue]]&gt;=20000,"Medium",Sales_Table[[#This Row],[Revenue]]&lt;20000,"Low")</f>
        <v>Low</v>
      </c>
      <c r="Y455" t="str">
        <f>IF(Sales_Table[[#This Row],[Payment Method_clean]]="cash","Offline","Online")</f>
        <v>Online</v>
      </c>
      <c r="Z455">
        <f>IFERROR(Sales_Table[[#This Row],[Revenue]],0)</f>
        <v>16702</v>
      </c>
    </row>
    <row r="456" spans="1:26" x14ac:dyDescent="0.3">
      <c r="A456">
        <v>455</v>
      </c>
      <c r="B456" s="2">
        <f t="shared" si="49"/>
        <v>45310.916666666664</v>
      </c>
      <c r="C456" t="s">
        <v>1298</v>
      </c>
      <c r="D456" t="s">
        <v>45</v>
      </c>
      <c r="E456" t="str">
        <f>PROPER(TRIM(CLEAN(Sales_Table[[#This Row],[Region]])))</f>
        <v>North</v>
      </c>
      <c r="F456" t="s">
        <v>78</v>
      </c>
      <c r="G456" t="str">
        <f t="shared" si="50"/>
        <v>Grocery</v>
      </c>
      <c r="H456" t="str">
        <f>PROPER(TRIM(CLEAN(Sales_Table[[#This Row],[Product Name]])))</f>
        <v>Led Tv 42Inch</v>
      </c>
      <c r="I456" t="s">
        <v>58</v>
      </c>
      <c r="J456" t="str">
        <f t="shared" si="51"/>
        <v>CUST0611</v>
      </c>
      <c r="K456" t="s">
        <v>1299</v>
      </c>
      <c r="L456" t="str">
        <f>PROPER(TRIM(CLEAN(Sales_Table[[#This Row],[Salesperson]])))</f>
        <v>Suresh</v>
      </c>
      <c r="M456" t="s">
        <v>54</v>
      </c>
      <c r="N456" t="str">
        <f t="shared" si="52"/>
        <v>Upi</v>
      </c>
      <c r="O456" t="s">
        <v>48</v>
      </c>
      <c r="P456">
        <f t="shared" si="53"/>
        <v>5</v>
      </c>
      <c r="Q456" t="s">
        <v>89</v>
      </c>
      <c r="R456">
        <f t="shared" si="54"/>
        <v>3045</v>
      </c>
      <c r="S456" t="s">
        <v>1300</v>
      </c>
      <c r="T456">
        <f t="shared" si="55"/>
        <v>15225</v>
      </c>
      <c r="U456">
        <f>YEAR(Sales_Table[[#This Row],[Date_clean]])</f>
        <v>2024</v>
      </c>
      <c r="V456" t="str">
        <f>TEXT(Sales_Table[[#This Row],[Date_clean]],"mmmm")</f>
        <v>January</v>
      </c>
      <c r="W456">
        <f>WEEKNUM(Sales_Table[[#This Row],[Date_clean]],2)</f>
        <v>3</v>
      </c>
      <c r="X456" t="str" cm="1">
        <f t="array" ref="X456">_xlfn.IFS(Sales_Table[[#This Row],[Revenue]]&gt;=50000,"High",Sales_Table[[#This Row],[Revenue]]&gt;=20000,"Medium",Sales_Table[[#This Row],[Revenue]]&lt;20000,"Low")</f>
        <v>Low</v>
      </c>
      <c r="Y456" t="str">
        <f>IF(Sales_Table[[#This Row],[Payment Method_clean]]="cash","Offline","Online")</f>
        <v>Online</v>
      </c>
      <c r="Z456">
        <f>IFERROR(Sales_Table[[#This Row],[Revenue]],0)</f>
        <v>15225</v>
      </c>
    </row>
    <row r="457" spans="1:26" x14ac:dyDescent="0.3">
      <c r="A457">
        <v>456</v>
      </c>
      <c r="B457" s="2">
        <f t="shared" si="49"/>
        <v>45310.958333333336</v>
      </c>
      <c r="C457" t="s">
        <v>1301</v>
      </c>
      <c r="D457" t="s">
        <v>27</v>
      </c>
      <c r="E457" t="str">
        <f>PROPER(TRIM(CLEAN(Sales_Table[[#This Row],[Region]])))</f>
        <v>East</v>
      </c>
      <c r="F457" t="s">
        <v>78</v>
      </c>
      <c r="G457" t="str">
        <f t="shared" si="50"/>
        <v>Grocery</v>
      </c>
      <c r="H457" t="str">
        <f>PROPER(TRIM(CLEAN(Sales_Table[[#This Row],[Product Name]])))</f>
        <v>Washing Machine</v>
      </c>
      <c r="I457" t="s">
        <v>79</v>
      </c>
      <c r="J457" t="str">
        <f t="shared" si="51"/>
        <v>CUST0387</v>
      </c>
      <c r="K457" t="s">
        <v>1302</v>
      </c>
      <c r="L457" t="str">
        <f>PROPER(TRIM(CLEAN(Sales_Table[[#This Row],[Salesperson]])))</f>
        <v>Meena</v>
      </c>
      <c r="M457" t="s">
        <v>40</v>
      </c>
      <c r="N457" t="str">
        <f t="shared" si="52"/>
        <v>Cash</v>
      </c>
      <c r="O457" t="s">
        <v>32</v>
      </c>
      <c r="P457">
        <f t="shared" si="53"/>
        <v>3</v>
      </c>
      <c r="Q457" t="s">
        <v>66</v>
      </c>
      <c r="R457">
        <f t="shared" si="54"/>
        <v>2574</v>
      </c>
      <c r="S457" t="s">
        <v>1303</v>
      </c>
      <c r="T457">
        <f t="shared" si="55"/>
        <v>7722</v>
      </c>
      <c r="U457">
        <f>YEAR(Sales_Table[[#This Row],[Date_clean]])</f>
        <v>2024</v>
      </c>
      <c r="V457" t="str">
        <f>TEXT(Sales_Table[[#This Row],[Date_clean]],"mmmm")</f>
        <v>January</v>
      </c>
      <c r="W457">
        <f>WEEKNUM(Sales_Table[[#This Row],[Date_clean]],2)</f>
        <v>3</v>
      </c>
      <c r="X457" t="str" cm="1">
        <f t="array" ref="X457">_xlfn.IFS(Sales_Table[[#This Row],[Revenue]]&gt;=50000,"High",Sales_Table[[#This Row],[Revenue]]&gt;=20000,"Medium",Sales_Table[[#This Row],[Revenue]]&lt;20000,"Low")</f>
        <v>Low</v>
      </c>
      <c r="Y457" t="str">
        <f>IF(Sales_Table[[#This Row],[Payment Method_clean]]="cash","Offline","Online")</f>
        <v>Offline</v>
      </c>
      <c r="Z457">
        <f>IFERROR(Sales_Table[[#This Row],[Revenue]],0)</f>
        <v>7722</v>
      </c>
    </row>
    <row r="458" spans="1:26" x14ac:dyDescent="0.3">
      <c r="A458">
        <v>457</v>
      </c>
      <c r="B458" s="2">
        <f t="shared" si="49"/>
        <v>45311</v>
      </c>
      <c r="C458" t="s">
        <v>1304</v>
      </c>
      <c r="D458" t="s">
        <v>84</v>
      </c>
      <c r="E458" t="str">
        <f>PROPER(TRIM(CLEAN(Sales_Table[[#This Row],[Region]])))</f>
        <v>South</v>
      </c>
      <c r="F458" t="s">
        <v>28</v>
      </c>
      <c r="G458" t="str">
        <f t="shared" si="50"/>
        <v>Clothing</v>
      </c>
      <c r="H458" t="str">
        <f>PROPER(TRIM(CLEAN(Sales_Table[[#This Row],[Product Name]])))</f>
        <v>Washing Machine</v>
      </c>
      <c r="I458" t="s">
        <v>79</v>
      </c>
      <c r="J458" t="str">
        <f t="shared" si="51"/>
        <v>CUST0768</v>
      </c>
      <c r="K458" t="s">
        <v>459</v>
      </c>
      <c r="L458" t="str">
        <f>PROPER(TRIM(CLEAN(Sales_Table[[#This Row],[Salesperson]])))</f>
        <v>Rahul</v>
      </c>
      <c r="M458" t="s">
        <v>31</v>
      </c>
      <c r="N458" t="str">
        <f t="shared" si="52"/>
        <v>Upi</v>
      </c>
      <c r="O458" t="s">
        <v>48</v>
      </c>
      <c r="P458">
        <f t="shared" si="53"/>
        <v>1</v>
      </c>
      <c r="Q458" t="s">
        <v>93</v>
      </c>
      <c r="R458">
        <f t="shared" si="54"/>
        <v>2715</v>
      </c>
      <c r="S458" t="s">
        <v>1305</v>
      </c>
      <c r="T458">
        <f t="shared" si="55"/>
        <v>2715</v>
      </c>
      <c r="U458">
        <f>YEAR(Sales_Table[[#This Row],[Date_clean]])</f>
        <v>2024</v>
      </c>
      <c r="V458" t="str">
        <f>TEXT(Sales_Table[[#This Row],[Date_clean]],"mmmm")</f>
        <v>January</v>
      </c>
      <c r="W458">
        <f>WEEKNUM(Sales_Table[[#This Row],[Date_clean]],2)</f>
        <v>3</v>
      </c>
      <c r="X458" t="str" cm="1">
        <f t="array" ref="X458">_xlfn.IFS(Sales_Table[[#This Row],[Revenue]]&gt;=50000,"High",Sales_Table[[#This Row],[Revenue]]&gt;=20000,"Medium",Sales_Table[[#This Row],[Revenue]]&lt;20000,"Low")</f>
        <v>Low</v>
      </c>
      <c r="Y458" t="str">
        <f>IF(Sales_Table[[#This Row],[Payment Method_clean]]="cash","Offline","Online")</f>
        <v>Online</v>
      </c>
      <c r="Z458">
        <f>IFERROR(Sales_Table[[#This Row],[Revenue]],0)</f>
        <v>2715</v>
      </c>
    </row>
    <row r="459" spans="1:26" x14ac:dyDescent="0.3">
      <c r="A459">
        <v>458</v>
      </c>
      <c r="B459" s="2">
        <f t="shared" si="49"/>
        <v>45311.041666666664</v>
      </c>
      <c r="C459" t="s">
        <v>1306</v>
      </c>
      <c r="D459" t="s">
        <v>36</v>
      </c>
      <c r="E459" t="str">
        <f>PROPER(TRIM(CLEAN(Sales_Table[[#This Row],[Region]])))</f>
        <v>West</v>
      </c>
      <c r="F459" t="s">
        <v>28</v>
      </c>
      <c r="G459" t="str">
        <f t="shared" si="50"/>
        <v>Clothing</v>
      </c>
      <c r="H459" t="str">
        <f>PROPER(TRIM(CLEAN(Sales_Table[[#This Row],[Product Name]])))</f>
        <v>Rice 5Kg</v>
      </c>
      <c r="I459" t="s">
        <v>73</v>
      </c>
      <c r="J459" t="str">
        <f t="shared" si="51"/>
        <v>CUST0699</v>
      </c>
      <c r="K459" t="s">
        <v>425</v>
      </c>
      <c r="L459" t="str">
        <f>PROPER(TRIM(CLEAN(Sales_Table[[#This Row],[Salesperson]])))</f>
        <v>Meena</v>
      </c>
      <c r="M459" t="s">
        <v>40</v>
      </c>
      <c r="N459" t="str">
        <f t="shared" si="52"/>
        <v>Cash</v>
      </c>
      <c r="O459" t="s">
        <v>32</v>
      </c>
      <c r="P459">
        <f t="shared" si="53"/>
        <v>8</v>
      </c>
      <c r="Q459" t="s">
        <v>42</v>
      </c>
      <c r="R459">
        <f t="shared" si="54"/>
        <v>2112</v>
      </c>
      <c r="S459" t="s">
        <v>1307</v>
      </c>
      <c r="T459">
        <f t="shared" si="55"/>
        <v>16896</v>
      </c>
      <c r="U459">
        <f>YEAR(Sales_Table[[#This Row],[Date_clean]])</f>
        <v>2024</v>
      </c>
      <c r="V459" t="str">
        <f>TEXT(Sales_Table[[#This Row],[Date_clean]],"mmmm")</f>
        <v>January</v>
      </c>
      <c r="W459">
        <f>WEEKNUM(Sales_Table[[#This Row],[Date_clean]],2)</f>
        <v>3</v>
      </c>
      <c r="X459" t="str" cm="1">
        <f t="array" ref="X459">_xlfn.IFS(Sales_Table[[#This Row],[Revenue]]&gt;=50000,"High",Sales_Table[[#This Row],[Revenue]]&gt;=20000,"Medium",Sales_Table[[#This Row],[Revenue]]&lt;20000,"Low")</f>
        <v>Low</v>
      </c>
      <c r="Y459" t="str">
        <f>IF(Sales_Table[[#This Row],[Payment Method_clean]]="cash","Offline","Online")</f>
        <v>Offline</v>
      </c>
      <c r="Z459">
        <f>IFERROR(Sales_Table[[#This Row],[Revenue]],0)</f>
        <v>16896</v>
      </c>
    </row>
    <row r="460" spans="1:26" x14ac:dyDescent="0.3">
      <c r="A460">
        <v>459</v>
      </c>
      <c r="B460" s="2">
        <f t="shared" si="49"/>
        <v>45311.083333333336</v>
      </c>
      <c r="C460" t="s">
        <v>1308</v>
      </c>
      <c r="D460" t="s">
        <v>27</v>
      </c>
      <c r="E460" t="str">
        <f>PROPER(TRIM(CLEAN(Sales_Table[[#This Row],[Region]])))</f>
        <v>East</v>
      </c>
      <c r="F460" t="s">
        <v>78</v>
      </c>
      <c r="G460" t="str">
        <f t="shared" si="50"/>
        <v>Grocery</v>
      </c>
      <c r="H460" t="str">
        <f>PROPER(TRIM(CLEAN(Sales_Table[[#This Row],[Product Name]])))</f>
        <v>Laptop</v>
      </c>
      <c r="I460" t="s">
        <v>52</v>
      </c>
      <c r="J460" t="str">
        <f t="shared" si="51"/>
        <v>CUST0076</v>
      </c>
      <c r="K460" t="s">
        <v>1309</v>
      </c>
      <c r="L460" t="str">
        <f>PROPER(TRIM(CLEAN(Sales_Table[[#This Row],[Salesperson]])))</f>
        <v>Suresh</v>
      </c>
      <c r="M460" t="s">
        <v>54</v>
      </c>
      <c r="N460" t="str">
        <f t="shared" si="52"/>
        <v>Net Banking</v>
      </c>
      <c r="O460" t="s">
        <v>60</v>
      </c>
      <c r="P460">
        <f t="shared" si="53"/>
        <v>12</v>
      </c>
      <c r="Q460" t="s">
        <v>33</v>
      </c>
      <c r="R460">
        <f t="shared" si="54"/>
        <v>2590</v>
      </c>
      <c r="S460" t="s">
        <v>1310</v>
      </c>
      <c r="T460">
        <f t="shared" si="55"/>
        <v>31080</v>
      </c>
      <c r="U460">
        <f>YEAR(Sales_Table[[#This Row],[Date_clean]])</f>
        <v>2024</v>
      </c>
      <c r="V460" t="str">
        <f>TEXT(Sales_Table[[#This Row],[Date_clean]],"mmmm")</f>
        <v>January</v>
      </c>
      <c r="W460">
        <f>WEEKNUM(Sales_Table[[#This Row],[Date_clean]],2)</f>
        <v>3</v>
      </c>
      <c r="X460" t="str" cm="1">
        <f t="array" ref="X460">_xlfn.IFS(Sales_Table[[#This Row],[Revenue]]&gt;=50000,"High",Sales_Table[[#This Row],[Revenue]]&gt;=20000,"Medium",Sales_Table[[#This Row],[Revenue]]&lt;20000,"Low")</f>
        <v>Medium</v>
      </c>
      <c r="Y460" t="str">
        <f>IF(Sales_Table[[#This Row],[Payment Method_clean]]="cash","Offline","Online")</f>
        <v>Online</v>
      </c>
      <c r="Z460">
        <f>IFERROR(Sales_Table[[#This Row],[Revenue]],0)</f>
        <v>31080</v>
      </c>
    </row>
    <row r="461" spans="1:26" x14ac:dyDescent="0.3">
      <c r="A461">
        <v>460</v>
      </c>
      <c r="B461" s="2">
        <f t="shared" si="49"/>
        <v>45311.125</v>
      </c>
      <c r="C461" t="s">
        <v>1311</v>
      </c>
      <c r="D461" t="s">
        <v>27</v>
      </c>
      <c r="E461" t="str">
        <f>PROPER(TRIM(CLEAN(Sales_Table[[#This Row],[Region]])))</f>
        <v>East</v>
      </c>
      <c r="F461" t="s">
        <v>46</v>
      </c>
      <c r="G461" t="str">
        <f t="shared" si="50"/>
        <v>Electronics</v>
      </c>
      <c r="H461" t="str">
        <f>PROPER(TRIM(CLEAN(Sales_Table[[#This Row],[Product Name]])))</f>
        <v>Led Tv 42Inch</v>
      </c>
      <c r="I461" t="s">
        <v>58</v>
      </c>
      <c r="J461" t="str">
        <f t="shared" si="51"/>
        <v>CUST0177</v>
      </c>
      <c r="K461" t="s">
        <v>1312</v>
      </c>
      <c r="L461" t="str">
        <f>PROPER(TRIM(CLEAN(Sales_Table[[#This Row],[Salesperson]])))</f>
        <v>Rahul</v>
      </c>
      <c r="M461" t="s">
        <v>31</v>
      </c>
      <c r="N461" t="str">
        <f t="shared" si="52"/>
        <v>Upi</v>
      </c>
      <c r="O461" t="s">
        <v>48</v>
      </c>
      <c r="P461">
        <f t="shared" si="53"/>
        <v>11</v>
      </c>
      <c r="Q461" t="s">
        <v>97</v>
      </c>
      <c r="R461">
        <f t="shared" si="54"/>
        <v>700</v>
      </c>
      <c r="S461" t="s">
        <v>1313</v>
      </c>
      <c r="T461">
        <f t="shared" si="55"/>
        <v>7700</v>
      </c>
      <c r="U461">
        <f>YEAR(Sales_Table[[#This Row],[Date_clean]])</f>
        <v>2024</v>
      </c>
      <c r="V461" t="str">
        <f>TEXT(Sales_Table[[#This Row],[Date_clean]],"mmmm")</f>
        <v>January</v>
      </c>
      <c r="W461">
        <f>WEEKNUM(Sales_Table[[#This Row],[Date_clean]],2)</f>
        <v>3</v>
      </c>
      <c r="X461" t="str" cm="1">
        <f t="array" ref="X461">_xlfn.IFS(Sales_Table[[#This Row],[Revenue]]&gt;=50000,"High",Sales_Table[[#This Row],[Revenue]]&gt;=20000,"Medium",Sales_Table[[#This Row],[Revenue]]&lt;20000,"Low")</f>
        <v>Low</v>
      </c>
      <c r="Y461" t="str">
        <f>IF(Sales_Table[[#This Row],[Payment Method_clean]]="cash","Offline","Online")</f>
        <v>Online</v>
      </c>
      <c r="Z461">
        <f>IFERROR(Sales_Table[[#This Row],[Revenue]],0)</f>
        <v>7700</v>
      </c>
    </row>
    <row r="462" spans="1:26" x14ac:dyDescent="0.3">
      <c r="A462">
        <v>461</v>
      </c>
      <c r="B462" s="2">
        <f t="shared" si="49"/>
        <v>45311.166666666664</v>
      </c>
      <c r="C462" t="s">
        <v>1314</v>
      </c>
      <c r="D462" t="s">
        <v>84</v>
      </c>
      <c r="E462" t="str">
        <f>PROPER(TRIM(CLEAN(Sales_Table[[#This Row],[Region]])))</f>
        <v>South</v>
      </c>
      <c r="F462" t="s">
        <v>37</v>
      </c>
      <c r="G462" t="str">
        <f t="shared" si="50"/>
        <v>Home Appliances</v>
      </c>
      <c r="H462" t="str">
        <f>PROPER(TRIM(CLEAN(Sales_Table[[#This Row],[Product Name]])))</f>
        <v>Men T-Shirt</v>
      </c>
      <c r="I462" t="s">
        <v>38</v>
      </c>
      <c r="J462" t="str">
        <f t="shared" si="51"/>
        <v>CUST0799</v>
      </c>
      <c r="K462" t="s">
        <v>479</v>
      </c>
      <c r="L462" t="str">
        <f>PROPER(TRIM(CLEAN(Sales_Table[[#This Row],[Salesperson]])))</f>
        <v>Meena</v>
      </c>
      <c r="M462" t="s">
        <v>40</v>
      </c>
      <c r="N462" t="str">
        <f t="shared" si="52"/>
        <v>Net Banking</v>
      </c>
      <c r="O462" t="s">
        <v>60</v>
      </c>
      <c r="P462">
        <f t="shared" si="53"/>
        <v>6</v>
      </c>
      <c r="Q462" t="s">
        <v>75</v>
      </c>
      <c r="R462">
        <f t="shared" si="54"/>
        <v>1260</v>
      </c>
      <c r="S462" t="s">
        <v>1315</v>
      </c>
      <c r="T462">
        <f t="shared" si="55"/>
        <v>7560</v>
      </c>
      <c r="U462">
        <f>YEAR(Sales_Table[[#This Row],[Date_clean]])</f>
        <v>2024</v>
      </c>
      <c r="V462" t="str">
        <f>TEXT(Sales_Table[[#This Row],[Date_clean]],"mmmm")</f>
        <v>January</v>
      </c>
      <c r="W462">
        <f>WEEKNUM(Sales_Table[[#This Row],[Date_clean]],2)</f>
        <v>3</v>
      </c>
      <c r="X462" t="str" cm="1">
        <f t="array" ref="X462">_xlfn.IFS(Sales_Table[[#This Row],[Revenue]]&gt;=50000,"High",Sales_Table[[#This Row],[Revenue]]&gt;=20000,"Medium",Sales_Table[[#This Row],[Revenue]]&lt;20000,"Low")</f>
        <v>Low</v>
      </c>
      <c r="Y462" t="str">
        <f>IF(Sales_Table[[#This Row],[Payment Method_clean]]="cash","Offline","Online")</f>
        <v>Online</v>
      </c>
      <c r="Z462">
        <f>IFERROR(Sales_Table[[#This Row],[Revenue]],0)</f>
        <v>7560</v>
      </c>
    </row>
    <row r="463" spans="1:26" x14ac:dyDescent="0.3">
      <c r="A463">
        <v>462</v>
      </c>
      <c r="B463" s="2">
        <f t="shared" si="49"/>
        <v>45311.208333333336</v>
      </c>
      <c r="C463" t="s">
        <v>1316</v>
      </c>
      <c r="D463" t="s">
        <v>45</v>
      </c>
      <c r="E463" t="str">
        <f>PROPER(TRIM(CLEAN(Sales_Table[[#This Row],[Region]])))</f>
        <v>North</v>
      </c>
      <c r="F463" t="s">
        <v>46</v>
      </c>
      <c r="G463" t="str">
        <f t="shared" si="50"/>
        <v>Electronics</v>
      </c>
      <c r="H463" t="str">
        <f>PROPER(TRIM(CLEAN(Sales_Table[[#This Row],[Product Name]])))</f>
        <v>Laptop</v>
      </c>
      <c r="I463" t="s">
        <v>52</v>
      </c>
      <c r="J463" t="str">
        <f t="shared" si="51"/>
        <v>CUST0349</v>
      </c>
      <c r="K463" t="s">
        <v>1317</v>
      </c>
      <c r="L463" t="str">
        <f>PROPER(TRIM(CLEAN(Sales_Table[[#This Row],[Salesperson]])))</f>
        <v>Karthik</v>
      </c>
      <c r="M463" t="s">
        <v>70</v>
      </c>
      <c r="N463" t="str">
        <f t="shared" si="52"/>
        <v>Upi</v>
      </c>
      <c r="O463" t="s">
        <v>48</v>
      </c>
      <c r="P463">
        <f t="shared" si="53"/>
        <v>9</v>
      </c>
      <c r="Q463" t="s">
        <v>130</v>
      </c>
      <c r="R463">
        <f t="shared" si="54"/>
        <v>4699</v>
      </c>
      <c r="S463" t="s">
        <v>1318</v>
      </c>
      <c r="T463">
        <f t="shared" si="55"/>
        <v>42291</v>
      </c>
      <c r="U463">
        <f>YEAR(Sales_Table[[#This Row],[Date_clean]])</f>
        <v>2024</v>
      </c>
      <c r="V463" t="str">
        <f>TEXT(Sales_Table[[#This Row],[Date_clean]],"mmmm")</f>
        <v>January</v>
      </c>
      <c r="W463">
        <f>WEEKNUM(Sales_Table[[#This Row],[Date_clean]],2)</f>
        <v>3</v>
      </c>
      <c r="X463" t="str" cm="1">
        <f t="array" ref="X463">_xlfn.IFS(Sales_Table[[#This Row],[Revenue]]&gt;=50000,"High",Sales_Table[[#This Row],[Revenue]]&gt;=20000,"Medium",Sales_Table[[#This Row],[Revenue]]&lt;20000,"Low")</f>
        <v>Medium</v>
      </c>
      <c r="Y463" t="str">
        <f>IF(Sales_Table[[#This Row],[Payment Method_clean]]="cash","Offline","Online")</f>
        <v>Online</v>
      </c>
      <c r="Z463">
        <f>IFERROR(Sales_Table[[#This Row],[Revenue]],0)</f>
        <v>42291</v>
      </c>
    </row>
    <row r="464" spans="1:26" x14ac:dyDescent="0.3">
      <c r="A464">
        <v>463</v>
      </c>
      <c r="B464" s="2">
        <f t="shared" si="49"/>
        <v>45311.25</v>
      </c>
      <c r="C464" t="s">
        <v>1319</v>
      </c>
      <c r="D464" t="s">
        <v>84</v>
      </c>
      <c r="E464" t="str">
        <f>PROPER(TRIM(CLEAN(Sales_Table[[#This Row],[Region]])))</f>
        <v>South</v>
      </c>
      <c r="F464" t="s">
        <v>28</v>
      </c>
      <c r="G464" t="str">
        <f t="shared" si="50"/>
        <v>Clothing</v>
      </c>
      <c r="H464" t="str">
        <f>PROPER(TRIM(CLEAN(Sales_Table[[#This Row],[Product Name]])))</f>
        <v>Laptop</v>
      </c>
      <c r="I464" t="s">
        <v>52</v>
      </c>
      <c r="J464" t="str">
        <f t="shared" si="51"/>
        <v>CUST0255</v>
      </c>
      <c r="K464" t="s">
        <v>1320</v>
      </c>
      <c r="L464" t="str">
        <f>PROPER(TRIM(CLEAN(Sales_Table[[#This Row],[Salesperson]])))</f>
        <v>Karthik</v>
      </c>
      <c r="M464" t="s">
        <v>70</v>
      </c>
      <c r="N464" t="str">
        <f t="shared" si="52"/>
        <v>Debit Card</v>
      </c>
      <c r="O464" t="s">
        <v>41</v>
      </c>
      <c r="P464">
        <f t="shared" si="53"/>
        <v>3</v>
      </c>
      <c r="Q464" t="s">
        <v>66</v>
      </c>
      <c r="R464">
        <f t="shared" si="54"/>
        <v>4413</v>
      </c>
      <c r="S464" t="s">
        <v>1321</v>
      </c>
      <c r="T464">
        <f t="shared" si="55"/>
        <v>13239</v>
      </c>
      <c r="U464">
        <f>YEAR(Sales_Table[[#This Row],[Date_clean]])</f>
        <v>2024</v>
      </c>
      <c r="V464" t="str">
        <f>TEXT(Sales_Table[[#This Row],[Date_clean]],"mmmm")</f>
        <v>January</v>
      </c>
      <c r="W464">
        <f>WEEKNUM(Sales_Table[[#This Row],[Date_clean]],2)</f>
        <v>3</v>
      </c>
      <c r="X464" t="str" cm="1">
        <f t="array" ref="X464">_xlfn.IFS(Sales_Table[[#This Row],[Revenue]]&gt;=50000,"High",Sales_Table[[#This Row],[Revenue]]&gt;=20000,"Medium",Sales_Table[[#This Row],[Revenue]]&lt;20000,"Low")</f>
        <v>Low</v>
      </c>
      <c r="Y464" t="str">
        <f>IF(Sales_Table[[#This Row],[Payment Method_clean]]="cash","Offline","Online")</f>
        <v>Online</v>
      </c>
      <c r="Z464">
        <f>IFERROR(Sales_Table[[#This Row],[Revenue]],0)</f>
        <v>13239</v>
      </c>
    </row>
    <row r="465" spans="1:26" x14ac:dyDescent="0.3">
      <c r="A465">
        <v>464</v>
      </c>
      <c r="B465" s="2">
        <f t="shared" si="49"/>
        <v>45311.291666666664</v>
      </c>
      <c r="C465" t="s">
        <v>1322</v>
      </c>
      <c r="D465" t="s">
        <v>45</v>
      </c>
      <c r="E465" t="str">
        <f>PROPER(TRIM(CLEAN(Sales_Table[[#This Row],[Region]])))</f>
        <v>North</v>
      </c>
      <c r="F465" t="s">
        <v>46</v>
      </c>
      <c r="G465" t="str">
        <f t="shared" si="50"/>
        <v>Electronics</v>
      </c>
      <c r="H465" t="str">
        <f>PROPER(TRIM(CLEAN(Sales_Table[[#This Row],[Product Name]])))</f>
        <v>Rice 5Kg</v>
      </c>
      <c r="I465" t="s">
        <v>73</v>
      </c>
      <c r="J465" t="str">
        <f t="shared" si="51"/>
        <v>CUST0702</v>
      </c>
      <c r="K465" t="s">
        <v>1323</v>
      </c>
      <c r="L465" t="str">
        <f>PROPER(TRIM(CLEAN(Sales_Table[[#This Row],[Salesperson]])))</f>
        <v>Meena</v>
      </c>
      <c r="M465" t="s">
        <v>40</v>
      </c>
      <c r="N465" t="str">
        <f t="shared" si="52"/>
        <v>Cash</v>
      </c>
      <c r="O465" t="s">
        <v>32</v>
      </c>
      <c r="P465">
        <f t="shared" si="53"/>
        <v>9</v>
      </c>
      <c r="Q465" t="s">
        <v>130</v>
      </c>
      <c r="R465">
        <f t="shared" si="54"/>
        <v>2835</v>
      </c>
      <c r="S465" t="s">
        <v>1324</v>
      </c>
      <c r="T465">
        <f t="shared" si="55"/>
        <v>25515</v>
      </c>
      <c r="U465">
        <f>YEAR(Sales_Table[[#This Row],[Date_clean]])</f>
        <v>2024</v>
      </c>
      <c r="V465" t="str">
        <f>TEXT(Sales_Table[[#This Row],[Date_clean]],"mmmm")</f>
        <v>January</v>
      </c>
      <c r="W465">
        <f>WEEKNUM(Sales_Table[[#This Row],[Date_clean]],2)</f>
        <v>3</v>
      </c>
      <c r="X465" t="str" cm="1">
        <f t="array" ref="X465">_xlfn.IFS(Sales_Table[[#This Row],[Revenue]]&gt;=50000,"High",Sales_Table[[#This Row],[Revenue]]&gt;=20000,"Medium",Sales_Table[[#This Row],[Revenue]]&lt;20000,"Low")</f>
        <v>Medium</v>
      </c>
      <c r="Y465" t="str">
        <f>IF(Sales_Table[[#This Row],[Payment Method_clean]]="cash","Offline","Online")</f>
        <v>Offline</v>
      </c>
      <c r="Z465">
        <f>IFERROR(Sales_Table[[#This Row],[Revenue]],0)</f>
        <v>25515</v>
      </c>
    </row>
    <row r="466" spans="1:26" x14ac:dyDescent="0.3">
      <c r="A466">
        <v>465</v>
      </c>
      <c r="B466" s="2">
        <f t="shared" si="49"/>
        <v>45311.333333333336</v>
      </c>
      <c r="C466" t="s">
        <v>1325</v>
      </c>
      <c r="D466" t="s">
        <v>36</v>
      </c>
      <c r="E466" t="str">
        <f>PROPER(TRIM(CLEAN(Sales_Table[[#This Row],[Region]])))</f>
        <v>West</v>
      </c>
      <c r="F466" t="s">
        <v>78</v>
      </c>
      <c r="G466" t="str">
        <f t="shared" si="50"/>
        <v>Grocery</v>
      </c>
      <c r="H466" t="str">
        <f>PROPER(TRIM(CLEAN(Sales_Table[[#This Row],[Product Name]])))</f>
        <v>Rice 5Kg</v>
      </c>
      <c r="I466" t="s">
        <v>73</v>
      </c>
      <c r="J466" t="str">
        <f t="shared" si="51"/>
        <v>CUST0308</v>
      </c>
      <c r="K466" t="s">
        <v>1326</v>
      </c>
      <c r="L466" t="str">
        <f>PROPER(TRIM(CLEAN(Sales_Table[[#This Row],[Salesperson]])))</f>
        <v>Rahul</v>
      </c>
      <c r="M466" t="s">
        <v>31</v>
      </c>
      <c r="N466" t="str">
        <f t="shared" si="52"/>
        <v>Debit Card</v>
      </c>
      <c r="O466" t="s">
        <v>41</v>
      </c>
      <c r="P466">
        <f t="shared" si="53"/>
        <v>9</v>
      </c>
      <c r="Q466" t="s">
        <v>130</v>
      </c>
      <c r="R466">
        <f t="shared" si="54"/>
        <v>2318</v>
      </c>
      <c r="S466" t="s">
        <v>1327</v>
      </c>
      <c r="T466">
        <f t="shared" si="55"/>
        <v>20862</v>
      </c>
      <c r="U466">
        <f>YEAR(Sales_Table[[#This Row],[Date_clean]])</f>
        <v>2024</v>
      </c>
      <c r="V466" t="str">
        <f>TEXT(Sales_Table[[#This Row],[Date_clean]],"mmmm")</f>
        <v>January</v>
      </c>
      <c r="W466">
        <f>WEEKNUM(Sales_Table[[#This Row],[Date_clean]],2)</f>
        <v>3</v>
      </c>
      <c r="X466" t="str" cm="1">
        <f t="array" ref="X466">_xlfn.IFS(Sales_Table[[#This Row],[Revenue]]&gt;=50000,"High",Sales_Table[[#This Row],[Revenue]]&gt;=20000,"Medium",Sales_Table[[#This Row],[Revenue]]&lt;20000,"Low")</f>
        <v>Medium</v>
      </c>
      <c r="Y466" t="str">
        <f>IF(Sales_Table[[#This Row],[Payment Method_clean]]="cash","Offline","Online")</f>
        <v>Online</v>
      </c>
      <c r="Z466">
        <f>IFERROR(Sales_Table[[#This Row],[Revenue]],0)</f>
        <v>20862</v>
      </c>
    </row>
    <row r="467" spans="1:26" x14ac:dyDescent="0.3">
      <c r="A467">
        <v>466</v>
      </c>
      <c r="B467" s="2">
        <f t="shared" si="49"/>
        <v>45311.375</v>
      </c>
      <c r="C467" t="s">
        <v>1328</v>
      </c>
      <c r="D467" t="s">
        <v>27</v>
      </c>
      <c r="E467" t="str">
        <f>PROPER(TRIM(CLEAN(Sales_Table[[#This Row],[Region]])))</f>
        <v>East</v>
      </c>
      <c r="F467" t="s">
        <v>28</v>
      </c>
      <c r="G467" t="str">
        <f t="shared" si="50"/>
        <v>Clothing</v>
      </c>
      <c r="H467" t="str">
        <f>PROPER(TRIM(CLEAN(Sales_Table[[#This Row],[Product Name]])))</f>
        <v>Washing Machine</v>
      </c>
      <c r="I467" t="s">
        <v>79</v>
      </c>
      <c r="J467" t="str">
        <f t="shared" si="51"/>
        <v>CUST0345</v>
      </c>
      <c r="K467" t="s">
        <v>1199</v>
      </c>
      <c r="L467" t="str">
        <f>PROPER(TRIM(CLEAN(Sales_Table[[#This Row],[Salesperson]])))</f>
        <v>Meena</v>
      </c>
      <c r="M467" t="s">
        <v>40</v>
      </c>
      <c r="N467" t="str">
        <f t="shared" si="52"/>
        <v>Cash</v>
      </c>
      <c r="O467" t="s">
        <v>32</v>
      </c>
      <c r="P467">
        <f t="shared" si="53"/>
        <v>12</v>
      </c>
      <c r="Q467" t="s">
        <v>33</v>
      </c>
      <c r="R467">
        <f t="shared" si="54"/>
        <v>4807</v>
      </c>
      <c r="S467" t="s">
        <v>190</v>
      </c>
      <c r="T467">
        <f t="shared" si="55"/>
        <v>57684</v>
      </c>
      <c r="U467">
        <f>YEAR(Sales_Table[[#This Row],[Date_clean]])</f>
        <v>2024</v>
      </c>
      <c r="V467" t="str">
        <f>TEXT(Sales_Table[[#This Row],[Date_clean]],"mmmm")</f>
        <v>January</v>
      </c>
      <c r="W467">
        <f>WEEKNUM(Sales_Table[[#This Row],[Date_clean]],2)</f>
        <v>3</v>
      </c>
      <c r="X467" t="str" cm="1">
        <f t="array" ref="X467">_xlfn.IFS(Sales_Table[[#This Row],[Revenue]]&gt;=50000,"High",Sales_Table[[#This Row],[Revenue]]&gt;=20000,"Medium",Sales_Table[[#This Row],[Revenue]]&lt;20000,"Low")</f>
        <v>High</v>
      </c>
      <c r="Y467" t="str">
        <f>IF(Sales_Table[[#This Row],[Payment Method_clean]]="cash","Offline","Online")</f>
        <v>Offline</v>
      </c>
      <c r="Z467">
        <f>IFERROR(Sales_Table[[#This Row],[Revenue]],0)</f>
        <v>57684</v>
      </c>
    </row>
    <row r="468" spans="1:26" x14ac:dyDescent="0.3">
      <c r="A468">
        <v>467</v>
      </c>
      <c r="B468" s="2">
        <f t="shared" si="49"/>
        <v>45311.416666666664</v>
      </c>
      <c r="C468" t="s">
        <v>1329</v>
      </c>
      <c r="D468" t="s">
        <v>36</v>
      </c>
      <c r="E468" t="str">
        <f>PROPER(TRIM(CLEAN(Sales_Table[[#This Row],[Region]])))</f>
        <v>West</v>
      </c>
      <c r="F468" t="s">
        <v>37</v>
      </c>
      <c r="G468" t="str">
        <f t="shared" si="50"/>
        <v>Home Appliances</v>
      </c>
      <c r="H468" t="str">
        <f>PROPER(TRIM(CLEAN(Sales_Table[[#This Row],[Product Name]])))</f>
        <v>Rice 5Kg</v>
      </c>
      <c r="I468" t="s">
        <v>73</v>
      </c>
      <c r="J468" t="str">
        <f t="shared" si="51"/>
        <v>CUST0127</v>
      </c>
      <c r="K468" t="s">
        <v>1330</v>
      </c>
      <c r="L468" t="str">
        <f>PROPER(TRIM(CLEAN(Sales_Table[[#This Row],[Salesperson]])))</f>
        <v>Meena</v>
      </c>
      <c r="M468" t="s">
        <v>40</v>
      </c>
      <c r="N468" t="str">
        <f t="shared" si="52"/>
        <v>Credit Card</v>
      </c>
      <c r="O468" t="s">
        <v>65</v>
      </c>
      <c r="P468">
        <f t="shared" si="53"/>
        <v>13</v>
      </c>
      <c r="Q468" t="s">
        <v>81</v>
      </c>
      <c r="R468">
        <f t="shared" si="54"/>
        <v>1252</v>
      </c>
      <c r="S468" t="s">
        <v>1331</v>
      </c>
      <c r="T468">
        <f t="shared" si="55"/>
        <v>16276</v>
      </c>
      <c r="U468">
        <f>YEAR(Sales_Table[[#This Row],[Date_clean]])</f>
        <v>2024</v>
      </c>
      <c r="V468" t="str">
        <f>TEXT(Sales_Table[[#This Row],[Date_clean]],"mmmm")</f>
        <v>January</v>
      </c>
      <c r="W468">
        <f>WEEKNUM(Sales_Table[[#This Row],[Date_clean]],2)</f>
        <v>3</v>
      </c>
      <c r="X468" t="str" cm="1">
        <f t="array" ref="X468">_xlfn.IFS(Sales_Table[[#This Row],[Revenue]]&gt;=50000,"High",Sales_Table[[#This Row],[Revenue]]&gt;=20000,"Medium",Sales_Table[[#This Row],[Revenue]]&lt;20000,"Low")</f>
        <v>Low</v>
      </c>
      <c r="Y468" t="str">
        <f>IF(Sales_Table[[#This Row],[Payment Method_clean]]="cash","Offline","Online")</f>
        <v>Online</v>
      </c>
      <c r="Z468">
        <f>IFERROR(Sales_Table[[#This Row],[Revenue]],0)</f>
        <v>16276</v>
      </c>
    </row>
    <row r="469" spans="1:26" x14ac:dyDescent="0.3">
      <c r="A469">
        <v>468</v>
      </c>
      <c r="B469" s="2">
        <f t="shared" si="49"/>
        <v>45311.458333333336</v>
      </c>
      <c r="C469" t="s">
        <v>1332</v>
      </c>
      <c r="D469" t="s">
        <v>45</v>
      </c>
      <c r="E469" t="str">
        <f>PROPER(TRIM(CLEAN(Sales_Table[[#This Row],[Region]])))</f>
        <v>North</v>
      </c>
      <c r="F469" t="s">
        <v>78</v>
      </c>
      <c r="G469" t="str">
        <f t="shared" si="50"/>
        <v>Grocery</v>
      </c>
      <c r="H469" t="str">
        <f>PROPER(TRIM(CLEAN(Sales_Table[[#This Row],[Product Name]])))</f>
        <v>Rice 5Kg</v>
      </c>
      <c r="I469" t="s">
        <v>73</v>
      </c>
      <c r="J469" t="str">
        <f t="shared" si="51"/>
        <v>CUST0287</v>
      </c>
      <c r="K469" t="s">
        <v>1333</v>
      </c>
      <c r="L469" t="str">
        <f>PROPER(TRIM(CLEAN(Sales_Table[[#This Row],[Salesperson]])))</f>
        <v>Suresh</v>
      </c>
      <c r="M469" t="s">
        <v>54</v>
      </c>
      <c r="N469" t="str">
        <f t="shared" si="52"/>
        <v>Upi</v>
      </c>
      <c r="O469" t="s">
        <v>48</v>
      </c>
      <c r="P469">
        <f t="shared" si="53"/>
        <v>12</v>
      </c>
      <c r="Q469" t="s">
        <v>33</v>
      </c>
      <c r="R469">
        <f t="shared" si="54"/>
        <v>156</v>
      </c>
      <c r="S469" t="s">
        <v>336</v>
      </c>
      <c r="T469">
        <f t="shared" si="55"/>
        <v>1872</v>
      </c>
      <c r="U469">
        <f>YEAR(Sales_Table[[#This Row],[Date_clean]])</f>
        <v>2024</v>
      </c>
      <c r="V469" t="str">
        <f>TEXT(Sales_Table[[#This Row],[Date_clean]],"mmmm")</f>
        <v>January</v>
      </c>
      <c r="W469">
        <f>WEEKNUM(Sales_Table[[#This Row],[Date_clean]],2)</f>
        <v>3</v>
      </c>
      <c r="X469" t="str" cm="1">
        <f t="array" ref="X469">_xlfn.IFS(Sales_Table[[#This Row],[Revenue]]&gt;=50000,"High",Sales_Table[[#This Row],[Revenue]]&gt;=20000,"Medium",Sales_Table[[#This Row],[Revenue]]&lt;20000,"Low")</f>
        <v>Low</v>
      </c>
      <c r="Y469" t="str">
        <f>IF(Sales_Table[[#This Row],[Payment Method_clean]]="cash","Offline","Online")</f>
        <v>Online</v>
      </c>
      <c r="Z469">
        <f>IFERROR(Sales_Table[[#This Row],[Revenue]],0)</f>
        <v>1872</v>
      </c>
    </row>
    <row r="470" spans="1:26" x14ac:dyDescent="0.3">
      <c r="A470">
        <v>469</v>
      </c>
      <c r="B470" s="2">
        <f t="shared" si="49"/>
        <v>45311.5</v>
      </c>
      <c r="C470" t="s">
        <v>1334</v>
      </c>
      <c r="D470" t="s">
        <v>45</v>
      </c>
      <c r="E470" t="str">
        <f>PROPER(TRIM(CLEAN(Sales_Table[[#This Row],[Region]])))</f>
        <v>North</v>
      </c>
      <c r="F470" t="s">
        <v>78</v>
      </c>
      <c r="G470" t="str">
        <f t="shared" si="50"/>
        <v>Grocery</v>
      </c>
      <c r="H470" t="str">
        <f>PROPER(TRIM(CLEAN(Sales_Table[[#This Row],[Product Name]])))</f>
        <v>Rice 5Kg</v>
      </c>
      <c r="I470" t="s">
        <v>73</v>
      </c>
      <c r="J470" t="str">
        <f t="shared" si="51"/>
        <v>CUST0766</v>
      </c>
      <c r="K470" t="s">
        <v>1335</v>
      </c>
      <c r="L470" t="str">
        <f>PROPER(TRIM(CLEAN(Sales_Table[[#This Row],[Salesperson]])))</f>
        <v>Karthik</v>
      </c>
      <c r="M470" t="s">
        <v>70</v>
      </c>
      <c r="N470" t="str">
        <f t="shared" si="52"/>
        <v>Credit Card</v>
      </c>
      <c r="O470" t="s">
        <v>65</v>
      </c>
      <c r="P470">
        <f t="shared" si="53"/>
        <v>1</v>
      </c>
      <c r="Q470" t="s">
        <v>93</v>
      </c>
      <c r="R470">
        <f t="shared" si="54"/>
        <v>1304</v>
      </c>
      <c r="S470" t="s">
        <v>1336</v>
      </c>
      <c r="T470">
        <f t="shared" si="55"/>
        <v>1304</v>
      </c>
      <c r="U470">
        <f>YEAR(Sales_Table[[#This Row],[Date_clean]])</f>
        <v>2024</v>
      </c>
      <c r="V470" t="str">
        <f>TEXT(Sales_Table[[#This Row],[Date_clean]],"mmmm")</f>
        <v>January</v>
      </c>
      <c r="W470">
        <f>WEEKNUM(Sales_Table[[#This Row],[Date_clean]],2)</f>
        <v>3</v>
      </c>
      <c r="X470" t="str" cm="1">
        <f t="array" ref="X470">_xlfn.IFS(Sales_Table[[#This Row],[Revenue]]&gt;=50000,"High",Sales_Table[[#This Row],[Revenue]]&gt;=20000,"Medium",Sales_Table[[#This Row],[Revenue]]&lt;20000,"Low")</f>
        <v>Low</v>
      </c>
      <c r="Y470" t="str">
        <f>IF(Sales_Table[[#This Row],[Payment Method_clean]]="cash","Offline","Online")</f>
        <v>Online</v>
      </c>
      <c r="Z470">
        <f>IFERROR(Sales_Table[[#This Row],[Revenue]],0)</f>
        <v>1304</v>
      </c>
    </row>
    <row r="471" spans="1:26" x14ac:dyDescent="0.3">
      <c r="A471">
        <v>470</v>
      </c>
      <c r="B471" s="2">
        <f t="shared" si="49"/>
        <v>45311.541666666664</v>
      </c>
      <c r="C471" t="s">
        <v>1337</v>
      </c>
      <c r="D471" t="s">
        <v>36</v>
      </c>
      <c r="E471" t="str">
        <f>PROPER(TRIM(CLEAN(Sales_Table[[#This Row],[Region]])))</f>
        <v>West</v>
      </c>
      <c r="F471" t="s">
        <v>37</v>
      </c>
      <c r="G471" t="str">
        <f t="shared" si="50"/>
        <v>Home Appliances</v>
      </c>
      <c r="H471" t="str">
        <f>PROPER(TRIM(CLEAN(Sales_Table[[#This Row],[Product Name]])))</f>
        <v>Washing Machine</v>
      </c>
      <c r="I471" t="s">
        <v>79</v>
      </c>
      <c r="J471" t="str">
        <f t="shared" si="51"/>
        <v>CUST0725</v>
      </c>
      <c r="K471" t="s">
        <v>1338</v>
      </c>
      <c r="L471" t="str">
        <f>PROPER(TRIM(CLEAN(Sales_Table[[#This Row],[Salesperson]])))</f>
        <v>Suresh</v>
      </c>
      <c r="M471" t="s">
        <v>54</v>
      </c>
      <c r="N471" t="str">
        <f t="shared" si="52"/>
        <v>Credit Card</v>
      </c>
      <c r="O471" t="s">
        <v>65</v>
      </c>
      <c r="P471">
        <f t="shared" si="53"/>
        <v>3</v>
      </c>
      <c r="Q471" t="s">
        <v>66</v>
      </c>
      <c r="R471">
        <f t="shared" si="54"/>
        <v>4441</v>
      </c>
      <c r="S471" t="s">
        <v>1339</v>
      </c>
      <c r="T471">
        <f t="shared" si="55"/>
        <v>13323</v>
      </c>
      <c r="U471">
        <f>YEAR(Sales_Table[[#This Row],[Date_clean]])</f>
        <v>2024</v>
      </c>
      <c r="V471" t="str">
        <f>TEXT(Sales_Table[[#This Row],[Date_clean]],"mmmm")</f>
        <v>January</v>
      </c>
      <c r="W471">
        <f>WEEKNUM(Sales_Table[[#This Row],[Date_clean]],2)</f>
        <v>3</v>
      </c>
      <c r="X471" t="str" cm="1">
        <f t="array" ref="X471">_xlfn.IFS(Sales_Table[[#This Row],[Revenue]]&gt;=50000,"High",Sales_Table[[#This Row],[Revenue]]&gt;=20000,"Medium",Sales_Table[[#This Row],[Revenue]]&lt;20000,"Low")</f>
        <v>Low</v>
      </c>
      <c r="Y471" t="str">
        <f>IF(Sales_Table[[#This Row],[Payment Method_clean]]="cash","Offline","Online")</f>
        <v>Online</v>
      </c>
      <c r="Z471">
        <f>IFERROR(Sales_Table[[#This Row],[Revenue]],0)</f>
        <v>13323</v>
      </c>
    </row>
    <row r="472" spans="1:26" x14ac:dyDescent="0.3">
      <c r="A472">
        <v>471</v>
      </c>
      <c r="B472" s="2">
        <f t="shared" si="49"/>
        <v>45311.583333333336</v>
      </c>
      <c r="C472" t="s">
        <v>1340</v>
      </c>
      <c r="D472" t="s">
        <v>45</v>
      </c>
      <c r="E472" t="str">
        <f>PROPER(TRIM(CLEAN(Sales_Table[[#This Row],[Region]])))</f>
        <v>North</v>
      </c>
      <c r="F472" t="s">
        <v>37</v>
      </c>
      <c r="G472" t="str">
        <f t="shared" si="50"/>
        <v>Home Appliances</v>
      </c>
      <c r="H472" t="str">
        <f>PROPER(TRIM(CLEAN(Sales_Table[[#This Row],[Product Name]])))</f>
        <v>Men T-Shirt</v>
      </c>
      <c r="I472" t="s">
        <v>38</v>
      </c>
      <c r="J472" t="str">
        <f t="shared" si="51"/>
        <v>CUST0762</v>
      </c>
      <c r="K472" t="s">
        <v>1341</v>
      </c>
      <c r="L472" t="str">
        <f>PROPER(TRIM(CLEAN(Sales_Table[[#This Row],[Salesperson]])))</f>
        <v>Suresh</v>
      </c>
      <c r="M472" t="s">
        <v>54</v>
      </c>
      <c r="N472" t="str">
        <f t="shared" si="52"/>
        <v>Cash</v>
      </c>
      <c r="O472" t="s">
        <v>32</v>
      </c>
      <c r="P472">
        <f t="shared" si="53"/>
        <v>6</v>
      </c>
      <c r="Q472" t="s">
        <v>75</v>
      </c>
      <c r="R472">
        <f t="shared" si="54"/>
        <v>243</v>
      </c>
      <c r="S472" t="s">
        <v>1342</v>
      </c>
      <c r="T472">
        <f t="shared" si="55"/>
        <v>1458</v>
      </c>
      <c r="U472">
        <f>YEAR(Sales_Table[[#This Row],[Date_clean]])</f>
        <v>2024</v>
      </c>
      <c r="V472" t="str">
        <f>TEXT(Sales_Table[[#This Row],[Date_clean]],"mmmm")</f>
        <v>January</v>
      </c>
      <c r="W472">
        <f>WEEKNUM(Sales_Table[[#This Row],[Date_clean]],2)</f>
        <v>3</v>
      </c>
      <c r="X472" t="str" cm="1">
        <f t="array" ref="X472">_xlfn.IFS(Sales_Table[[#This Row],[Revenue]]&gt;=50000,"High",Sales_Table[[#This Row],[Revenue]]&gt;=20000,"Medium",Sales_Table[[#This Row],[Revenue]]&lt;20000,"Low")</f>
        <v>Low</v>
      </c>
      <c r="Y472" t="str">
        <f>IF(Sales_Table[[#This Row],[Payment Method_clean]]="cash","Offline","Online")</f>
        <v>Offline</v>
      </c>
      <c r="Z472">
        <f>IFERROR(Sales_Table[[#This Row],[Revenue]],0)</f>
        <v>1458</v>
      </c>
    </row>
    <row r="473" spans="1:26" x14ac:dyDescent="0.3">
      <c r="A473">
        <v>472</v>
      </c>
      <c r="B473" s="2">
        <f t="shared" si="49"/>
        <v>45311.625</v>
      </c>
      <c r="C473" t="s">
        <v>1343</v>
      </c>
      <c r="D473" t="s">
        <v>36</v>
      </c>
      <c r="E473" t="str">
        <f>PROPER(TRIM(CLEAN(Sales_Table[[#This Row],[Region]])))</f>
        <v>West</v>
      </c>
      <c r="F473" t="s">
        <v>46</v>
      </c>
      <c r="G473" t="str">
        <f t="shared" si="50"/>
        <v>Electronics</v>
      </c>
      <c r="H473" t="str">
        <f>PROPER(TRIM(CLEAN(Sales_Table[[#This Row],[Product Name]])))</f>
        <v>Men T-Shirt</v>
      </c>
      <c r="I473" t="s">
        <v>38</v>
      </c>
      <c r="J473" t="str">
        <f t="shared" si="51"/>
        <v>CUST0596</v>
      </c>
      <c r="K473" t="s">
        <v>1344</v>
      </c>
      <c r="L473" t="str">
        <f>PROPER(TRIM(CLEAN(Sales_Table[[#This Row],[Salesperson]])))</f>
        <v>Meena</v>
      </c>
      <c r="M473" t="s">
        <v>40</v>
      </c>
      <c r="N473" t="str">
        <f t="shared" si="52"/>
        <v>Debit Card</v>
      </c>
      <c r="O473" t="s">
        <v>41</v>
      </c>
      <c r="P473">
        <f t="shared" si="53"/>
        <v>8</v>
      </c>
      <c r="Q473" t="s">
        <v>42</v>
      </c>
      <c r="R473">
        <f t="shared" si="54"/>
        <v>467</v>
      </c>
      <c r="S473" t="s">
        <v>1345</v>
      </c>
      <c r="T473">
        <f t="shared" si="55"/>
        <v>3736</v>
      </c>
      <c r="U473">
        <f>YEAR(Sales_Table[[#This Row],[Date_clean]])</f>
        <v>2024</v>
      </c>
      <c r="V473" t="str">
        <f>TEXT(Sales_Table[[#This Row],[Date_clean]],"mmmm")</f>
        <v>January</v>
      </c>
      <c r="W473">
        <f>WEEKNUM(Sales_Table[[#This Row],[Date_clean]],2)</f>
        <v>3</v>
      </c>
      <c r="X473" t="str" cm="1">
        <f t="array" ref="X473">_xlfn.IFS(Sales_Table[[#This Row],[Revenue]]&gt;=50000,"High",Sales_Table[[#This Row],[Revenue]]&gt;=20000,"Medium",Sales_Table[[#This Row],[Revenue]]&lt;20000,"Low")</f>
        <v>Low</v>
      </c>
      <c r="Y473" t="str">
        <f>IF(Sales_Table[[#This Row],[Payment Method_clean]]="cash","Offline","Online")</f>
        <v>Online</v>
      </c>
      <c r="Z473">
        <f>IFERROR(Sales_Table[[#This Row],[Revenue]],0)</f>
        <v>3736</v>
      </c>
    </row>
    <row r="474" spans="1:26" x14ac:dyDescent="0.3">
      <c r="A474">
        <v>473</v>
      </c>
      <c r="B474" s="2">
        <f t="shared" si="49"/>
        <v>45311.666666666664</v>
      </c>
      <c r="C474" t="s">
        <v>1346</v>
      </c>
      <c r="D474" t="s">
        <v>27</v>
      </c>
      <c r="E474" t="str">
        <f>PROPER(TRIM(CLEAN(Sales_Table[[#This Row],[Region]])))</f>
        <v>East</v>
      </c>
      <c r="F474" t="s">
        <v>28</v>
      </c>
      <c r="G474" t="str">
        <f t="shared" si="50"/>
        <v>Clothing</v>
      </c>
      <c r="H474" t="str">
        <f>PROPER(TRIM(CLEAN(Sales_Table[[#This Row],[Product Name]])))</f>
        <v>Rice 5Kg</v>
      </c>
      <c r="I474" t="s">
        <v>73</v>
      </c>
      <c r="J474" t="str">
        <f t="shared" si="51"/>
        <v>CUST0487</v>
      </c>
      <c r="K474" t="s">
        <v>1347</v>
      </c>
      <c r="L474" t="str">
        <f>PROPER(TRIM(CLEAN(Sales_Table[[#This Row],[Salesperson]])))</f>
        <v>Suresh</v>
      </c>
      <c r="M474" t="s">
        <v>54</v>
      </c>
      <c r="N474" t="str">
        <f t="shared" si="52"/>
        <v>Net Banking</v>
      </c>
      <c r="O474" t="s">
        <v>60</v>
      </c>
      <c r="P474">
        <f t="shared" si="53"/>
        <v>4</v>
      </c>
      <c r="Q474" t="s">
        <v>113</v>
      </c>
      <c r="R474">
        <f t="shared" si="54"/>
        <v>1582</v>
      </c>
      <c r="S474" t="s">
        <v>953</v>
      </c>
      <c r="T474">
        <f t="shared" si="55"/>
        <v>6328</v>
      </c>
      <c r="U474">
        <f>YEAR(Sales_Table[[#This Row],[Date_clean]])</f>
        <v>2024</v>
      </c>
      <c r="V474" t="str">
        <f>TEXT(Sales_Table[[#This Row],[Date_clean]],"mmmm")</f>
        <v>January</v>
      </c>
      <c r="W474">
        <f>WEEKNUM(Sales_Table[[#This Row],[Date_clean]],2)</f>
        <v>3</v>
      </c>
      <c r="X474" t="str" cm="1">
        <f t="array" ref="X474">_xlfn.IFS(Sales_Table[[#This Row],[Revenue]]&gt;=50000,"High",Sales_Table[[#This Row],[Revenue]]&gt;=20000,"Medium",Sales_Table[[#This Row],[Revenue]]&lt;20000,"Low")</f>
        <v>Low</v>
      </c>
      <c r="Y474" t="str">
        <f>IF(Sales_Table[[#This Row],[Payment Method_clean]]="cash","Offline","Online")</f>
        <v>Online</v>
      </c>
      <c r="Z474">
        <f>IFERROR(Sales_Table[[#This Row],[Revenue]],0)</f>
        <v>6328</v>
      </c>
    </row>
    <row r="475" spans="1:26" x14ac:dyDescent="0.3">
      <c r="A475">
        <v>474</v>
      </c>
      <c r="B475" s="2">
        <f t="shared" si="49"/>
        <v>45311.708333333336</v>
      </c>
      <c r="C475" t="s">
        <v>1348</v>
      </c>
      <c r="D475" t="s">
        <v>36</v>
      </c>
      <c r="E475" t="str">
        <f>PROPER(TRIM(CLEAN(Sales_Table[[#This Row],[Region]])))</f>
        <v>West</v>
      </c>
      <c r="F475" t="s">
        <v>37</v>
      </c>
      <c r="G475" t="str">
        <f t="shared" si="50"/>
        <v>Home Appliances</v>
      </c>
      <c r="H475" t="str">
        <f>PROPER(TRIM(CLEAN(Sales_Table[[#This Row],[Product Name]])))</f>
        <v>Washing Machine</v>
      </c>
      <c r="I475" t="s">
        <v>79</v>
      </c>
      <c r="J475" t="str">
        <f t="shared" si="51"/>
        <v>CUST0383</v>
      </c>
      <c r="K475" t="s">
        <v>590</v>
      </c>
      <c r="L475" t="str">
        <f>PROPER(TRIM(CLEAN(Sales_Table[[#This Row],[Salesperson]])))</f>
        <v>Karthik</v>
      </c>
      <c r="M475" t="s">
        <v>70</v>
      </c>
      <c r="N475" t="str">
        <f t="shared" si="52"/>
        <v>Cash</v>
      </c>
      <c r="O475" t="s">
        <v>32</v>
      </c>
      <c r="P475">
        <f t="shared" si="53"/>
        <v>5</v>
      </c>
      <c r="Q475" t="s">
        <v>89</v>
      </c>
      <c r="R475">
        <f t="shared" si="54"/>
        <v>715</v>
      </c>
      <c r="S475" t="s">
        <v>1349</v>
      </c>
      <c r="T475">
        <f t="shared" si="55"/>
        <v>3575</v>
      </c>
      <c r="U475">
        <f>YEAR(Sales_Table[[#This Row],[Date_clean]])</f>
        <v>2024</v>
      </c>
      <c r="V475" t="str">
        <f>TEXT(Sales_Table[[#This Row],[Date_clean]],"mmmm")</f>
        <v>January</v>
      </c>
      <c r="W475">
        <f>WEEKNUM(Sales_Table[[#This Row],[Date_clean]],2)</f>
        <v>3</v>
      </c>
      <c r="X475" t="str" cm="1">
        <f t="array" ref="X475">_xlfn.IFS(Sales_Table[[#This Row],[Revenue]]&gt;=50000,"High",Sales_Table[[#This Row],[Revenue]]&gt;=20000,"Medium",Sales_Table[[#This Row],[Revenue]]&lt;20000,"Low")</f>
        <v>Low</v>
      </c>
      <c r="Y475" t="str">
        <f>IF(Sales_Table[[#This Row],[Payment Method_clean]]="cash","Offline","Online")</f>
        <v>Offline</v>
      </c>
      <c r="Z475">
        <f>IFERROR(Sales_Table[[#This Row],[Revenue]],0)</f>
        <v>3575</v>
      </c>
    </row>
    <row r="476" spans="1:26" x14ac:dyDescent="0.3">
      <c r="A476">
        <v>475</v>
      </c>
      <c r="B476" s="2">
        <f t="shared" si="49"/>
        <v>45311.75</v>
      </c>
      <c r="C476" t="s">
        <v>1350</v>
      </c>
      <c r="D476" t="s">
        <v>27</v>
      </c>
      <c r="E476" t="str">
        <f>PROPER(TRIM(CLEAN(Sales_Table[[#This Row],[Region]])))</f>
        <v>East</v>
      </c>
      <c r="F476" t="s">
        <v>37</v>
      </c>
      <c r="G476" t="str">
        <f t="shared" si="50"/>
        <v>Home Appliances</v>
      </c>
      <c r="H476" t="str">
        <f>PROPER(TRIM(CLEAN(Sales_Table[[#This Row],[Product Name]])))</f>
        <v>Men T-Shirt</v>
      </c>
      <c r="I476" t="s">
        <v>38</v>
      </c>
      <c r="J476" t="str">
        <f t="shared" si="51"/>
        <v>CUST0406</v>
      </c>
      <c r="K476" t="s">
        <v>720</v>
      </c>
      <c r="L476" t="str">
        <f>PROPER(TRIM(CLEAN(Sales_Table[[#This Row],[Salesperson]])))</f>
        <v>Suresh</v>
      </c>
      <c r="M476" t="s">
        <v>54</v>
      </c>
      <c r="N476" t="str">
        <f t="shared" si="52"/>
        <v>Net Banking</v>
      </c>
      <c r="O476" t="s">
        <v>60</v>
      </c>
      <c r="P476">
        <f t="shared" si="53"/>
        <v>9</v>
      </c>
      <c r="Q476" t="s">
        <v>130</v>
      </c>
      <c r="R476">
        <f t="shared" si="54"/>
        <v>3738</v>
      </c>
      <c r="S476" t="s">
        <v>1351</v>
      </c>
      <c r="T476">
        <f t="shared" si="55"/>
        <v>33642</v>
      </c>
      <c r="U476">
        <f>YEAR(Sales_Table[[#This Row],[Date_clean]])</f>
        <v>2024</v>
      </c>
      <c r="V476" t="str">
        <f>TEXT(Sales_Table[[#This Row],[Date_clean]],"mmmm")</f>
        <v>January</v>
      </c>
      <c r="W476">
        <f>WEEKNUM(Sales_Table[[#This Row],[Date_clean]],2)</f>
        <v>3</v>
      </c>
      <c r="X476" t="str" cm="1">
        <f t="array" ref="X476">_xlfn.IFS(Sales_Table[[#This Row],[Revenue]]&gt;=50000,"High",Sales_Table[[#This Row],[Revenue]]&gt;=20000,"Medium",Sales_Table[[#This Row],[Revenue]]&lt;20000,"Low")</f>
        <v>Medium</v>
      </c>
      <c r="Y476" t="str">
        <f>IF(Sales_Table[[#This Row],[Payment Method_clean]]="cash","Offline","Online")</f>
        <v>Online</v>
      </c>
      <c r="Z476">
        <f>IFERROR(Sales_Table[[#This Row],[Revenue]],0)</f>
        <v>33642</v>
      </c>
    </row>
    <row r="477" spans="1:26" x14ac:dyDescent="0.3">
      <c r="A477">
        <v>476</v>
      </c>
      <c r="B477" s="2">
        <f t="shared" si="49"/>
        <v>45311.791666666664</v>
      </c>
      <c r="C477" t="s">
        <v>1352</v>
      </c>
      <c r="D477" t="s">
        <v>36</v>
      </c>
      <c r="E477" t="str">
        <f>PROPER(TRIM(CLEAN(Sales_Table[[#This Row],[Region]])))</f>
        <v>West</v>
      </c>
      <c r="F477" t="s">
        <v>28</v>
      </c>
      <c r="G477" t="str">
        <f t="shared" si="50"/>
        <v>Clothing</v>
      </c>
      <c r="H477" t="str">
        <f>PROPER(TRIM(CLEAN(Sales_Table[[#This Row],[Product Name]])))</f>
        <v>Laptop</v>
      </c>
      <c r="I477" t="s">
        <v>52</v>
      </c>
      <c r="J477" t="str">
        <f t="shared" si="51"/>
        <v>CUST0388</v>
      </c>
      <c r="K477" t="s">
        <v>355</v>
      </c>
      <c r="L477" t="str">
        <f>PROPER(TRIM(CLEAN(Sales_Table[[#This Row],[Salesperson]])))</f>
        <v>Karthik</v>
      </c>
      <c r="M477" t="s">
        <v>70</v>
      </c>
      <c r="N477" t="str">
        <f t="shared" si="52"/>
        <v>Credit Card</v>
      </c>
      <c r="O477" t="s">
        <v>65</v>
      </c>
      <c r="P477">
        <f t="shared" si="53"/>
        <v>6</v>
      </c>
      <c r="Q477" t="s">
        <v>75</v>
      </c>
      <c r="R477">
        <f t="shared" si="54"/>
        <v>3428</v>
      </c>
      <c r="S477" t="s">
        <v>1353</v>
      </c>
      <c r="T477">
        <f t="shared" si="55"/>
        <v>20568</v>
      </c>
      <c r="U477">
        <f>YEAR(Sales_Table[[#This Row],[Date_clean]])</f>
        <v>2024</v>
      </c>
      <c r="V477" t="str">
        <f>TEXT(Sales_Table[[#This Row],[Date_clean]],"mmmm")</f>
        <v>January</v>
      </c>
      <c r="W477">
        <f>WEEKNUM(Sales_Table[[#This Row],[Date_clean]],2)</f>
        <v>3</v>
      </c>
      <c r="X477" t="str" cm="1">
        <f t="array" ref="X477">_xlfn.IFS(Sales_Table[[#This Row],[Revenue]]&gt;=50000,"High",Sales_Table[[#This Row],[Revenue]]&gt;=20000,"Medium",Sales_Table[[#This Row],[Revenue]]&lt;20000,"Low")</f>
        <v>Medium</v>
      </c>
      <c r="Y477" t="str">
        <f>IF(Sales_Table[[#This Row],[Payment Method_clean]]="cash","Offline","Online")</f>
        <v>Online</v>
      </c>
      <c r="Z477">
        <f>IFERROR(Sales_Table[[#This Row],[Revenue]],0)</f>
        <v>20568</v>
      </c>
    </row>
    <row r="478" spans="1:26" x14ac:dyDescent="0.3">
      <c r="A478">
        <v>477</v>
      </c>
      <c r="B478" s="2">
        <f t="shared" si="49"/>
        <v>45311.833333333336</v>
      </c>
      <c r="C478" t="s">
        <v>1354</v>
      </c>
      <c r="D478" t="s">
        <v>45</v>
      </c>
      <c r="E478" t="str">
        <f>PROPER(TRIM(CLEAN(Sales_Table[[#This Row],[Region]])))</f>
        <v>North</v>
      </c>
      <c r="F478" t="s">
        <v>37</v>
      </c>
      <c r="G478" t="str">
        <f t="shared" si="50"/>
        <v>Home Appliances</v>
      </c>
      <c r="H478" t="str">
        <f>PROPER(TRIM(CLEAN(Sales_Table[[#This Row],[Product Name]])))</f>
        <v>Men T-Shirt</v>
      </c>
      <c r="I478" t="s">
        <v>38</v>
      </c>
      <c r="J478" t="str">
        <f t="shared" si="51"/>
        <v>CUST0525</v>
      </c>
      <c r="K478" t="s">
        <v>1137</v>
      </c>
      <c r="L478" t="str">
        <f>PROPER(TRIM(CLEAN(Sales_Table[[#This Row],[Salesperson]])))</f>
        <v>Suresh</v>
      </c>
      <c r="M478" t="s">
        <v>54</v>
      </c>
      <c r="N478" t="str">
        <f t="shared" si="52"/>
        <v>Net Banking</v>
      </c>
      <c r="O478" t="s">
        <v>60</v>
      </c>
      <c r="P478">
        <f t="shared" si="53"/>
        <v>12</v>
      </c>
      <c r="Q478" t="s">
        <v>33</v>
      </c>
      <c r="R478">
        <f t="shared" si="54"/>
        <v>3327</v>
      </c>
      <c r="S478" t="s">
        <v>1355</v>
      </c>
      <c r="T478">
        <f t="shared" si="55"/>
        <v>39924</v>
      </c>
      <c r="U478">
        <f>YEAR(Sales_Table[[#This Row],[Date_clean]])</f>
        <v>2024</v>
      </c>
      <c r="V478" t="str">
        <f>TEXT(Sales_Table[[#This Row],[Date_clean]],"mmmm")</f>
        <v>January</v>
      </c>
      <c r="W478">
        <f>WEEKNUM(Sales_Table[[#This Row],[Date_clean]],2)</f>
        <v>3</v>
      </c>
      <c r="X478" t="str" cm="1">
        <f t="array" ref="X478">_xlfn.IFS(Sales_Table[[#This Row],[Revenue]]&gt;=50000,"High",Sales_Table[[#This Row],[Revenue]]&gt;=20000,"Medium",Sales_Table[[#This Row],[Revenue]]&lt;20000,"Low")</f>
        <v>Medium</v>
      </c>
      <c r="Y478" t="str">
        <f>IF(Sales_Table[[#This Row],[Payment Method_clean]]="cash","Offline","Online")</f>
        <v>Online</v>
      </c>
      <c r="Z478">
        <f>IFERROR(Sales_Table[[#This Row],[Revenue]],0)</f>
        <v>39924</v>
      </c>
    </row>
    <row r="479" spans="1:26" x14ac:dyDescent="0.3">
      <c r="A479">
        <v>478</v>
      </c>
      <c r="B479" s="2">
        <f t="shared" si="49"/>
        <v>45311.875</v>
      </c>
      <c r="C479" t="s">
        <v>1356</v>
      </c>
      <c r="D479" t="s">
        <v>36</v>
      </c>
      <c r="E479" t="str">
        <f>PROPER(TRIM(CLEAN(Sales_Table[[#This Row],[Region]])))</f>
        <v>West</v>
      </c>
      <c r="F479" t="s">
        <v>37</v>
      </c>
      <c r="G479" t="str">
        <f t="shared" si="50"/>
        <v>Home Appliances</v>
      </c>
      <c r="H479" t="str">
        <f>PROPER(TRIM(CLEAN(Sales_Table[[#This Row],[Product Name]])))</f>
        <v>Men T-Shirt</v>
      </c>
      <c r="I479" t="s">
        <v>38</v>
      </c>
      <c r="J479" t="str">
        <f t="shared" si="51"/>
        <v>CUST0557</v>
      </c>
      <c r="K479" t="s">
        <v>1357</v>
      </c>
      <c r="L479" t="str">
        <f>PROPER(TRIM(CLEAN(Sales_Table[[#This Row],[Salesperson]])))</f>
        <v>Karthik</v>
      </c>
      <c r="M479" t="s">
        <v>70</v>
      </c>
      <c r="N479" t="str">
        <f t="shared" si="52"/>
        <v>Debit Card</v>
      </c>
      <c r="O479" t="s">
        <v>41</v>
      </c>
      <c r="P479">
        <f t="shared" si="53"/>
        <v>7</v>
      </c>
      <c r="Q479" t="s">
        <v>49</v>
      </c>
      <c r="R479">
        <f t="shared" si="54"/>
        <v>1688</v>
      </c>
      <c r="S479" t="s">
        <v>1358</v>
      </c>
      <c r="T479">
        <f t="shared" si="55"/>
        <v>11816</v>
      </c>
      <c r="U479">
        <f>YEAR(Sales_Table[[#This Row],[Date_clean]])</f>
        <v>2024</v>
      </c>
      <c r="V479" t="str">
        <f>TEXT(Sales_Table[[#This Row],[Date_clean]],"mmmm")</f>
        <v>January</v>
      </c>
      <c r="W479">
        <f>WEEKNUM(Sales_Table[[#This Row],[Date_clean]],2)</f>
        <v>3</v>
      </c>
      <c r="X479" t="str" cm="1">
        <f t="array" ref="X479">_xlfn.IFS(Sales_Table[[#This Row],[Revenue]]&gt;=50000,"High",Sales_Table[[#This Row],[Revenue]]&gt;=20000,"Medium",Sales_Table[[#This Row],[Revenue]]&lt;20000,"Low")</f>
        <v>Low</v>
      </c>
      <c r="Y479" t="str">
        <f>IF(Sales_Table[[#This Row],[Payment Method_clean]]="cash","Offline","Online")</f>
        <v>Online</v>
      </c>
      <c r="Z479">
        <f>IFERROR(Sales_Table[[#This Row],[Revenue]],0)</f>
        <v>11816</v>
      </c>
    </row>
    <row r="480" spans="1:26" x14ac:dyDescent="0.3">
      <c r="A480">
        <v>479</v>
      </c>
      <c r="B480" s="2">
        <f t="shared" si="49"/>
        <v>45311.916666666664</v>
      </c>
      <c r="C480" t="s">
        <v>1359</v>
      </c>
      <c r="D480" t="s">
        <v>45</v>
      </c>
      <c r="E480" t="str">
        <f>PROPER(TRIM(CLEAN(Sales_Table[[#This Row],[Region]])))</f>
        <v>North</v>
      </c>
      <c r="F480" t="s">
        <v>46</v>
      </c>
      <c r="G480" t="str">
        <f t="shared" si="50"/>
        <v>Electronics</v>
      </c>
      <c r="H480" t="str">
        <f>PROPER(TRIM(CLEAN(Sales_Table[[#This Row],[Product Name]])))</f>
        <v>Washing Machine</v>
      </c>
      <c r="I480" t="s">
        <v>79</v>
      </c>
      <c r="J480" t="str">
        <f t="shared" si="51"/>
        <v>CUST0639</v>
      </c>
      <c r="K480" t="s">
        <v>1360</v>
      </c>
      <c r="L480" t="str">
        <f>PROPER(TRIM(CLEAN(Sales_Table[[#This Row],[Salesperson]])))</f>
        <v>Suresh</v>
      </c>
      <c r="M480" t="s">
        <v>54</v>
      </c>
      <c r="N480" t="str">
        <f t="shared" si="52"/>
        <v>Cash</v>
      </c>
      <c r="O480" t="s">
        <v>32</v>
      </c>
      <c r="P480">
        <f t="shared" si="53"/>
        <v>7</v>
      </c>
      <c r="Q480" t="s">
        <v>49</v>
      </c>
      <c r="R480">
        <f t="shared" si="54"/>
        <v>2589</v>
      </c>
      <c r="S480" t="s">
        <v>1361</v>
      </c>
      <c r="T480">
        <f t="shared" si="55"/>
        <v>18123</v>
      </c>
      <c r="U480">
        <f>YEAR(Sales_Table[[#This Row],[Date_clean]])</f>
        <v>2024</v>
      </c>
      <c r="V480" t="str">
        <f>TEXT(Sales_Table[[#This Row],[Date_clean]],"mmmm")</f>
        <v>January</v>
      </c>
      <c r="W480">
        <f>WEEKNUM(Sales_Table[[#This Row],[Date_clean]],2)</f>
        <v>3</v>
      </c>
      <c r="X480" t="str" cm="1">
        <f t="array" ref="X480">_xlfn.IFS(Sales_Table[[#This Row],[Revenue]]&gt;=50000,"High",Sales_Table[[#This Row],[Revenue]]&gt;=20000,"Medium",Sales_Table[[#This Row],[Revenue]]&lt;20000,"Low")</f>
        <v>Low</v>
      </c>
      <c r="Y480" t="str">
        <f>IF(Sales_Table[[#This Row],[Payment Method_clean]]="cash","Offline","Online")</f>
        <v>Offline</v>
      </c>
      <c r="Z480">
        <f>IFERROR(Sales_Table[[#This Row],[Revenue]],0)</f>
        <v>18123</v>
      </c>
    </row>
    <row r="481" spans="1:26" x14ac:dyDescent="0.3">
      <c r="A481">
        <v>480</v>
      </c>
      <c r="B481" s="2">
        <f t="shared" si="49"/>
        <v>45311.958333333336</v>
      </c>
      <c r="C481" t="s">
        <v>1362</v>
      </c>
      <c r="D481" t="s">
        <v>36</v>
      </c>
      <c r="E481" t="str">
        <f>PROPER(TRIM(CLEAN(Sales_Table[[#This Row],[Region]])))</f>
        <v>West</v>
      </c>
      <c r="F481" t="s">
        <v>78</v>
      </c>
      <c r="G481" t="str">
        <f t="shared" si="50"/>
        <v>Grocery</v>
      </c>
      <c r="H481" t="str">
        <f>PROPER(TRIM(CLEAN(Sales_Table[[#This Row],[Product Name]])))</f>
        <v>Laptop</v>
      </c>
      <c r="I481" t="s">
        <v>52</v>
      </c>
      <c r="J481" t="str">
        <f t="shared" si="51"/>
        <v>CUST0626</v>
      </c>
      <c r="K481" t="s">
        <v>1363</v>
      </c>
      <c r="L481" t="str">
        <f>PROPER(TRIM(CLEAN(Sales_Table[[#This Row],[Salesperson]])))</f>
        <v>Suresh</v>
      </c>
      <c r="M481" t="s">
        <v>54</v>
      </c>
      <c r="N481" t="str">
        <f t="shared" si="52"/>
        <v>Debit Card</v>
      </c>
      <c r="O481" t="s">
        <v>41</v>
      </c>
      <c r="P481">
        <f t="shared" si="53"/>
        <v>4</v>
      </c>
      <c r="Q481" t="s">
        <v>113</v>
      </c>
      <c r="R481">
        <f t="shared" si="54"/>
        <v>3103</v>
      </c>
      <c r="S481" t="s">
        <v>1364</v>
      </c>
      <c r="T481">
        <f t="shared" si="55"/>
        <v>12412</v>
      </c>
      <c r="U481">
        <f>YEAR(Sales_Table[[#This Row],[Date_clean]])</f>
        <v>2024</v>
      </c>
      <c r="V481" t="str">
        <f>TEXT(Sales_Table[[#This Row],[Date_clean]],"mmmm")</f>
        <v>January</v>
      </c>
      <c r="W481">
        <f>WEEKNUM(Sales_Table[[#This Row],[Date_clean]],2)</f>
        <v>3</v>
      </c>
      <c r="X481" t="str" cm="1">
        <f t="array" ref="X481">_xlfn.IFS(Sales_Table[[#This Row],[Revenue]]&gt;=50000,"High",Sales_Table[[#This Row],[Revenue]]&gt;=20000,"Medium",Sales_Table[[#This Row],[Revenue]]&lt;20000,"Low")</f>
        <v>Low</v>
      </c>
      <c r="Y481" t="str">
        <f>IF(Sales_Table[[#This Row],[Payment Method_clean]]="cash","Offline","Online")</f>
        <v>Online</v>
      </c>
      <c r="Z481">
        <f>IFERROR(Sales_Table[[#This Row],[Revenue]],0)</f>
        <v>12412</v>
      </c>
    </row>
    <row r="482" spans="1:26" x14ac:dyDescent="0.3">
      <c r="A482">
        <v>481</v>
      </c>
      <c r="B482" s="2">
        <f t="shared" si="49"/>
        <v>45312</v>
      </c>
      <c r="C482" t="s">
        <v>1365</v>
      </c>
      <c r="D482" t="s">
        <v>36</v>
      </c>
      <c r="E482" t="str">
        <f>PROPER(TRIM(CLEAN(Sales_Table[[#This Row],[Region]])))</f>
        <v>West</v>
      </c>
      <c r="F482" t="s">
        <v>78</v>
      </c>
      <c r="G482" t="str">
        <f t="shared" si="50"/>
        <v>Grocery</v>
      </c>
      <c r="H482" t="str">
        <f>PROPER(TRIM(CLEAN(Sales_Table[[#This Row],[Product Name]])))</f>
        <v>Washing Machine</v>
      </c>
      <c r="I482" t="s">
        <v>79</v>
      </c>
      <c r="J482" t="str">
        <f t="shared" si="51"/>
        <v>CUST0276</v>
      </c>
      <c r="K482" t="s">
        <v>470</v>
      </c>
      <c r="L482" t="str">
        <f>PROPER(TRIM(CLEAN(Sales_Table[[#This Row],[Salesperson]])))</f>
        <v>Rahul</v>
      </c>
      <c r="M482" t="s">
        <v>31</v>
      </c>
      <c r="N482" t="str">
        <f t="shared" si="52"/>
        <v>Debit Card</v>
      </c>
      <c r="O482" t="s">
        <v>41</v>
      </c>
      <c r="P482">
        <f t="shared" si="53"/>
        <v>4</v>
      </c>
      <c r="Q482" t="s">
        <v>113</v>
      </c>
      <c r="R482">
        <f t="shared" si="54"/>
        <v>798</v>
      </c>
      <c r="S482" t="s">
        <v>1366</v>
      </c>
      <c r="T482">
        <f t="shared" si="55"/>
        <v>3192</v>
      </c>
      <c r="U482">
        <f>YEAR(Sales_Table[[#This Row],[Date_clean]])</f>
        <v>2024</v>
      </c>
      <c r="V482" t="str">
        <f>TEXT(Sales_Table[[#This Row],[Date_clean]],"mmmm")</f>
        <v>January</v>
      </c>
      <c r="W482">
        <f>WEEKNUM(Sales_Table[[#This Row],[Date_clean]],2)</f>
        <v>3</v>
      </c>
      <c r="X482" t="str" cm="1">
        <f t="array" ref="X482">_xlfn.IFS(Sales_Table[[#This Row],[Revenue]]&gt;=50000,"High",Sales_Table[[#This Row],[Revenue]]&gt;=20000,"Medium",Sales_Table[[#This Row],[Revenue]]&lt;20000,"Low")</f>
        <v>Low</v>
      </c>
      <c r="Y482" t="str">
        <f>IF(Sales_Table[[#This Row],[Payment Method_clean]]="cash","Offline","Online")</f>
        <v>Online</v>
      </c>
      <c r="Z482">
        <f>IFERROR(Sales_Table[[#This Row],[Revenue]],0)</f>
        <v>3192</v>
      </c>
    </row>
    <row r="483" spans="1:26" x14ac:dyDescent="0.3">
      <c r="A483">
        <v>482</v>
      </c>
      <c r="B483" s="2">
        <f t="shared" si="49"/>
        <v>45312.041666666664</v>
      </c>
      <c r="C483" t="s">
        <v>1367</v>
      </c>
      <c r="D483" t="s">
        <v>84</v>
      </c>
      <c r="E483" t="str">
        <f>PROPER(TRIM(CLEAN(Sales_Table[[#This Row],[Region]])))</f>
        <v>South</v>
      </c>
      <c r="F483" t="s">
        <v>78</v>
      </c>
      <c r="G483" t="str">
        <f t="shared" si="50"/>
        <v>Grocery</v>
      </c>
      <c r="H483" t="str">
        <f>PROPER(TRIM(CLEAN(Sales_Table[[#This Row],[Product Name]])))</f>
        <v>Rice 5Kg</v>
      </c>
      <c r="I483" t="s">
        <v>73</v>
      </c>
      <c r="J483" t="str">
        <f t="shared" si="51"/>
        <v>CUST0500</v>
      </c>
      <c r="K483" t="s">
        <v>138</v>
      </c>
      <c r="L483" t="str">
        <f>PROPER(TRIM(CLEAN(Sales_Table[[#This Row],[Salesperson]])))</f>
        <v>Karthik</v>
      </c>
      <c r="M483" t="s">
        <v>70</v>
      </c>
      <c r="N483" t="str">
        <f t="shared" si="52"/>
        <v>Cash</v>
      </c>
      <c r="O483" t="s">
        <v>32</v>
      </c>
      <c r="P483">
        <f t="shared" si="53"/>
        <v>4</v>
      </c>
      <c r="Q483" t="s">
        <v>113</v>
      </c>
      <c r="R483">
        <f t="shared" si="54"/>
        <v>2923</v>
      </c>
      <c r="S483" t="s">
        <v>1368</v>
      </c>
      <c r="T483">
        <f t="shared" si="55"/>
        <v>11692</v>
      </c>
      <c r="U483">
        <f>YEAR(Sales_Table[[#This Row],[Date_clean]])</f>
        <v>2024</v>
      </c>
      <c r="V483" t="str">
        <f>TEXT(Sales_Table[[#This Row],[Date_clean]],"mmmm")</f>
        <v>January</v>
      </c>
      <c r="W483">
        <f>WEEKNUM(Sales_Table[[#This Row],[Date_clean]],2)</f>
        <v>3</v>
      </c>
      <c r="X483" t="str" cm="1">
        <f t="array" ref="X483">_xlfn.IFS(Sales_Table[[#This Row],[Revenue]]&gt;=50000,"High",Sales_Table[[#This Row],[Revenue]]&gt;=20000,"Medium",Sales_Table[[#This Row],[Revenue]]&lt;20000,"Low")</f>
        <v>Low</v>
      </c>
      <c r="Y483" t="str">
        <f>IF(Sales_Table[[#This Row],[Payment Method_clean]]="cash","Offline","Online")</f>
        <v>Offline</v>
      </c>
      <c r="Z483">
        <f>IFERROR(Sales_Table[[#This Row],[Revenue]],0)</f>
        <v>11692</v>
      </c>
    </row>
    <row r="484" spans="1:26" x14ac:dyDescent="0.3">
      <c r="A484">
        <v>483</v>
      </c>
      <c r="B484" s="2">
        <f t="shared" si="49"/>
        <v>45312.083333333336</v>
      </c>
      <c r="C484" t="s">
        <v>1369</v>
      </c>
      <c r="D484" t="s">
        <v>45</v>
      </c>
      <c r="E484" t="str">
        <f>PROPER(TRIM(CLEAN(Sales_Table[[#This Row],[Region]])))</f>
        <v>North</v>
      </c>
      <c r="F484" t="s">
        <v>78</v>
      </c>
      <c r="G484" t="str">
        <f t="shared" si="50"/>
        <v>Grocery</v>
      </c>
      <c r="H484" t="str">
        <f>PROPER(TRIM(CLEAN(Sales_Table[[#This Row],[Product Name]])))</f>
        <v>Mixer Grinder</v>
      </c>
      <c r="I484" t="s">
        <v>29</v>
      </c>
      <c r="J484" t="str">
        <f t="shared" si="51"/>
        <v>CUST0717</v>
      </c>
      <c r="K484" t="s">
        <v>1370</v>
      </c>
      <c r="L484" t="str">
        <f>PROPER(TRIM(CLEAN(Sales_Table[[#This Row],[Salesperson]])))</f>
        <v>Karthik</v>
      </c>
      <c r="M484" t="s">
        <v>70</v>
      </c>
      <c r="N484" t="str">
        <f t="shared" si="52"/>
        <v>Debit Card</v>
      </c>
      <c r="O484" t="s">
        <v>41</v>
      </c>
      <c r="P484">
        <f t="shared" si="53"/>
        <v>14</v>
      </c>
      <c r="Q484" t="s">
        <v>55</v>
      </c>
      <c r="R484">
        <f t="shared" si="54"/>
        <v>1044</v>
      </c>
      <c r="S484" t="s">
        <v>1371</v>
      </c>
      <c r="T484">
        <f t="shared" si="55"/>
        <v>14616</v>
      </c>
      <c r="U484">
        <f>YEAR(Sales_Table[[#This Row],[Date_clean]])</f>
        <v>2024</v>
      </c>
      <c r="V484" t="str">
        <f>TEXT(Sales_Table[[#This Row],[Date_clean]],"mmmm")</f>
        <v>January</v>
      </c>
      <c r="W484">
        <f>WEEKNUM(Sales_Table[[#This Row],[Date_clean]],2)</f>
        <v>3</v>
      </c>
      <c r="X484" t="str" cm="1">
        <f t="array" ref="X484">_xlfn.IFS(Sales_Table[[#This Row],[Revenue]]&gt;=50000,"High",Sales_Table[[#This Row],[Revenue]]&gt;=20000,"Medium",Sales_Table[[#This Row],[Revenue]]&lt;20000,"Low")</f>
        <v>Low</v>
      </c>
      <c r="Y484" t="str">
        <f>IF(Sales_Table[[#This Row],[Payment Method_clean]]="cash","Offline","Online")</f>
        <v>Online</v>
      </c>
      <c r="Z484">
        <f>IFERROR(Sales_Table[[#This Row],[Revenue]],0)</f>
        <v>14616</v>
      </c>
    </row>
    <row r="485" spans="1:26" x14ac:dyDescent="0.3">
      <c r="A485">
        <v>484</v>
      </c>
      <c r="B485" s="2">
        <f t="shared" si="49"/>
        <v>45312.125</v>
      </c>
      <c r="C485" t="s">
        <v>1372</v>
      </c>
      <c r="D485" t="s">
        <v>84</v>
      </c>
      <c r="E485" t="str">
        <f>PROPER(TRIM(CLEAN(Sales_Table[[#This Row],[Region]])))</f>
        <v>South</v>
      </c>
      <c r="F485" t="s">
        <v>37</v>
      </c>
      <c r="G485" t="str">
        <f t="shared" si="50"/>
        <v>Home Appliances</v>
      </c>
      <c r="H485" t="str">
        <f>PROPER(TRIM(CLEAN(Sales_Table[[#This Row],[Product Name]])))</f>
        <v>Men T-Shirt</v>
      </c>
      <c r="I485" t="s">
        <v>38</v>
      </c>
      <c r="J485" t="str">
        <f t="shared" si="51"/>
        <v>CUST0337</v>
      </c>
      <c r="K485" t="s">
        <v>1373</v>
      </c>
      <c r="L485" t="str">
        <f>PROPER(TRIM(CLEAN(Sales_Table[[#This Row],[Salesperson]])))</f>
        <v>Karthik</v>
      </c>
      <c r="M485" t="s">
        <v>70</v>
      </c>
      <c r="N485" t="str">
        <f t="shared" si="52"/>
        <v>Upi</v>
      </c>
      <c r="O485" t="s">
        <v>48</v>
      </c>
      <c r="P485">
        <f t="shared" si="53"/>
        <v>11</v>
      </c>
      <c r="Q485" t="s">
        <v>97</v>
      </c>
      <c r="R485">
        <f t="shared" si="54"/>
        <v>3981</v>
      </c>
      <c r="S485" t="s">
        <v>585</v>
      </c>
      <c r="T485">
        <f t="shared" si="55"/>
        <v>43791</v>
      </c>
      <c r="U485">
        <f>YEAR(Sales_Table[[#This Row],[Date_clean]])</f>
        <v>2024</v>
      </c>
      <c r="V485" t="str">
        <f>TEXT(Sales_Table[[#This Row],[Date_clean]],"mmmm")</f>
        <v>January</v>
      </c>
      <c r="W485">
        <f>WEEKNUM(Sales_Table[[#This Row],[Date_clean]],2)</f>
        <v>3</v>
      </c>
      <c r="X485" t="str" cm="1">
        <f t="array" ref="X485">_xlfn.IFS(Sales_Table[[#This Row],[Revenue]]&gt;=50000,"High",Sales_Table[[#This Row],[Revenue]]&gt;=20000,"Medium",Sales_Table[[#This Row],[Revenue]]&lt;20000,"Low")</f>
        <v>Medium</v>
      </c>
      <c r="Y485" t="str">
        <f>IF(Sales_Table[[#This Row],[Payment Method_clean]]="cash","Offline","Online")</f>
        <v>Online</v>
      </c>
      <c r="Z485">
        <f>IFERROR(Sales_Table[[#This Row],[Revenue]],0)</f>
        <v>43791</v>
      </c>
    </row>
    <row r="486" spans="1:26" x14ac:dyDescent="0.3">
      <c r="A486">
        <v>485</v>
      </c>
      <c r="B486" s="2">
        <f t="shared" si="49"/>
        <v>45312.166666666664</v>
      </c>
      <c r="C486" t="s">
        <v>1374</v>
      </c>
      <c r="D486" t="s">
        <v>45</v>
      </c>
      <c r="E486" t="str">
        <f>PROPER(TRIM(CLEAN(Sales_Table[[#This Row],[Region]])))</f>
        <v>North</v>
      </c>
      <c r="F486" t="s">
        <v>28</v>
      </c>
      <c r="G486" t="str">
        <f t="shared" si="50"/>
        <v>Clothing</v>
      </c>
      <c r="H486" t="str">
        <f>PROPER(TRIM(CLEAN(Sales_Table[[#This Row],[Product Name]])))</f>
        <v>Mixer Grinder</v>
      </c>
      <c r="I486" t="s">
        <v>29</v>
      </c>
      <c r="J486" t="str">
        <f t="shared" si="51"/>
        <v>CUST0481</v>
      </c>
      <c r="K486" t="s">
        <v>1375</v>
      </c>
      <c r="L486" t="str">
        <f>PROPER(TRIM(CLEAN(Sales_Table[[#This Row],[Salesperson]])))</f>
        <v>Anita</v>
      </c>
      <c r="M486" t="s">
        <v>64</v>
      </c>
      <c r="N486" t="str">
        <f t="shared" si="52"/>
        <v>Upi</v>
      </c>
      <c r="O486" t="s">
        <v>48</v>
      </c>
      <c r="P486">
        <f t="shared" si="53"/>
        <v>5</v>
      </c>
      <c r="Q486" t="s">
        <v>89</v>
      </c>
      <c r="R486">
        <f t="shared" si="54"/>
        <v>1022</v>
      </c>
      <c r="S486" t="s">
        <v>1376</v>
      </c>
      <c r="T486">
        <f t="shared" si="55"/>
        <v>5110</v>
      </c>
      <c r="U486">
        <f>YEAR(Sales_Table[[#This Row],[Date_clean]])</f>
        <v>2024</v>
      </c>
      <c r="V486" t="str">
        <f>TEXT(Sales_Table[[#This Row],[Date_clean]],"mmmm")</f>
        <v>January</v>
      </c>
      <c r="W486">
        <f>WEEKNUM(Sales_Table[[#This Row],[Date_clean]],2)</f>
        <v>3</v>
      </c>
      <c r="X486" t="str" cm="1">
        <f t="array" ref="X486">_xlfn.IFS(Sales_Table[[#This Row],[Revenue]]&gt;=50000,"High",Sales_Table[[#This Row],[Revenue]]&gt;=20000,"Medium",Sales_Table[[#This Row],[Revenue]]&lt;20000,"Low")</f>
        <v>Low</v>
      </c>
      <c r="Y486" t="str">
        <f>IF(Sales_Table[[#This Row],[Payment Method_clean]]="cash","Offline","Online")</f>
        <v>Online</v>
      </c>
      <c r="Z486">
        <f>IFERROR(Sales_Table[[#This Row],[Revenue]],0)</f>
        <v>5110</v>
      </c>
    </row>
    <row r="487" spans="1:26" x14ac:dyDescent="0.3">
      <c r="A487">
        <v>486</v>
      </c>
      <c r="B487" s="2">
        <f t="shared" si="49"/>
        <v>45312.208333333336</v>
      </c>
      <c r="C487" t="s">
        <v>1377</v>
      </c>
      <c r="D487" t="s">
        <v>84</v>
      </c>
      <c r="E487" t="str">
        <f>PROPER(TRIM(CLEAN(Sales_Table[[#This Row],[Region]])))</f>
        <v>South</v>
      </c>
      <c r="F487" t="s">
        <v>28</v>
      </c>
      <c r="G487" t="str">
        <f t="shared" si="50"/>
        <v>Clothing</v>
      </c>
      <c r="H487" t="str">
        <f>PROPER(TRIM(CLEAN(Sales_Table[[#This Row],[Product Name]])))</f>
        <v>Washing Machine</v>
      </c>
      <c r="I487" t="s">
        <v>79</v>
      </c>
      <c r="J487" t="str">
        <f t="shared" si="51"/>
        <v>CUST0273</v>
      </c>
      <c r="K487" t="s">
        <v>1378</v>
      </c>
      <c r="L487" t="str">
        <f>PROPER(TRIM(CLEAN(Sales_Table[[#This Row],[Salesperson]])))</f>
        <v>Suresh</v>
      </c>
      <c r="M487" t="s">
        <v>54</v>
      </c>
      <c r="N487" t="str">
        <f t="shared" si="52"/>
        <v>Upi</v>
      </c>
      <c r="O487" t="s">
        <v>48</v>
      </c>
      <c r="P487">
        <f t="shared" si="53"/>
        <v>5</v>
      </c>
      <c r="Q487" t="s">
        <v>89</v>
      </c>
      <c r="R487">
        <f t="shared" si="54"/>
        <v>1846</v>
      </c>
      <c r="S487" t="s">
        <v>1379</v>
      </c>
      <c r="T487">
        <f t="shared" si="55"/>
        <v>9230</v>
      </c>
      <c r="U487">
        <f>YEAR(Sales_Table[[#This Row],[Date_clean]])</f>
        <v>2024</v>
      </c>
      <c r="V487" t="str">
        <f>TEXT(Sales_Table[[#This Row],[Date_clean]],"mmmm")</f>
        <v>January</v>
      </c>
      <c r="W487">
        <f>WEEKNUM(Sales_Table[[#This Row],[Date_clean]],2)</f>
        <v>3</v>
      </c>
      <c r="X487" t="str" cm="1">
        <f t="array" ref="X487">_xlfn.IFS(Sales_Table[[#This Row],[Revenue]]&gt;=50000,"High",Sales_Table[[#This Row],[Revenue]]&gt;=20000,"Medium",Sales_Table[[#This Row],[Revenue]]&lt;20000,"Low")</f>
        <v>Low</v>
      </c>
      <c r="Y487" t="str">
        <f>IF(Sales_Table[[#This Row],[Payment Method_clean]]="cash","Offline","Online")</f>
        <v>Online</v>
      </c>
      <c r="Z487">
        <f>IFERROR(Sales_Table[[#This Row],[Revenue]],0)</f>
        <v>9230</v>
      </c>
    </row>
    <row r="488" spans="1:26" x14ac:dyDescent="0.3">
      <c r="A488">
        <v>487</v>
      </c>
      <c r="B488" s="2">
        <f t="shared" si="49"/>
        <v>45312.25</v>
      </c>
      <c r="C488" t="s">
        <v>1380</v>
      </c>
      <c r="D488" t="s">
        <v>27</v>
      </c>
      <c r="E488" t="str">
        <f>PROPER(TRIM(CLEAN(Sales_Table[[#This Row],[Region]])))</f>
        <v>East</v>
      </c>
      <c r="F488" t="s">
        <v>46</v>
      </c>
      <c r="G488" t="str">
        <f t="shared" si="50"/>
        <v>Electronics</v>
      </c>
      <c r="H488" t="str">
        <f>PROPER(TRIM(CLEAN(Sales_Table[[#This Row],[Product Name]])))</f>
        <v>Washing Machine</v>
      </c>
      <c r="I488" t="s">
        <v>79</v>
      </c>
      <c r="J488" t="str">
        <f t="shared" si="51"/>
        <v>CUST0058</v>
      </c>
      <c r="K488" t="s">
        <v>1381</v>
      </c>
      <c r="L488" t="str">
        <f>PROPER(TRIM(CLEAN(Sales_Table[[#This Row],[Salesperson]])))</f>
        <v>Karthik</v>
      </c>
      <c r="M488" t="s">
        <v>70</v>
      </c>
      <c r="N488" t="str">
        <f t="shared" si="52"/>
        <v>Net Banking</v>
      </c>
      <c r="O488" t="s">
        <v>60</v>
      </c>
      <c r="P488">
        <f t="shared" si="53"/>
        <v>8</v>
      </c>
      <c r="Q488" t="s">
        <v>42</v>
      </c>
      <c r="R488">
        <f t="shared" si="54"/>
        <v>4220</v>
      </c>
      <c r="S488" t="s">
        <v>1382</v>
      </c>
      <c r="T488">
        <f t="shared" si="55"/>
        <v>33760</v>
      </c>
      <c r="U488">
        <f>YEAR(Sales_Table[[#This Row],[Date_clean]])</f>
        <v>2024</v>
      </c>
      <c r="V488" t="str">
        <f>TEXT(Sales_Table[[#This Row],[Date_clean]],"mmmm")</f>
        <v>January</v>
      </c>
      <c r="W488">
        <f>WEEKNUM(Sales_Table[[#This Row],[Date_clean]],2)</f>
        <v>3</v>
      </c>
      <c r="X488" t="str" cm="1">
        <f t="array" ref="X488">_xlfn.IFS(Sales_Table[[#This Row],[Revenue]]&gt;=50000,"High",Sales_Table[[#This Row],[Revenue]]&gt;=20000,"Medium",Sales_Table[[#This Row],[Revenue]]&lt;20000,"Low")</f>
        <v>Medium</v>
      </c>
      <c r="Y488" t="str">
        <f>IF(Sales_Table[[#This Row],[Payment Method_clean]]="cash","Offline","Online")</f>
        <v>Online</v>
      </c>
      <c r="Z488">
        <f>IFERROR(Sales_Table[[#This Row],[Revenue]],0)</f>
        <v>33760</v>
      </c>
    </row>
    <row r="489" spans="1:26" x14ac:dyDescent="0.3">
      <c r="A489">
        <v>488</v>
      </c>
      <c r="B489" s="2">
        <f t="shared" si="49"/>
        <v>45312.291666666664</v>
      </c>
      <c r="C489" t="s">
        <v>1383</v>
      </c>
      <c r="D489" t="s">
        <v>36</v>
      </c>
      <c r="E489" t="str">
        <f>PROPER(TRIM(CLEAN(Sales_Table[[#This Row],[Region]])))</f>
        <v>West</v>
      </c>
      <c r="F489" t="s">
        <v>46</v>
      </c>
      <c r="G489" t="str">
        <f t="shared" si="50"/>
        <v>Electronics</v>
      </c>
      <c r="H489" t="str">
        <f>PROPER(TRIM(CLEAN(Sales_Table[[#This Row],[Product Name]])))</f>
        <v>Washing Machine</v>
      </c>
      <c r="I489" t="s">
        <v>79</v>
      </c>
      <c r="J489" t="str">
        <f t="shared" si="51"/>
        <v>CUST0328</v>
      </c>
      <c r="K489" t="s">
        <v>1384</v>
      </c>
      <c r="L489" t="str">
        <f>PROPER(TRIM(CLEAN(Sales_Table[[#This Row],[Salesperson]])))</f>
        <v>Anita</v>
      </c>
      <c r="M489" t="s">
        <v>64</v>
      </c>
      <c r="N489" t="str">
        <f t="shared" si="52"/>
        <v>Debit Card</v>
      </c>
      <c r="O489" t="s">
        <v>41</v>
      </c>
      <c r="P489">
        <f t="shared" si="53"/>
        <v>9</v>
      </c>
      <c r="Q489" t="s">
        <v>130</v>
      </c>
      <c r="R489">
        <f t="shared" si="54"/>
        <v>2953</v>
      </c>
      <c r="S489" t="s">
        <v>1385</v>
      </c>
      <c r="T489">
        <f t="shared" si="55"/>
        <v>26577</v>
      </c>
      <c r="U489">
        <f>YEAR(Sales_Table[[#This Row],[Date_clean]])</f>
        <v>2024</v>
      </c>
      <c r="V489" t="str">
        <f>TEXT(Sales_Table[[#This Row],[Date_clean]],"mmmm")</f>
        <v>January</v>
      </c>
      <c r="W489">
        <f>WEEKNUM(Sales_Table[[#This Row],[Date_clean]],2)</f>
        <v>3</v>
      </c>
      <c r="X489" t="str" cm="1">
        <f t="array" ref="X489">_xlfn.IFS(Sales_Table[[#This Row],[Revenue]]&gt;=50000,"High",Sales_Table[[#This Row],[Revenue]]&gt;=20000,"Medium",Sales_Table[[#This Row],[Revenue]]&lt;20000,"Low")</f>
        <v>Medium</v>
      </c>
      <c r="Y489" t="str">
        <f>IF(Sales_Table[[#This Row],[Payment Method_clean]]="cash","Offline","Online")</f>
        <v>Online</v>
      </c>
      <c r="Z489">
        <f>IFERROR(Sales_Table[[#This Row],[Revenue]],0)</f>
        <v>26577</v>
      </c>
    </row>
    <row r="490" spans="1:26" x14ac:dyDescent="0.3">
      <c r="A490">
        <v>489</v>
      </c>
      <c r="B490" s="2">
        <f t="shared" si="49"/>
        <v>45312.333333333336</v>
      </c>
      <c r="C490" t="s">
        <v>1386</v>
      </c>
      <c r="D490" t="s">
        <v>45</v>
      </c>
      <c r="E490" t="str">
        <f>PROPER(TRIM(CLEAN(Sales_Table[[#This Row],[Region]])))</f>
        <v>North</v>
      </c>
      <c r="F490" t="s">
        <v>37</v>
      </c>
      <c r="G490" t="str">
        <f t="shared" si="50"/>
        <v>Home Appliances</v>
      </c>
      <c r="H490" t="str">
        <f>PROPER(TRIM(CLEAN(Sales_Table[[#This Row],[Product Name]])))</f>
        <v>Mixer Grinder</v>
      </c>
      <c r="I490" t="s">
        <v>29</v>
      </c>
      <c r="J490" t="str">
        <f t="shared" si="51"/>
        <v>CUST0731</v>
      </c>
      <c r="K490" t="s">
        <v>1152</v>
      </c>
      <c r="L490" t="str">
        <f>PROPER(TRIM(CLEAN(Sales_Table[[#This Row],[Salesperson]])))</f>
        <v>Rahul</v>
      </c>
      <c r="M490" t="s">
        <v>31</v>
      </c>
      <c r="N490" t="str">
        <f t="shared" si="52"/>
        <v>Cash</v>
      </c>
      <c r="O490" t="s">
        <v>32</v>
      </c>
      <c r="P490">
        <f t="shared" si="53"/>
        <v>2</v>
      </c>
      <c r="Q490" t="s">
        <v>196</v>
      </c>
      <c r="R490">
        <f t="shared" si="54"/>
        <v>1659</v>
      </c>
      <c r="S490" t="s">
        <v>1387</v>
      </c>
      <c r="T490">
        <f t="shared" si="55"/>
        <v>3318</v>
      </c>
      <c r="U490">
        <f>YEAR(Sales_Table[[#This Row],[Date_clean]])</f>
        <v>2024</v>
      </c>
      <c r="V490" t="str">
        <f>TEXT(Sales_Table[[#This Row],[Date_clean]],"mmmm")</f>
        <v>January</v>
      </c>
      <c r="W490">
        <f>WEEKNUM(Sales_Table[[#This Row],[Date_clean]],2)</f>
        <v>3</v>
      </c>
      <c r="X490" t="str" cm="1">
        <f t="array" ref="X490">_xlfn.IFS(Sales_Table[[#This Row],[Revenue]]&gt;=50000,"High",Sales_Table[[#This Row],[Revenue]]&gt;=20000,"Medium",Sales_Table[[#This Row],[Revenue]]&lt;20000,"Low")</f>
        <v>Low</v>
      </c>
      <c r="Y490" t="str">
        <f>IF(Sales_Table[[#This Row],[Payment Method_clean]]="cash","Offline","Online")</f>
        <v>Offline</v>
      </c>
      <c r="Z490">
        <f>IFERROR(Sales_Table[[#This Row],[Revenue]],0)</f>
        <v>3318</v>
      </c>
    </row>
    <row r="491" spans="1:26" x14ac:dyDescent="0.3">
      <c r="A491">
        <v>490</v>
      </c>
      <c r="B491" s="2">
        <f t="shared" si="49"/>
        <v>45312.375</v>
      </c>
      <c r="C491" t="s">
        <v>1388</v>
      </c>
      <c r="D491" t="s">
        <v>45</v>
      </c>
      <c r="E491" t="str">
        <f>PROPER(TRIM(CLEAN(Sales_Table[[#This Row],[Region]])))</f>
        <v>North</v>
      </c>
      <c r="F491" t="s">
        <v>28</v>
      </c>
      <c r="G491" t="str">
        <f t="shared" si="50"/>
        <v>Clothing</v>
      </c>
      <c r="H491" t="str">
        <f>PROPER(TRIM(CLEAN(Sales_Table[[#This Row],[Product Name]])))</f>
        <v>Washing Machine</v>
      </c>
      <c r="I491" t="s">
        <v>79</v>
      </c>
      <c r="J491" t="str">
        <f t="shared" si="51"/>
        <v>CUST0109</v>
      </c>
      <c r="K491" t="s">
        <v>1389</v>
      </c>
      <c r="L491" t="str">
        <f>PROPER(TRIM(CLEAN(Sales_Table[[#This Row],[Salesperson]])))</f>
        <v>Karthik</v>
      </c>
      <c r="M491" t="s">
        <v>70</v>
      </c>
      <c r="N491" t="str">
        <f t="shared" si="52"/>
        <v>Cash</v>
      </c>
      <c r="O491" t="s">
        <v>32</v>
      </c>
      <c r="P491">
        <f t="shared" si="53"/>
        <v>11</v>
      </c>
      <c r="Q491" t="s">
        <v>97</v>
      </c>
      <c r="R491">
        <f t="shared" si="54"/>
        <v>1183</v>
      </c>
      <c r="S491" t="s">
        <v>1390</v>
      </c>
      <c r="T491">
        <f t="shared" si="55"/>
        <v>13013</v>
      </c>
      <c r="U491">
        <f>YEAR(Sales_Table[[#This Row],[Date_clean]])</f>
        <v>2024</v>
      </c>
      <c r="V491" t="str">
        <f>TEXT(Sales_Table[[#This Row],[Date_clean]],"mmmm")</f>
        <v>January</v>
      </c>
      <c r="W491">
        <f>WEEKNUM(Sales_Table[[#This Row],[Date_clean]],2)</f>
        <v>3</v>
      </c>
      <c r="X491" t="str" cm="1">
        <f t="array" ref="X491">_xlfn.IFS(Sales_Table[[#This Row],[Revenue]]&gt;=50000,"High",Sales_Table[[#This Row],[Revenue]]&gt;=20000,"Medium",Sales_Table[[#This Row],[Revenue]]&lt;20000,"Low")</f>
        <v>Low</v>
      </c>
      <c r="Y491" t="str">
        <f>IF(Sales_Table[[#This Row],[Payment Method_clean]]="cash","Offline","Online")</f>
        <v>Offline</v>
      </c>
      <c r="Z491">
        <f>IFERROR(Sales_Table[[#This Row],[Revenue]],0)</f>
        <v>13013</v>
      </c>
    </row>
    <row r="492" spans="1:26" x14ac:dyDescent="0.3">
      <c r="A492">
        <v>491</v>
      </c>
      <c r="B492" s="2">
        <f t="shared" si="49"/>
        <v>45312.416666666664</v>
      </c>
      <c r="C492" t="s">
        <v>1391</v>
      </c>
      <c r="D492" t="s">
        <v>36</v>
      </c>
      <c r="E492" t="str">
        <f>PROPER(TRIM(CLEAN(Sales_Table[[#This Row],[Region]])))</f>
        <v>West</v>
      </c>
      <c r="F492" t="s">
        <v>28</v>
      </c>
      <c r="G492" t="str">
        <f t="shared" si="50"/>
        <v>Clothing</v>
      </c>
      <c r="H492" t="str">
        <f>PROPER(TRIM(CLEAN(Sales_Table[[#This Row],[Product Name]])))</f>
        <v>Rice 5Kg</v>
      </c>
      <c r="I492" t="s">
        <v>73</v>
      </c>
      <c r="J492" t="str">
        <f t="shared" si="51"/>
        <v>CUST0279</v>
      </c>
      <c r="K492" t="s">
        <v>1392</v>
      </c>
      <c r="L492" t="str">
        <f>PROPER(TRIM(CLEAN(Sales_Table[[#This Row],[Salesperson]])))</f>
        <v>Karthik</v>
      </c>
      <c r="M492" t="s">
        <v>70</v>
      </c>
      <c r="N492" t="str">
        <f t="shared" si="52"/>
        <v>Net Banking</v>
      </c>
      <c r="O492" t="s">
        <v>60</v>
      </c>
      <c r="P492">
        <f t="shared" si="53"/>
        <v>7</v>
      </c>
      <c r="Q492" t="s">
        <v>49</v>
      </c>
      <c r="R492">
        <f t="shared" si="54"/>
        <v>3638</v>
      </c>
      <c r="S492" t="s">
        <v>1393</v>
      </c>
      <c r="T492">
        <f t="shared" si="55"/>
        <v>25466</v>
      </c>
      <c r="U492">
        <f>YEAR(Sales_Table[[#This Row],[Date_clean]])</f>
        <v>2024</v>
      </c>
      <c r="V492" t="str">
        <f>TEXT(Sales_Table[[#This Row],[Date_clean]],"mmmm")</f>
        <v>January</v>
      </c>
      <c r="W492">
        <f>WEEKNUM(Sales_Table[[#This Row],[Date_clean]],2)</f>
        <v>3</v>
      </c>
      <c r="X492" t="str" cm="1">
        <f t="array" ref="X492">_xlfn.IFS(Sales_Table[[#This Row],[Revenue]]&gt;=50000,"High",Sales_Table[[#This Row],[Revenue]]&gt;=20000,"Medium",Sales_Table[[#This Row],[Revenue]]&lt;20000,"Low")</f>
        <v>Medium</v>
      </c>
      <c r="Y492" t="str">
        <f>IF(Sales_Table[[#This Row],[Payment Method_clean]]="cash","Offline","Online")</f>
        <v>Online</v>
      </c>
      <c r="Z492">
        <f>IFERROR(Sales_Table[[#This Row],[Revenue]],0)</f>
        <v>25466</v>
      </c>
    </row>
    <row r="493" spans="1:26" x14ac:dyDescent="0.3">
      <c r="A493">
        <v>492</v>
      </c>
      <c r="B493" s="2">
        <f t="shared" si="49"/>
        <v>45312.458333333336</v>
      </c>
      <c r="C493" t="s">
        <v>1394</v>
      </c>
      <c r="D493" t="s">
        <v>45</v>
      </c>
      <c r="E493" t="str">
        <f>PROPER(TRIM(CLEAN(Sales_Table[[#This Row],[Region]])))</f>
        <v>North</v>
      </c>
      <c r="F493" t="s">
        <v>78</v>
      </c>
      <c r="G493" t="str">
        <f t="shared" si="50"/>
        <v>Grocery</v>
      </c>
      <c r="H493" t="str">
        <f>PROPER(TRIM(CLEAN(Sales_Table[[#This Row],[Product Name]])))</f>
        <v>Washing Machine</v>
      </c>
      <c r="I493" t="s">
        <v>79</v>
      </c>
      <c r="J493" t="str">
        <f t="shared" si="51"/>
        <v>CUST0686</v>
      </c>
      <c r="K493" t="s">
        <v>1395</v>
      </c>
      <c r="L493" t="str">
        <f>PROPER(TRIM(CLEAN(Sales_Table[[#This Row],[Salesperson]])))</f>
        <v>Anita</v>
      </c>
      <c r="M493" t="s">
        <v>64</v>
      </c>
      <c r="N493" t="str">
        <f t="shared" si="52"/>
        <v>Cash</v>
      </c>
      <c r="O493" t="s">
        <v>32</v>
      </c>
      <c r="P493">
        <f t="shared" si="53"/>
        <v>1</v>
      </c>
      <c r="Q493" t="s">
        <v>93</v>
      </c>
      <c r="R493">
        <f t="shared" si="54"/>
        <v>533</v>
      </c>
      <c r="S493" t="s">
        <v>1396</v>
      </c>
      <c r="T493">
        <f t="shared" si="55"/>
        <v>533</v>
      </c>
      <c r="U493">
        <f>YEAR(Sales_Table[[#This Row],[Date_clean]])</f>
        <v>2024</v>
      </c>
      <c r="V493" t="str">
        <f>TEXT(Sales_Table[[#This Row],[Date_clean]],"mmmm")</f>
        <v>January</v>
      </c>
      <c r="W493">
        <f>WEEKNUM(Sales_Table[[#This Row],[Date_clean]],2)</f>
        <v>3</v>
      </c>
      <c r="X493" t="str" cm="1">
        <f t="array" ref="X493">_xlfn.IFS(Sales_Table[[#This Row],[Revenue]]&gt;=50000,"High",Sales_Table[[#This Row],[Revenue]]&gt;=20000,"Medium",Sales_Table[[#This Row],[Revenue]]&lt;20000,"Low")</f>
        <v>Low</v>
      </c>
      <c r="Y493" t="str">
        <f>IF(Sales_Table[[#This Row],[Payment Method_clean]]="cash","Offline","Online")</f>
        <v>Offline</v>
      </c>
      <c r="Z493">
        <f>IFERROR(Sales_Table[[#This Row],[Revenue]],0)</f>
        <v>533</v>
      </c>
    </row>
    <row r="494" spans="1:26" x14ac:dyDescent="0.3">
      <c r="A494">
        <v>493</v>
      </c>
      <c r="B494" s="2">
        <f t="shared" si="49"/>
        <v>45312.5</v>
      </c>
      <c r="C494" t="s">
        <v>1397</v>
      </c>
      <c r="D494" t="s">
        <v>45</v>
      </c>
      <c r="E494" t="str">
        <f>PROPER(TRIM(CLEAN(Sales_Table[[#This Row],[Region]])))</f>
        <v>North</v>
      </c>
      <c r="F494" t="s">
        <v>37</v>
      </c>
      <c r="G494" t="str">
        <f t="shared" si="50"/>
        <v>Home Appliances</v>
      </c>
      <c r="H494" t="str">
        <f>PROPER(TRIM(CLEAN(Sales_Table[[#This Row],[Product Name]])))</f>
        <v>Led Tv 42Inch</v>
      </c>
      <c r="I494" t="s">
        <v>58</v>
      </c>
      <c r="J494" t="str">
        <f t="shared" si="51"/>
        <v>CUST0328</v>
      </c>
      <c r="K494" t="s">
        <v>1384</v>
      </c>
      <c r="L494" t="str">
        <f>PROPER(TRIM(CLEAN(Sales_Table[[#This Row],[Salesperson]])))</f>
        <v>Suresh</v>
      </c>
      <c r="M494" t="s">
        <v>54</v>
      </c>
      <c r="N494" t="str">
        <f t="shared" si="52"/>
        <v>Upi</v>
      </c>
      <c r="O494" t="s">
        <v>48</v>
      </c>
      <c r="P494">
        <f t="shared" si="53"/>
        <v>1</v>
      </c>
      <c r="Q494" t="s">
        <v>93</v>
      </c>
      <c r="R494">
        <f t="shared" si="54"/>
        <v>3026</v>
      </c>
      <c r="S494" t="s">
        <v>1398</v>
      </c>
      <c r="T494">
        <f t="shared" si="55"/>
        <v>3026</v>
      </c>
      <c r="U494">
        <f>YEAR(Sales_Table[[#This Row],[Date_clean]])</f>
        <v>2024</v>
      </c>
      <c r="V494" t="str">
        <f>TEXT(Sales_Table[[#This Row],[Date_clean]],"mmmm")</f>
        <v>January</v>
      </c>
      <c r="W494">
        <f>WEEKNUM(Sales_Table[[#This Row],[Date_clean]],2)</f>
        <v>3</v>
      </c>
      <c r="X494" t="str" cm="1">
        <f t="array" ref="X494">_xlfn.IFS(Sales_Table[[#This Row],[Revenue]]&gt;=50000,"High",Sales_Table[[#This Row],[Revenue]]&gt;=20000,"Medium",Sales_Table[[#This Row],[Revenue]]&lt;20000,"Low")</f>
        <v>Low</v>
      </c>
      <c r="Y494" t="str">
        <f>IF(Sales_Table[[#This Row],[Payment Method_clean]]="cash","Offline","Online")</f>
        <v>Online</v>
      </c>
      <c r="Z494">
        <f>IFERROR(Sales_Table[[#This Row],[Revenue]],0)</f>
        <v>3026</v>
      </c>
    </row>
    <row r="495" spans="1:26" x14ac:dyDescent="0.3">
      <c r="A495">
        <v>494</v>
      </c>
      <c r="B495" s="2">
        <f t="shared" si="49"/>
        <v>45312.541666666664</v>
      </c>
      <c r="C495" t="s">
        <v>1399</v>
      </c>
      <c r="D495" t="s">
        <v>84</v>
      </c>
      <c r="E495" t="str">
        <f>PROPER(TRIM(CLEAN(Sales_Table[[#This Row],[Region]])))</f>
        <v>South</v>
      </c>
      <c r="F495" t="s">
        <v>37</v>
      </c>
      <c r="G495" t="str">
        <f t="shared" si="50"/>
        <v>Home Appliances</v>
      </c>
      <c r="H495" t="str">
        <f>PROPER(TRIM(CLEAN(Sales_Table[[#This Row],[Product Name]])))</f>
        <v>Mixer Grinder</v>
      </c>
      <c r="I495" t="s">
        <v>29</v>
      </c>
      <c r="J495" t="str">
        <f t="shared" si="51"/>
        <v>CUST0776</v>
      </c>
      <c r="K495" t="s">
        <v>1400</v>
      </c>
      <c r="L495" t="str">
        <f>PROPER(TRIM(CLEAN(Sales_Table[[#This Row],[Salesperson]])))</f>
        <v>Rahul</v>
      </c>
      <c r="M495" t="s">
        <v>31</v>
      </c>
      <c r="N495" t="str">
        <f t="shared" si="52"/>
        <v>Debit Card</v>
      </c>
      <c r="O495" t="s">
        <v>41</v>
      </c>
      <c r="P495">
        <f t="shared" si="53"/>
        <v>4</v>
      </c>
      <c r="Q495" t="s">
        <v>113</v>
      </c>
      <c r="R495">
        <f t="shared" si="54"/>
        <v>1189</v>
      </c>
      <c r="S495" t="s">
        <v>1401</v>
      </c>
      <c r="T495">
        <f t="shared" si="55"/>
        <v>4756</v>
      </c>
      <c r="U495">
        <f>YEAR(Sales_Table[[#This Row],[Date_clean]])</f>
        <v>2024</v>
      </c>
      <c r="V495" t="str">
        <f>TEXT(Sales_Table[[#This Row],[Date_clean]],"mmmm")</f>
        <v>January</v>
      </c>
      <c r="W495">
        <f>WEEKNUM(Sales_Table[[#This Row],[Date_clean]],2)</f>
        <v>3</v>
      </c>
      <c r="X495" t="str" cm="1">
        <f t="array" ref="X495">_xlfn.IFS(Sales_Table[[#This Row],[Revenue]]&gt;=50000,"High",Sales_Table[[#This Row],[Revenue]]&gt;=20000,"Medium",Sales_Table[[#This Row],[Revenue]]&lt;20000,"Low")</f>
        <v>Low</v>
      </c>
      <c r="Y495" t="str">
        <f>IF(Sales_Table[[#This Row],[Payment Method_clean]]="cash","Offline","Online")</f>
        <v>Online</v>
      </c>
      <c r="Z495">
        <f>IFERROR(Sales_Table[[#This Row],[Revenue]],0)</f>
        <v>4756</v>
      </c>
    </row>
    <row r="496" spans="1:26" x14ac:dyDescent="0.3">
      <c r="A496">
        <v>495</v>
      </c>
      <c r="B496" s="2">
        <f t="shared" si="49"/>
        <v>45312.583333333336</v>
      </c>
      <c r="C496" t="s">
        <v>1402</v>
      </c>
      <c r="D496" t="s">
        <v>45</v>
      </c>
      <c r="E496" t="str">
        <f>PROPER(TRIM(CLEAN(Sales_Table[[#This Row],[Region]])))</f>
        <v>North</v>
      </c>
      <c r="F496" t="s">
        <v>78</v>
      </c>
      <c r="G496" t="str">
        <f t="shared" si="50"/>
        <v>Grocery</v>
      </c>
      <c r="H496" t="str">
        <f>PROPER(TRIM(CLEAN(Sales_Table[[#This Row],[Product Name]])))</f>
        <v>Led Tv 42Inch</v>
      </c>
      <c r="I496" t="s">
        <v>58</v>
      </c>
      <c r="J496" t="str">
        <f t="shared" si="51"/>
        <v>CUST0315</v>
      </c>
      <c r="K496" t="s">
        <v>628</v>
      </c>
      <c r="L496" t="str">
        <f>PROPER(TRIM(CLEAN(Sales_Table[[#This Row],[Salesperson]])))</f>
        <v>Karthik</v>
      </c>
      <c r="M496" t="s">
        <v>70</v>
      </c>
      <c r="N496" t="str">
        <f t="shared" si="52"/>
        <v>Cash</v>
      </c>
      <c r="O496" t="s">
        <v>32</v>
      </c>
      <c r="P496">
        <f t="shared" si="53"/>
        <v>10</v>
      </c>
      <c r="Q496" t="s">
        <v>117</v>
      </c>
      <c r="R496">
        <f t="shared" si="54"/>
        <v>3057</v>
      </c>
      <c r="S496" t="s">
        <v>1403</v>
      </c>
      <c r="T496">
        <f t="shared" si="55"/>
        <v>30570</v>
      </c>
      <c r="U496">
        <f>YEAR(Sales_Table[[#This Row],[Date_clean]])</f>
        <v>2024</v>
      </c>
      <c r="V496" t="str">
        <f>TEXT(Sales_Table[[#This Row],[Date_clean]],"mmmm")</f>
        <v>January</v>
      </c>
      <c r="W496">
        <f>WEEKNUM(Sales_Table[[#This Row],[Date_clean]],2)</f>
        <v>3</v>
      </c>
      <c r="X496" t="str" cm="1">
        <f t="array" ref="X496">_xlfn.IFS(Sales_Table[[#This Row],[Revenue]]&gt;=50000,"High",Sales_Table[[#This Row],[Revenue]]&gt;=20000,"Medium",Sales_Table[[#This Row],[Revenue]]&lt;20000,"Low")</f>
        <v>Medium</v>
      </c>
      <c r="Y496" t="str">
        <f>IF(Sales_Table[[#This Row],[Payment Method_clean]]="cash","Offline","Online")</f>
        <v>Offline</v>
      </c>
      <c r="Z496">
        <f>IFERROR(Sales_Table[[#This Row],[Revenue]],0)</f>
        <v>30570</v>
      </c>
    </row>
    <row r="497" spans="1:26" x14ac:dyDescent="0.3">
      <c r="A497">
        <v>496</v>
      </c>
      <c r="B497" s="2">
        <f t="shared" si="49"/>
        <v>45312.625</v>
      </c>
      <c r="C497" t="s">
        <v>1404</v>
      </c>
      <c r="D497" t="s">
        <v>27</v>
      </c>
      <c r="E497" t="str">
        <f>PROPER(TRIM(CLEAN(Sales_Table[[#This Row],[Region]])))</f>
        <v>East</v>
      </c>
      <c r="F497" t="s">
        <v>37</v>
      </c>
      <c r="G497" t="str">
        <f t="shared" si="50"/>
        <v>Home Appliances</v>
      </c>
      <c r="H497" t="str">
        <f>PROPER(TRIM(CLEAN(Sales_Table[[#This Row],[Product Name]])))</f>
        <v>Washing Machine</v>
      </c>
      <c r="I497" t="s">
        <v>79</v>
      </c>
      <c r="J497" t="str">
        <f t="shared" si="51"/>
        <v>CUST0474</v>
      </c>
      <c r="K497" t="s">
        <v>1405</v>
      </c>
      <c r="L497" t="str">
        <f>PROPER(TRIM(CLEAN(Sales_Table[[#This Row],[Salesperson]])))</f>
        <v>Suresh</v>
      </c>
      <c r="M497" t="s">
        <v>54</v>
      </c>
      <c r="N497" t="str">
        <f t="shared" si="52"/>
        <v>Cash</v>
      </c>
      <c r="O497" t="s">
        <v>32</v>
      </c>
      <c r="P497">
        <f t="shared" si="53"/>
        <v>7</v>
      </c>
      <c r="Q497" t="s">
        <v>49</v>
      </c>
      <c r="R497">
        <f t="shared" si="54"/>
        <v>2712</v>
      </c>
      <c r="S497" t="s">
        <v>1406</v>
      </c>
      <c r="T497">
        <f t="shared" si="55"/>
        <v>18984</v>
      </c>
      <c r="U497">
        <f>YEAR(Sales_Table[[#This Row],[Date_clean]])</f>
        <v>2024</v>
      </c>
      <c r="V497" t="str">
        <f>TEXT(Sales_Table[[#This Row],[Date_clean]],"mmmm")</f>
        <v>January</v>
      </c>
      <c r="W497">
        <f>WEEKNUM(Sales_Table[[#This Row],[Date_clean]],2)</f>
        <v>3</v>
      </c>
      <c r="X497" t="str" cm="1">
        <f t="array" ref="X497">_xlfn.IFS(Sales_Table[[#This Row],[Revenue]]&gt;=50000,"High",Sales_Table[[#This Row],[Revenue]]&gt;=20000,"Medium",Sales_Table[[#This Row],[Revenue]]&lt;20000,"Low")</f>
        <v>Low</v>
      </c>
      <c r="Y497" t="str">
        <f>IF(Sales_Table[[#This Row],[Payment Method_clean]]="cash","Offline","Online")</f>
        <v>Offline</v>
      </c>
      <c r="Z497">
        <f>IFERROR(Sales_Table[[#This Row],[Revenue]],0)</f>
        <v>18984</v>
      </c>
    </row>
    <row r="498" spans="1:26" x14ac:dyDescent="0.3">
      <c r="A498">
        <v>497</v>
      </c>
      <c r="B498" s="2">
        <f t="shared" si="49"/>
        <v>45312.666666666664</v>
      </c>
      <c r="C498" t="s">
        <v>1407</v>
      </c>
      <c r="D498" t="s">
        <v>27</v>
      </c>
      <c r="E498" t="str">
        <f>PROPER(TRIM(CLEAN(Sales_Table[[#This Row],[Region]])))</f>
        <v>East</v>
      </c>
      <c r="F498" t="s">
        <v>37</v>
      </c>
      <c r="G498" t="str">
        <f t="shared" si="50"/>
        <v>Home Appliances</v>
      </c>
      <c r="H498" t="str">
        <f>PROPER(TRIM(CLEAN(Sales_Table[[#This Row],[Product Name]])))</f>
        <v>Rice 5Kg</v>
      </c>
      <c r="I498" t="s">
        <v>73</v>
      </c>
      <c r="J498" t="str">
        <f t="shared" si="51"/>
        <v>CUST0111</v>
      </c>
      <c r="K498" t="s">
        <v>1408</v>
      </c>
      <c r="L498" t="str">
        <f>PROPER(TRIM(CLEAN(Sales_Table[[#This Row],[Salesperson]])))</f>
        <v>Rahul</v>
      </c>
      <c r="M498" t="s">
        <v>31</v>
      </c>
      <c r="N498" t="str">
        <f t="shared" si="52"/>
        <v>Credit Card</v>
      </c>
      <c r="O498" t="s">
        <v>65</v>
      </c>
      <c r="P498">
        <f t="shared" si="53"/>
        <v>2</v>
      </c>
      <c r="Q498" t="s">
        <v>196</v>
      </c>
      <c r="R498">
        <f t="shared" si="54"/>
        <v>4291</v>
      </c>
      <c r="S498" t="s">
        <v>1409</v>
      </c>
      <c r="T498">
        <f t="shared" si="55"/>
        <v>8582</v>
      </c>
      <c r="U498">
        <f>YEAR(Sales_Table[[#This Row],[Date_clean]])</f>
        <v>2024</v>
      </c>
      <c r="V498" t="str">
        <f>TEXT(Sales_Table[[#This Row],[Date_clean]],"mmmm")</f>
        <v>January</v>
      </c>
      <c r="W498">
        <f>WEEKNUM(Sales_Table[[#This Row],[Date_clean]],2)</f>
        <v>3</v>
      </c>
      <c r="X498" t="str" cm="1">
        <f t="array" ref="X498">_xlfn.IFS(Sales_Table[[#This Row],[Revenue]]&gt;=50000,"High",Sales_Table[[#This Row],[Revenue]]&gt;=20000,"Medium",Sales_Table[[#This Row],[Revenue]]&lt;20000,"Low")</f>
        <v>Low</v>
      </c>
      <c r="Y498" t="str">
        <f>IF(Sales_Table[[#This Row],[Payment Method_clean]]="cash","Offline","Online")</f>
        <v>Online</v>
      </c>
      <c r="Z498">
        <f>IFERROR(Sales_Table[[#This Row],[Revenue]],0)</f>
        <v>8582</v>
      </c>
    </row>
    <row r="499" spans="1:26" x14ac:dyDescent="0.3">
      <c r="A499">
        <v>498</v>
      </c>
      <c r="B499" s="2">
        <f t="shared" si="49"/>
        <v>45312.708333333336</v>
      </c>
      <c r="C499" t="s">
        <v>1410</v>
      </c>
      <c r="D499" t="s">
        <v>36</v>
      </c>
      <c r="E499" t="str">
        <f>PROPER(TRIM(CLEAN(Sales_Table[[#This Row],[Region]])))</f>
        <v>West</v>
      </c>
      <c r="F499" t="s">
        <v>46</v>
      </c>
      <c r="G499" t="str">
        <f t="shared" si="50"/>
        <v>Electronics</v>
      </c>
      <c r="H499" t="str">
        <f>PROPER(TRIM(CLEAN(Sales_Table[[#This Row],[Product Name]])))</f>
        <v>Men T-Shirt</v>
      </c>
      <c r="I499" t="s">
        <v>38</v>
      </c>
      <c r="J499" t="str">
        <f t="shared" si="51"/>
        <v>CUST0699</v>
      </c>
      <c r="K499" t="s">
        <v>425</v>
      </c>
      <c r="L499" t="str">
        <f>PROPER(TRIM(CLEAN(Sales_Table[[#This Row],[Salesperson]])))</f>
        <v>Meena</v>
      </c>
      <c r="M499" t="s">
        <v>40</v>
      </c>
      <c r="N499" t="str">
        <f t="shared" si="52"/>
        <v>Credit Card</v>
      </c>
      <c r="O499" t="s">
        <v>65</v>
      </c>
      <c r="P499">
        <f t="shared" si="53"/>
        <v>11</v>
      </c>
      <c r="Q499" t="s">
        <v>97</v>
      </c>
      <c r="R499">
        <f t="shared" si="54"/>
        <v>3859</v>
      </c>
      <c r="S499" t="s">
        <v>1411</v>
      </c>
      <c r="T499">
        <f t="shared" si="55"/>
        <v>42449</v>
      </c>
      <c r="U499">
        <f>YEAR(Sales_Table[[#This Row],[Date_clean]])</f>
        <v>2024</v>
      </c>
      <c r="V499" t="str">
        <f>TEXT(Sales_Table[[#This Row],[Date_clean]],"mmmm")</f>
        <v>January</v>
      </c>
      <c r="W499">
        <f>WEEKNUM(Sales_Table[[#This Row],[Date_clean]],2)</f>
        <v>3</v>
      </c>
      <c r="X499" t="str" cm="1">
        <f t="array" ref="X499">_xlfn.IFS(Sales_Table[[#This Row],[Revenue]]&gt;=50000,"High",Sales_Table[[#This Row],[Revenue]]&gt;=20000,"Medium",Sales_Table[[#This Row],[Revenue]]&lt;20000,"Low")</f>
        <v>Medium</v>
      </c>
      <c r="Y499" t="str">
        <f>IF(Sales_Table[[#This Row],[Payment Method_clean]]="cash","Offline","Online")</f>
        <v>Online</v>
      </c>
      <c r="Z499">
        <f>IFERROR(Sales_Table[[#This Row],[Revenue]],0)</f>
        <v>42449</v>
      </c>
    </row>
    <row r="500" spans="1:26" x14ac:dyDescent="0.3">
      <c r="A500">
        <v>499</v>
      </c>
      <c r="B500" s="2">
        <f t="shared" si="49"/>
        <v>45312.75</v>
      </c>
      <c r="C500" t="s">
        <v>1412</v>
      </c>
      <c r="D500" t="s">
        <v>45</v>
      </c>
      <c r="E500" t="str">
        <f>PROPER(TRIM(CLEAN(Sales_Table[[#This Row],[Region]])))</f>
        <v>North</v>
      </c>
      <c r="F500" t="s">
        <v>28</v>
      </c>
      <c r="G500" t="str">
        <f t="shared" si="50"/>
        <v>Clothing</v>
      </c>
      <c r="H500" t="str">
        <f>PROPER(TRIM(CLEAN(Sales_Table[[#This Row],[Product Name]])))</f>
        <v>Laptop</v>
      </c>
      <c r="I500" t="s">
        <v>52</v>
      </c>
      <c r="J500" t="str">
        <f t="shared" si="51"/>
        <v>CUST0781</v>
      </c>
      <c r="K500" t="s">
        <v>341</v>
      </c>
      <c r="L500" t="str">
        <f>PROPER(TRIM(CLEAN(Sales_Table[[#This Row],[Salesperson]])))</f>
        <v>Meena</v>
      </c>
      <c r="M500" t="s">
        <v>40</v>
      </c>
      <c r="N500" t="str">
        <f t="shared" si="52"/>
        <v>Credit Card</v>
      </c>
      <c r="O500" t="s">
        <v>65</v>
      </c>
      <c r="P500">
        <f t="shared" si="53"/>
        <v>2</v>
      </c>
      <c r="Q500" t="s">
        <v>196</v>
      </c>
      <c r="R500">
        <f t="shared" si="54"/>
        <v>4363</v>
      </c>
      <c r="S500" t="s">
        <v>1413</v>
      </c>
      <c r="T500">
        <f t="shared" si="55"/>
        <v>8726</v>
      </c>
      <c r="U500">
        <f>YEAR(Sales_Table[[#This Row],[Date_clean]])</f>
        <v>2024</v>
      </c>
      <c r="V500" t="str">
        <f>TEXT(Sales_Table[[#This Row],[Date_clean]],"mmmm")</f>
        <v>January</v>
      </c>
      <c r="W500">
        <f>WEEKNUM(Sales_Table[[#This Row],[Date_clean]],2)</f>
        <v>3</v>
      </c>
      <c r="X500" t="str" cm="1">
        <f t="array" ref="X500">_xlfn.IFS(Sales_Table[[#This Row],[Revenue]]&gt;=50000,"High",Sales_Table[[#This Row],[Revenue]]&gt;=20000,"Medium",Sales_Table[[#This Row],[Revenue]]&lt;20000,"Low")</f>
        <v>Low</v>
      </c>
      <c r="Y500" t="str">
        <f>IF(Sales_Table[[#This Row],[Payment Method_clean]]="cash","Offline","Online")</f>
        <v>Online</v>
      </c>
      <c r="Z500">
        <f>IFERROR(Sales_Table[[#This Row],[Revenue]],0)</f>
        <v>8726</v>
      </c>
    </row>
    <row r="501" spans="1:26" x14ac:dyDescent="0.3">
      <c r="A501">
        <v>500</v>
      </c>
      <c r="B501" s="2">
        <f t="shared" si="49"/>
        <v>45312.791666666664</v>
      </c>
      <c r="C501" t="s">
        <v>1414</v>
      </c>
      <c r="D501" t="s">
        <v>36</v>
      </c>
      <c r="E501" t="str">
        <f>PROPER(TRIM(CLEAN(Sales_Table[[#This Row],[Region]])))</f>
        <v>West</v>
      </c>
      <c r="F501" t="s">
        <v>37</v>
      </c>
      <c r="G501" t="str">
        <f t="shared" si="50"/>
        <v>Home Appliances</v>
      </c>
      <c r="H501" t="str">
        <f>PROPER(TRIM(CLEAN(Sales_Table[[#This Row],[Product Name]])))</f>
        <v>Laptop</v>
      </c>
      <c r="I501" t="s">
        <v>52</v>
      </c>
      <c r="J501" t="str">
        <f t="shared" si="51"/>
        <v>CUST0229</v>
      </c>
      <c r="K501" t="s">
        <v>1208</v>
      </c>
      <c r="L501" t="str">
        <f>PROPER(TRIM(CLEAN(Sales_Table[[#This Row],[Salesperson]])))</f>
        <v>Rahul</v>
      </c>
      <c r="M501" t="s">
        <v>31</v>
      </c>
      <c r="N501" t="str">
        <f t="shared" si="52"/>
        <v>Debit Card</v>
      </c>
      <c r="O501" t="s">
        <v>41</v>
      </c>
      <c r="P501">
        <f t="shared" si="53"/>
        <v>1</v>
      </c>
      <c r="Q501" t="s">
        <v>93</v>
      </c>
      <c r="R501">
        <f t="shared" si="54"/>
        <v>2189</v>
      </c>
      <c r="S501" t="s">
        <v>1415</v>
      </c>
      <c r="T501">
        <f t="shared" si="55"/>
        <v>2189</v>
      </c>
      <c r="U501">
        <f>YEAR(Sales_Table[[#This Row],[Date_clean]])</f>
        <v>2024</v>
      </c>
      <c r="V501" t="str">
        <f>TEXT(Sales_Table[[#This Row],[Date_clean]],"mmmm")</f>
        <v>January</v>
      </c>
      <c r="W501">
        <f>WEEKNUM(Sales_Table[[#This Row],[Date_clean]],2)</f>
        <v>3</v>
      </c>
      <c r="X501" t="str" cm="1">
        <f t="array" ref="X501">_xlfn.IFS(Sales_Table[[#This Row],[Revenue]]&gt;=50000,"High",Sales_Table[[#This Row],[Revenue]]&gt;=20000,"Medium",Sales_Table[[#This Row],[Revenue]]&lt;20000,"Low")</f>
        <v>Low</v>
      </c>
      <c r="Y501" t="str">
        <f>IF(Sales_Table[[#This Row],[Payment Method_clean]]="cash","Offline","Online")</f>
        <v>Online</v>
      </c>
      <c r="Z501">
        <f>IFERROR(Sales_Table[[#This Row],[Revenue]],0)</f>
        <v>2189</v>
      </c>
    </row>
    <row r="502" spans="1:26" x14ac:dyDescent="0.3">
      <c r="A502">
        <v>501</v>
      </c>
      <c r="B502" s="2">
        <f t="shared" si="49"/>
        <v>45312.833333333336</v>
      </c>
      <c r="C502" t="s">
        <v>1416</v>
      </c>
      <c r="D502" t="s">
        <v>27</v>
      </c>
      <c r="E502" t="str">
        <f>PROPER(TRIM(CLEAN(Sales_Table[[#This Row],[Region]])))</f>
        <v>East</v>
      </c>
      <c r="F502" t="s">
        <v>46</v>
      </c>
      <c r="G502" t="str">
        <f t="shared" si="50"/>
        <v>Electronics</v>
      </c>
      <c r="H502" t="str">
        <f>PROPER(TRIM(CLEAN(Sales_Table[[#This Row],[Product Name]])))</f>
        <v>Washing Machine</v>
      </c>
      <c r="I502" t="s">
        <v>79</v>
      </c>
      <c r="J502" t="str">
        <f t="shared" si="51"/>
        <v>CUST0497</v>
      </c>
      <c r="K502" t="s">
        <v>1417</v>
      </c>
      <c r="L502" t="str">
        <f>PROPER(TRIM(CLEAN(Sales_Table[[#This Row],[Salesperson]])))</f>
        <v>Anita</v>
      </c>
      <c r="M502" t="s">
        <v>64</v>
      </c>
      <c r="N502" t="str">
        <f t="shared" si="52"/>
        <v>Upi</v>
      </c>
      <c r="O502" t="s">
        <v>48</v>
      </c>
      <c r="P502">
        <f t="shared" si="53"/>
        <v>10</v>
      </c>
      <c r="Q502" t="s">
        <v>117</v>
      </c>
      <c r="R502">
        <f t="shared" si="54"/>
        <v>2002</v>
      </c>
      <c r="S502" t="s">
        <v>1418</v>
      </c>
      <c r="T502">
        <f t="shared" si="55"/>
        <v>20020</v>
      </c>
      <c r="U502">
        <f>YEAR(Sales_Table[[#This Row],[Date_clean]])</f>
        <v>2024</v>
      </c>
      <c r="V502" t="str">
        <f>TEXT(Sales_Table[[#This Row],[Date_clean]],"mmmm")</f>
        <v>January</v>
      </c>
      <c r="W502">
        <f>WEEKNUM(Sales_Table[[#This Row],[Date_clean]],2)</f>
        <v>3</v>
      </c>
      <c r="X502" t="str" cm="1">
        <f t="array" ref="X502">_xlfn.IFS(Sales_Table[[#This Row],[Revenue]]&gt;=50000,"High",Sales_Table[[#This Row],[Revenue]]&gt;=20000,"Medium",Sales_Table[[#This Row],[Revenue]]&lt;20000,"Low")</f>
        <v>Medium</v>
      </c>
      <c r="Y502" t="str">
        <f>IF(Sales_Table[[#This Row],[Payment Method_clean]]="cash","Offline","Online")</f>
        <v>Online</v>
      </c>
      <c r="Z502">
        <f>IFERROR(Sales_Table[[#This Row],[Revenue]],0)</f>
        <v>20020</v>
      </c>
    </row>
    <row r="503" spans="1:26" x14ac:dyDescent="0.3">
      <c r="A503">
        <v>502</v>
      </c>
      <c r="B503" s="2">
        <f t="shared" si="49"/>
        <v>45312.875</v>
      </c>
      <c r="C503" t="s">
        <v>1419</v>
      </c>
      <c r="D503" t="s">
        <v>45</v>
      </c>
      <c r="E503" t="str">
        <f>PROPER(TRIM(CLEAN(Sales_Table[[#This Row],[Region]])))</f>
        <v>North</v>
      </c>
      <c r="F503" t="s">
        <v>28</v>
      </c>
      <c r="G503" t="str">
        <f t="shared" si="50"/>
        <v>Clothing</v>
      </c>
      <c r="H503" t="str">
        <f>PROPER(TRIM(CLEAN(Sales_Table[[#This Row],[Product Name]])))</f>
        <v>Rice 5Kg</v>
      </c>
      <c r="I503" t="s">
        <v>73</v>
      </c>
      <c r="J503" t="str">
        <f t="shared" si="51"/>
        <v>CUST0156</v>
      </c>
      <c r="K503" t="s">
        <v>332</v>
      </c>
      <c r="L503" t="str">
        <f>PROPER(TRIM(CLEAN(Sales_Table[[#This Row],[Salesperson]])))</f>
        <v>Rahul</v>
      </c>
      <c r="M503" t="s">
        <v>31</v>
      </c>
      <c r="N503" t="str">
        <f t="shared" si="52"/>
        <v>Upi</v>
      </c>
      <c r="O503" t="s">
        <v>48</v>
      </c>
      <c r="P503">
        <f t="shared" si="53"/>
        <v>2</v>
      </c>
      <c r="Q503" t="s">
        <v>196</v>
      </c>
      <c r="R503">
        <f t="shared" si="54"/>
        <v>2667</v>
      </c>
      <c r="S503" t="s">
        <v>1420</v>
      </c>
      <c r="T503">
        <f t="shared" si="55"/>
        <v>5334</v>
      </c>
      <c r="U503">
        <f>YEAR(Sales_Table[[#This Row],[Date_clean]])</f>
        <v>2024</v>
      </c>
      <c r="V503" t="str">
        <f>TEXT(Sales_Table[[#This Row],[Date_clean]],"mmmm")</f>
        <v>January</v>
      </c>
      <c r="W503">
        <f>WEEKNUM(Sales_Table[[#This Row],[Date_clean]],2)</f>
        <v>3</v>
      </c>
      <c r="X503" t="str" cm="1">
        <f t="array" ref="X503">_xlfn.IFS(Sales_Table[[#This Row],[Revenue]]&gt;=50000,"High",Sales_Table[[#This Row],[Revenue]]&gt;=20000,"Medium",Sales_Table[[#This Row],[Revenue]]&lt;20000,"Low")</f>
        <v>Low</v>
      </c>
      <c r="Y503" t="str">
        <f>IF(Sales_Table[[#This Row],[Payment Method_clean]]="cash","Offline","Online")</f>
        <v>Online</v>
      </c>
      <c r="Z503">
        <f>IFERROR(Sales_Table[[#This Row],[Revenue]],0)</f>
        <v>5334</v>
      </c>
    </row>
    <row r="504" spans="1:26" x14ac:dyDescent="0.3">
      <c r="A504">
        <v>503</v>
      </c>
      <c r="B504" s="2">
        <f t="shared" si="49"/>
        <v>45312.916666666664</v>
      </c>
      <c r="C504" t="s">
        <v>1421</v>
      </c>
      <c r="D504" t="s">
        <v>45</v>
      </c>
      <c r="E504" t="str">
        <f>PROPER(TRIM(CLEAN(Sales_Table[[#This Row],[Region]])))</f>
        <v>North</v>
      </c>
      <c r="F504" t="s">
        <v>78</v>
      </c>
      <c r="G504" t="str">
        <f t="shared" si="50"/>
        <v>Grocery</v>
      </c>
      <c r="H504" t="str">
        <f>PROPER(TRIM(CLEAN(Sales_Table[[#This Row],[Product Name]])))</f>
        <v>Mixer Grinder</v>
      </c>
      <c r="I504" t="s">
        <v>29</v>
      </c>
      <c r="J504" t="str">
        <f t="shared" si="51"/>
        <v>CUST0473</v>
      </c>
      <c r="K504" t="s">
        <v>1422</v>
      </c>
      <c r="L504" t="str">
        <f>PROPER(TRIM(CLEAN(Sales_Table[[#This Row],[Salesperson]])))</f>
        <v>Rahul</v>
      </c>
      <c r="M504" t="s">
        <v>31</v>
      </c>
      <c r="N504" t="str">
        <f t="shared" si="52"/>
        <v>Upi</v>
      </c>
      <c r="O504" t="s">
        <v>48</v>
      </c>
      <c r="P504">
        <f t="shared" si="53"/>
        <v>13</v>
      </c>
      <c r="Q504" t="s">
        <v>81</v>
      </c>
      <c r="R504">
        <f t="shared" si="54"/>
        <v>2098</v>
      </c>
      <c r="S504" t="s">
        <v>1423</v>
      </c>
      <c r="T504">
        <f t="shared" si="55"/>
        <v>27274</v>
      </c>
      <c r="U504">
        <f>YEAR(Sales_Table[[#This Row],[Date_clean]])</f>
        <v>2024</v>
      </c>
      <c r="V504" t="str">
        <f>TEXT(Sales_Table[[#This Row],[Date_clean]],"mmmm")</f>
        <v>January</v>
      </c>
      <c r="W504">
        <f>WEEKNUM(Sales_Table[[#This Row],[Date_clean]],2)</f>
        <v>3</v>
      </c>
      <c r="X504" t="str" cm="1">
        <f t="array" ref="X504">_xlfn.IFS(Sales_Table[[#This Row],[Revenue]]&gt;=50000,"High",Sales_Table[[#This Row],[Revenue]]&gt;=20000,"Medium",Sales_Table[[#This Row],[Revenue]]&lt;20000,"Low")</f>
        <v>Medium</v>
      </c>
      <c r="Y504" t="str">
        <f>IF(Sales_Table[[#This Row],[Payment Method_clean]]="cash","Offline","Online")</f>
        <v>Online</v>
      </c>
      <c r="Z504">
        <f>IFERROR(Sales_Table[[#This Row],[Revenue]],0)</f>
        <v>27274</v>
      </c>
    </row>
    <row r="505" spans="1:26" x14ac:dyDescent="0.3">
      <c r="A505">
        <v>504</v>
      </c>
      <c r="B505" s="2">
        <f t="shared" si="49"/>
        <v>45312.958333333336</v>
      </c>
      <c r="C505" t="s">
        <v>1424</v>
      </c>
      <c r="D505" t="s">
        <v>36</v>
      </c>
      <c r="E505" t="str">
        <f>PROPER(TRIM(CLEAN(Sales_Table[[#This Row],[Region]])))</f>
        <v>West</v>
      </c>
      <c r="F505" t="s">
        <v>46</v>
      </c>
      <c r="G505" t="str">
        <f t="shared" si="50"/>
        <v>Electronics</v>
      </c>
      <c r="H505" t="str">
        <f>PROPER(TRIM(CLEAN(Sales_Table[[#This Row],[Product Name]])))</f>
        <v>Led Tv 42Inch</v>
      </c>
      <c r="I505" t="s">
        <v>58</v>
      </c>
      <c r="J505" t="str">
        <f t="shared" si="51"/>
        <v>CUST0701</v>
      </c>
      <c r="K505" t="s">
        <v>1425</v>
      </c>
      <c r="L505" t="str">
        <f>PROPER(TRIM(CLEAN(Sales_Table[[#This Row],[Salesperson]])))</f>
        <v>Anita</v>
      </c>
      <c r="M505" t="s">
        <v>64</v>
      </c>
      <c r="N505" t="str">
        <f t="shared" si="52"/>
        <v>Debit Card</v>
      </c>
      <c r="O505" t="s">
        <v>41</v>
      </c>
      <c r="P505">
        <f t="shared" si="53"/>
        <v>7</v>
      </c>
      <c r="Q505" t="s">
        <v>49</v>
      </c>
      <c r="R505">
        <f t="shared" si="54"/>
        <v>3214</v>
      </c>
      <c r="S505" t="s">
        <v>1426</v>
      </c>
      <c r="T505">
        <f t="shared" si="55"/>
        <v>22498</v>
      </c>
      <c r="U505">
        <f>YEAR(Sales_Table[[#This Row],[Date_clean]])</f>
        <v>2024</v>
      </c>
      <c r="V505" t="str">
        <f>TEXT(Sales_Table[[#This Row],[Date_clean]],"mmmm")</f>
        <v>January</v>
      </c>
      <c r="W505">
        <f>WEEKNUM(Sales_Table[[#This Row],[Date_clean]],2)</f>
        <v>3</v>
      </c>
      <c r="X505" t="str" cm="1">
        <f t="array" ref="X505">_xlfn.IFS(Sales_Table[[#This Row],[Revenue]]&gt;=50000,"High",Sales_Table[[#This Row],[Revenue]]&gt;=20000,"Medium",Sales_Table[[#This Row],[Revenue]]&lt;20000,"Low")</f>
        <v>Medium</v>
      </c>
      <c r="Y505" t="str">
        <f>IF(Sales_Table[[#This Row],[Payment Method_clean]]="cash","Offline","Online")</f>
        <v>Online</v>
      </c>
      <c r="Z505">
        <f>IFERROR(Sales_Table[[#This Row],[Revenue]],0)</f>
        <v>22498</v>
      </c>
    </row>
    <row r="506" spans="1:26" x14ac:dyDescent="0.3">
      <c r="A506">
        <v>505</v>
      </c>
      <c r="B506" s="2">
        <f t="shared" si="49"/>
        <v>45313</v>
      </c>
      <c r="C506" t="s">
        <v>1427</v>
      </c>
      <c r="D506" t="s">
        <v>27</v>
      </c>
      <c r="E506" t="str">
        <f>PROPER(TRIM(CLEAN(Sales_Table[[#This Row],[Region]])))</f>
        <v>East</v>
      </c>
      <c r="F506" t="s">
        <v>46</v>
      </c>
      <c r="G506" t="str">
        <f t="shared" si="50"/>
        <v>Electronics</v>
      </c>
      <c r="H506" t="str">
        <f>PROPER(TRIM(CLEAN(Sales_Table[[#This Row],[Product Name]])))</f>
        <v>Led Tv 42Inch</v>
      </c>
      <c r="I506" t="s">
        <v>58</v>
      </c>
      <c r="J506" t="str">
        <f t="shared" si="51"/>
        <v>CUST0272</v>
      </c>
      <c r="K506" t="s">
        <v>1428</v>
      </c>
      <c r="L506" t="str">
        <f>PROPER(TRIM(CLEAN(Sales_Table[[#This Row],[Salesperson]])))</f>
        <v>Anita</v>
      </c>
      <c r="M506" t="s">
        <v>64</v>
      </c>
      <c r="N506" t="str">
        <f t="shared" si="52"/>
        <v>Debit Card</v>
      </c>
      <c r="O506" t="s">
        <v>41</v>
      </c>
      <c r="P506">
        <f t="shared" si="53"/>
        <v>9</v>
      </c>
      <c r="Q506" t="s">
        <v>130</v>
      </c>
      <c r="R506">
        <f t="shared" si="54"/>
        <v>3094</v>
      </c>
      <c r="S506" t="s">
        <v>1429</v>
      </c>
      <c r="T506">
        <f t="shared" si="55"/>
        <v>27846</v>
      </c>
      <c r="U506">
        <f>YEAR(Sales_Table[[#This Row],[Date_clean]])</f>
        <v>2024</v>
      </c>
      <c r="V506" t="str">
        <f>TEXT(Sales_Table[[#This Row],[Date_clean]],"mmmm")</f>
        <v>January</v>
      </c>
      <c r="W506">
        <f>WEEKNUM(Sales_Table[[#This Row],[Date_clean]],2)</f>
        <v>4</v>
      </c>
      <c r="X506" t="str" cm="1">
        <f t="array" ref="X506">_xlfn.IFS(Sales_Table[[#This Row],[Revenue]]&gt;=50000,"High",Sales_Table[[#This Row],[Revenue]]&gt;=20000,"Medium",Sales_Table[[#This Row],[Revenue]]&lt;20000,"Low")</f>
        <v>Medium</v>
      </c>
      <c r="Y506" t="str">
        <f>IF(Sales_Table[[#This Row],[Payment Method_clean]]="cash","Offline","Online")</f>
        <v>Online</v>
      </c>
      <c r="Z506">
        <f>IFERROR(Sales_Table[[#This Row],[Revenue]],0)</f>
        <v>27846</v>
      </c>
    </row>
    <row r="507" spans="1:26" x14ac:dyDescent="0.3">
      <c r="A507">
        <v>506</v>
      </c>
      <c r="B507" s="2">
        <f t="shared" si="49"/>
        <v>45313.041666666664</v>
      </c>
      <c r="C507" t="s">
        <v>1430</v>
      </c>
      <c r="D507" t="s">
        <v>45</v>
      </c>
      <c r="E507" t="str">
        <f>PROPER(TRIM(CLEAN(Sales_Table[[#This Row],[Region]])))</f>
        <v>North</v>
      </c>
      <c r="F507" t="s">
        <v>28</v>
      </c>
      <c r="G507" t="str">
        <f t="shared" si="50"/>
        <v>Clothing</v>
      </c>
      <c r="H507" t="str">
        <f>PROPER(TRIM(CLEAN(Sales_Table[[#This Row],[Product Name]])))</f>
        <v>Led Tv 42Inch</v>
      </c>
      <c r="I507" t="s">
        <v>58</v>
      </c>
      <c r="J507" t="str">
        <f t="shared" si="51"/>
        <v>CUST0002</v>
      </c>
      <c r="K507" t="s">
        <v>1431</v>
      </c>
      <c r="L507" t="str">
        <f>PROPER(TRIM(CLEAN(Sales_Table[[#This Row],[Salesperson]])))</f>
        <v>Suresh</v>
      </c>
      <c r="M507" t="s">
        <v>54</v>
      </c>
      <c r="N507" t="str">
        <f t="shared" si="52"/>
        <v>Credit Card</v>
      </c>
      <c r="O507" t="s">
        <v>65</v>
      </c>
      <c r="P507">
        <f t="shared" si="53"/>
        <v>6</v>
      </c>
      <c r="Q507" t="s">
        <v>75</v>
      </c>
      <c r="R507">
        <f t="shared" si="54"/>
        <v>2110</v>
      </c>
      <c r="S507" t="s">
        <v>1432</v>
      </c>
      <c r="T507">
        <f t="shared" si="55"/>
        <v>12660</v>
      </c>
      <c r="U507">
        <f>YEAR(Sales_Table[[#This Row],[Date_clean]])</f>
        <v>2024</v>
      </c>
      <c r="V507" t="str">
        <f>TEXT(Sales_Table[[#This Row],[Date_clean]],"mmmm")</f>
        <v>January</v>
      </c>
      <c r="W507">
        <f>WEEKNUM(Sales_Table[[#This Row],[Date_clean]],2)</f>
        <v>4</v>
      </c>
      <c r="X507" t="str" cm="1">
        <f t="array" ref="X507">_xlfn.IFS(Sales_Table[[#This Row],[Revenue]]&gt;=50000,"High",Sales_Table[[#This Row],[Revenue]]&gt;=20000,"Medium",Sales_Table[[#This Row],[Revenue]]&lt;20000,"Low")</f>
        <v>Low</v>
      </c>
      <c r="Y507" t="str">
        <f>IF(Sales_Table[[#This Row],[Payment Method_clean]]="cash","Offline","Online")</f>
        <v>Online</v>
      </c>
      <c r="Z507">
        <f>IFERROR(Sales_Table[[#This Row],[Revenue]],0)</f>
        <v>12660</v>
      </c>
    </row>
    <row r="508" spans="1:26" x14ac:dyDescent="0.3">
      <c r="A508">
        <v>507</v>
      </c>
      <c r="B508" s="2">
        <f t="shared" si="49"/>
        <v>45313.083333333336</v>
      </c>
      <c r="C508" t="s">
        <v>1433</v>
      </c>
      <c r="D508" t="s">
        <v>36</v>
      </c>
      <c r="E508" t="str">
        <f>PROPER(TRIM(CLEAN(Sales_Table[[#This Row],[Region]])))</f>
        <v>West</v>
      </c>
      <c r="F508" t="s">
        <v>78</v>
      </c>
      <c r="G508" t="str">
        <f t="shared" si="50"/>
        <v>Grocery</v>
      </c>
      <c r="H508" t="str">
        <f>PROPER(TRIM(CLEAN(Sales_Table[[#This Row],[Product Name]])))</f>
        <v>Mixer Grinder</v>
      </c>
      <c r="I508" t="s">
        <v>29</v>
      </c>
      <c r="J508" t="str">
        <f t="shared" si="51"/>
        <v>CUST0758</v>
      </c>
      <c r="K508" t="s">
        <v>643</v>
      </c>
      <c r="L508" t="str">
        <f>PROPER(TRIM(CLEAN(Sales_Table[[#This Row],[Salesperson]])))</f>
        <v>Suresh</v>
      </c>
      <c r="M508" t="s">
        <v>54</v>
      </c>
      <c r="N508" t="str">
        <f t="shared" si="52"/>
        <v>Cash</v>
      </c>
      <c r="O508" t="s">
        <v>32</v>
      </c>
      <c r="P508">
        <f t="shared" si="53"/>
        <v>10</v>
      </c>
      <c r="Q508" t="s">
        <v>117</v>
      </c>
      <c r="R508">
        <f t="shared" si="54"/>
        <v>4944</v>
      </c>
      <c r="S508" t="s">
        <v>1434</v>
      </c>
      <c r="T508">
        <f t="shared" si="55"/>
        <v>49440</v>
      </c>
      <c r="U508">
        <f>YEAR(Sales_Table[[#This Row],[Date_clean]])</f>
        <v>2024</v>
      </c>
      <c r="V508" t="str">
        <f>TEXT(Sales_Table[[#This Row],[Date_clean]],"mmmm")</f>
        <v>January</v>
      </c>
      <c r="W508">
        <f>WEEKNUM(Sales_Table[[#This Row],[Date_clean]],2)</f>
        <v>4</v>
      </c>
      <c r="X508" t="str" cm="1">
        <f t="array" ref="X508">_xlfn.IFS(Sales_Table[[#This Row],[Revenue]]&gt;=50000,"High",Sales_Table[[#This Row],[Revenue]]&gt;=20000,"Medium",Sales_Table[[#This Row],[Revenue]]&lt;20000,"Low")</f>
        <v>Medium</v>
      </c>
      <c r="Y508" t="str">
        <f>IF(Sales_Table[[#This Row],[Payment Method_clean]]="cash","Offline","Online")</f>
        <v>Offline</v>
      </c>
      <c r="Z508">
        <f>IFERROR(Sales_Table[[#This Row],[Revenue]],0)</f>
        <v>49440</v>
      </c>
    </row>
    <row r="509" spans="1:26" x14ac:dyDescent="0.3">
      <c r="A509">
        <v>508</v>
      </c>
      <c r="B509" s="2">
        <f t="shared" si="49"/>
        <v>45313.125</v>
      </c>
      <c r="C509" t="s">
        <v>1435</v>
      </c>
      <c r="D509" t="s">
        <v>27</v>
      </c>
      <c r="E509" t="str">
        <f>PROPER(TRIM(CLEAN(Sales_Table[[#This Row],[Region]])))</f>
        <v>East</v>
      </c>
      <c r="F509" t="s">
        <v>46</v>
      </c>
      <c r="G509" t="str">
        <f t="shared" si="50"/>
        <v>Electronics</v>
      </c>
      <c r="H509" t="str">
        <f>PROPER(TRIM(CLEAN(Sales_Table[[#This Row],[Product Name]])))</f>
        <v>Laptop</v>
      </c>
      <c r="I509" t="s">
        <v>52</v>
      </c>
      <c r="J509" t="str">
        <f t="shared" si="51"/>
        <v>CUST0722</v>
      </c>
      <c r="K509" t="s">
        <v>677</v>
      </c>
      <c r="L509" t="str">
        <f>PROPER(TRIM(CLEAN(Sales_Table[[#This Row],[Salesperson]])))</f>
        <v>Anita</v>
      </c>
      <c r="M509" t="s">
        <v>64</v>
      </c>
      <c r="N509" t="str">
        <f t="shared" si="52"/>
        <v>Net Banking</v>
      </c>
      <c r="O509" t="s">
        <v>60</v>
      </c>
      <c r="P509">
        <f t="shared" si="53"/>
        <v>2</v>
      </c>
      <c r="Q509" t="s">
        <v>196</v>
      </c>
      <c r="R509">
        <f t="shared" si="54"/>
        <v>1991</v>
      </c>
      <c r="S509" t="s">
        <v>1436</v>
      </c>
      <c r="T509">
        <f t="shared" si="55"/>
        <v>3982</v>
      </c>
      <c r="U509">
        <f>YEAR(Sales_Table[[#This Row],[Date_clean]])</f>
        <v>2024</v>
      </c>
      <c r="V509" t="str">
        <f>TEXT(Sales_Table[[#This Row],[Date_clean]],"mmmm")</f>
        <v>January</v>
      </c>
      <c r="W509">
        <f>WEEKNUM(Sales_Table[[#This Row],[Date_clean]],2)</f>
        <v>4</v>
      </c>
      <c r="X509" t="str" cm="1">
        <f t="array" ref="X509">_xlfn.IFS(Sales_Table[[#This Row],[Revenue]]&gt;=50000,"High",Sales_Table[[#This Row],[Revenue]]&gt;=20000,"Medium",Sales_Table[[#This Row],[Revenue]]&lt;20000,"Low")</f>
        <v>Low</v>
      </c>
      <c r="Y509" t="str">
        <f>IF(Sales_Table[[#This Row],[Payment Method_clean]]="cash","Offline","Online")</f>
        <v>Online</v>
      </c>
      <c r="Z509">
        <f>IFERROR(Sales_Table[[#This Row],[Revenue]],0)</f>
        <v>3982</v>
      </c>
    </row>
    <row r="510" spans="1:26" x14ac:dyDescent="0.3">
      <c r="A510">
        <v>509</v>
      </c>
      <c r="B510" s="2">
        <f t="shared" si="49"/>
        <v>45313.166666666664</v>
      </c>
      <c r="C510" t="s">
        <v>1437</v>
      </c>
      <c r="D510" t="s">
        <v>36</v>
      </c>
      <c r="E510" t="str">
        <f>PROPER(TRIM(CLEAN(Sales_Table[[#This Row],[Region]])))</f>
        <v>West</v>
      </c>
      <c r="F510" t="s">
        <v>37</v>
      </c>
      <c r="G510" t="str">
        <f t="shared" si="50"/>
        <v>Home Appliances</v>
      </c>
      <c r="H510" t="str">
        <f>PROPER(TRIM(CLEAN(Sales_Table[[#This Row],[Product Name]])))</f>
        <v>Rice 5Kg</v>
      </c>
      <c r="I510" t="s">
        <v>73</v>
      </c>
      <c r="J510" t="str">
        <f t="shared" si="51"/>
        <v>CUST0511</v>
      </c>
      <c r="K510" t="s">
        <v>700</v>
      </c>
      <c r="L510" t="str">
        <f>PROPER(TRIM(CLEAN(Sales_Table[[#This Row],[Salesperson]])))</f>
        <v>Meena</v>
      </c>
      <c r="M510" t="s">
        <v>40</v>
      </c>
      <c r="N510" t="str">
        <f t="shared" si="52"/>
        <v>Net Banking</v>
      </c>
      <c r="O510" t="s">
        <v>60</v>
      </c>
      <c r="P510">
        <f t="shared" si="53"/>
        <v>12</v>
      </c>
      <c r="Q510" t="s">
        <v>33</v>
      </c>
      <c r="R510">
        <f t="shared" si="54"/>
        <v>930</v>
      </c>
      <c r="S510" t="s">
        <v>1438</v>
      </c>
      <c r="T510">
        <f t="shared" si="55"/>
        <v>11160</v>
      </c>
      <c r="U510">
        <f>YEAR(Sales_Table[[#This Row],[Date_clean]])</f>
        <v>2024</v>
      </c>
      <c r="V510" t="str">
        <f>TEXT(Sales_Table[[#This Row],[Date_clean]],"mmmm")</f>
        <v>January</v>
      </c>
      <c r="W510">
        <f>WEEKNUM(Sales_Table[[#This Row],[Date_clean]],2)</f>
        <v>4</v>
      </c>
      <c r="X510" t="str" cm="1">
        <f t="array" ref="X510">_xlfn.IFS(Sales_Table[[#This Row],[Revenue]]&gt;=50000,"High",Sales_Table[[#This Row],[Revenue]]&gt;=20000,"Medium",Sales_Table[[#This Row],[Revenue]]&lt;20000,"Low")</f>
        <v>Low</v>
      </c>
      <c r="Y510" t="str">
        <f>IF(Sales_Table[[#This Row],[Payment Method_clean]]="cash","Offline","Online")</f>
        <v>Online</v>
      </c>
      <c r="Z510">
        <f>IFERROR(Sales_Table[[#This Row],[Revenue]],0)</f>
        <v>11160</v>
      </c>
    </row>
    <row r="511" spans="1:26" x14ac:dyDescent="0.3">
      <c r="A511">
        <v>510</v>
      </c>
      <c r="B511" s="2">
        <f t="shared" si="49"/>
        <v>45313.208333333336</v>
      </c>
      <c r="C511" t="s">
        <v>1439</v>
      </c>
      <c r="D511" t="s">
        <v>84</v>
      </c>
      <c r="E511" t="str">
        <f>PROPER(TRIM(CLEAN(Sales_Table[[#This Row],[Region]])))</f>
        <v>South</v>
      </c>
      <c r="F511" t="s">
        <v>37</v>
      </c>
      <c r="G511" t="str">
        <f t="shared" si="50"/>
        <v>Home Appliances</v>
      </c>
      <c r="H511" t="str">
        <f>PROPER(TRIM(CLEAN(Sales_Table[[#This Row],[Product Name]])))</f>
        <v>Mixer Grinder</v>
      </c>
      <c r="I511" t="s">
        <v>29</v>
      </c>
      <c r="J511" t="str">
        <f t="shared" si="51"/>
        <v>CUST0286</v>
      </c>
      <c r="K511" t="s">
        <v>1440</v>
      </c>
      <c r="L511" t="str">
        <f>PROPER(TRIM(CLEAN(Sales_Table[[#This Row],[Salesperson]])))</f>
        <v>Meena</v>
      </c>
      <c r="M511" t="s">
        <v>40</v>
      </c>
      <c r="N511" t="str">
        <f t="shared" si="52"/>
        <v>Cash</v>
      </c>
      <c r="O511" t="s">
        <v>32</v>
      </c>
      <c r="P511">
        <f t="shared" si="53"/>
        <v>10</v>
      </c>
      <c r="Q511" t="s">
        <v>117</v>
      </c>
      <c r="R511">
        <f t="shared" si="54"/>
        <v>148</v>
      </c>
      <c r="S511" t="s">
        <v>1441</v>
      </c>
      <c r="T511">
        <f t="shared" si="55"/>
        <v>1480</v>
      </c>
      <c r="U511">
        <f>YEAR(Sales_Table[[#This Row],[Date_clean]])</f>
        <v>2024</v>
      </c>
      <c r="V511" t="str">
        <f>TEXT(Sales_Table[[#This Row],[Date_clean]],"mmmm")</f>
        <v>January</v>
      </c>
      <c r="W511">
        <f>WEEKNUM(Sales_Table[[#This Row],[Date_clean]],2)</f>
        <v>4</v>
      </c>
      <c r="X511" t="str" cm="1">
        <f t="array" ref="X511">_xlfn.IFS(Sales_Table[[#This Row],[Revenue]]&gt;=50000,"High",Sales_Table[[#This Row],[Revenue]]&gt;=20000,"Medium",Sales_Table[[#This Row],[Revenue]]&lt;20000,"Low")</f>
        <v>Low</v>
      </c>
      <c r="Y511" t="str">
        <f>IF(Sales_Table[[#This Row],[Payment Method_clean]]="cash","Offline","Online")</f>
        <v>Offline</v>
      </c>
      <c r="Z511">
        <f>IFERROR(Sales_Table[[#This Row],[Revenue]],0)</f>
        <v>1480</v>
      </c>
    </row>
    <row r="512" spans="1:26" x14ac:dyDescent="0.3">
      <c r="A512">
        <v>511</v>
      </c>
      <c r="B512" s="2">
        <f t="shared" si="49"/>
        <v>45313.25</v>
      </c>
      <c r="C512" t="s">
        <v>1442</v>
      </c>
      <c r="D512" t="s">
        <v>45</v>
      </c>
      <c r="E512" t="str">
        <f>PROPER(TRIM(CLEAN(Sales_Table[[#This Row],[Region]])))</f>
        <v>North</v>
      </c>
      <c r="F512" t="s">
        <v>37</v>
      </c>
      <c r="G512" t="str">
        <f t="shared" si="50"/>
        <v>Home Appliances</v>
      </c>
      <c r="H512" t="str">
        <f>PROPER(TRIM(CLEAN(Sales_Table[[#This Row],[Product Name]])))</f>
        <v>Led Tv 42Inch</v>
      </c>
      <c r="I512" t="s">
        <v>58</v>
      </c>
      <c r="J512" t="str">
        <f t="shared" si="51"/>
        <v>CUST0013</v>
      </c>
      <c r="K512" t="s">
        <v>790</v>
      </c>
      <c r="L512" t="str">
        <f>PROPER(TRIM(CLEAN(Sales_Table[[#This Row],[Salesperson]])))</f>
        <v>Rahul</v>
      </c>
      <c r="M512" t="s">
        <v>31</v>
      </c>
      <c r="N512" t="str">
        <f t="shared" si="52"/>
        <v>Credit Card</v>
      </c>
      <c r="O512" t="s">
        <v>65</v>
      </c>
      <c r="P512">
        <f t="shared" si="53"/>
        <v>10</v>
      </c>
      <c r="Q512" t="s">
        <v>117</v>
      </c>
      <c r="R512">
        <f t="shared" si="54"/>
        <v>4310</v>
      </c>
      <c r="S512" t="s">
        <v>1264</v>
      </c>
      <c r="T512">
        <f t="shared" si="55"/>
        <v>43100</v>
      </c>
      <c r="U512">
        <f>YEAR(Sales_Table[[#This Row],[Date_clean]])</f>
        <v>2024</v>
      </c>
      <c r="V512" t="str">
        <f>TEXT(Sales_Table[[#This Row],[Date_clean]],"mmmm")</f>
        <v>January</v>
      </c>
      <c r="W512">
        <f>WEEKNUM(Sales_Table[[#This Row],[Date_clean]],2)</f>
        <v>4</v>
      </c>
      <c r="X512" t="str" cm="1">
        <f t="array" ref="X512">_xlfn.IFS(Sales_Table[[#This Row],[Revenue]]&gt;=50000,"High",Sales_Table[[#This Row],[Revenue]]&gt;=20000,"Medium",Sales_Table[[#This Row],[Revenue]]&lt;20000,"Low")</f>
        <v>Medium</v>
      </c>
      <c r="Y512" t="str">
        <f>IF(Sales_Table[[#This Row],[Payment Method_clean]]="cash","Offline","Online")</f>
        <v>Online</v>
      </c>
      <c r="Z512">
        <f>IFERROR(Sales_Table[[#This Row],[Revenue]],0)</f>
        <v>43100</v>
      </c>
    </row>
    <row r="513" spans="1:26" x14ac:dyDescent="0.3">
      <c r="A513">
        <v>512</v>
      </c>
      <c r="B513" s="2">
        <f t="shared" si="49"/>
        <v>45313.291666666664</v>
      </c>
      <c r="C513" t="s">
        <v>1443</v>
      </c>
      <c r="D513" t="s">
        <v>84</v>
      </c>
      <c r="E513" t="str">
        <f>PROPER(TRIM(CLEAN(Sales_Table[[#This Row],[Region]])))</f>
        <v>South</v>
      </c>
      <c r="F513" t="s">
        <v>78</v>
      </c>
      <c r="G513" t="str">
        <f t="shared" si="50"/>
        <v>Grocery</v>
      </c>
      <c r="H513" t="str">
        <f>PROPER(TRIM(CLEAN(Sales_Table[[#This Row],[Product Name]])))</f>
        <v>Washing Machine</v>
      </c>
      <c r="I513" t="s">
        <v>79</v>
      </c>
      <c r="J513" t="str">
        <f t="shared" si="51"/>
        <v>CUST0608</v>
      </c>
      <c r="K513" t="s">
        <v>396</v>
      </c>
      <c r="L513" t="str">
        <f>PROPER(TRIM(CLEAN(Sales_Table[[#This Row],[Salesperson]])))</f>
        <v>Karthik</v>
      </c>
      <c r="M513" t="s">
        <v>70</v>
      </c>
      <c r="N513" t="str">
        <f t="shared" si="52"/>
        <v>Cash</v>
      </c>
      <c r="O513" t="s">
        <v>32</v>
      </c>
      <c r="P513">
        <f t="shared" si="53"/>
        <v>13</v>
      </c>
      <c r="Q513" t="s">
        <v>81</v>
      </c>
      <c r="R513">
        <f t="shared" si="54"/>
        <v>1278</v>
      </c>
      <c r="S513" t="s">
        <v>1444</v>
      </c>
      <c r="T513">
        <f t="shared" si="55"/>
        <v>16614</v>
      </c>
      <c r="U513">
        <f>YEAR(Sales_Table[[#This Row],[Date_clean]])</f>
        <v>2024</v>
      </c>
      <c r="V513" t="str">
        <f>TEXT(Sales_Table[[#This Row],[Date_clean]],"mmmm")</f>
        <v>January</v>
      </c>
      <c r="W513">
        <f>WEEKNUM(Sales_Table[[#This Row],[Date_clean]],2)</f>
        <v>4</v>
      </c>
      <c r="X513" t="str" cm="1">
        <f t="array" ref="X513">_xlfn.IFS(Sales_Table[[#This Row],[Revenue]]&gt;=50000,"High",Sales_Table[[#This Row],[Revenue]]&gt;=20000,"Medium",Sales_Table[[#This Row],[Revenue]]&lt;20000,"Low")</f>
        <v>Low</v>
      </c>
      <c r="Y513" t="str">
        <f>IF(Sales_Table[[#This Row],[Payment Method_clean]]="cash","Offline","Online")</f>
        <v>Offline</v>
      </c>
      <c r="Z513">
        <f>IFERROR(Sales_Table[[#This Row],[Revenue]],0)</f>
        <v>16614</v>
      </c>
    </row>
    <row r="514" spans="1:26" x14ac:dyDescent="0.3">
      <c r="A514">
        <v>513</v>
      </c>
      <c r="B514" s="2">
        <f t="shared" si="49"/>
        <v>45313.333333333336</v>
      </c>
      <c r="C514" t="s">
        <v>1445</v>
      </c>
      <c r="D514" t="s">
        <v>27</v>
      </c>
      <c r="E514" t="str">
        <f>PROPER(TRIM(CLEAN(Sales_Table[[#This Row],[Region]])))</f>
        <v>East</v>
      </c>
      <c r="F514" t="s">
        <v>46</v>
      </c>
      <c r="G514" t="str">
        <f t="shared" si="50"/>
        <v>Electronics</v>
      </c>
      <c r="H514" t="str">
        <f>PROPER(TRIM(CLEAN(Sales_Table[[#This Row],[Product Name]])))</f>
        <v>Men T-Shirt</v>
      </c>
      <c r="I514" t="s">
        <v>38</v>
      </c>
      <c r="J514" t="str">
        <f t="shared" si="51"/>
        <v>CUST0498</v>
      </c>
      <c r="K514" t="s">
        <v>1446</v>
      </c>
      <c r="L514" t="str">
        <f>PROPER(TRIM(CLEAN(Sales_Table[[#This Row],[Salesperson]])))</f>
        <v>Rahul</v>
      </c>
      <c r="M514" t="s">
        <v>31</v>
      </c>
      <c r="N514" t="str">
        <f t="shared" si="52"/>
        <v>Cash</v>
      </c>
      <c r="O514" t="s">
        <v>32</v>
      </c>
      <c r="P514">
        <f t="shared" si="53"/>
        <v>9</v>
      </c>
      <c r="Q514" t="s">
        <v>130</v>
      </c>
      <c r="R514">
        <f t="shared" si="54"/>
        <v>3133</v>
      </c>
      <c r="S514" t="s">
        <v>1447</v>
      </c>
      <c r="T514">
        <f t="shared" si="55"/>
        <v>28197</v>
      </c>
      <c r="U514">
        <f>YEAR(Sales_Table[[#This Row],[Date_clean]])</f>
        <v>2024</v>
      </c>
      <c r="V514" t="str">
        <f>TEXT(Sales_Table[[#This Row],[Date_clean]],"mmmm")</f>
        <v>January</v>
      </c>
      <c r="W514">
        <f>WEEKNUM(Sales_Table[[#This Row],[Date_clean]],2)</f>
        <v>4</v>
      </c>
      <c r="X514" t="str" cm="1">
        <f t="array" ref="X514">_xlfn.IFS(Sales_Table[[#This Row],[Revenue]]&gt;=50000,"High",Sales_Table[[#This Row],[Revenue]]&gt;=20000,"Medium",Sales_Table[[#This Row],[Revenue]]&lt;20000,"Low")</f>
        <v>Medium</v>
      </c>
      <c r="Y514" t="str">
        <f>IF(Sales_Table[[#This Row],[Payment Method_clean]]="cash","Offline","Online")</f>
        <v>Offline</v>
      </c>
      <c r="Z514">
        <f>IFERROR(Sales_Table[[#This Row],[Revenue]],0)</f>
        <v>28197</v>
      </c>
    </row>
    <row r="515" spans="1:26" x14ac:dyDescent="0.3">
      <c r="A515">
        <v>514</v>
      </c>
      <c r="B515" s="2">
        <f t="shared" ref="B515:B578" si="56">DATEVALUE(LEFT(C515,10))+TIMEVALUE(MID(C515,12,8))</f>
        <v>45313.375</v>
      </c>
      <c r="C515" t="s">
        <v>1448</v>
      </c>
      <c r="D515" t="s">
        <v>84</v>
      </c>
      <c r="E515" t="str">
        <f>PROPER(TRIM(CLEAN(Sales_Table[[#This Row],[Region]])))</f>
        <v>South</v>
      </c>
      <c r="F515" t="s">
        <v>37</v>
      </c>
      <c r="G515" t="str">
        <f t="shared" ref="G515:G578" si="57">PROPER(TRIM(CLEAN(F515)))</f>
        <v>Home Appliances</v>
      </c>
      <c r="H515" t="str">
        <f>PROPER(TRIM(CLEAN(Sales_Table[[#This Row],[Product Name]])))</f>
        <v>Mixer Grinder</v>
      </c>
      <c r="I515" t="s">
        <v>29</v>
      </c>
      <c r="J515" t="str">
        <f t="shared" ref="J515:J578" si="58">TRIM(K515)</f>
        <v>CUST0733</v>
      </c>
      <c r="K515" t="s">
        <v>1449</v>
      </c>
      <c r="L515" t="str">
        <f>PROPER(TRIM(CLEAN(Sales_Table[[#This Row],[Salesperson]])))</f>
        <v>Rahul</v>
      </c>
      <c r="M515" t="s">
        <v>31</v>
      </c>
      <c r="N515" t="str">
        <f t="shared" ref="N515:N578" si="59">PROPER(TRIM(O515))</f>
        <v>Net Banking</v>
      </c>
      <c r="O515" t="s">
        <v>60</v>
      </c>
      <c r="P515">
        <f t="shared" ref="P515:P578" si="60">VALUE(Q515)</f>
        <v>7</v>
      </c>
      <c r="Q515" t="s">
        <v>49</v>
      </c>
      <c r="R515">
        <f t="shared" ref="R515:R578" si="61">VALUE(S515)</f>
        <v>170</v>
      </c>
      <c r="S515" t="s">
        <v>1450</v>
      </c>
      <c r="T515">
        <f t="shared" ref="T515:T578" si="62">P515*R515</f>
        <v>1190</v>
      </c>
      <c r="U515">
        <f>YEAR(Sales_Table[[#This Row],[Date_clean]])</f>
        <v>2024</v>
      </c>
      <c r="V515" t="str">
        <f>TEXT(Sales_Table[[#This Row],[Date_clean]],"mmmm")</f>
        <v>January</v>
      </c>
      <c r="W515">
        <f>WEEKNUM(Sales_Table[[#This Row],[Date_clean]],2)</f>
        <v>4</v>
      </c>
      <c r="X515" t="str" cm="1">
        <f t="array" ref="X515">_xlfn.IFS(Sales_Table[[#This Row],[Revenue]]&gt;=50000,"High",Sales_Table[[#This Row],[Revenue]]&gt;=20000,"Medium",Sales_Table[[#This Row],[Revenue]]&lt;20000,"Low")</f>
        <v>Low</v>
      </c>
      <c r="Y515" t="str">
        <f>IF(Sales_Table[[#This Row],[Payment Method_clean]]="cash","Offline","Online")</f>
        <v>Online</v>
      </c>
      <c r="Z515">
        <f>IFERROR(Sales_Table[[#This Row],[Revenue]],0)</f>
        <v>1190</v>
      </c>
    </row>
    <row r="516" spans="1:26" x14ac:dyDescent="0.3">
      <c r="A516">
        <v>515</v>
      </c>
      <c r="B516" s="2">
        <f t="shared" si="56"/>
        <v>45313.416666666664</v>
      </c>
      <c r="C516" t="s">
        <v>1451</v>
      </c>
      <c r="D516" t="s">
        <v>84</v>
      </c>
      <c r="E516" t="str">
        <f>PROPER(TRIM(CLEAN(Sales_Table[[#This Row],[Region]])))</f>
        <v>South</v>
      </c>
      <c r="F516" t="s">
        <v>78</v>
      </c>
      <c r="G516" t="str">
        <f t="shared" si="57"/>
        <v>Grocery</v>
      </c>
      <c r="H516" t="str">
        <f>PROPER(TRIM(CLEAN(Sales_Table[[#This Row],[Product Name]])))</f>
        <v>Mixer Grinder</v>
      </c>
      <c r="I516" t="s">
        <v>29</v>
      </c>
      <c r="J516" t="str">
        <f t="shared" si="58"/>
        <v>CUST0238</v>
      </c>
      <c r="K516" t="s">
        <v>1071</v>
      </c>
      <c r="L516" t="str">
        <f>PROPER(TRIM(CLEAN(Sales_Table[[#This Row],[Salesperson]])))</f>
        <v>Karthik</v>
      </c>
      <c r="M516" t="s">
        <v>70</v>
      </c>
      <c r="N516" t="str">
        <f t="shared" si="59"/>
        <v>Credit Card</v>
      </c>
      <c r="O516" t="s">
        <v>65</v>
      </c>
      <c r="P516">
        <f t="shared" si="60"/>
        <v>11</v>
      </c>
      <c r="Q516" t="s">
        <v>97</v>
      </c>
      <c r="R516">
        <f t="shared" si="61"/>
        <v>166</v>
      </c>
      <c r="S516" t="s">
        <v>1452</v>
      </c>
      <c r="T516">
        <f t="shared" si="62"/>
        <v>1826</v>
      </c>
      <c r="U516">
        <f>YEAR(Sales_Table[[#This Row],[Date_clean]])</f>
        <v>2024</v>
      </c>
      <c r="V516" t="str">
        <f>TEXT(Sales_Table[[#This Row],[Date_clean]],"mmmm")</f>
        <v>January</v>
      </c>
      <c r="W516">
        <f>WEEKNUM(Sales_Table[[#This Row],[Date_clean]],2)</f>
        <v>4</v>
      </c>
      <c r="X516" t="str" cm="1">
        <f t="array" ref="X516">_xlfn.IFS(Sales_Table[[#This Row],[Revenue]]&gt;=50000,"High",Sales_Table[[#This Row],[Revenue]]&gt;=20000,"Medium",Sales_Table[[#This Row],[Revenue]]&lt;20000,"Low")</f>
        <v>Low</v>
      </c>
      <c r="Y516" t="str">
        <f>IF(Sales_Table[[#This Row],[Payment Method_clean]]="cash","Offline","Online")</f>
        <v>Online</v>
      </c>
      <c r="Z516">
        <f>IFERROR(Sales_Table[[#This Row],[Revenue]],0)</f>
        <v>1826</v>
      </c>
    </row>
    <row r="517" spans="1:26" x14ac:dyDescent="0.3">
      <c r="A517">
        <v>516</v>
      </c>
      <c r="B517" s="2">
        <f t="shared" si="56"/>
        <v>45313.458333333336</v>
      </c>
      <c r="C517" t="s">
        <v>1453</v>
      </c>
      <c r="D517" t="s">
        <v>27</v>
      </c>
      <c r="E517" t="str">
        <f>PROPER(TRIM(CLEAN(Sales_Table[[#This Row],[Region]])))</f>
        <v>East</v>
      </c>
      <c r="F517" t="s">
        <v>37</v>
      </c>
      <c r="G517" t="str">
        <f t="shared" si="57"/>
        <v>Home Appliances</v>
      </c>
      <c r="H517" t="str">
        <f>PROPER(TRIM(CLEAN(Sales_Table[[#This Row],[Product Name]])))</f>
        <v>Rice 5Kg</v>
      </c>
      <c r="I517" t="s">
        <v>73</v>
      </c>
      <c r="J517" t="str">
        <f t="shared" si="58"/>
        <v>CUST0094</v>
      </c>
      <c r="K517" t="s">
        <v>787</v>
      </c>
      <c r="L517" t="str">
        <f>PROPER(TRIM(CLEAN(Sales_Table[[#This Row],[Salesperson]])))</f>
        <v>Anita</v>
      </c>
      <c r="M517" t="s">
        <v>64</v>
      </c>
      <c r="N517" t="str">
        <f t="shared" si="59"/>
        <v>Debit Card</v>
      </c>
      <c r="O517" t="s">
        <v>41</v>
      </c>
      <c r="P517">
        <f t="shared" si="60"/>
        <v>1</v>
      </c>
      <c r="Q517" t="s">
        <v>93</v>
      </c>
      <c r="R517">
        <f t="shared" si="61"/>
        <v>1877</v>
      </c>
      <c r="S517" t="s">
        <v>1454</v>
      </c>
      <c r="T517">
        <f t="shared" si="62"/>
        <v>1877</v>
      </c>
      <c r="U517">
        <f>YEAR(Sales_Table[[#This Row],[Date_clean]])</f>
        <v>2024</v>
      </c>
      <c r="V517" t="str">
        <f>TEXT(Sales_Table[[#This Row],[Date_clean]],"mmmm")</f>
        <v>January</v>
      </c>
      <c r="W517">
        <f>WEEKNUM(Sales_Table[[#This Row],[Date_clean]],2)</f>
        <v>4</v>
      </c>
      <c r="X517" t="str" cm="1">
        <f t="array" ref="X517">_xlfn.IFS(Sales_Table[[#This Row],[Revenue]]&gt;=50000,"High",Sales_Table[[#This Row],[Revenue]]&gt;=20000,"Medium",Sales_Table[[#This Row],[Revenue]]&lt;20000,"Low")</f>
        <v>Low</v>
      </c>
      <c r="Y517" t="str">
        <f>IF(Sales_Table[[#This Row],[Payment Method_clean]]="cash","Offline","Online")</f>
        <v>Online</v>
      </c>
      <c r="Z517">
        <f>IFERROR(Sales_Table[[#This Row],[Revenue]],0)</f>
        <v>1877</v>
      </c>
    </row>
    <row r="518" spans="1:26" x14ac:dyDescent="0.3">
      <c r="A518">
        <v>517</v>
      </c>
      <c r="B518" s="2">
        <f t="shared" si="56"/>
        <v>45313.5</v>
      </c>
      <c r="C518" t="s">
        <v>1455</v>
      </c>
      <c r="D518" t="s">
        <v>36</v>
      </c>
      <c r="E518" t="str">
        <f>PROPER(TRIM(CLEAN(Sales_Table[[#This Row],[Region]])))</f>
        <v>West</v>
      </c>
      <c r="F518" t="s">
        <v>28</v>
      </c>
      <c r="G518" t="str">
        <f t="shared" si="57"/>
        <v>Clothing</v>
      </c>
      <c r="H518" t="str">
        <f>PROPER(TRIM(CLEAN(Sales_Table[[#This Row],[Product Name]])))</f>
        <v>Rice 5Kg</v>
      </c>
      <c r="I518" t="s">
        <v>73</v>
      </c>
      <c r="J518" t="str">
        <f t="shared" si="58"/>
        <v>CUST0338</v>
      </c>
      <c r="K518" t="s">
        <v>1021</v>
      </c>
      <c r="L518" t="str">
        <f>PROPER(TRIM(CLEAN(Sales_Table[[#This Row],[Salesperson]])))</f>
        <v>Meena</v>
      </c>
      <c r="M518" t="s">
        <v>40</v>
      </c>
      <c r="N518" t="str">
        <f t="shared" si="59"/>
        <v>Net Banking</v>
      </c>
      <c r="O518" t="s">
        <v>60</v>
      </c>
      <c r="P518">
        <f t="shared" si="60"/>
        <v>12</v>
      </c>
      <c r="Q518" t="s">
        <v>33</v>
      </c>
      <c r="R518">
        <f t="shared" si="61"/>
        <v>2328</v>
      </c>
      <c r="S518" t="s">
        <v>1456</v>
      </c>
      <c r="T518">
        <f t="shared" si="62"/>
        <v>27936</v>
      </c>
      <c r="U518">
        <f>YEAR(Sales_Table[[#This Row],[Date_clean]])</f>
        <v>2024</v>
      </c>
      <c r="V518" t="str">
        <f>TEXT(Sales_Table[[#This Row],[Date_clean]],"mmmm")</f>
        <v>January</v>
      </c>
      <c r="W518">
        <f>WEEKNUM(Sales_Table[[#This Row],[Date_clean]],2)</f>
        <v>4</v>
      </c>
      <c r="X518" t="str" cm="1">
        <f t="array" ref="X518">_xlfn.IFS(Sales_Table[[#This Row],[Revenue]]&gt;=50000,"High",Sales_Table[[#This Row],[Revenue]]&gt;=20000,"Medium",Sales_Table[[#This Row],[Revenue]]&lt;20000,"Low")</f>
        <v>Medium</v>
      </c>
      <c r="Y518" t="str">
        <f>IF(Sales_Table[[#This Row],[Payment Method_clean]]="cash","Offline","Online")</f>
        <v>Online</v>
      </c>
      <c r="Z518">
        <f>IFERROR(Sales_Table[[#This Row],[Revenue]],0)</f>
        <v>27936</v>
      </c>
    </row>
    <row r="519" spans="1:26" x14ac:dyDescent="0.3">
      <c r="A519">
        <v>518</v>
      </c>
      <c r="B519" s="2">
        <f t="shared" si="56"/>
        <v>45313.541666666664</v>
      </c>
      <c r="C519" t="s">
        <v>1457</v>
      </c>
      <c r="D519" t="s">
        <v>84</v>
      </c>
      <c r="E519" t="str">
        <f>PROPER(TRIM(CLEAN(Sales_Table[[#This Row],[Region]])))</f>
        <v>South</v>
      </c>
      <c r="F519" t="s">
        <v>46</v>
      </c>
      <c r="G519" t="str">
        <f t="shared" si="57"/>
        <v>Electronics</v>
      </c>
      <c r="H519" t="str">
        <f>PROPER(TRIM(CLEAN(Sales_Table[[#This Row],[Product Name]])))</f>
        <v>Mixer Grinder</v>
      </c>
      <c r="I519" t="s">
        <v>29</v>
      </c>
      <c r="J519" t="str">
        <f t="shared" si="58"/>
        <v>CUST0781</v>
      </c>
      <c r="K519" t="s">
        <v>341</v>
      </c>
      <c r="L519" t="str">
        <f>PROPER(TRIM(CLEAN(Sales_Table[[#This Row],[Salesperson]])))</f>
        <v>Rahul</v>
      </c>
      <c r="M519" t="s">
        <v>31</v>
      </c>
      <c r="N519" t="str">
        <f t="shared" si="59"/>
        <v>Debit Card</v>
      </c>
      <c r="O519" t="s">
        <v>41</v>
      </c>
      <c r="P519">
        <f t="shared" si="60"/>
        <v>9</v>
      </c>
      <c r="Q519" t="s">
        <v>130</v>
      </c>
      <c r="R519">
        <f t="shared" si="61"/>
        <v>1889</v>
      </c>
      <c r="S519" t="s">
        <v>1458</v>
      </c>
      <c r="T519">
        <f t="shared" si="62"/>
        <v>17001</v>
      </c>
      <c r="U519">
        <f>YEAR(Sales_Table[[#This Row],[Date_clean]])</f>
        <v>2024</v>
      </c>
      <c r="V519" t="str">
        <f>TEXT(Sales_Table[[#This Row],[Date_clean]],"mmmm")</f>
        <v>January</v>
      </c>
      <c r="W519">
        <f>WEEKNUM(Sales_Table[[#This Row],[Date_clean]],2)</f>
        <v>4</v>
      </c>
      <c r="X519" t="str" cm="1">
        <f t="array" ref="X519">_xlfn.IFS(Sales_Table[[#This Row],[Revenue]]&gt;=50000,"High",Sales_Table[[#This Row],[Revenue]]&gt;=20000,"Medium",Sales_Table[[#This Row],[Revenue]]&lt;20000,"Low")</f>
        <v>Low</v>
      </c>
      <c r="Y519" t="str">
        <f>IF(Sales_Table[[#This Row],[Payment Method_clean]]="cash","Offline","Online")</f>
        <v>Online</v>
      </c>
      <c r="Z519">
        <f>IFERROR(Sales_Table[[#This Row],[Revenue]],0)</f>
        <v>17001</v>
      </c>
    </row>
    <row r="520" spans="1:26" x14ac:dyDescent="0.3">
      <c r="A520">
        <v>519</v>
      </c>
      <c r="B520" s="2">
        <f t="shared" si="56"/>
        <v>45313.583333333336</v>
      </c>
      <c r="C520" t="s">
        <v>1459</v>
      </c>
      <c r="D520" t="s">
        <v>36</v>
      </c>
      <c r="E520" t="str">
        <f>PROPER(TRIM(CLEAN(Sales_Table[[#This Row],[Region]])))</f>
        <v>West</v>
      </c>
      <c r="F520" t="s">
        <v>46</v>
      </c>
      <c r="G520" t="str">
        <f t="shared" si="57"/>
        <v>Electronics</v>
      </c>
      <c r="H520" t="str">
        <f>PROPER(TRIM(CLEAN(Sales_Table[[#This Row],[Product Name]])))</f>
        <v>Led Tv 42Inch</v>
      </c>
      <c r="I520" t="s">
        <v>58</v>
      </c>
      <c r="J520" t="str">
        <f t="shared" si="58"/>
        <v>CUST0171</v>
      </c>
      <c r="K520" t="s">
        <v>1460</v>
      </c>
      <c r="L520" t="str">
        <f>PROPER(TRIM(CLEAN(Sales_Table[[#This Row],[Salesperson]])))</f>
        <v>Karthik</v>
      </c>
      <c r="M520" t="s">
        <v>70</v>
      </c>
      <c r="N520" t="str">
        <f t="shared" si="59"/>
        <v>Credit Card</v>
      </c>
      <c r="O520" t="s">
        <v>65</v>
      </c>
      <c r="P520">
        <f t="shared" si="60"/>
        <v>2</v>
      </c>
      <c r="Q520" t="s">
        <v>196</v>
      </c>
      <c r="R520">
        <f t="shared" si="61"/>
        <v>712</v>
      </c>
      <c r="S520" t="s">
        <v>1461</v>
      </c>
      <c r="T520">
        <f t="shared" si="62"/>
        <v>1424</v>
      </c>
      <c r="U520">
        <f>YEAR(Sales_Table[[#This Row],[Date_clean]])</f>
        <v>2024</v>
      </c>
      <c r="V520" t="str">
        <f>TEXT(Sales_Table[[#This Row],[Date_clean]],"mmmm")</f>
        <v>January</v>
      </c>
      <c r="W520">
        <f>WEEKNUM(Sales_Table[[#This Row],[Date_clean]],2)</f>
        <v>4</v>
      </c>
      <c r="X520" t="str" cm="1">
        <f t="array" ref="X520">_xlfn.IFS(Sales_Table[[#This Row],[Revenue]]&gt;=50000,"High",Sales_Table[[#This Row],[Revenue]]&gt;=20000,"Medium",Sales_Table[[#This Row],[Revenue]]&lt;20000,"Low")</f>
        <v>Low</v>
      </c>
      <c r="Y520" t="str">
        <f>IF(Sales_Table[[#This Row],[Payment Method_clean]]="cash","Offline","Online")</f>
        <v>Online</v>
      </c>
      <c r="Z520">
        <f>IFERROR(Sales_Table[[#This Row],[Revenue]],0)</f>
        <v>1424</v>
      </c>
    </row>
    <row r="521" spans="1:26" x14ac:dyDescent="0.3">
      <c r="A521">
        <v>520</v>
      </c>
      <c r="B521" s="2">
        <f t="shared" si="56"/>
        <v>45313.625</v>
      </c>
      <c r="C521" t="s">
        <v>1462</v>
      </c>
      <c r="D521" t="s">
        <v>84</v>
      </c>
      <c r="E521" t="str">
        <f>PROPER(TRIM(CLEAN(Sales_Table[[#This Row],[Region]])))</f>
        <v>South</v>
      </c>
      <c r="F521" t="s">
        <v>78</v>
      </c>
      <c r="G521" t="str">
        <f t="shared" si="57"/>
        <v>Grocery</v>
      </c>
      <c r="H521" t="str">
        <f>PROPER(TRIM(CLEAN(Sales_Table[[#This Row],[Product Name]])))</f>
        <v>Men T-Shirt</v>
      </c>
      <c r="I521" t="s">
        <v>38</v>
      </c>
      <c r="J521" t="str">
        <f t="shared" si="58"/>
        <v>CUST0606</v>
      </c>
      <c r="K521" t="s">
        <v>246</v>
      </c>
      <c r="L521" t="str">
        <f>PROPER(TRIM(CLEAN(Sales_Table[[#This Row],[Salesperson]])))</f>
        <v>Suresh</v>
      </c>
      <c r="M521" t="s">
        <v>54</v>
      </c>
      <c r="N521" t="str">
        <f t="shared" si="59"/>
        <v>Cash</v>
      </c>
      <c r="O521" t="s">
        <v>32</v>
      </c>
      <c r="P521">
        <f t="shared" si="60"/>
        <v>4</v>
      </c>
      <c r="Q521" t="s">
        <v>113</v>
      </c>
      <c r="R521">
        <f t="shared" si="61"/>
        <v>1986</v>
      </c>
      <c r="S521" t="s">
        <v>1463</v>
      </c>
      <c r="T521">
        <f t="shared" si="62"/>
        <v>7944</v>
      </c>
      <c r="U521">
        <f>YEAR(Sales_Table[[#This Row],[Date_clean]])</f>
        <v>2024</v>
      </c>
      <c r="V521" t="str">
        <f>TEXT(Sales_Table[[#This Row],[Date_clean]],"mmmm")</f>
        <v>January</v>
      </c>
      <c r="W521">
        <f>WEEKNUM(Sales_Table[[#This Row],[Date_clean]],2)</f>
        <v>4</v>
      </c>
      <c r="X521" t="str" cm="1">
        <f t="array" ref="X521">_xlfn.IFS(Sales_Table[[#This Row],[Revenue]]&gt;=50000,"High",Sales_Table[[#This Row],[Revenue]]&gt;=20000,"Medium",Sales_Table[[#This Row],[Revenue]]&lt;20000,"Low")</f>
        <v>Low</v>
      </c>
      <c r="Y521" t="str">
        <f>IF(Sales_Table[[#This Row],[Payment Method_clean]]="cash","Offline","Online")</f>
        <v>Offline</v>
      </c>
      <c r="Z521">
        <f>IFERROR(Sales_Table[[#This Row],[Revenue]],0)</f>
        <v>7944</v>
      </c>
    </row>
    <row r="522" spans="1:26" x14ac:dyDescent="0.3">
      <c r="A522">
        <v>521</v>
      </c>
      <c r="B522" s="2">
        <f t="shared" si="56"/>
        <v>45313.666666666664</v>
      </c>
      <c r="C522" t="s">
        <v>1464</v>
      </c>
      <c r="D522" t="s">
        <v>36</v>
      </c>
      <c r="E522" t="str">
        <f>PROPER(TRIM(CLEAN(Sales_Table[[#This Row],[Region]])))</f>
        <v>West</v>
      </c>
      <c r="F522" t="s">
        <v>78</v>
      </c>
      <c r="G522" t="str">
        <f t="shared" si="57"/>
        <v>Grocery</v>
      </c>
      <c r="H522" t="str">
        <f>PROPER(TRIM(CLEAN(Sales_Table[[#This Row],[Product Name]])))</f>
        <v>Rice 5Kg</v>
      </c>
      <c r="I522" t="s">
        <v>73</v>
      </c>
      <c r="J522" t="str">
        <f t="shared" si="58"/>
        <v>CUST0661</v>
      </c>
      <c r="K522" t="s">
        <v>634</v>
      </c>
      <c r="L522" t="str">
        <f>PROPER(TRIM(CLEAN(Sales_Table[[#This Row],[Salesperson]])))</f>
        <v>Rahul</v>
      </c>
      <c r="M522" t="s">
        <v>31</v>
      </c>
      <c r="N522" t="str">
        <f t="shared" si="59"/>
        <v>Upi</v>
      </c>
      <c r="O522" t="s">
        <v>48</v>
      </c>
      <c r="P522">
        <f t="shared" si="60"/>
        <v>9</v>
      </c>
      <c r="Q522" t="s">
        <v>130</v>
      </c>
      <c r="R522">
        <f t="shared" si="61"/>
        <v>1722</v>
      </c>
      <c r="S522" t="s">
        <v>1465</v>
      </c>
      <c r="T522">
        <f t="shared" si="62"/>
        <v>15498</v>
      </c>
      <c r="U522">
        <f>YEAR(Sales_Table[[#This Row],[Date_clean]])</f>
        <v>2024</v>
      </c>
      <c r="V522" t="str">
        <f>TEXT(Sales_Table[[#This Row],[Date_clean]],"mmmm")</f>
        <v>January</v>
      </c>
      <c r="W522">
        <f>WEEKNUM(Sales_Table[[#This Row],[Date_clean]],2)</f>
        <v>4</v>
      </c>
      <c r="X522" t="str" cm="1">
        <f t="array" ref="X522">_xlfn.IFS(Sales_Table[[#This Row],[Revenue]]&gt;=50000,"High",Sales_Table[[#This Row],[Revenue]]&gt;=20000,"Medium",Sales_Table[[#This Row],[Revenue]]&lt;20000,"Low")</f>
        <v>Low</v>
      </c>
      <c r="Y522" t="str">
        <f>IF(Sales_Table[[#This Row],[Payment Method_clean]]="cash","Offline","Online")</f>
        <v>Online</v>
      </c>
      <c r="Z522">
        <f>IFERROR(Sales_Table[[#This Row],[Revenue]],0)</f>
        <v>15498</v>
      </c>
    </row>
    <row r="523" spans="1:26" x14ac:dyDescent="0.3">
      <c r="A523">
        <v>522</v>
      </c>
      <c r="B523" s="2">
        <f t="shared" si="56"/>
        <v>45313.708333333336</v>
      </c>
      <c r="C523" t="s">
        <v>1466</v>
      </c>
      <c r="D523" t="s">
        <v>27</v>
      </c>
      <c r="E523" t="str">
        <f>PROPER(TRIM(CLEAN(Sales_Table[[#This Row],[Region]])))</f>
        <v>East</v>
      </c>
      <c r="F523" t="s">
        <v>46</v>
      </c>
      <c r="G523" t="str">
        <f t="shared" si="57"/>
        <v>Electronics</v>
      </c>
      <c r="H523" t="str">
        <f>PROPER(TRIM(CLEAN(Sales_Table[[#This Row],[Product Name]])))</f>
        <v>Led Tv 42Inch</v>
      </c>
      <c r="I523" t="s">
        <v>58</v>
      </c>
      <c r="J523" t="str">
        <f t="shared" si="58"/>
        <v>CUST0624</v>
      </c>
      <c r="K523" t="s">
        <v>1467</v>
      </c>
      <c r="L523" t="str">
        <f>PROPER(TRIM(CLEAN(Sales_Table[[#This Row],[Salesperson]])))</f>
        <v>Meena</v>
      </c>
      <c r="M523" t="s">
        <v>40</v>
      </c>
      <c r="N523" t="str">
        <f t="shared" si="59"/>
        <v>Upi</v>
      </c>
      <c r="O523" t="s">
        <v>48</v>
      </c>
      <c r="P523">
        <f t="shared" si="60"/>
        <v>4</v>
      </c>
      <c r="Q523" t="s">
        <v>113</v>
      </c>
      <c r="R523">
        <f t="shared" si="61"/>
        <v>796</v>
      </c>
      <c r="S523" t="s">
        <v>1468</v>
      </c>
      <c r="T523">
        <f t="shared" si="62"/>
        <v>3184</v>
      </c>
      <c r="U523">
        <f>YEAR(Sales_Table[[#This Row],[Date_clean]])</f>
        <v>2024</v>
      </c>
      <c r="V523" t="str">
        <f>TEXT(Sales_Table[[#This Row],[Date_clean]],"mmmm")</f>
        <v>January</v>
      </c>
      <c r="W523">
        <f>WEEKNUM(Sales_Table[[#This Row],[Date_clean]],2)</f>
        <v>4</v>
      </c>
      <c r="X523" t="str" cm="1">
        <f t="array" ref="X523">_xlfn.IFS(Sales_Table[[#This Row],[Revenue]]&gt;=50000,"High",Sales_Table[[#This Row],[Revenue]]&gt;=20000,"Medium",Sales_Table[[#This Row],[Revenue]]&lt;20000,"Low")</f>
        <v>Low</v>
      </c>
      <c r="Y523" t="str">
        <f>IF(Sales_Table[[#This Row],[Payment Method_clean]]="cash","Offline","Online")</f>
        <v>Online</v>
      </c>
      <c r="Z523">
        <f>IFERROR(Sales_Table[[#This Row],[Revenue]],0)</f>
        <v>3184</v>
      </c>
    </row>
    <row r="524" spans="1:26" x14ac:dyDescent="0.3">
      <c r="A524">
        <v>523</v>
      </c>
      <c r="B524" s="2">
        <f t="shared" si="56"/>
        <v>45313.75</v>
      </c>
      <c r="C524" t="s">
        <v>1469</v>
      </c>
      <c r="D524" t="s">
        <v>84</v>
      </c>
      <c r="E524" t="str">
        <f>PROPER(TRIM(CLEAN(Sales_Table[[#This Row],[Region]])))</f>
        <v>South</v>
      </c>
      <c r="F524" t="s">
        <v>37</v>
      </c>
      <c r="G524" t="str">
        <f t="shared" si="57"/>
        <v>Home Appliances</v>
      </c>
      <c r="H524" t="str">
        <f>PROPER(TRIM(CLEAN(Sales_Table[[#This Row],[Product Name]])))</f>
        <v>Washing Machine</v>
      </c>
      <c r="I524" t="s">
        <v>79</v>
      </c>
      <c r="J524" t="str">
        <f t="shared" si="58"/>
        <v>CUST0567</v>
      </c>
      <c r="K524" t="s">
        <v>672</v>
      </c>
      <c r="L524" t="str">
        <f>PROPER(TRIM(CLEAN(Sales_Table[[#This Row],[Salesperson]])))</f>
        <v>Anita</v>
      </c>
      <c r="M524" t="s">
        <v>64</v>
      </c>
      <c r="N524" t="str">
        <f t="shared" si="59"/>
        <v>Credit Card</v>
      </c>
      <c r="O524" t="s">
        <v>65</v>
      </c>
      <c r="P524">
        <f t="shared" si="60"/>
        <v>3</v>
      </c>
      <c r="Q524" t="s">
        <v>66</v>
      </c>
      <c r="R524">
        <f t="shared" si="61"/>
        <v>1337</v>
      </c>
      <c r="S524" t="s">
        <v>1029</v>
      </c>
      <c r="T524">
        <f t="shared" si="62"/>
        <v>4011</v>
      </c>
      <c r="U524">
        <f>YEAR(Sales_Table[[#This Row],[Date_clean]])</f>
        <v>2024</v>
      </c>
      <c r="V524" t="str">
        <f>TEXT(Sales_Table[[#This Row],[Date_clean]],"mmmm")</f>
        <v>January</v>
      </c>
      <c r="W524">
        <f>WEEKNUM(Sales_Table[[#This Row],[Date_clean]],2)</f>
        <v>4</v>
      </c>
      <c r="X524" t="str" cm="1">
        <f t="array" ref="X524">_xlfn.IFS(Sales_Table[[#This Row],[Revenue]]&gt;=50000,"High",Sales_Table[[#This Row],[Revenue]]&gt;=20000,"Medium",Sales_Table[[#This Row],[Revenue]]&lt;20000,"Low")</f>
        <v>Low</v>
      </c>
      <c r="Y524" t="str">
        <f>IF(Sales_Table[[#This Row],[Payment Method_clean]]="cash","Offline","Online")</f>
        <v>Online</v>
      </c>
      <c r="Z524">
        <f>IFERROR(Sales_Table[[#This Row],[Revenue]],0)</f>
        <v>4011</v>
      </c>
    </row>
    <row r="525" spans="1:26" x14ac:dyDescent="0.3">
      <c r="A525">
        <v>524</v>
      </c>
      <c r="B525" s="2">
        <f t="shared" si="56"/>
        <v>45313.791666666664</v>
      </c>
      <c r="C525" t="s">
        <v>1470</v>
      </c>
      <c r="D525" t="s">
        <v>27</v>
      </c>
      <c r="E525" t="str">
        <f>PROPER(TRIM(CLEAN(Sales_Table[[#This Row],[Region]])))</f>
        <v>East</v>
      </c>
      <c r="F525" t="s">
        <v>37</v>
      </c>
      <c r="G525" t="str">
        <f t="shared" si="57"/>
        <v>Home Appliances</v>
      </c>
      <c r="H525" t="str">
        <f>PROPER(TRIM(CLEAN(Sales_Table[[#This Row],[Product Name]])))</f>
        <v>Rice 5Kg</v>
      </c>
      <c r="I525" t="s">
        <v>73</v>
      </c>
      <c r="J525" t="str">
        <f t="shared" si="58"/>
        <v>CUST0467</v>
      </c>
      <c r="K525" t="s">
        <v>1471</v>
      </c>
      <c r="L525" t="str">
        <f>PROPER(TRIM(CLEAN(Sales_Table[[#This Row],[Salesperson]])))</f>
        <v>Rahul</v>
      </c>
      <c r="M525" t="s">
        <v>31</v>
      </c>
      <c r="N525" t="str">
        <f t="shared" si="59"/>
        <v>Upi</v>
      </c>
      <c r="O525" t="s">
        <v>48</v>
      </c>
      <c r="P525">
        <f t="shared" si="60"/>
        <v>1</v>
      </c>
      <c r="Q525" t="s">
        <v>93</v>
      </c>
      <c r="R525">
        <f t="shared" si="61"/>
        <v>2506</v>
      </c>
      <c r="S525" t="s">
        <v>1472</v>
      </c>
      <c r="T525">
        <f t="shared" si="62"/>
        <v>2506</v>
      </c>
      <c r="U525">
        <f>YEAR(Sales_Table[[#This Row],[Date_clean]])</f>
        <v>2024</v>
      </c>
      <c r="V525" t="str">
        <f>TEXT(Sales_Table[[#This Row],[Date_clean]],"mmmm")</f>
        <v>January</v>
      </c>
      <c r="W525">
        <f>WEEKNUM(Sales_Table[[#This Row],[Date_clean]],2)</f>
        <v>4</v>
      </c>
      <c r="X525" t="str" cm="1">
        <f t="array" ref="X525">_xlfn.IFS(Sales_Table[[#This Row],[Revenue]]&gt;=50000,"High",Sales_Table[[#This Row],[Revenue]]&gt;=20000,"Medium",Sales_Table[[#This Row],[Revenue]]&lt;20000,"Low")</f>
        <v>Low</v>
      </c>
      <c r="Y525" t="str">
        <f>IF(Sales_Table[[#This Row],[Payment Method_clean]]="cash","Offline","Online")</f>
        <v>Online</v>
      </c>
      <c r="Z525">
        <f>IFERROR(Sales_Table[[#This Row],[Revenue]],0)</f>
        <v>2506</v>
      </c>
    </row>
    <row r="526" spans="1:26" x14ac:dyDescent="0.3">
      <c r="A526">
        <v>525</v>
      </c>
      <c r="B526" s="2">
        <f t="shared" si="56"/>
        <v>45313.833333333336</v>
      </c>
      <c r="C526" t="s">
        <v>1473</v>
      </c>
      <c r="D526" t="s">
        <v>84</v>
      </c>
      <c r="E526" t="str">
        <f>PROPER(TRIM(CLEAN(Sales_Table[[#This Row],[Region]])))</f>
        <v>South</v>
      </c>
      <c r="F526" t="s">
        <v>28</v>
      </c>
      <c r="G526" t="str">
        <f t="shared" si="57"/>
        <v>Clothing</v>
      </c>
      <c r="H526" t="str">
        <f>PROPER(TRIM(CLEAN(Sales_Table[[#This Row],[Product Name]])))</f>
        <v>Led Tv 42Inch</v>
      </c>
      <c r="I526" t="s">
        <v>58</v>
      </c>
      <c r="J526" t="str">
        <f t="shared" si="58"/>
        <v>CUST0628</v>
      </c>
      <c r="K526" t="s">
        <v>825</v>
      </c>
      <c r="L526" t="str">
        <f>PROPER(TRIM(CLEAN(Sales_Table[[#This Row],[Salesperson]])))</f>
        <v>Rahul</v>
      </c>
      <c r="M526" t="s">
        <v>31</v>
      </c>
      <c r="N526" t="str">
        <f t="shared" si="59"/>
        <v>Debit Card</v>
      </c>
      <c r="O526" t="s">
        <v>41</v>
      </c>
      <c r="P526">
        <f t="shared" si="60"/>
        <v>7</v>
      </c>
      <c r="Q526" t="s">
        <v>49</v>
      </c>
      <c r="R526">
        <f t="shared" si="61"/>
        <v>348</v>
      </c>
      <c r="S526" t="s">
        <v>1474</v>
      </c>
      <c r="T526">
        <f t="shared" si="62"/>
        <v>2436</v>
      </c>
      <c r="U526">
        <f>YEAR(Sales_Table[[#This Row],[Date_clean]])</f>
        <v>2024</v>
      </c>
      <c r="V526" t="str">
        <f>TEXT(Sales_Table[[#This Row],[Date_clean]],"mmmm")</f>
        <v>January</v>
      </c>
      <c r="W526">
        <f>WEEKNUM(Sales_Table[[#This Row],[Date_clean]],2)</f>
        <v>4</v>
      </c>
      <c r="X526" t="str" cm="1">
        <f t="array" ref="X526">_xlfn.IFS(Sales_Table[[#This Row],[Revenue]]&gt;=50000,"High",Sales_Table[[#This Row],[Revenue]]&gt;=20000,"Medium",Sales_Table[[#This Row],[Revenue]]&lt;20000,"Low")</f>
        <v>Low</v>
      </c>
      <c r="Y526" t="str">
        <f>IF(Sales_Table[[#This Row],[Payment Method_clean]]="cash","Offline","Online")</f>
        <v>Online</v>
      </c>
      <c r="Z526">
        <f>IFERROR(Sales_Table[[#This Row],[Revenue]],0)</f>
        <v>2436</v>
      </c>
    </row>
    <row r="527" spans="1:26" x14ac:dyDescent="0.3">
      <c r="A527">
        <v>526</v>
      </c>
      <c r="B527" s="2">
        <f t="shared" si="56"/>
        <v>45313.875</v>
      </c>
      <c r="C527" t="s">
        <v>1475</v>
      </c>
      <c r="D527" t="s">
        <v>27</v>
      </c>
      <c r="E527" t="str">
        <f>PROPER(TRIM(CLEAN(Sales_Table[[#This Row],[Region]])))</f>
        <v>East</v>
      </c>
      <c r="F527" t="s">
        <v>37</v>
      </c>
      <c r="G527" t="str">
        <f t="shared" si="57"/>
        <v>Home Appliances</v>
      </c>
      <c r="H527" t="str">
        <f>PROPER(TRIM(CLEAN(Sales_Table[[#This Row],[Product Name]])))</f>
        <v>Led Tv 42Inch</v>
      </c>
      <c r="I527" t="s">
        <v>58</v>
      </c>
      <c r="J527" t="str">
        <f t="shared" si="58"/>
        <v>CUST0143</v>
      </c>
      <c r="K527" t="s">
        <v>1476</v>
      </c>
      <c r="L527" t="str">
        <f>PROPER(TRIM(CLEAN(Sales_Table[[#This Row],[Salesperson]])))</f>
        <v>Karthik</v>
      </c>
      <c r="M527" t="s">
        <v>70</v>
      </c>
      <c r="N527" t="str">
        <f t="shared" si="59"/>
        <v>Upi</v>
      </c>
      <c r="O527" t="s">
        <v>48</v>
      </c>
      <c r="P527">
        <f t="shared" si="60"/>
        <v>6</v>
      </c>
      <c r="Q527" t="s">
        <v>75</v>
      </c>
      <c r="R527">
        <f t="shared" si="61"/>
        <v>737</v>
      </c>
      <c r="S527" t="s">
        <v>1477</v>
      </c>
      <c r="T527">
        <f t="shared" si="62"/>
        <v>4422</v>
      </c>
      <c r="U527">
        <f>YEAR(Sales_Table[[#This Row],[Date_clean]])</f>
        <v>2024</v>
      </c>
      <c r="V527" t="str">
        <f>TEXT(Sales_Table[[#This Row],[Date_clean]],"mmmm")</f>
        <v>January</v>
      </c>
      <c r="W527">
        <f>WEEKNUM(Sales_Table[[#This Row],[Date_clean]],2)</f>
        <v>4</v>
      </c>
      <c r="X527" t="str" cm="1">
        <f t="array" ref="X527">_xlfn.IFS(Sales_Table[[#This Row],[Revenue]]&gt;=50000,"High",Sales_Table[[#This Row],[Revenue]]&gt;=20000,"Medium",Sales_Table[[#This Row],[Revenue]]&lt;20000,"Low")</f>
        <v>Low</v>
      </c>
      <c r="Y527" t="str">
        <f>IF(Sales_Table[[#This Row],[Payment Method_clean]]="cash","Offline","Online")</f>
        <v>Online</v>
      </c>
      <c r="Z527">
        <f>IFERROR(Sales_Table[[#This Row],[Revenue]],0)</f>
        <v>4422</v>
      </c>
    </row>
    <row r="528" spans="1:26" x14ac:dyDescent="0.3">
      <c r="A528">
        <v>527</v>
      </c>
      <c r="B528" s="2">
        <f t="shared" si="56"/>
        <v>45313.916666666664</v>
      </c>
      <c r="C528" t="s">
        <v>1478</v>
      </c>
      <c r="D528" t="s">
        <v>27</v>
      </c>
      <c r="E528" t="str">
        <f>PROPER(TRIM(CLEAN(Sales_Table[[#This Row],[Region]])))</f>
        <v>East</v>
      </c>
      <c r="F528" t="s">
        <v>78</v>
      </c>
      <c r="G528" t="str">
        <f t="shared" si="57"/>
        <v>Grocery</v>
      </c>
      <c r="H528" t="str">
        <f>PROPER(TRIM(CLEAN(Sales_Table[[#This Row],[Product Name]])))</f>
        <v>Men T-Shirt</v>
      </c>
      <c r="I528" t="s">
        <v>38</v>
      </c>
      <c r="J528" t="str">
        <f t="shared" si="58"/>
        <v>CUST0201</v>
      </c>
      <c r="K528" t="s">
        <v>116</v>
      </c>
      <c r="L528" t="str">
        <f>PROPER(TRIM(CLEAN(Sales_Table[[#This Row],[Salesperson]])))</f>
        <v>Suresh</v>
      </c>
      <c r="M528" t="s">
        <v>54</v>
      </c>
      <c r="N528" t="str">
        <f t="shared" si="59"/>
        <v>Credit Card</v>
      </c>
      <c r="O528" t="s">
        <v>65</v>
      </c>
      <c r="P528">
        <f t="shared" si="60"/>
        <v>10</v>
      </c>
      <c r="Q528" t="s">
        <v>117</v>
      </c>
      <c r="R528">
        <f t="shared" si="61"/>
        <v>1049</v>
      </c>
      <c r="S528" t="s">
        <v>940</v>
      </c>
      <c r="T528">
        <f t="shared" si="62"/>
        <v>10490</v>
      </c>
      <c r="U528">
        <f>YEAR(Sales_Table[[#This Row],[Date_clean]])</f>
        <v>2024</v>
      </c>
      <c r="V528" t="str">
        <f>TEXT(Sales_Table[[#This Row],[Date_clean]],"mmmm")</f>
        <v>January</v>
      </c>
      <c r="W528">
        <f>WEEKNUM(Sales_Table[[#This Row],[Date_clean]],2)</f>
        <v>4</v>
      </c>
      <c r="X528" t="str" cm="1">
        <f t="array" ref="X528">_xlfn.IFS(Sales_Table[[#This Row],[Revenue]]&gt;=50000,"High",Sales_Table[[#This Row],[Revenue]]&gt;=20000,"Medium",Sales_Table[[#This Row],[Revenue]]&lt;20000,"Low")</f>
        <v>Low</v>
      </c>
      <c r="Y528" t="str">
        <f>IF(Sales_Table[[#This Row],[Payment Method_clean]]="cash","Offline","Online")</f>
        <v>Online</v>
      </c>
      <c r="Z528">
        <f>IFERROR(Sales_Table[[#This Row],[Revenue]],0)</f>
        <v>10490</v>
      </c>
    </row>
    <row r="529" spans="1:26" x14ac:dyDescent="0.3">
      <c r="A529">
        <v>528</v>
      </c>
      <c r="B529" s="2">
        <f t="shared" si="56"/>
        <v>45313.958333333336</v>
      </c>
      <c r="C529" t="s">
        <v>1479</v>
      </c>
      <c r="D529" t="s">
        <v>84</v>
      </c>
      <c r="E529" t="str">
        <f>PROPER(TRIM(CLEAN(Sales_Table[[#This Row],[Region]])))</f>
        <v>South</v>
      </c>
      <c r="F529" t="s">
        <v>78</v>
      </c>
      <c r="G529" t="str">
        <f t="shared" si="57"/>
        <v>Grocery</v>
      </c>
      <c r="H529" t="str">
        <f>PROPER(TRIM(CLEAN(Sales_Table[[#This Row],[Product Name]])))</f>
        <v>Men T-Shirt</v>
      </c>
      <c r="I529" t="s">
        <v>38</v>
      </c>
      <c r="J529" t="str">
        <f t="shared" si="58"/>
        <v>CUST0180</v>
      </c>
      <c r="K529" t="s">
        <v>1480</v>
      </c>
      <c r="L529" t="str">
        <f>PROPER(TRIM(CLEAN(Sales_Table[[#This Row],[Salesperson]])))</f>
        <v>Suresh</v>
      </c>
      <c r="M529" t="s">
        <v>54</v>
      </c>
      <c r="N529" t="str">
        <f t="shared" si="59"/>
        <v>Credit Card</v>
      </c>
      <c r="O529" t="s">
        <v>65</v>
      </c>
      <c r="P529">
        <f t="shared" si="60"/>
        <v>4</v>
      </c>
      <c r="Q529" t="s">
        <v>113</v>
      </c>
      <c r="R529">
        <f t="shared" si="61"/>
        <v>2004</v>
      </c>
      <c r="S529" t="s">
        <v>1481</v>
      </c>
      <c r="T529">
        <f t="shared" si="62"/>
        <v>8016</v>
      </c>
      <c r="U529">
        <f>YEAR(Sales_Table[[#This Row],[Date_clean]])</f>
        <v>2024</v>
      </c>
      <c r="V529" t="str">
        <f>TEXT(Sales_Table[[#This Row],[Date_clean]],"mmmm")</f>
        <v>January</v>
      </c>
      <c r="W529">
        <f>WEEKNUM(Sales_Table[[#This Row],[Date_clean]],2)</f>
        <v>4</v>
      </c>
      <c r="X529" t="str" cm="1">
        <f t="array" ref="X529">_xlfn.IFS(Sales_Table[[#This Row],[Revenue]]&gt;=50000,"High",Sales_Table[[#This Row],[Revenue]]&gt;=20000,"Medium",Sales_Table[[#This Row],[Revenue]]&lt;20000,"Low")</f>
        <v>Low</v>
      </c>
      <c r="Y529" t="str">
        <f>IF(Sales_Table[[#This Row],[Payment Method_clean]]="cash","Offline","Online")</f>
        <v>Online</v>
      </c>
      <c r="Z529">
        <f>IFERROR(Sales_Table[[#This Row],[Revenue]],0)</f>
        <v>8016</v>
      </c>
    </row>
    <row r="530" spans="1:26" x14ac:dyDescent="0.3">
      <c r="A530">
        <v>529</v>
      </c>
      <c r="B530" s="2">
        <f t="shared" si="56"/>
        <v>45314</v>
      </c>
      <c r="C530" t="s">
        <v>1482</v>
      </c>
      <c r="D530" t="s">
        <v>84</v>
      </c>
      <c r="E530" t="str">
        <f>PROPER(TRIM(CLEAN(Sales_Table[[#This Row],[Region]])))</f>
        <v>South</v>
      </c>
      <c r="F530" t="s">
        <v>37</v>
      </c>
      <c r="G530" t="str">
        <f t="shared" si="57"/>
        <v>Home Appliances</v>
      </c>
      <c r="H530" t="str">
        <f>PROPER(TRIM(CLEAN(Sales_Table[[#This Row],[Product Name]])))</f>
        <v>Washing Machine</v>
      </c>
      <c r="I530" t="s">
        <v>79</v>
      </c>
      <c r="J530" t="str">
        <f t="shared" si="58"/>
        <v>CUST0714</v>
      </c>
      <c r="K530" t="s">
        <v>1483</v>
      </c>
      <c r="L530" t="str">
        <f>PROPER(TRIM(CLEAN(Sales_Table[[#This Row],[Salesperson]])))</f>
        <v>Anita</v>
      </c>
      <c r="M530" t="s">
        <v>64</v>
      </c>
      <c r="N530" t="str">
        <f t="shared" si="59"/>
        <v>Debit Card</v>
      </c>
      <c r="O530" t="s">
        <v>41</v>
      </c>
      <c r="P530">
        <f t="shared" si="60"/>
        <v>6</v>
      </c>
      <c r="Q530" t="s">
        <v>75</v>
      </c>
      <c r="R530">
        <f t="shared" si="61"/>
        <v>3687</v>
      </c>
      <c r="S530" t="s">
        <v>1484</v>
      </c>
      <c r="T530">
        <f t="shared" si="62"/>
        <v>22122</v>
      </c>
      <c r="U530">
        <f>YEAR(Sales_Table[[#This Row],[Date_clean]])</f>
        <v>2024</v>
      </c>
      <c r="V530" t="str">
        <f>TEXT(Sales_Table[[#This Row],[Date_clean]],"mmmm")</f>
        <v>January</v>
      </c>
      <c r="W530">
        <f>WEEKNUM(Sales_Table[[#This Row],[Date_clean]],2)</f>
        <v>4</v>
      </c>
      <c r="X530" t="str" cm="1">
        <f t="array" ref="X530">_xlfn.IFS(Sales_Table[[#This Row],[Revenue]]&gt;=50000,"High",Sales_Table[[#This Row],[Revenue]]&gt;=20000,"Medium",Sales_Table[[#This Row],[Revenue]]&lt;20000,"Low")</f>
        <v>Medium</v>
      </c>
      <c r="Y530" t="str">
        <f>IF(Sales_Table[[#This Row],[Payment Method_clean]]="cash","Offline","Online")</f>
        <v>Online</v>
      </c>
      <c r="Z530">
        <f>IFERROR(Sales_Table[[#This Row],[Revenue]],0)</f>
        <v>22122</v>
      </c>
    </row>
    <row r="531" spans="1:26" x14ac:dyDescent="0.3">
      <c r="A531">
        <v>530</v>
      </c>
      <c r="B531" s="2">
        <f t="shared" si="56"/>
        <v>45314.041666666664</v>
      </c>
      <c r="C531" t="s">
        <v>1485</v>
      </c>
      <c r="D531" t="s">
        <v>84</v>
      </c>
      <c r="E531" t="str">
        <f>PROPER(TRIM(CLEAN(Sales_Table[[#This Row],[Region]])))</f>
        <v>South</v>
      </c>
      <c r="F531" t="s">
        <v>78</v>
      </c>
      <c r="G531" t="str">
        <f t="shared" si="57"/>
        <v>Grocery</v>
      </c>
      <c r="H531" t="str">
        <f>PROPER(TRIM(CLEAN(Sales_Table[[#This Row],[Product Name]])))</f>
        <v>Led Tv 42Inch</v>
      </c>
      <c r="I531" t="s">
        <v>58</v>
      </c>
      <c r="J531" t="str">
        <f t="shared" si="58"/>
        <v>CUST0364</v>
      </c>
      <c r="K531" t="s">
        <v>928</v>
      </c>
      <c r="L531" t="str">
        <f>PROPER(TRIM(CLEAN(Sales_Table[[#This Row],[Salesperson]])))</f>
        <v>Meena</v>
      </c>
      <c r="M531" t="s">
        <v>40</v>
      </c>
      <c r="N531" t="str">
        <f t="shared" si="59"/>
        <v>Upi</v>
      </c>
      <c r="O531" t="s">
        <v>48</v>
      </c>
      <c r="P531">
        <f t="shared" si="60"/>
        <v>6</v>
      </c>
      <c r="Q531" t="s">
        <v>75</v>
      </c>
      <c r="R531">
        <f t="shared" si="61"/>
        <v>1211</v>
      </c>
      <c r="S531" t="s">
        <v>1486</v>
      </c>
      <c r="T531">
        <f t="shared" si="62"/>
        <v>7266</v>
      </c>
      <c r="U531">
        <f>YEAR(Sales_Table[[#This Row],[Date_clean]])</f>
        <v>2024</v>
      </c>
      <c r="V531" t="str">
        <f>TEXT(Sales_Table[[#This Row],[Date_clean]],"mmmm")</f>
        <v>January</v>
      </c>
      <c r="W531">
        <f>WEEKNUM(Sales_Table[[#This Row],[Date_clean]],2)</f>
        <v>4</v>
      </c>
      <c r="X531" t="str" cm="1">
        <f t="array" ref="X531">_xlfn.IFS(Sales_Table[[#This Row],[Revenue]]&gt;=50000,"High",Sales_Table[[#This Row],[Revenue]]&gt;=20000,"Medium",Sales_Table[[#This Row],[Revenue]]&lt;20000,"Low")</f>
        <v>Low</v>
      </c>
      <c r="Y531" t="str">
        <f>IF(Sales_Table[[#This Row],[Payment Method_clean]]="cash","Offline","Online")</f>
        <v>Online</v>
      </c>
      <c r="Z531">
        <f>IFERROR(Sales_Table[[#This Row],[Revenue]],0)</f>
        <v>7266</v>
      </c>
    </row>
    <row r="532" spans="1:26" x14ac:dyDescent="0.3">
      <c r="A532">
        <v>531</v>
      </c>
      <c r="B532" s="2">
        <f t="shared" si="56"/>
        <v>45314.083333333336</v>
      </c>
      <c r="C532" t="s">
        <v>1487</v>
      </c>
      <c r="D532" t="s">
        <v>45</v>
      </c>
      <c r="E532" t="str">
        <f>PROPER(TRIM(CLEAN(Sales_Table[[#This Row],[Region]])))</f>
        <v>North</v>
      </c>
      <c r="F532" t="s">
        <v>46</v>
      </c>
      <c r="G532" t="str">
        <f t="shared" si="57"/>
        <v>Electronics</v>
      </c>
      <c r="H532" t="str">
        <f>PROPER(TRIM(CLEAN(Sales_Table[[#This Row],[Product Name]])))</f>
        <v>Laptop</v>
      </c>
      <c r="I532" t="s">
        <v>52</v>
      </c>
      <c r="J532" t="str">
        <f t="shared" si="58"/>
        <v>CUST0479</v>
      </c>
      <c r="K532" t="s">
        <v>30</v>
      </c>
      <c r="L532" t="str">
        <f>PROPER(TRIM(CLEAN(Sales_Table[[#This Row],[Salesperson]])))</f>
        <v>Anita</v>
      </c>
      <c r="M532" t="s">
        <v>64</v>
      </c>
      <c r="N532" t="str">
        <f t="shared" si="59"/>
        <v>Upi</v>
      </c>
      <c r="O532" t="s">
        <v>48</v>
      </c>
      <c r="P532">
        <f t="shared" si="60"/>
        <v>13</v>
      </c>
      <c r="Q532" t="s">
        <v>81</v>
      </c>
      <c r="R532">
        <f t="shared" si="61"/>
        <v>275</v>
      </c>
      <c r="S532" t="s">
        <v>1488</v>
      </c>
      <c r="T532">
        <f t="shared" si="62"/>
        <v>3575</v>
      </c>
      <c r="U532">
        <f>YEAR(Sales_Table[[#This Row],[Date_clean]])</f>
        <v>2024</v>
      </c>
      <c r="V532" t="str">
        <f>TEXT(Sales_Table[[#This Row],[Date_clean]],"mmmm")</f>
        <v>January</v>
      </c>
      <c r="W532">
        <f>WEEKNUM(Sales_Table[[#This Row],[Date_clean]],2)</f>
        <v>4</v>
      </c>
      <c r="X532" t="str" cm="1">
        <f t="array" ref="X532">_xlfn.IFS(Sales_Table[[#This Row],[Revenue]]&gt;=50000,"High",Sales_Table[[#This Row],[Revenue]]&gt;=20000,"Medium",Sales_Table[[#This Row],[Revenue]]&lt;20000,"Low")</f>
        <v>Low</v>
      </c>
      <c r="Y532" t="str">
        <f>IF(Sales_Table[[#This Row],[Payment Method_clean]]="cash","Offline","Online")</f>
        <v>Online</v>
      </c>
      <c r="Z532">
        <f>IFERROR(Sales_Table[[#This Row],[Revenue]],0)</f>
        <v>3575</v>
      </c>
    </row>
    <row r="533" spans="1:26" x14ac:dyDescent="0.3">
      <c r="A533">
        <v>532</v>
      </c>
      <c r="B533" s="2">
        <f t="shared" si="56"/>
        <v>45314.125</v>
      </c>
      <c r="C533" t="s">
        <v>1489</v>
      </c>
      <c r="D533" t="s">
        <v>36</v>
      </c>
      <c r="E533" t="str">
        <f>PROPER(TRIM(CLEAN(Sales_Table[[#This Row],[Region]])))</f>
        <v>West</v>
      </c>
      <c r="F533" t="s">
        <v>46</v>
      </c>
      <c r="G533" t="str">
        <f t="shared" si="57"/>
        <v>Electronics</v>
      </c>
      <c r="H533" t="str">
        <f>PROPER(TRIM(CLEAN(Sales_Table[[#This Row],[Product Name]])))</f>
        <v>Led Tv 42Inch</v>
      </c>
      <c r="I533" t="s">
        <v>58</v>
      </c>
      <c r="J533" t="str">
        <f t="shared" si="58"/>
        <v>CUST0565</v>
      </c>
      <c r="K533" t="s">
        <v>1490</v>
      </c>
      <c r="L533" t="str">
        <f>PROPER(TRIM(CLEAN(Sales_Table[[#This Row],[Salesperson]])))</f>
        <v>Rahul</v>
      </c>
      <c r="M533" t="s">
        <v>31</v>
      </c>
      <c r="N533" t="str">
        <f t="shared" si="59"/>
        <v>Cash</v>
      </c>
      <c r="O533" t="s">
        <v>32</v>
      </c>
      <c r="P533">
        <f t="shared" si="60"/>
        <v>4</v>
      </c>
      <c r="Q533" t="s">
        <v>113</v>
      </c>
      <c r="R533">
        <f t="shared" si="61"/>
        <v>822</v>
      </c>
      <c r="S533" t="s">
        <v>1079</v>
      </c>
      <c r="T533">
        <f t="shared" si="62"/>
        <v>3288</v>
      </c>
      <c r="U533">
        <f>YEAR(Sales_Table[[#This Row],[Date_clean]])</f>
        <v>2024</v>
      </c>
      <c r="V533" t="str">
        <f>TEXT(Sales_Table[[#This Row],[Date_clean]],"mmmm")</f>
        <v>January</v>
      </c>
      <c r="W533">
        <f>WEEKNUM(Sales_Table[[#This Row],[Date_clean]],2)</f>
        <v>4</v>
      </c>
      <c r="X533" t="str" cm="1">
        <f t="array" ref="X533">_xlfn.IFS(Sales_Table[[#This Row],[Revenue]]&gt;=50000,"High",Sales_Table[[#This Row],[Revenue]]&gt;=20000,"Medium",Sales_Table[[#This Row],[Revenue]]&lt;20000,"Low")</f>
        <v>Low</v>
      </c>
      <c r="Y533" t="str">
        <f>IF(Sales_Table[[#This Row],[Payment Method_clean]]="cash","Offline","Online")</f>
        <v>Offline</v>
      </c>
      <c r="Z533">
        <f>IFERROR(Sales_Table[[#This Row],[Revenue]],0)</f>
        <v>3288</v>
      </c>
    </row>
    <row r="534" spans="1:26" x14ac:dyDescent="0.3">
      <c r="A534">
        <v>533</v>
      </c>
      <c r="B534" s="2">
        <f t="shared" si="56"/>
        <v>45314.166666666664</v>
      </c>
      <c r="C534" t="s">
        <v>1491</v>
      </c>
      <c r="D534" t="s">
        <v>45</v>
      </c>
      <c r="E534" t="str">
        <f>PROPER(TRIM(CLEAN(Sales_Table[[#This Row],[Region]])))</f>
        <v>North</v>
      </c>
      <c r="F534" t="s">
        <v>37</v>
      </c>
      <c r="G534" t="str">
        <f t="shared" si="57"/>
        <v>Home Appliances</v>
      </c>
      <c r="H534" t="str">
        <f>PROPER(TRIM(CLEAN(Sales_Table[[#This Row],[Product Name]])))</f>
        <v>Men T-Shirt</v>
      </c>
      <c r="I534" t="s">
        <v>38</v>
      </c>
      <c r="J534" t="str">
        <f t="shared" si="58"/>
        <v>CUST0471</v>
      </c>
      <c r="K534" t="s">
        <v>680</v>
      </c>
      <c r="L534" t="str">
        <f>PROPER(TRIM(CLEAN(Sales_Table[[#This Row],[Salesperson]])))</f>
        <v>Rahul</v>
      </c>
      <c r="M534" t="s">
        <v>31</v>
      </c>
      <c r="N534" t="str">
        <f t="shared" si="59"/>
        <v>Net Banking</v>
      </c>
      <c r="O534" t="s">
        <v>60</v>
      </c>
      <c r="P534">
        <f t="shared" si="60"/>
        <v>14</v>
      </c>
      <c r="Q534" t="s">
        <v>55</v>
      </c>
      <c r="R534">
        <f t="shared" si="61"/>
        <v>3942</v>
      </c>
      <c r="S534" t="s">
        <v>1492</v>
      </c>
      <c r="T534">
        <f t="shared" si="62"/>
        <v>55188</v>
      </c>
      <c r="U534">
        <f>YEAR(Sales_Table[[#This Row],[Date_clean]])</f>
        <v>2024</v>
      </c>
      <c r="V534" t="str">
        <f>TEXT(Sales_Table[[#This Row],[Date_clean]],"mmmm")</f>
        <v>January</v>
      </c>
      <c r="W534">
        <f>WEEKNUM(Sales_Table[[#This Row],[Date_clean]],2)</f>
        <v>4</v>
      </c>
      <c r="X534" t="str" cm="1">
        <f t="array" ref="X534">_xlfn.IFS(Sales_Table[[#This Row],[Revenue]]&gt;=50000,"High",Sales_Table[[#This Row],[Revenue]]&gt;=20000,"Medium",Sales_Table[[#This Row],[Revenue]]&lt;20000,"Low")</f>
        <v>High</v>
      </c>
      <c r="Y534" t="str">
        <f>IF(Sales_Table[[#This Row],[Payment Method_clean]]="cash","Offline","Online")</f>
        <v>Online</v>
      </c>
      <c r="Z534">
        <f>IFERROR(Sales_Table[[#This Row],[Revenue]],0)</f>
        <v>55188</v>
      </c>
    </row>
    <row r="535" spans="1:26" x14ac:dyDescent="0.3">
      <c r="A535">
        <v>534</v>
      </c>
      <c r="B535" s="2">
        <f t="shared" si="56"/>
        <v>45314.208333333336</v>
      </c>
      <c r="C535" t="s">
        <v>1493</v>
      </c>
      <c r="D535" t="s">
        <v>45</v>
      </c>
      <c r="E535" t="str">
        <f>PROPER(TRIM(CLEAN(Sales_Table[[#This Row],[Region]])))</f>
        <v>North</v>
      </c>
      <c r="F535" t="s">
        <v>46</v>
      </c>
      <c r="G535" t="str">
        <f t="shared" si="57"/>
        <v>Electronics</v>
      </c>
      <c r="H535" t="str">
        <f>PROPER(TRIM(CLEAN(Sales_Table[[#This Row],[Product Name]])))</f>
        <v>Laptop</v>
      </c>
      <c r="I535" t="s">
        <v>52</v>
      </c>
      <c r="J535" t="str">
        <f t="shared" si="58"/>
        <v>CUST0384</v>
      </c>
      <c r="K535" t="s">
        <v>303</v>
      </c>
      <c r="L535" t="str">
        <f>PROPER(TRIM(CLEAN(Sales_Table[[#This Row],[Salesperson]])))</f>
        <v>Suresh</v>
      </c>
      <c r="M535" t="s">
        <v>54</v>
      </c>
      <c r="N535" t="str">
        <f t="shared" si="59"/>
        <v>Credit Card</v>
      </c>
      <c r="O535" t="s">
        <v>65</v>
      </c>
      <c r="P535">
        <f t="shared" si="60"/>
        <v>13</v>
      </c>
      <c r="Q535" t="s">
        <v>81</v>
      </c>
      <c r="R535">
        <f t="shared" si="61"/>
        <v>3774</v>
      </c>
      <c r="S535" t="s">
        <v>1494</v>
      </c>
      <c r="T535">
        <f t="shared" si="62"/>
        <v>49062</v>
      </c>
      <c r="U535">
        <f>YEAR(Sales_Table[[#This Row],[Date_clean]])</f>
        <v>2024</v>
      </c>
      <c r="V535" t="str">
        <f>TEXT(Sales_Table[[#This Row],[Date_clean]],"mmmm")</f>
        <v>January</v>
      </c>
      <c r="W535">
        <f>WEEKNUM(Sales_Table[[#This Row],[Date_clean]],2)</f>
        <v>4</v>
      </c>
      <c r="X535" t="str" cm="1">
        <f t="array" ref="X535">_xlfn.IFS(Sales_Table[[#This Row],[Revenue]]&gt;=50000,"High",Sales_Table[[#This Row],[Revenue]]&gt;=20000,"Medium",Sales_Table[[#This Row],[Revenue]]&lt;20000,"Low")</f>
        <v>Medium</v>
      </c>
      <c r="Y535" t="str">
        <f>IF(Sales_Table[[#This Row],[Payment Method_clean]]="cash","Offline","Online")</f>
        <v>Online</v>
      </c>
      <c r="Z535">
        <f>IFERROR(Sales_Table[[#This Row],[Revenue]],0)</f>
        <v>49062</v>
      </c>
    </row>
    <row r="536" spans="1:26" x14ac:dyDescent="0.3">
      <c r="A536">
        <v>535</v>
      </c>
      <c r="B536" s="2">
        <f t="shared" si="56"/>
        <v>45314.25</v>
      </c>
      <c r="C536" t="s">
        <v>1495</v>
      </c>
      <c r="D536" t="s">
        <v>27</v>
      </c>
      <c r="E536" t="str">
        <f>PROPER(TRIM(CLEAN(Sales_Table[[#This Row],[Region]])))</f>
        <v>East</v>
      </c>
      <c r="F536" t="s">
        <v>46</v>
      </c>
      <c r="G536" t="str">
        <f t="shared" si="57"/>
        <v>Electronics</v>
      </c>
      <c r="H536" t="str">
        <f>PROPER(TRIM(CLEAN(Sales_Table[[#This Row],[Product Name]])))</f>
        <v>Rice 5Kg</v>
      </c>
      <c r="I536" t="s">
        <v>73</v>
      </c>
      <c r="J536" t="str">
        <f t="shared" si="58"/>
        <v>CUST0692</v>
      </c>
      <c r="K536" t="s">
        <v>1496</v>
      </c>
      <c r="L536" t="str">
        <f>PROPER(TRIM(CLEAN(Sales_Table[[#This Row],[Salesperson]])))</f>
        <v>Meena</v>
      </c>
      <c r="M536" t="s">
        <v>40</v>
      </c>
      <c r="N536" t="str">
        <f t="shared" si="59"/>
        <v>Cash</v>
      </c>
      <c r="O536" t="s">
        <v>32</v>
      </c>
      <c r="P536">
        <f t="shared" si="60"/>
        <v>6</v>
      </c>
      <c r="Q536" t="s">
        <v>75</v>
      </c>
      <c r="R536">
        <f t="shared" si="61"/>
        <v>4966</v>
      </c>
      <c r="S536" t="s">
        <v>1497</v>
      </c>
      <c r="T536">
        <f t="shared" si="62"/>
        <v>29796</v>
      </c>
      <c r="U536">
        <f>YEAR(Sales_Table[[#This Row],[Date_clean]])</f>
        <v>2024</v>
      </c>
      <c r="V536" t="str">
        <f>TEXT(Sales_Table[[#This Row],[Date_clean]],"mmmm")</f>
        <v>January</v>
      </c>
      <c r="W536">
        <f>WEEKNUM(Sales_Table[[#This Row],[Date_clean]],2)</f>
        <v>4</v>
      </c>
      <c r="X536" t="str" cm="1">
        <f t="array" ref="X536">_xlfn.IFS(Sales_Table[[#This Row],[Revenue]]&gt;=50000,"High",Sales_Table[[#This Row],[Revenue]]&gt;=20000,"Medium",Sales_Table[[#This Row],[Revenue]]&lt;20000,"Low")</f>
        <v>Medium</v>
      </c>
      <c r="Y536" t="str">
        <f>IF(Sales_Table[[#This Row],[Payment Method_clean]]="cash","Offline","Online")</f>
        <v>Offline</v>
      </c>
      <c r="Z536">
        <f>IFERROR(Sales_Table[[#This Row],[Revenue]],0)</f>
        <v>29796</v>
      </c>
    </row>
    <row r="537" spans="1:26" x14ac:dyDescent="0.3">
      <c r="A537">
        <v>536</v>
      </c>
      <c r="B537" s="2">
        <f t="shared" si="56"/>
        <v>45314.291666666664</v>
      </c>
      <c r="C537" t="s">
        <v>1498</v>
      </c>
      <c r="D537" t="s">
        <v>84</v>
      </c>
      <c r="E537" t="str">
        <f>PROPER(TRIM(CLEAN(Sales_Table[[#This Row],[Region]])))</f>
        <v>South</v>
      </c>
      <c r="F537" t="s">
        <v>28</v>
      </c>
      <c r="G537" t="str">
        <f t="shared" si="57"/>
        <v>Clothing</v>
      </c>
      <c r="H537" t="str">
        <f>PROPER(TRIM(CLEAN(Sales_Table[[#This Row],[Product Name]])))</f>
        <v>Rice 5Kg</v>
      </c>
      <c r="I537" t="s">
        <v>73</v>
      </c>
      <c r="J537" t="str">
        <f t="shared" si="58"/>
        <v>CUST0417</v>
      </c>
      <c r="K537" t="s">
        <v>1499</v>
      </c>
      <c r="L537" t="str">
        <f>PROPER(TRIM(CLEAN(Sales_Table[[#This Row],[Salesperson]])))</f>
        <v>Karthik</v>
      </c>
      <c r="M537" t="s">
        <v>70</v>
      </c>
      <c r="N537" t="str">
        <f t="shared" si="59"/>
        <v>Credit Card</v>
      </c>
      <c r="O537" t="s">
        <v>65</v>
      </c>
      <c r="P537">
        <f t="shared" si="60"/>
        <v>10</v>
      </c>
      <c r="Q537" t="s">
        <v>117</v>
      </c>
      <c r="R537">
        <f t="shared" si="61"/>
        <v>2047</v>
      </c>
      <c r="S537" t="s">
        <v>1500</v>
      </c>
      <c r="T537">
        <f t="shared" si="62"/>
        <v>20470</v>
      </c>
      <c r="U537">
        <f>YEAR(Sales_Table[[#This Row],[Date_clean]])</f>
        <v>2024</v>
      </c>
      <c r="V537" t="str">
        <f>TEXT(Sales_Table[[#This Row],[Date_clean]],"mmmm")</f>
        <v>January</v>
      </c>
      <c r="W537">
        <f>WEEKNUM(Sales_Table[[#This Row],[Date_clean]],2)</f>
        <v>4</v>
      </c>
      <c r="X537" t="str" cm="1">
        <f t="array" ref="X537">_xlfn.IFS(Sales_Table[[#This Row],[Revenue]]&gt;=50000,"High",Sales_Table[[#This Row],[Revenue]]&gt;=20000,"Medium",Sales_Table[[#This Row],[Revenue]]&lt;20000,"Low")</f>
        <v>Medium</v>
      </c>
      <c r="Y537" t="str">
        <f>IF(Sales_Table[[#This Row],[Payment Method_clean]]="cash","Offline","Online")</f>
        <v>Online</v>
      </c>
      <c r="Z537">
        <f>IFERROR(Sales_Table[[#This Row],[Revenue]],0)</f>
        <v>20470</v>
      </c>
    </row>
    <row r="538" spans="1:26" x14ac:dyDescent="0.3">
      <c r="A538">
        <v>537</v>
      </c>
      <c r="B538" s="2">
        <f t="shared" si="56"/>
        <v>45314.333333333336</v>
      </c>
      <c r="C538" t="s">
        <v>1501</v>
      </c>
      <c r="D538" t="s">
        <v>36</v>
      </c>
      <c r="E538" t="str">
        <f>PROPER(TRIM(CLEAN(Sales_Table[[#This Row],[Region]])))</f>
        <v>West</v>
      </c>
      <c r="F538" t="s">
        <v>28</v>
      </c>
      <c r="G538" t="str">
        <f t="shared" si="57"/>
        <v>Clothing</v>
      </c>
      <c r="H538" t="str">
        <f>PROPER(TRIM(CLEAN(Sales_Table[[#This Row],[Product Name]])))</f>
        <v>Mixer Grinder</v>
      </c>
      <c r="I538" t="s">
        <v>29</v>
      </c>
      <c r="J538" t="str">
        <f t="shared" si="58"/>
        <v>CUST0308</v>
      </c>
      <c r="K538" t="s">
        <v>1326</v>
      </c>
      <c r="L538" t="str">
        <f>PROPER(TRIM(CLEAN(Sales_Table[[#This Row],[Salesperson]])))</f>
        <v>Meena</v>
      </c>
      <c r="M538" t="s">
        <v>40</v>
      </c>
      <c r="N538" t="str">
        <f t="shared" si="59"/>
        <v>Cash</v>
      </c>
      <c r="O538" t="s">
        <v>32</v>
      </c>
      <c r="P538">
        <f t="shared" si="60"/>
        <v>11</v>
      </c>
      <c r="Q538" t="s">
        <v>97</v>
      </c>
      <c r="R538">
        <f t="shared" si="61"/>
        <v>802</v>
      </c>
      <c r="S538" t="s">
        <v>1502</v>
      </c>
      <c r="T538">
        <f t="shared" si="62"/>
        <v>8822</v>
      </c>
      <c r="U538">
        <f>YEAR(Sales_Table[[#This Row],[Date_clean]])</f>
        <v>2024</v>
      </c>
      <c r="V538" t="str">
        <f>TEXT(Sales_Table[[#This Row],[Date_clean]],"mmmm")</f>
        <v>January</v>
      </c>
      <c r="W538">
        <f>WEEKNUM(Sales_Table[[#This Row],[Date_clean]],2)</f>
        <v>4</v>
      </c>
      <c r="X538" t="str" cm="1">
        <f t="array" ref="X538">_xlfn.IFS(Sales_Table[[#This Row],[Revenue]]&gt;=50000,"High",Sales_Table[[#This Row],[Revenue]]&gt;=20000,"Medium",Sales_Table[[#This Row],[Revenue]]&lt;20000,"Low")</f>
        <v>Low</v>
      </c>
      <c r="Y538" t="str">
        <f>IF(Sales_Table[[#This Row],[Payment Method_clean]]="cash","Offline","Online")</f>
        <v>Offline</v>
      </c>
      <c r="Z538">
        <f>IFERROR(Sales_Table[[#This Row],[Revenue]],0)</f>
        <v>8822</v>
      </c>
    </row>
    <row r="539" spans="1:26" x14ac:dyDescent="0.3">
      <c r="A539">
        <v>538</v>
      </c>
      <c r="B539" s="2">
        <f t="shared" si="56"/>
        <v>45314.375</v>
      </c>
      <c r="C539" t="s">
        <v>1503</v>
      </c>
      <c r="D539" t="s">
        <v>27</v>
      </c>
      <c r="E539" t="str">
        <f>PROPER(TRIM(CLEAN(Sales_Table[[#This Row],[Region]])))</f>
        <v>East</v>
      </c>
      <c r="F539" t="s">
        <v>46</v>
      </c>
      <c r="G539" t="str">
        <f t="shared" si="57"/>
        <v>Electronics</v>
      </c>
      <c r="H539" t="str">
        <f>PROPER(TRIM(CLEAN(Sales_Table[[#This Row],[Product Name]])))</f>
        <v>Men T-Shirt</v>
      </c>
      <c r="I539" t="s">
        <v>38</v>
      </c>
      <c r="J539" t="str">
        <f t="shared" si="58"/>
        <v>CUST0649</v>
      </c>
      <c r="K539" t="s">
        <v>1504</v>
      </c>
      <c r="L539" t="str">
        <f>PROPER(TRIM(CLEAN(Sales_Table[[#This Row],[Salesperson]])))</f>
        <v>Rahul</v>
      </c>
      <c r="M539" t="s">
        <v>31</v>
      </c>
      <c r="N539" t="str">
        <f t="shared" si="59"/>
        <v>Net Banking</v>
      </c>
      <c r="O539" t="s">
        <v>60</v>
      </c>
      <c r="P539">
        <f t="shared" si="60"/>
        <v>8</v>
      </c>
      <c r="Q539" t="s">
        <v>42</v>
      </c>
      <c r="R539">
        <f t="shared" si="61"/>
        <v>2228</v>
      </c>
      <c r="S539" t="s">
        <v>1505</v>
      </c>
      <c r="T539">
        <f t="shared" si="62"/>
        <v>17824</v>
      </c>
      <c r="U539">
        <f>YEAR(Sales_Table[[#This Row],[Date_clean]])</f>
        <v>2024</v>
      </c>
      <c r="V539" t="str">
        <f>TEXT(Sales_Table[[#This Row],[Date_clean]],"mmmm")</f>
        <v>January</v>
      </c>
      <c r="W539">
        <f>WEEKNUM(Sales_Table[[#This Row],[Date_clean]],2)</f>
        <v>4</v>
      </c>
      <c r="X539" t="str" cm="1">
        <f t="array" ref="X539">_xlfn.IFS(Sales_Table[[#This Row],[Revenue]]&gt;=50000,"High",Sales_Table[[#This Row],[Revenue]]&gt;=20000,"Medium",Sales_Table[[#This Row],[Revenue]]&lt;20000,"Low")</f>
        <v>Low</v>
      </c>
      <c r="Y539" t="str">
        <f>IF(Sales_Table[[#This Row],[Payment Method_clean]]="cash","Offline","Online")</f>
        <v>Online</v>
      </c>
      <c r="Z539">
        <f>IFERROR(Sales_Table[[#This Row],[Revenue]],0)</f>
        <v>17824</v>
      </c>
    </row>
    <row r="540" spans="1:26" x14ac:dyDescent="0.3">
      <c r="A540">
        <v>539</v>
      </c>
      <c r="B540" s="2">
        <f t="shared" si="56"/>
        <v>45314.416666666664</v>
      </c>
      <c r="C540" t="s">
        <v>1506</v>
      </c>
      <c r="D540" t="s">
        <v>45</v>
      </c>
      <c r="E540" t="str">
        <f>PROPER(TRIM(CLEAN(Sales_Table[[#This Row],[Region]])))</f>
        <v>North</v>
      </c>
      <c r="F540" t="s">
        <v>37</v>
      </c>
      <c r="G540" t="str">
        <f t="shared" si="57"/>
        <v>Home Appliances</v>
      </c>
      <c r="H540" t="str">
        <f>PROPER(TRIM(CLEAN(Sales_Table[[#This Row],[Product Name]])))</f>
        <v>Mixer Grinder</v>
      </c>
      <c r="I540" t="s">
        <v>29</v>
      </c>
      <c r="J540" t="str">
        <f t="shared" si="58"/>
        <v>CUST0694</v>
      </c>
      <c r="K540" t="s">
        <v>675</v>
      </c>
      <c r="L540" t="str">
        <f>PROPER(TRIM(CLEAN(Sales_Table[[#This Row],[Salesperson]])))</f>
        <v>Karthik</v>
      </c>
      <c r="M540" t="s">
        <v>70</v>
      </c>
      <c r="N540" t="str">
        <f t="shared" si="59"/>
        <v>Cash</v>
      </c>
      <c r="O540" t="s">
        <v>32</v>
      </c>
      <c r="P540">
        <f t="shared" si="60"/>
        <v>13</v>
      </c>
      <c r="Q540" t="s">
        <v>81</v>
      </c>
      <c r="R540">
        <f t="shared" si="61"/>
        <v>1026</v>
      </c>
      <c r="S540" t="s">
        <v>1507</v>
      </c>
      <c r="T540">
        <f t="shared" si="62"/>
        <v>13338</v>
      </c>
      <c r="U540">
        <f>YEAR(Sales_Table[[#This Row],[Date_clean]])</f>
        <v>2024</v>
      </c>
      <c r="V540" t="str">
        <f>TEXT(Sales_Table[[#This Row],[Date_clean]],"mmmm")</f>
        <v>January</v>
      </c>
      <c r="W540">
        <f>WEEKNUM(Sales_Table[[#This Row],[Date_clean]],2)</f>
        <v>4</v>
      </c>
      <c r="X540" t="str" cm="1">
        <f t="array" ref="X540">_xlfn.IFS(Sales_Table[[#This Row],[Revenue]]&gt;=50000,"High",Sales_Table[[#This Row],[Revenue]]&gt;=20000,"Medium",Sales_Table[[#This Row],[Revenue]]&lt;20000,"Low")</f>
        <v>Low</v>
      </c>
      <c r="Y540" t="str">
        <f>IF(Sales_Table[[#This Row],[Payment Method_clean]]="cash","Offline","Online")</f>
        <v>Offline</v>
      </c>
      <c r="Z540">
        <f>IFERROR(Sales_Table[[#This Row],[Revenue]],0)</f>
        <v>13338</v>
      </c>
    </row>
    <row r="541" spans="1:26" x14ac:dyDescent="0.3">
      <c r="A541">
        <v>540</v>
      </c>
      <c r="B541" s="2">
        <f t="shared" si="56"/>
        <v>45314.458333333336</v>
      </c>
      <c r="C541" t="s">
        <v>1508</v>
      </c>
      <c r="D541" t="s">
        <v>84</v>
      </c>
      <c r="E541" t="str">
        <f>PROPER(TRIM(CLEAN(Sales_Table[[#This Row],[Region]])))</f>
        <v>South</v>
      </c>
      <c r="F541" t="s">
        <v>28</v>
      </c>
      <c r="G541" t="str">
        <f t="shared" si="57"/>
        <v>Clothing</v>
      </c>
      <c r="H541" t="str">
        <f>PROPER(TRIM(CLEAN(Sales_Table[[#This Row],[Product Name]])))</f>
        <v>Laptop</v>
      </c>
      <c r="I541" t="s">
        <v>52</v>
      </c>
      <c r="J541" t="str">
        <f t="shared" si="58"/>
        <v>CUST0367</v>
      </c>
      <c r="K541" t="s">
        <v>1509</v>
      </c>
      <c r="L541" t="str">
        <f>PROPER(TRIM(CLEAN(Sales_Table[[#This Row],[Salesperson]])))</f>
        <v>Meena</v>
      </c>
      <c r="M541" t="s">
        <v>40</v>
      </c>
      <c r="N541" t="str">
        <f t="shared" si="59"/>
        <v>Credit Card</v>
      </c>
      <c r="O541" t="s">
        <v>65</v>
      </c>
      <c r="P541">
        <f t="shared" si="60"/>
        <v>3</v>
      </c>
      <c r="Q541" t="s">
        <v>66</v>
      </c>
      <c r="R541">
        <f t="shared" si="61"/>
        <v>4333</v>
      </c>
      <c r="S541" t="s">
        <v>1510</v>
      </c>
      <c r="T541">
        <f t="shared" si="62"/>
        <v>12999</v>
      </c>
      <c r="U541">
        <f>YEAR(Sales_Table[[#This Row],[Date_clean]])</f>
        <v>2024</v>
      </c>
      <c r="V541" t="str">
        <f>TEXT(Sales_Table[[#This Row],[Date_clean]],"mmmm")</f>
        <v>January</v>
      </c>
      <c r="W541">
        <f>WEEKNUM(Sales_Table[[#This Row],[Date_clean]],2)</f>
        <v>4</v>
      </c>
      <c r="X541" t="str" cm="1">
        <f t="array" ref="X541">_xlfn.IFS(Sales_Table[[#This Row],[Revenue]]&gt;=50000,"High",Sales_Table[[#This Row],[Revenue]]&gt;=20000,"Medium",Sales_Table[[#This Row],[Revenue]]&lt;20000,"Low")</f>
        <v>Low</v>
      </c>
      <c r="Y541" t="str">
        <f>IF(Sales_Table[[#This Row],[Payment Method_clean]]="cash","Offline","Online")</f>
        <v>Online</v>
      </c>
      <c r="Z541">
        <f>IFERROR(Sales_Table[[#This Row],[Revenue]],0)</f>
        <v>12999</v>
      </c>
    </row>
    <row r="542" spans="1:26" x14ac:dyDescent="0.3">
      <c r="A542">
        <v>541</v>
      </c>
      <c r="B542" s="2">
        <f t="shared" si="56"/>
        <v>45314.5</v>
      </c>
      <c r="C542" t="s">
        <v>1511</v>
      </c>
      <c r="D542" t="s">
        <v>27</v>
      </c>
      <c r="E542" t="str">
        <f>PROPER(TRIM(CLEAN(Sales_Table[[#This Row],[Region]])))</f>
        <v>East</v>
      </c>
      <c r="F542" t="s">
        <v>78</v>
      </c>
      <c r="G542" t="str">
        <f t="shared" si="57"/>
        <v>Grocery</v>
      </c>
      <c r="H542" t="str">
        <f>PROPER(TRIM(CLEAN(Sales_Table[[#This Row],[Product Name]])))</f>
        <v>Men T-Shirt</v>
      </c>
      <c r="I542" t="s">
        <v>38</v>
      </c>
      <c r="J542" t="str">
        <f t="shared" si="58"/>
        <v>CUST0001</v>
      </c>
      <c r="K542" t="s">
        <v>1512</v>
      </c>
      <c r="L542" t="str">
        <f>PROPER(TRIM(CLEAN(Sales_Table[[#This Row],[Salesperson]])))</f>
        <v>Meena</v>
      </c>
      <c r="M542" t="s">
        <v>40</v>
      </c>
      <c r="N542" t="str">
        <f t="shared" si="59"/>
        <v>Upi</v>
      </c>
      <c r="O542" t="s">
        <v>48</v>
      </c>
      <c r="P542">
        <f t="shared" si="60"/>
        <v>4</v>
      </c>
      <c r="Q542" t="s">
        <v>113</v>
      </c>
      <c r="R542">
        <f t="shared" si="61"/>
        <v>3604</v>
      </c>
      <c r="S542" t="s">
        <v>1513</v>
      </c>
      <c r="T542">
        <f t="shared" si="62"/>
        <v>14416</v>
      </c>
      <c r="U542">
        <f>YEAR(Sales_Table[[#This Row],[Date_clean]])</f>
        <v>2024</v>
      </c>
      <c r="V542" t="str">
        <f>TEXT(Sales_Table[[#This Row],[Date_clean]],"mmmm")</f>
        <v>January</v>
      </c>
      <c r="W542">
        <f>WEEKNUM(Sales_Table[[#This Row],[Date_clean]],2)</f>
        <v>4</v>
      </c>
      <c r="X542" t="str" cm="1">
        <f t="array" ref="X542">_xlfn.IFS(Sales_Table[[#This Row],[Revenue]]&gt;=50000,"High",Sales_Table[[#This Row],[Revenue]]&gt;=20000,"Medium",Sales_Table[[#This Row],[Revenue]]&lt;20000,"Low")</f>
        <v>Low</v>
      </c>
      <c r="Y542" t="str">
        <f>IF(Sales_Table[[#This Row],[Payment Method_clean]]="cash","Offline","Online")</f>
        <v>Online</v>
      </c>
      <c r="Z542">
        <f>IFERROR(Sales_Table[[#This Row],[Revenue]],0)</f>
        <v>14416</v>
      </c>
    </row>
    <row r="543" spans="1:26" x14ac:dyDescent="0.3">
      <c r="A543">
        <v>542</v>
      </c>
      <c r="B543" s="2">
        <f t="shared" si="56"/>
        <v>45314.541666666664</v>
      </c>
      <c r="C543" t="s">
        <v>1514</v>
      </c>
      <c r="D543" t="s">
        <v>84</v>
      </c>
      <c r="E543" t="str">
        <f>PROPER(TRIM(CLEAN(Sales_Table[[#This Row],[Region]])))</f>
        <v>South</v>
      </c>
      <c r="F543" t="s">
        <v>78</v>
      </c>
      <c r="G543" t="str">
        <f t="shared" si="57"/>
        <v>Grocery</v>
      </c>
      <c r="H543" t="str">
        <f>PROPER(TRIM(CLEAN(Sales_Table[[#This Row],[Product Name]])))</f>
        <v>Washing Machine</v>
      </c>
      <c r="I543" t="s">
        <v>79</v>
      </c>
      <c r="J543" t="str">
        <f t="shared" si="58"/>
        <v>CUST0044</v>
      </c>
      <c r="K543" t="s">
        <v>156</v>
      </c>
      <c r="L543" t="str">
        <f>PROPER(TRIM(CLEAN(Sales_Table[[#This Row],[Salesperson]])))</f>
        <v>Karthik</v>
      </c>
      <c r="M543" t="s">
        <v>70</v>
      </c>
      <c r="N543" t="str">
        <f t="shared" si="59"/>
        <v>Credit Card</v>
      </c>
      <c r="O543" t="s">
        <v>65</v>
      </c>
      <c r="P543">
        <f t="shared" si="60"/>
        <v>10</v>
      </c>
      <c r="Q543" t="s">
        <v>117</v>
      </c>
      <c r="R543">
        <f t="shared" si="61"/>
        <v>2617</v>
      </c>
      <c r="S543" t="s">
        <v>1515</v>
      </c>
      <c r="T543">
        <f t="shared" si="62"/>
        <v>26170</v>
      </c>
      <c r="U543">
        <f>YEAR(Sales_Table[[#This Row],[Date_clean]])</f>
        <v>2024</v>
      </c>
      <c r="V543" t="str">
        <f>TEXT(Sales_Table[[#This Row],[Date_clean]],"mmmm")</f>
        <v>January</v>
      </c>
      <c r="W543">
        <f>WEEKNUM(Sales_Table[[#This Row],[Date_clean]],2)</f>
        <v>4</v>
      </c>
      <c r="X543" t="str" cm="1">
        <f t="array" ref="X543">_xlfn.IFS(Sales_Table[[#This Row],[Revenue]]&gt;=50000,"High",Sales_Table[[#This Row],[Revenue]]&gt;=20000,"Medium",Sales_Table[[#This Row],[Revenue]]&lt;20000,"Low")</f>
        <v>Medium</v>
      </c>
      <c r="Y543" t="str">
        <f>IF(Sales_Table[[#This Row],[Payment Method_clean]]="cash","Offline","Online")</f>
        <v>Online</v>
      </c>
      <c r="Z543">
        <f>IFERROR(Sales_Table[[#This Row],[Revenue]],0)</f>
        <v>26170</v>
      </c>
    </row>
    <row r="544" spans="1:26" x14ac:dyDescent="0.3">
      <c r="A544">
        <v>543</v>
      </c>
      <c r="B544" s="2">
        <f t="shared" si="56"/>
        <v>45314.583333333336</v>
      </c>
      <c r="C544" t="s">
        <v>1516</v>
      </c>
      <c r="D544" t="s">
        <v>27</v>
      </c>
      <c r="E544" t="str">
        <f>PROPER(TRIM(CLEAN(Sales_Table[[#This Row],[Region]])))</f>
        <v>East</v>
      </c>
      <c r="F544" t="s">
        <v>78</v>
      </c>
      <c r="G544" t="str">
        <f t="shared" si="57"/>
        <v>Grocery</v>
      </c>
      <c r="H544" t="str">
        <f>PROPER(TRIM(CLEAN(Sales_Table[[#This Row],[Product Name]])))</f>
        <v>Led Tv 42Inch</v>
      </c>
      <c r="I544" t="s">
        <v>58</v>
      </c>
      <c r="J544" t="str">
        <f t="shared" si="58"/>
        <v>CUST0739</v>
      </c>
      <c r="K544" t="s">
        <v>1517</v>
      </c>
      <c r="L544" t="str">
        <f>PROPER(TRIM(CLEAN(Sales_Table[[#This Row],[Salesperson]])))</f>
        <v>Rahul</v>
      </c>
      <c r="M544" t="s">
        <v>31</v>
      </c>
      <c r="N544" t="str">
        <f t="shared" si="59"/>
        <v>Debit Card</v>
      </c>
      <c r="O544" t="s">
        <v>41</v>
      </c>
      <c r="P544">
        <f t="shared" si="60"/>
        <v>13</v>
      </c>
      <c r="Q544" t="s">
        <v>81</v>
      </c>
      <c r="R544">
        <f t="shared" si="61"/>
        <v>2497</v>
      </c>
      <c r="S544" t="s">
        <v>312</v>
      </c>
      <c r="T544">
        <f t="shared" si="62"/>
        <v>32461</v>
      </c>
      <c r="U544">
        <f>YEAR(Sales_Table[[#This Row],[Date_clean]])</f>
        <v>2024</v>
      </c>
      <c r="V544" t="str">
        <f>TEXT(Sales_Table[[#This Row],[Date_clean]],"mmmm")</f>
        <v>January</v>
      </c>
      <c r="W544">
        <f>WEEKNUM(Sales_Table[[#This Row],[Date_clean]],2)</f>
        <v>4</v>
      </c>
      <c r="X544" t="str" cm="1">
        <f t="array" ref="X544">_xlfn.IFS(Sales_Table[[#This Row],[Revenue]]&gt;=50000,"High",Sales_Table[[#This Row],[Revenue]]&gt;=20000,"Medium",Sales_Table[[#This Row],[Revenue]]&lt;20000,"Low")</f>
        <v>Medium</v>
      </c>
      <c r="Y544" t="str">
        <f>IF(Sales_Table[[#This Row],[Payment Method_clean]]="cash","Offline","Online")</f>
        <v>Online</v>
      </c>
      <c r="Z544">
        <f>IFERROR(Sales_Table[[#This Row],[Revenue]],0)</f>
        <v>32461</v>
      </c>
    </row>
    <row r="545" spans="1:26" x14ac:dyDescent="0.3">
      <c r="A545">
        <v>544</v>
      </c>
      <c r="B545" s="2">
        <f t="shared" si="56"/>
        <v>45314.625</v>
      </c>
      <c r="C545" t="s">
        <v>1518</v>
      </c>
      <c r="D545" t="s">
        <v>84</v>
      </c>
      <c r="E545" t="str">
        <f>PROPER(TRIM(CLEAN(Sales_Table[[#This Row],[Region]])))</f>
        <v>South</v>
      </c>
      <c r="F545" t="s">
        <v>37</v>
      </c>
      <c r="G545" t="str">
        <f t="shared" si="57"/>
        <v>Home Appliances</v>
      </c>
      <c r="H545" t="str">
        <f>PROPER(TRIM(CLEAN(Sales_Table[[#This Row],[Product Name]])))</f>
        <v>Washing Machine</v>
      </c>
      <c r="I545" t="s">
        <v>79</v>
      </c>
      <c r="J545" t="str">
        <f t="shared" si="58"/>
        <v>CUST0098</v>
      </c>
      <c r="K545" t="s">
        <v>922</v>
      </c>
      <c r="L545" t="str">
        <f>PROPER(TRIM(CLEAN(Sales_Table[[#This Row],[Salesperson]])))</f>
        <v>Meena</v>
      </c>
      <c r="M545" t="s">
        <v>40</v>
      </c>
      <c r="N545" t="str">
        <f t="shared" si="59"/>
        <v>Debit Card</v>
      </c>
      <c r="O545" t="s">
        <v>41</v>
      </c>
      <c r="P545">
        <f t="shared" si="60"/>
        <v>12</v>
      </c>
      <c r="Q545" t="s">
        <v>33</v>
      </c>
      <c r="R545">
        <f t="shared" si="61"/>
        <v>1249</v>
      </c>
      <c r="S545" t="s">
        <v>1519</v>
      </c>
      <c r="T545">
        <f t="shared" si="62"/>
        <v>14988</v>
      </c>
      <c r="U545">
        <f>YEAR(Sales_Table[[#This Row],[Date_clean]])</f>
        <v>2024</v>
      </c>
      <c r="V545" t="str">
        <f>TEXT(Sales_Table[[#This Row],[Date_clean]],"mmmm")</f>
        <v>January</v>
      </c>
      <c r="W545">
        <f>WEEKNUM(Sales_Table[[#This Row],[Date_clean]],2)</f>
        <v>4</v>
      </c>
      <c r="X545" t="str" cm="1">
        <f t="array" ref="X545">_xlfn.IFS(Sales_Table[[#This Row],[Revenue]]&gt;=50000,"High",Sales_Table[[#This Row],[Revenue]]&gt;=20000,"Medium",Sales_Table[[#This Row],[Revenue]]&lt;20000,"Low")</f>
        <v>Low</v>
      </c>
      <c r="Y545" t="str">
        <f>IF(Sales_Table[[#This Row],[Payment Method_clean]]="cash","Offline","Online")</f>
        <v>Online</v>
      </c>
      <c r="Z545">
        <f>IFERROR(Sales_Table[[#This Row],[Revenue]],0)</f>
        <v>14988</v>
      </c>
    </row>
    <row r="546" spans="1:26" x14ac:dyDescent="0.3">
      <c r="A546">
        <v>545</v>
      </c>
      <c r="B546" s="2">
        <f t="shared" si="56"/>
        <v>45314.666666666664</v>
      </c>
      <c r="C546" t="s">
        <v>1520</v>
      </c>
      <c r="D546" t="s">
        <v>45</v>
      </c>
      <c r="E546" t="str">
        <f>PROPER(TRIM(CLEAN(Sales_Table[[#This Row],[Region]])))</f>
        <v>North</v>
      </c>
      <c r="F546" t="s">
        <v>46</v>
      </c>
      <c r="G546" t="str">
        <f t="shared" si="57"/>
        <v>Electronics</v>
      </c>
      <c r="H546" t="str">
        <f>PROPER(TRIM(CLEAN(Sales_Table[[#This Row],[Product Name]])))</f>
        <v>Laptop</v>
      </c>
      <c r="I546" t="s">
        <v>52</v>
      </c>
      <c r="J546" t="str">
        <f t="shared" si="58"/>
        <v>CUST0720</v>
      </c>
      <c r="K546" t="s">
        <v>1158</v>
      </c>
      <c r="L546" t="str">
        <f>PROPER(TRIM(CLEAN(Sales_Table[[#This Row],[Salesperson]])))</f>
        <v>Karthik</v>
      </c>
      <c r="M546" t="s">
        <v>70</v>
      </c>
      <c r="N546" t="str">
        <f t="shared" si="59"/>
        <v>Debit Card</v>
      </c>
      <c r="O546" t="s">
        <v>41</v>
      </c>
      <c r="P546">
        <f t="shared" si="60"/>
        <v>14</v>
      </c>
      <c r="Q546" t="s">
        <v>55</v>
      </c>
      <c r="R546">
        <f t="shared" si="61"/>
        <v>3480</v>
      </c>
      <c r="S546" t="s">
        <v>1521</v>
      </c>
      <c r="T546">
        <f t="shared" si="62"/>
        <v>48720</v>
      </c>
      <c r="U546">
        <f>YEAR(Sales_Table[[#This Row],[Date_clean]])</f>
        <v>2024</v>
      </c>
      <c r="V546" t="str">
        <f>TEXT(Sales_Table[[#This Row],[Date_clean]],"mmmm")</f>
        <v>January</v>
      </c>
      <c r="W546">
        <f>WEEKNUM(Sales_Table[[#This Row],[Date_clean]],2)</f>
        <v>4</v>
      </c>
      <c r="X546" t="str" cm="1">
        <f t="array" ref="X546">_xlfn.IFS(Sales_Table[[#This Row],[Revenue]]&gt;=50000,"High",Sales_Table[[#This Row],[Revenue]]&gt;=20000,"Medium",Sales_Table[[#This Row],[Revenue]]&lt;20000,"Low")</f>
        <v>Medium</v>
      </c>
      <c r="Y546" t="str">
        <f>IF(Sales_Table[[#This Row],[Payment Method_clean]]="cash","Offline","Online")</f>
        <v>Online</v>
      </c>
      <c r="Z546">
        <f>IFERROR(Sales_Table[[#This Row],[Revenue]],0)</f>
        <v>48720</v>
      </c>
    </row>
    <row r="547" spans="1:26" x14ac:dyDescent="0.3">
      <c r="A547">
        <v>546</v>
      </c>
      <c r="B547" s="2">
        <f t="shared" si="56"/>
        <v>45314.708333333336</v>
      </c>
      <c r="C547" t="s">
        <v>1522</v>
      </c>
      <c r="D547" t="s">
        <v>36</v>
      </c>
      <c r="E547" t="str">
        <f>PROPER(TRIM(CLEAN(Sales_Table[[#This Row],[Region]])))</f>
        <v>West</v>
      </c>
      <c r="F547" t="s">
        <v>78</v>
      </c>
      <c r="G547" t="str">
        <f t="shared" si="57"/>
        <v>Grocery</v>
      </c>
      <c r="H547" t="str">
        <f>PROPER(TRIM(CLEAN(Sales_Table[[#This Row],[Product Name]])))</f>
        <v>Men T-Shirt</v>
      </c>
      <c r="I547" t="s">
        <v>38</v>
      </c>
      <c r="J547" t="str">
        <f t="shared" si="58"/>
        <v>CUST0265</v>
      </c>
      <c r="K547" t="s">
        <v>171</v>
      </c>
      <c r="L547" t="str">
        <f>PROPER(TRIM(CLEAN(Sales_Table[[#This Row],[Salesperson]])))</f>
        <v>Rahul</v>
      </c>
      <c r="M547" t="s">
        <v>31</v>
      </c>
      <c r="N547" t="str">
        <f t="shared" si="59"/>
        <v>Debit Card</v>
      </c>
      <c r="O547" t="s">
        <v>41</v>
      </c>
      <c r="P547">
        <f t="shared" si="60"/>
        <v>1</v>
      </c>
      <c r="Q547" t="s">
        <v>93</v>
      </c>
      <c r="R547">
        <f t="shared" si="61"/>
        <v>1978</v>
      </c>
      <c r="S547" t="s">
        <v>1523</v>
      </c>
      <c r="T547">
        <f t="shared" si="62"/>
        <v>1978</v>
      </c>
      <c r="U547">
        <f>YEAR(Sales_Table[[#This Row],[Date_clean]])</f>
        <v>2024</v>
      </c>
      <c r="V547" t="str">
        <f>TEXT(Sales_Table[[#This Row],[Date_clean]],"mmmm")</f>
        <v>January</v>
      </c>
      <c r="W547">
        <f>WEEKNUM(Sales_Table[[#This Row],[Date_clean]],2)</f>
        <v>4</v>
      </c>
      <c r="X547" t="str" cm="1">
        <f t="array" ref="X547">_xlfn.IFS(Sales_Table[[#This Row],[Revenue]]&gt;=50000,"High",Sales_Table[[#This Row],[Revenue]]&gt;=20000,"Medium",Sales_Table[[#This Row],[Revenue]]&lt;20000,"Low")</f>
        <v>Low</v>
      </c>
      <c r="Y547" t="str">
        <f>IF(Sales_Table[[#This Row],[Payment Method_clean]]="cash","Offline","Online")</f>
        <v>Online</v>
      </c>
      <c r="Z547">
        <f>IFERROR(Sales_Table[[#This Row],[Revenue]],0)</f>
        <v>1978</v>
      </c>
    </row>
    <row r="548" spans="1:26" x14ac:dyDescent="0.3">
      <c r="A548">
        <v>547</v>
      </c>
      <c r="B548" s="2">
        <f t="shared" si="56"/>
        <v>45314.75</v>
      </c>
      <c r="C548" t="s">
        <v>1524</v>
      </c>
      <c r="D548" t="s">
        <v>45</v>
      </c>
      <c r="E548" t="str">
        <f>PROPER(TRIM(CLEAN(Sales_Table[[#This Row],[Region]])))</f>
        <v>North</v>
      </c>
      <c r="F548" t="s">
        <v>37</v>
      </c>
      <c r="G548" t="str">
        <f t="shared" si="57"/>
        <v>Home Appliances</v>
      </c>
      <c r="H548" t="str">
        <f>PROPER(TRIM(CLEAN(Sales_Table[[#This Row],[Product Name]])))</f>
        <v>Laptop</v>
      </c>
      <c r="I548" t="s">
        <v>52</v>
      </c>
      <c r="J548" t="str">
        <f t="shared" si="58"/>
        <v>CUST0800</v>
      </c>
      <c r="K548" t="s">
        <v>1525</v>
      </c>
      <c r="L548" t="str">
        <f>PROPER(TRIM(CLEAN(Sales_Table[[#This Row],[Salesperson]])))</f>
        <v>Karthik</v>
      </c>
      <c r="M548" t="s">
        <v>70</v>
      </c>
      <c r="N548" t="str">
        <f t="shared" si="59"/>
        <v>Net Banking</v>
      </c>
      <c r="O548" t="s">
        <v>60</v>
      </c>
      <c r="P548">
        <f t="shared" si="60"/>
        <v>4</v>
      </c>
      <c r="Q548" t="s">
        <v>113</v>
      </c>
      <c r="R548">
        <f t="shared" si="61"/>
        <v>1353</v>
      </c>
      <c r="S548" t="s">
        <v>1526</v>
      </c>
      <c r="T548">
        <f t="shared" si="62"/>
        <v>5412</v>
      </c>
      <c r="U548">
        <f>YEAR(Sales_Table[[#This Row],[Date_clean]])</f>
        <v>2024</v>
      </c>
      <c r="V548" t="str">
        <f>TEXT(Sales_Table[[#This Row],[Date_clean]],"mmmm")</f>
        <v>January</v>
      </c>
      <c r="W548">
        <f>WEEKNUM(Sales_Table[[#This Row],[Date_clean]],2)</f>
        <v>4</v>
      </c>
      <c r="X548" t="str" cm="1">
        <f t="array" ref="X548">_xlfn.IFS(Sales_Table[[#This Row],[Revenue]]&gt;=50000,"High",Sales_Table[[#This Row],[Revenue]]&gt;=20000,"Medium",Sales_Table[[#This Row],[Revenue]]&lt;20000,"Low")</f>
        <v>Low</v>
      </c>
      <c r="Y548" t="str">
        <f>IF(Sales_Table[[#This Row],[Payment Method_clean]]="cash","Offline","Online")</f>
        <v>Online</v>
      </c>
      <c r="Z548">
        <f>IFERROR(Sales_Table[[#This Row],[Revenue]],0)</f>
        <v>5412</v>
      </c>
    </row>
    <row r="549" spans="1:26" x14ac:dyDescent="0.3">
      <c r="A549">
        <v>548</v>
      </c>
      <c r="B549" s="2">
        <f t="shared" si="56"/>
        <v>45314.791666666664</v>
      </c>
      <c r="C549" t="s">
        <v>1527</v>
      </c>
      <c r="D549" t="s">
        <v>36</v>
      </c>
      <c r="E549" t="str">
        <f>PROPER(TRIM(CLEAN(Sales_Table[[#This Row],[Region]])))</f>
        <v>West</v>
      </c>
      <c r="F549" t="s">
        <v>28</v>
      </c>
      <c r="G549" t="str">
        <f t="shared" si="57"/>
        <v>Clothing</v>
      </c>
      <c r="H549" t="str">
        <f>PROPER(TRIM(CLEAN(Sales_Table[[#This Row],[Product Name]])))</f>
        <v>Led Tv 42Inch</v>
      </c>
      <c r="I549" t="s">
        <v>58</v>
      </c>
      <c r="J549" t="str">
        <f t="shared" si="58"/>
        <v>CUST0783</v>
      </c>
      <c r="K549" t="s">
        <v>950</v>
      </c>
      <c r="L549" t="str">
        <f>PROPER(TRIM(CLEAN(Sales_Table[[#This Row],[Salesperson]])))</f>
        <v>Karthik</v>
      </c>
      <c r="M549" t="s">
        <v>70</v>
      </c>
      <c r="N549" t="str">
        <f t="shared" si="59"/>
        <v>Upi</v>
      </c>
      <c r="O549" t="s">
        <v>48</v>
      </c>
      <c r="P549">
        <f t="shared" si="60"/>
        <v>11</v>
      </c>
      <c r="Q549" t="s">
        <v>97</v>
      </c>
      <c r="R549">
        <f t="shared" si="61"/>
        <v>1583</v>
      </c>
      <c r="S549" t="s">
        <v>1528</v>
      </c>
      <c r="T549">
        <f t="shared" si="62"/>
        <v>17413</v>
      </c>
      <c r="U549">
        <f>YEAR(Sales_Table[[#This Row],[Date_clean]])</f>
        <v>2024</v>
      </c>
      <c r="V549" t="str">
        <f>TEXT(Sales_Table[[#This Row],[Date_clean]],"mmmm")</f>
        <v>January</v>
      </c>
      <c r="W549">
        <f>WEEKNUM(Sales_Table[[#This Row],[Date_clean]],2)</f>
        <v>4</v>
      </c>
      <c r="X549" t="str" cm="1">
        <f t="array" ref="X549">_xlfn.IFS(Sales_Table[[#This Row],[Revenue]]&gt;=50000,"High",Sales_Table[[#This Row],[Revenue]]&gt;=20000,"Medium",Sales_Table[[#This Row],[Revenue]]&lt;20000,"Low")</f>
        <v>Low</v>
      </c>
      <c r="Y549" t="str">
        <f>IF(Sales_Table[[#This Row],[Payment Method_clean]]="cash","Offline","Online")</f>
        <v>Online</v>
      </c>
      <c r="Z549">
        <f>IFERROR(Sales_Table[[#This Row],[Revenue]],0)</f>
        <v>17413</v>
      </c>
    </row>
    <row r="550" spans="1:26" x14ac:dyDescent="0.3">
      <c r="A550">
        <v>549</v>
      </c>
      <c r="B550" s="2">
        <f t="shared" si="56"/>
        <v>45314.833333333336</v>
      </c>
      <c r="C550" t="s">
        <v>1529</v>
      </c>
      <c r="D550" t="s">
        <v>84</v>
      </c>
      <c r="E550" t="str">
        <f>PROPER(TRIM(CLEAN(Sales_Table[[#This Row],[Region]])))</f>
        <v>South</v>
      </c>
      <c r="F550" t="s">
        <v>46</v>
      </c>
      <c r="G550" t="str">
        <f t="shared" si="57"/>
        <v>Electronics</v>
      </c>
      <c r="H550" t="str">
        <f>PROPER(TRIM(CLEAN(Sales_Table[[#This Row],[Product Name]])))</f>
        <v>Rice 5Kg</v>
      </c>
      <c r="I550" t="s">
        <v>73</v>
      </c>
      <c r="J550" t="str">
        <f t="shared" si="58"/>
        <v>CUST0140</v>
      </c>
      <c r="K550" t="s">
        <v>1530</v>
      </c>
      <c r="L550" t="str">
        <f>PROPER(TRIM(CLEAN(Sales_Table[[#This Row],[Salesperson]])))</f>
        <v>Meena</v>
      </c>
      <c r="M550" t="s">
        <v>40</v>
      </c>
      <c r="N550" t="str">
        <f t="shared" si="59"/>
        <v>Upi</v>
      </c>
      <c r="O550" t="s">
        <v>48</v>
      </c>
      <c r="P550">
        <f t="shared" si="60"/>
        <v>10</v>
      </c>
      <c r="Q550" t="s">
        <v>117</v>
      </c>
      <c r="R550">
        <f t="shared" si="61"/>
        <v>409</v>
      </c>
      <c r="S550" t="s">
        <v>1531</v>
      </c>
      <c r="T550">
        <f t="shared" si="62"/>
        <v>4090</v>
      </c>
      <c r="U550">
        <f>YEAR(Sales_Table[[#This Row],[Date_clean]])</f>
        <v>2024</v>
      </c>
      <c r="V550" t="str">
        <f>TEXT(Sales_Table[[#This Row],[Date_clean]],"mmmm")</f>
        <v>January</v>
      </c>
      <c r="W550">
        <f>WEEKNUM(Sales_Table[[#This Row],[Date_clean]],2)</f>
        <v>4</v>
      </c>
      <c r="X550" t="str" cm="1">
        <f t="array" ref="X550">_xlfn.IFS(Sales_Table[[#This Row],[Revenue]]&gt;=50000,"High",Sales_Table[[#This Row],[Revenue]]&gt;=20000,"Medium",Sales_Table[[#This Row],[Revenue]]&lt;20000,"Low")</f>
        <v>Low</v>
      </c>
      <c r="Y550" t="str">
        <f>IF(Sales_Table[[#This Row],[Payment Method_clean]]="cash","Offline","Online")</f>
        <v>Online</v>
      </c>
      <c r="Z550">
        <f>IFERROR(Sales_Table[[#This Row],[Revenue]],0)</f>
        <v>4090</v>
      </c>
    </row>
    <row r="551" spans="1:26" x14ac:dyDescent="0.3">
      <c r="A551">
        <v>550</v>
      </c>
      <c r="B551" s="2">
        <f t="shared" si="56"/>
        <v>45314.875</v>
      </c>
      <c r="C551" t="s">
        <v>1532</v>
      </c>
      <c r="D551" t="s">
        <v>27</v>
      </c>
      <c r="E551" t="str">
        <f>PROPER(TRIM(CLEAN(Sales_Table[[#This Row],[Region]])))</f>
        <v>East</v>
      </c>
      <c r="F551" t="s">
        <v>28</v>
      </c>
      <c r="G551" t="str">
        <f t="shared" si="57"/>
        <v>Clothing</v>
      </c>
      <c r="H551" t="str">
        <f>PROPER(TRIM(CLEAN(Sales_Table[[#This Row],[Product Name]])))</f>
        <v>Rice 5Kg</v>
      </c>
      <c r="I551" t="s">
        <v>73</v>
      </c>
      <c r="J551" t="str">
        <f t="shared" si="58"/>
        <v>CUST0481</v>
      </c>
      <c r="K551" t="s">
        <v>1375</v>
      </c>
      <c r="L551" t="str">
        <f>PROPER(TRIM(CLEAN(Sales_Table[[#This Row],[Salesperson]])))</f>
        <v>Rahul</v>
      </c>
      <c r="M551" t="s">
        <v>31</v>
      </c>
      <c r="N551" t="str">
        <f t="shared" si="59"/>
        <v>Credit Card</v>
      </c>
      <c r="O551" t="s">
        <v>65</v>
      </c>
      <c r="P551">
        <f t="shared" si="60"/>
        <v>10</v>
      </c>
      <c r="Q551" t="s">
        <v>117</v>
      </c>
      <c r="R551">
        <f t="shared" si="61"/>
        <v>4052</v>
      </c>
      <c r="S551" t="s">
        <v>1533</v>
      </c>
      <c r="T551">
        <f t="shared" si="62"/>
        <v>40520</v>
      </c>
      <c r="U551">
        <f>YEAR(Sales_Table[[#This Row],[Date_clean]])</f>
        <v>2024</v>
      </c>
      <c r="V551" t="str">
        <f>TEXT(Sales_Table[[#This Row],[Date_clean]],"mmmm")</f>
        <v>January</v>
      </c>
      <c r="W551">
        <f>WEEKNUM(Sales_Table[[#This Row],[Date_clean]],2)</f>
        <v>4</v>
      </c>
      <c r="X551" t="str" cm="1">
        <f t="array" ref="X551">_xlfn.IFS(Sales_Table[[#This Row],[Revenue]]&gt;=50000,"High",Sales_Table[[#This Row],[Revenue]]&gt;=20000,"Medium",Sales_Table[[#This Row],[Revenue]]&lt;20000,"Low")</f>
        <v>Medium</v>
      </c>
      <c r="Y551" t="str">
        <f>IF(Sales_Table[[#This Row],[Payment Method_clean]]="cash","Offline","Online")</f>
        <v>Online</v>
      </c>
      <c r="Z551">
        <f>IFERROR(Sales_Table[[#This Row],[Revenue]],0)</f>
        <v>40520</v>
      </c>
    </row>
    <row r="552" spans="1:26" x14ac:dyDescent="0.3">
      <c r="A552">
        <v>551</v>
      </c>
      <c r="B552" s="2">
        <f t="shared" si="56"/>
        <v>45314.916666666664</v>
      </c>
      <c r="C552" t="s">
        <v>1534</v>
      </c>
      <c r="D552" t="s">
        <v>45</v>
      </c>
      <c r="E552" t="str">
        <f>PROPER(TRIM(CLEAN(Sales_Table[[#This Row],[Region]])))</f>
        <v>North</v>
      </c>
      <c r="F552" t="s">
        <v>37</v>
      </c>
      <c r="G552" t="str">
        <f t="shared" si="57"/>
        <v>Home Appliances</v>
      </c>
      <c r="H552" t="str">
        <f>PROPER(TRIM(CLEAN(Sales_Table[[#This Row],[Product Name]])))</f>
        <v>Laptop</v>
      </c>
      <c r="I552" t="s">
        <v>52</v>
      </c>
      <c r="J552" t="str">
        <f t="shared" si="58"/>
        <v>CUST0237</v>
      </c>
      <c r="K552" t="s">
        <v>240</v>
      </c>
      <c r="L552" t="str">
        <f>PROPER(TRIM(CLEAN(Sales_Table[[#This Row],[Salesperson]])))</f>
        <v>Meena</v>
      </c>
      <c r="M552" t="s">
        <v>40</v>
      </c>
      <c r="N552" t="str">
        <f t="shared" si="59"/>
        <v>Cash</v>
      </c>
      <c r="O552" t="s">
        <v>32</v>
      </c>
      <c r="P552">
        <f t="shared" si="60"/>
        <v>12</v>
      </c>
      <c r="Q552" t="s">
        <v>33</v>
      </c>
      <c r="R552">
        <f t="shared" si="61"/>
        <v>3149</v>
      </c>
      <c r="S552" t="s">
        <v>1535</v>
      </c>
      <c r="T552">
        <f t="shared" si="62"/>
        <v>37788</v>
      </c>
      <c r="U552">
        <f>YEAR(Sales_Table[[#This Row],[Date_clean]])</f>
        <v>2024</v>
      </c>
      <c r="V552" t="str">
        <f>TEXT(Sales_Table[[#This Row],[Date_clean]],"mmmm")</f>
        <v>January</v>
      </c>
      <c r="W552">
        <f>WEEKNUM(Sales_Table[[#This Row],[Date_clean]],2)</f>
        <v>4</v>
      </c>
      <c r="X552" t="str" cm="1">
        <f t="array" ref="X552">_xlfn.IFS(Sales_Table[[#This Row],[Revenue]]&gt;=50000,"High",Sales_Table[[#This Row],[Revenue]]&gt;=20000,"Medium",Sales_Table[[#This Row],[Revenue]]&lt;20000,"Low")</f>
        <v>Medium</v>
      </c>
      <c r="Y552" t="str">
        <f>IF(Sales_Table[[#This Row],[Payment Method_clean]]="cash","Offline","Online")</f>
        <v>Offline</v>
      </c>
      <c r="Z552">
        <f>IFERROR(Sales_Table[[#This Row],[Revenue]],0)</f>
        <v>37788</v>
      </c>
    </row>
    <row r="553" spans="1:26" x14ac:dyDescent="0.3">
      <c r="A553">
        <v>552</v>
      </c>
      <c r="B553" s="2">
        <f t="shared" si="56"/>
        <v>45314.958333333336</v>
      </c>
      <c r="C553" t="s">
        <v>1536</v>
      </c>
      <c r="D553" t="s">
        <v>36</v>
      </c>
      <c r="E553" t="str">
        <f>PROPER(TRIM(CLEAN(Sales_Table[[#This Row],[Region]])))</f>
        <v>West</v>
      </c>
      <c r="F553" t="s">
        <v>78</v>
      </c>
      <c r="G553" t="str">
        <f t="shared" si="57"/>
        <v>Grocery</v>
      </c>
      <c r="H553" t="str">
        <f>PROPER(TRIM(CLEAN(Sales_Table[[#This Row],[Product Name]])))</f>
        <v>Mixer Grinder</v>
      </c>
      <c r="I553" t="s">
        <v>29</v>
      </c>
      <c r="J553" t="str">
        <f t="shared" si="58"/>
        <v>CUST0072</v>
      </c>
      <c r="K553" t="s">
        <v>1234</v>
      </c>
      <c r="L553" t="str">
        <f>PROPER(TRIM(CLEAN(Sales_Table[[#This Row],[Salesperson]])))</f>
        <v>Anita</v>
      </c>
      <c r="M553" t="s">
        <v>64</v>
      </c>
      <c r="N553" t="str">
        <f t="shared" si="59"/>
        <v>Credit Card</v>
      </c>
      <c r="O553" t="s">
        <v>65</v>
      </c>
      <c r="P553">
        <f t="shared" si="60"/>
        <v>14</v>
      </c>
      <c r="Q553" t="s">
        <v>55</v>
      </c>
      <c r="R553">
        <f t="shared" si="61"/>
        <v>1664</v>
      </c>
      <c r="S553" t="s">
        <v>1537</v>
      </c>
      <c r="T553">
        <f t="shared" si="62"/>
        <v>23296</v>
      </c>
      <c r="U553">
        <f>YEAR(Sales_Table[[#This Row],[Date_clean]])</f>
        <v>2024</v>
      </c>
      <c r="V553" t="str">
        <f>TEXT(Sales_Table[[#This Row],[Date_clean]],"mmmm")</f>
        <v>January</v>
      </c>
      <c r="W553">
        <f>WEEKNUM(Sales_Table[[#This Row],[Date_clean]],2)</f>
        <v>4</v>
      </c>
      <c r="X553" t="str" cm="1">
        <f t="array" ref="X553">_xlfn.IFS(Sales_Table[[#This Row],[Revenue]]&gt;=50000,"High",Sales_Table[[#This Row],[Revenue]]&gt;=20000,"Medium",Sales_Table[[#This Row],[Revenue]]&lt;20000,"Low")</f>
        <v>Medium</v>
      </c>
      <c r="Y553" t="str">
        <f>IF(Sales_Table[[#This Row],[Payment Method_clean]]="cash","Offline","Online")</f>
        <v>Online</v>
      </c>
      <c r="Z553">
        <f>IFERROR(Sales_Table[[#This Row],[Revenue]],0)</f>
        <v>23296</v>
      </c>
    </row>
    <row r="554" spans="1:26" x14ac:dyDescent="0.3">
      <c r="A554">
        <v>553</v>
      </c>
      <c r="B554" s="2">
        <f t="shared" si="56"/>
        <v>45315</v>
      </c>
      <c r="C554" t="s">
        <v>1538</v>
      </c>
      <c r="D554" t="s">
        <v>45</v>
      </c>
      <c r="E554" t="str">
        <f>PROPER(TRIM(CLEAN(Sales_Table[[#This Row],[Region]])))</f>
        <v>North</v>
      </c>
      <c r="F554" t="s">
        <v>78</v>
      </c>
      <c r="G554" t="str">
        <f t="shared" si="57"/>
        <v>Grocery</v>
      </c>
      <c r="H554" t="str">
        <f>PROPER(TRIM(CLEAN(Sales_Table[[#This Row],[Product Name]])))</f>
        <v>Men T-Shirt</v>
      </c>
      <c r="I554" t="s">
        <v>38</v>
      </c>
      <c r="J554" t="str">
        <f t="shared" si="58"/>
        <v>CUST0667</v>
      </c>
      <c r="K554" t="s">
        <v>1539</v>
      </c>
      <c r="L554" t="str">
        <f>PROPER(TRIM(CLEAN(Sales_Table[[#This Row],[Salesperson]])))</f>
        <v>Anita</v>
      </c>
      <c r="M554" t="s">
        <v>64</v>
      </c>
      <c r="N554" t="str">
        <f t="shared" si="59"/>
        <v>Credit Card</v>
      </c>
      <c r="O554" t="s">
        <v>65</v>
      </c>
      <c r="P554">
        <f t="shared" si="60"/>
        <v>9</v>
      </c>
      <c r="Q554" t="s">
        <v>130</v>
      </c>
      <c r="R554">
        <f t="shared" si="61"/>
        <v>1600</v>
      </c>
      <c r="S554" t="s">
        <v>1540</v>
      </c>
      <c r="T554">
        <f t="shared" si="62"/>
        <v>14400</v>
      </c>
      <c r="U554">
        <f>YEAR(Sales_Table[[#This Row],[Date_clean]])</f>
        <v>2024</v>
      </c>
      <c r="V554" t="str">
        <f>TEXT(Sales_Table[[#This Row],[Date_clean]],"mmmm")</f>
        <v>January</v>
      </c>
      <c r="W554">
        <f>WEEKNUM(Sales_Table[[#This Row],[Date_clean]],2)</f>
        <v>4</v>
      </c>
      <c r="X554" t="str" cm="1">
        <f t="array" ref="X554">_xlfn.IFS(Sales_Table[[#This Row],[Revenue]]&gt;=50000,"High",Sales_Table[[#This Row],[Revenue]]&gt;=20000,"Medium",Sales_Table[[#This Row],[Revenue]]&lt;20000,"Low")</f>
        <v>Low</v>
      </c>
      <c r="Y554" t="str">
        <f>IF(Sales_Table[[#This Row],[Payment Method_clean]]="cash","Offline","Online")</f>
        <v>Online</v>
      </c>
      <c r="Z554">
        <f>IFERROR(Sales_Table[[#This Row],[Revenue]],0)</f>
        <v>14400</v>
      </c>
    </row>
    <row r="555" spans="1:26" x14ac:dyDescent="0.3">
      <c r="A555">
        <v>554</v>
      </c>
      <c r="B555" s="2">
        <f t="shared" si="56"/>
        <v>45315.041666666664</v>
      </c>
      <c r="C555" t="s">
        <v>1541</v>
      </c>
      <c r="D555" t="s">
        <v>36</v>
      </c>
      <c r="E555" t="str">
        <f>PROPER(TRIM(CLEAN(Sales_Table[[#This Row],[Region]])))</f>
        <v>West</v>
      </c>
      <c r="F555" t="s">
        <v>37</v>
      </c>
      <c r="G555" t="str">
        <f t="shared" si="57"/>
        <v>Home Appliances</v>
      </c>
      <c r="H555" t="str">
        <f>PROPER(TRIM(CLEAN(Sales_Table[[#This Row],[Product Name]])))</f>
        <v>Men T-Shirt</v>
      </c>
      <c r="I555" t="s">
        <v>38</v>
      </c>
      <c r="J555" t="str">
        <f t="shared" si="58"/>
        <v>CUST0190</v>
      </c>
      <c r="K555" t="s">
        <v>1051</v>
      </c>
      <c r="L555" t="str">
        <f>PROPER(TRIM(CLEAN(Sales_Table[[#This Row],[Salesperson]])))</f>
        <v>Rahul</v>
      </c>
      <c r="M555" t="s">
        <v>31</v>
      </c>
      <c r="N555" t="str">
        <f t="shared" si="59"/>
        <v>Credit Card</v>
      </c>
      <c r="O555" t="s">
        <v>65</v>
      </c>
      <c r="P555">
        <f t="shared" si="60"/>
        <v>8</v>
      </c>
      <c r="Q555" t="s">
        <v>42</v>
      </c>
      <c r="R555">
        <f t="shared" si="61"/>
        <v>4965</v>
      </c>
      <c r="S555" t="s">
        <v>1542</v>
      </c>
      <c r="T555">
        <f t="shared" si="62"/>
        <v>39720</v>
      </c>
      <c r="U555">
        <f>YEAR(Sales_Table[[#This Row],[Date_clean]])</f>
        <v>2024</v>
      </c>
      <c r="V555" t="str">
        <f>TEXT(Sales_Table[[#This Row],[Date_clean]],"mmmm")</f>
        <v>January</v>
      </c>
      <c r="W555">
        <f>WEEKNUM(Sales_Table[[#This Row],[Date_clean]],2)</f>
        <v>4</v>
      </c>
      <c r="X555" t="str" cm="1">
        <f t="array" ref="X555">_xlfn.IFS(Sales_Table[[#This Row],[Revenue]]&gt;=50000,"High",Sales_Table[[#This Row],[Revenue]]&gt;=20000,"Medium",Sales_Table[[#This Row],[Revenue]]&lt;20000,"Low")</f>
        <v>Medium</v>
      </c>
      <c r="Y555" t="str">
        <f>IF(Sales_Table[[#This Row],[Payment Method_clean]]="cash","Offline","Online")</f>
        <v>Online</v>
      </c>
      <c r="Z555">
        <f>IFERROR(Sales_Table[[#This Row],[Revenue]],0)</f>
        <v>39720</v>
      </c>
    </row>
    <row r="556" spans="1:26" x14ac:dyDescent="0.3">
      <c r="A556">
        <v>555</v>
      </c>
      <c r="B556" s="2">
        <f t="shared" si="56"/>
        <v>45315.083333333336</v>
      </c>
      <c r="C556" t="s">
        <v>1543</v>
      </c>
      <c r="D556" t="s">
        <v>45</v>
      </c>
      <c r="E556" t="str">
        <f>PROPER(TRIM(CLEAN(Sales_Table[[#This Row],[Region]])))</f>
        <v>North</v>
      </c>
      <c r="F556" t="s">
        <v>78</v>
      </c>
      <c r="G556" t="str">
        <f t="shared" si="57"/>
        <v>Grocery</v>
      </c>
      <c r="H556" t="str">
        <f>PROPER(TRIM(CLEAN(Sales_Table[[#This Row],[Product Name]])))</f>
        <v>Rice 5Kg</v>
      </c>
      <c r="I556" t="s">
        <v>73</v>
      </c>
      <c r="J556" t="str">
        <f t="shared" si="58"/>
        <v>CUST0268</v>
      </c>
      <c r="K556" t="s">
        <v>905</v>
      </c>
      <c r="L556" t="str">
        <f>PROPER(TRIM(CLEAN(Sales_Table[[#This Row],[Salesperson]])))</f>
        <v>Karthik</v>
      </c>
      <c r="M556" t="s">
        <v>70</v>
      </c>
      <c r="N556" t="str">
        <f t="shared" si="59"/>
        <v>Credit Card</v>
      </c>
      <c r="O556" t="s">
        <v>65</v>
      </c>
      <c r="P556">
        <f t="shared" si="60"/>
        <v>11</v>
      </c>
      <c r="Q556" t="s">
        <v>97</v>
      </c>
      <c r="R556">
        <f t="shared" si="61"/>
        <v>115</v>
      </c>
      <c r="S556" t="s">
        <v>1544</v>
      </c>
      <c r="T556">
        <f t="shared" si="62"/>
        <v>1265</v>
      </c>
      <c r="U556">
        <f>YEAR(Sales_Table[[#This Row],[Date_clean]])</f>
        <v>2024</v>
      </c>
      <c r="V556" t="str">
        <f>TEXT(Sales_Table[[#This Row],[Date_clean]],"mmmm")</f>
        <v>January</v>
      </c>
      <c r="W556">
        <f>WEEKNUM(Sales_Table[[#This Row],[Date_clean]],2)</f>
        <v>4</v>
      </c>
      <c r="X556" t="str" cm="1">
        <f t="array" ref="X556">_xlfn.IFS(Sales_Table[[#This Row],[Revenue]]&gt;=50000,"High",Sales_Table[[#This Row],[Revenue]]&gt;=20000,"Medium",Sales_Table[[#This Row],[Revenue]]&lt;20000,"Low")</f>
        <v>Low</v>
      </c>
      <c r="Y556" t="str">
        <f>IF(Sales_Table[[#This Row],[Payment Method_clean]]="cash","Offline","Online")</f>
        <v>Online</v>
      </c>
      <c r="Z556">
        <f>IFERROR(Sales_Table[[#This Row],[Revenue]],0)</f>
        <v>1265</v>
      </c>
    </row>
    <row r="557" spans="1:26" x14ac:dyDescent="0.3">
      <c r="A557">
        <v>556</v>
      </c>
      <c r="B557" s="2">
        <f t="shared" si="56"/>
        <v>45315.125</v>
      </c>
      <c r="C557" t="s">
        <v>1545</v>
      </c>
      <c r="D557" t="s">
        <v>36</v>
      </c>
      <c r="E557" t="str">
        <f>PROPER(TRIM(CLEAN(Sales_Table[[#This Row],[Region]])))</f>
        <v>West</v>
      </c>
      <c r="F557" t="s">
        <v>46</v>
      </c>
      <c r="G557" t="str">
        <f t="shared" si="57"/>
        <v>Electronics</v>
      </c>
      <c r="H557" t="str">
        <f>PROPER(TRIM(CLEAN(Sales_Table[[#This Row],[Product Name]])))</f>
        <v>Washing Machine</v>
      </c>
      <c r="I557" t="s">
        <v>79</v>
      </c>
      <c r="J557" t="str">
        <f t="shared" si="58"/>
        <v>CUST0321</v>
      </c>
      <c r="K557" t="s">
        <v>1546</v>
      </c>
      <c r="L557" t="str">
        <f>PROPER(TRIM(CLEAN(Sales_Table[[#This Row],[Salesperson]])))</f>
        <v>Meena</v>
      </c>
      <c r="M557" t="s">
        <v>40</v>
      </c>
      <c r="N557" t="str">
        <f t="shared" si="59"/>
        <v>Upi</v>
      </c>
      <c r="O557" t="s">
        <v>48</v>
      </c>
      <c r="P557">
        <f t="shared" si="60"/>
        <v>4</v>
      </c>
      <c r="Q557" t="s">
        <v>113</v>
      </c>
      <c r="R557">
        <f t="shared" si="61"/>
        <v>705</v>
      </c>
      <c r="S557" t="s">
        <v>1547</v>
      </c>
      <c r="T557">
        <f t="shared" si="62"/>
        <v>2820</v>
      </c>
      <c r="U557">
        <f>YEAR(Sales_Table[[#This Row],[Date_clean]])</f>
        <v>2024</v>
      </c>
      <c r="V557" t="str">
        <f>TEXT(Sales_Table[[#This Row],[Date_clean]],"mmmm")</f>
        <v>January</v>
      </c>
      <c r="W557">
        <f>WEEKNUM(Sales_Table[[#This Row],[Date_clean]],2)</f>
        <v>4</v>
      </c>
      <c r="X557" t="str" cm="1">
        <f t="array" ref="X557">_xlfn.IFS(Sales_Table[[#This Row],[Revenue]]&gt;=50000,"High",Sales_Table[[#This Row],[Revenue]]&gt;=20000,"Medium",Sales_Table[[#This Row],[Revenue]]&lt;20000,"Low")</f>
        <v>Low</v>
      </c>
      <c r="Y557" t="str">
        <f>IF(Sales_Table[[#This Row],[Payment Method_clean]]="cash","Offline","Online")</f>
        <v>Online</v>
      </c>
      <c r="Z557">
        <f>IFERROR(Sales_Table[[#This Row],[Revenue]],0)</f>
        <v>2820</v>
      </c>
    </row>
    <row r="558" spans="1:26" x14ac:dyDescent="0.3">
      <c r="A558">
        <v>557</v>
      </c>
      <c r="B558" s="2">
        <f t="shared" si="56"/>
        <v>45315.166666666664</v>
      </c>
      <c r="C558" t="s">
        <v>1548</v>
      </c>
      <c r="D558" t="s">
        <v>36</v>
      </c>
      <c r="E558" t="str">
        <f>PROPER(TRIM(CLEAN(Sales_Table[[#This Row],[Region]])))</f>
        <v>West</v>
      </c>
      <c r="F558" t="s">
        <v>37</v>
      </c>
      <c r="G558" t="str">
        <f t="shared" si="57"/>
        <v>Home Appliances</v>
      </c>
      <c r="H558" t="str">
        <f>PROPER(TRIM(CLEAN(Sales_Table[[#This Row],[Product Name]])))</f>
        <v>Led Tv 42Inch</v>
      </c>
      <c r="I558" t="s">
        <v>58</v>
      </c>
      <c r="J558" t="str">
        <f t="shared" si="58"/>
        <v>CUST0107</v>
      </c>
      <c r="K558" t="s">
        <v>1549</v>
      </c>
      <c r="L558" t="str">
        <f>PROPER(TRIM(CLEAN(Sales_Table[[#This Row],[Salesperson]])))</f>
        <v>Meena</v>
      </c>
      <c r="M558" t="s">
        <v>40</v>
      </c>
      <c r="N558" t="str">
        <f t="shared" si="59"/>
        <v>Cash</v>
      </c>
      <c r="O558" t="s">
        <v>32</v>
      </c>
      <c r="P558">
        <f t="shared" si="60"/>
        <v>12</v>
      </c>
      <c r="Q558" t="s">
        <v>33</v>
      </c>
      <c r="R558">
        <f t="shared" si="61"/>
        <v>1481</v>
      </c>
      <c r="S558" t="s">
        <v>1550</v>
      </c>
      <c r="T558">
        <f t="shared" si="62"/>
        <v>17772</v>
      </c>
      <c r="U558">
        <f>YEAR(Sales_Table[[#This Row],[Date_clean]])</f>
        <v>2024</v>
      </c>
      <c r="V558" t="str">
        <f>TEXT(Sales_Table[[#This Row],[Date_clean]],"mmmm")</f>
        <v>January</v>
      </c>
      <c r="W558">
        <f>WEEKNUM(Sales_Table[[#This Row],[Date_clean]],2)</f>
        <v>4</v>
      </c>
      <c r="X558" t="str" cm="1">
        <f t="array" ref="X558">_xlfn.IFS(Sales_Table[[#This Row],[Revenue]]&gt;=50000,"High",Sales_Table[[#This Row],[Revenue]]&gt;=20000,"Medium",Sales_Table[[#This Row],[Revenue]]&lt;20000,"Low")</f>
        <v>Low</v>
      </c>
      <c r="Y558" t="str">
        <f>IF(Sales_Table[[#This Row],[Payment Method_clean]]="cash","Offline","Online")</f>
        <v>Offline</v>
      </c>
      <c r="Z558">
        <f>IFERROR(Sales_Table[[#This Row],[Revenue]],0)</f>
        <v>17772</v>
      </c>
    </row>
    <row r="559" spans="1:26" x14ac:dyDescent="0.3">
      <c r="A559">
        <v>558</v>
      </c>
      <c r="B559" s="2">
        <f t="shared" si="56"/>
        <v>45315.208333333336</v>
      </c>
      <c r="C559" t="s">
        <v>1551</v>
      </c>
      <c r="D559" t="s">
        <v>84</v>
      </c>
      <c r="E559" t="str">
        <f>PROPER(TRIM(CLEAN(Sales_Table[[#This Row],[Region]])))</f>
        <v>South</v>
      </c>
      <c r="F559" t="s">
        <v>28</v>
      </c>
      <c r="G559" t="str">
        <f t="shared" si="57"/>
        <v>Clothing</v>
      </c>
      <c r="H559" t="str">
        <f>PROPER(TRIM(CLEAN(Sales_Table[[#This Row],[Product Name]])))</f>
        <v>Washing Machine</v>
      </c>
      <c r="I559" t="s">
        <v>79</v>
      </c>
      <c r="J559" t="str">
        <f t="shared" si="58"/>
        <v>CUST0232</v>
      </c>
      <c r="K559" t="s">
        <v>1552</v>
      </c>
      <c r="L559" t="str">
        <f>PROPER(TRIM(CLEAN(Sales_Table[[#This Row],[Salesperson]])))</f>
        <v>Rahul</v>
      </c>
      <c r="M559" t="s">
        <v>31</v>
      </c>
      <c r="N559" t="str">
        <f t="shared" si="59"/>
        <v>Credit Card</v>
      </c>
      <c r="O559" t="s">
        <v>65</v>
      </c>
      <c r="P559">
        <f t="shared" si="60"/>
        <v>7</v>
      </c>
      <c r="Q559" t="s">
        <v>49</v>
      </c>
      <c r="R559">
        <f t="shared" si="61"/>
        <v>3483</v>
      </c>
      <c r="S559" t="s">
        <v>1553</v>
      </c>
      <c r="T559">
        <f t="shared" si="62"/>
        <v>24381</v>
      </c>
      <c r="U559">
        <f>YEAR(Sales_Table[[#This Row],[Date_clean]])</f>
        <v>2024</v>
      </c>
      <c r="V559" t="str">
        <f>TEXT(Sales_Table[[#This Row],[Date_clean]],"mmmm")</f>
        <v>January</v>
      </c>
      <c r="W559">
        <f>WEEKNUM(Sales_Table[[#This Row],[Date_clean]],2)</f>
        <v>4</v>
      </c>
      <c r="X559" t="str" cm="1">
        <f t="array" ref="X559">_xlfn.IFS(Sales_Table[[#This Row],[Revenue]]&gt;=50000,"High",Sales_Table[[#This Row],[Revenue]]&gt;=20000,"Medium",Sales_Table[[#This Row],[Revenue]]&lt;20000,"Low")</f>
        <v>Medium</v>
      </c>
      <c r="Y559" t="str">
        <f>IF(Sales_Table[[#This Row],[Payment Method_clean]]="cash","Offline","Online")</f>
        <v>Online</v>
      </c>
      <c r="Z559">
        <f>IFERROR(Sales_Table[[#This Row],[Revenue]],0)</f>
        <v>24381</v>
      </c>
    </row>
    <row r="560" spans="1:26" x14ac:dyDescent="0.3">
      <c r="A560">
        <v>559</v>
      </c>
      <c r="B560" s="2">
        <f t="shared" si="56"/>
        <v>45315.25</v>
      </c>
      <c r="C560" t="s">
        <v>1554</v>
      </c>
      <c r="D560" t="s">
        <v>36</v>
      </c>
      <c r="E560" t="str">
        <f>PROPER(TRIM(CLEAN(Sales_Table[[#This Row],[Region]])))</f>
        <v>West</v>
      </c>
      <c r="F560" t="s">
        <v>37</v>
      </c>
      <c r="G560" t="str">
        <f t="shared" si="57"/>
        <v>Home Appliances</v>
      </c>
      <c r="H560" t="str">
        <f>PROPER(TRIM(CLEAN(Sales_Table[[#This Row],[Product Name]])))</f>
        <v>Washing Machine</v>
      </c>
      <c r="I560" t="s">
        <v>79</v>
      </c>
      <c r="J560" t="str">
        <f t="shared" si="58"/>
        <v>CUST0042</v>
      </c>
      <c r="K560" t="s">
        <v>1555</v>
      </c>
      <c r="L560" t="str">
        <f>PROPER(TRIM(CLEAN(Sales_Table[[#This Row],[Salesperson]])))</f>
        <v>Rahul</v>
      </c>
      <c r="M560" t="s">
        <v>31</v>
      </c>
      <c r="N560" t="str">
        <f t="shared" si="59"/>
        <v>Upi</v>
      </c>
      <c r="O560" t="s">
        <v>48</v>
      </c>
      <c r="P560">
        <f t="shared" si="60"/>
        <v>10</v>
      </c>
      <c r="Q560" t="s">
        <v>117</v>
      </c>
      <c r="R560">
        <f t="shared" si="61"/>
        <v>994</v>
      </c>
      <c r="S560" t="s">
        <v>1556</v>
      </c>
      <c r="T560">
        <f t="shared" si="62"/>
        <v>9940</v>
      </c>
      <c r="U560">
        <f>YEAR(Sales_Table[[#This Row],[Date_clean]])</f>
        <v>2024</v>
      </c>
      <c r="V560" t="str">
        <f>TEXT(Sales_Table[[#This Row],[Date_clean]],"mmmm")</f>
        <v>January</v>
      </c>
      <c r="W560">
        <f>WEEKNUM(Sales_Table[[#This Row],[Date_clean]],2)</f>
        <v>4</v>
      </c>
      <c r="X560" t="str" cm="1">
        <f t="array" ref="X560">_xlfn.IFS(Sales_Table[[#This Row],[Revenue]]&gt;=50000,"High",Sales_Table[[#This Row],[Revenue]]&gt;=20000,"Medium",Sales_Table[[#This Row],[Revenue]]&lt;20000,"Low")</f>
        <v>Low</v>
      </c>
      <c r="Y560" t="str">
        <f>IF(Sales_Table[[#This Row],[Payment Method_clean]]="cash","Offline","Online")</f>
        <v>Online</v>
      </c>
      <c r="Z560">
        <f>IFERROR(Sales_Table[[#This Row],[Revenue]],0)</f>
        <v>9940</v>
      </c>
    </row>
    <row r="561" spans="1:26" x14ac:dyDescent="0.3">
      <c r="A561">
        <v>560</v>
      </c>
      <c r="B561" s="2">
        <f t="shared" si="56"/>
        <v>45315.291666666664</v>
      </c>
      <c r="C561" t="s">
        <v>1557</v>
      </c>
      <c r="D561" t="s">
        <v>84</v>
      </c>
      <c r="E561" t="str">
        <f>PROPER(TRIM(CLEAN(Sales_Table[[#This Row],[Region]])))</f>
        <v>South</v>
      </c>
      <c r="F561" t="s">
        <v>46</v>
      </c>
      <c r="G561" t="str">
        <f t="shared" si="57"/>
        <v>Electronics</v>
      </c>
      <c r="H561" t="str">
        <f>PROPER(TRIM(CLEAN(Sales_Table[[#This Row],[Product Name]])))</f>
        <v>Laptop</v>
      </c>
      <c r="I561" t="s">
        <v>52</v>
      </c>
      <c r="J561" t="str">
        <f t="shared" si="58"/>
        <v>CUST0702</v>
      </c>
      <c r="K561" t="s">
        <v>1323</v>
      </c>
      <c r="L561" t="str">
        <f>PROPER(TRIM(CLEAN(Sales_Table[[#This Row],[Salesperson]])))</f>
        <v>Anita</v>
      </c>
      <c r="M561" t="s">
        <v>64</v>
      </c>
      <c r="N561" t="str">
        <f t="shared" si="59"/>
        <v>Credit Card</v>
      </c>
      <c r="O561" t="s">
        <v>65</v>
      </c>
      <c r="P561">
        <f t="shared" si="60"/>
        <v>3</v>
      </c>
      <c r="Q561" t="s">
        <v>66</v>
      </c>
      <c r="R561">
        <f t="shared" si="61"/>
        <v>1667</v>
      </c>
      <c r="S561" t="s">
        <v>1558</v>
      </c>
      <c r="T561">
        <f t="shared" si="62"/>
        <v>5001</v>
      </c>
      <c r="U561">
        <f>YEAR(Sales_Table[[#This Row],[Date_clean]])</f>
        <v>2024</v>
      </c>
      <c r="V561" t="str">
        <f>TEXT(Sales_Table[[#This Row],[Date_clean]],"mmmm")</f>
        <v>January</v>
      </c>
      <c r="W561">
        <f>WEEKNUM(Sales_Table[[#This Row],[Date_clean]],2)</f>
        <v>4</v>
      </c>
      <c r="X561" t="str" cm="1">
        <f t="array" ref="X561">_xlfn.IFS(Sales_Table[[#This Row],[Revenue]]&gt;=50000,"High",Sales_Table[[#This Row],[Revenue]]&gt;=20000,"Medium",Sales_Table[[#This Row],[Revenue]]&lt;20000,"Low")</f>
        <v>Low</v>
      </c>
      <c r="Y561" t="str">
        <f>IF(Sales_Table[[#This Row],[Payment Method_clean]]="cash","Offline","Online")</f>
        <v>Online</v>
      </c>
      <c r="Z561">
        <f>IFERROR(Sales_Table[[#This Row],[Revenue]],0)</f>
        <v>5001</v>
      </c>
    </row>
    <row r="562" spans="1:26" x14ac:dyDescent="0.3">
      <c r="A562">
        <v>561</v>
      </c>
      <c r="B562" s="2">
        <f t="shared" si="56"/>
        <v>45315.333333333336</v>
      </c>
      <c r="C562" t="s">
        <v>1559</v>
      </c>
      <c r="D562" t="s">
        <v>36</v>
      </c>
      <c r="E562" t="str">
        <f>PROPER(TRIM(CLEAN(Sales_Table[[#This Row],[Region]])))</f>
        <v>West</v>
      </c>
      <c r="F562" t="s">
        <v>46</v>
      </c>
      <c r="G562" t="str">
        <f t="shared" si="57"/>
        <v>Electronics</v>
      </c>
      <c r="H562" t="str">
        <f>PROPER(TRIM(CLEAN(Sales_Table[[#This Row],[Product Name]])))</f>
        <v>Rice 5Kg</v>
      </c>
      <c r="I562" t="s">
        <v>73</v>
      </c>
      <c r="J562" t="str">
        <f t="shared" si="58"/>
        <v>CUST0139</v>
      </c>
      <c r="K562" t="s">
        <v>1560</v>
      </c>
      <c r="L562" t="str">
        <f>PROPER(TRIM(CLEAN(Sales_Table[[#This Row],[Salesperson]])))</f>
        <v>Suresh</v>
      </c>
      <c r="M562" t="s">
        <v>54</v>
      </c>
      <c r="N562" t="str">
        <f t="shared" si="59"/>
        <v>Debit Card</v>
      </c>
      <c r="O562" t="s">
        <v>41</v>
      </c>
      <c r="P562">
        <f t="shared" si="60"/>
        <v>9</v>
      </c>
      <c r="Q562" t="s">
        <v>130</v>
      </c>
      <c r="R562">
        <f t="shared" si="61"/>
        <v>513</v>
      </c>
      <c r="S562" t="s">
        <v>1561</v>
      </c>
      <c r="T562">
        <f t="shared" si="62"/>
        <v>4617</v>
      </c>
      <c r="U562">
        <f>YEAR(Sales_Table[[#This Row],[Date_clean]])</f>
        <v>2024</v>
      </c>
      <c r="V562" t="str">
        <f>TEXT(Sales_Table[[#This Row],[Date_clean]],"mmmm")</f>
        <v>January</v>
      </c>
      <c r="W562">
        <f>WEEKNUM(Sales_Table[[#This Row],[Date_clean]],2)</f>
        <v>4</v>
      </c>
      <c r="X562" t="str" cm="1">
        <f t="array" ref="X562">_xlfn.IFS(Sales_Table[[#This Row],[Revenue]]&gt;=50000,"High",Sales_Table[[#This Row],[Revenue]]&gt;=20000,"Medium",Sales_Table[[#This Row],[Revenue]]&lt;20000,"Low")</f>
        <v>Low</v>
      </c>
      <c r="Y562" t="str">
        <f>IF(Sales_Table[[#This Row],[Payment Method_clean]]="cash","Offline","Online")</f>
        <v>Online</v>
      </c>
      <c r="Z562">
        <f>IFERROR(Sales_Table[[#This Row],[Revenue]],0)</f>
        <v>4617</v>
      </c>
    </row>
    <row r="563" spans="1:26" x14ac:dyDescent="0.3">
      <c r="A563">
        <v>562</v>
      </c>
      <c r="B563" s="2">
        <f t="shared" si="56"/>
        <v>45315.375</v>
      </c>
      <c r="C563" t="s">
        <v>1562</v>
      </c>
      <c r="D563" t="s">
        <v>27</v>
      </c>
      <c r="E563" t="str">
        <f>PROPER(TRIM(CLEAN(Sales_Table[[#This Row],[Region]])))</f>
        <v>East</v>
      </c>
      <c r="F563" t="s">
        <v>37</v>
      </c>
      <c r="G563" t="str">
        <f t="shared" si="57"/>
        <v>Home Appliances</v>
      </c>
      <c r="H563" t="str">
        <f>PROPER(TRIM(CLEAN(Sales_Table[[#This Row],[Product Name]])))</f>
        <v>Rice 5Kg</v>
      </c>
      <c r="I563" t="s">
        <v>73</v>
      </c>
      <c r="J563" t="str">
        <f t="shared" si="58"/>
        <v>CUST0615</v>
      </c>
      <c r="K563" t="s">
        <v>1563</v>
      </c>
      <c r="L563" t="str">
        <f>PROPER(TRIM(CLEAN(Sales_Table[[#This Row],[Salesperson]])))</f>
        <v>Rahul</v>
      </c>
      <c r="M563" t="s">
        <v>31</v>
      </c>
      <c r="N563" t="str">
        <f t="shared" si="59"/>
        <v>Credit Card</v>
      </c>
      <c r="O563" t="s">
        <v>65</v>
      </c>
      <c r="P563">
        <f t="shared" si="60"/>
        <v>10</v>
      </c>
      <c r="Q563" t="s">
        <v>117</v>
      </c>
      <c r="R563">
        <f t="shared" si="61"/>
        <v>4220</v>
      </c>
      <c r="S563" t="s">
        <v>1382</v>
      </c>
      <c r="T563">
        <f t="shared" si="62"/>
        <v>42200</v>
      </c>
      <c r="U563">
        <f>YEAR(Sales_Table[[#This Row],[Date_clean]])</f>
        <v>2024</v>
      </c>
      <c r="V563" t="str">
        <f>TEXT(Sales_Table[[#This Row],[Date_clean]],"mmmm")</f>
        <v>January</v>
      </c>
      <c r="W563">
        <f>WEEKNUM(Sales_Table[[#This Row],[Date_clean]],2)</f>
        <v>4</v>
      </c>
      <c r="X563" t="str" cm="1">
        <f t="array" ref="X563">_xlfn.IFS(Sales_Table[[#This Row],[Revenue]]&gt;=50000,"High",Sales_Table[[#This Row],[Revenue]]&gt;=20000,"Medium",Sales_Table[[#This Row],[Revenue]]&lt;20000,"Low")</f>
        <v>Medium</v>
      </c>
      <c r="Y563" t="str">
        <f>IF(Sales_Table[[#This Row],[Payment Method_clean]]="cash","Offline","Online")</f>
        <v>Online</v>
      </c>
      <c r="Z563">
        <f>IFERROR(Sales_Table[[#This Row],[Revenue]],0)</f>
        <v>42200</v>
      </c>
    </row>
    <row r="564" spans="1:26" x14ac:dyDescent="0.3">
      <c r="A564">
        <v>563</v>
      </c>
      <c r="B564" s="2">
        <f t="shared" si="56"/>
        <v>45315.416666666664</v>
      </c>
      <c r="C564" t="s">
        <v>1564</v>
      </c>
      <c r="D564" t="s">
        <v>27</v>
      </c>
      <c r="E564" t="str">
        <f>PROPER(TRIM(CLEAN(Sales_Table[[#This Row],[Region]])))</f>
        <v>East</v>
      </c>
      <c r="F564" t="s">
        <v>37</v>
      </c>
      <c r="G564" t="str">
        <f t="shared" si="57"/>
        <v>Home Appliances</v>
      </c>
      <c r="H564" t="str">
        <f>PROPER(TRIM(CLEAN(Sales_Table[[#This Row],[Product Name]])))</f>
        <v>Rice 5Kg</v>
      </c>
      <c r="I564" t="s">
        <v>73</v>
      </c>
      <c r="J564" t="str">
        <f t="shared" si="58"/>
        <v>CUST0683</v>
      </c>
      <c r="K564" t="s">
        <v>595</v>
      </c>
      <c r="L564" t="str">
        <f>PROPER(TRIM(CLEAN(Sales_Table[[#This Row],[Salesperson]])))</f>
        <v>Suresh</v>
      </c>
      <c r="M564" t="s">
        <v>54</v>
      </c>
      <c r="N564" t="str">
        <f t="shared" si="59"/>
        <v>Credit Card</v>
      </c>
      <c r="O564" t="s">
        <v>65</v>
      </c>
      <c r="P564">
        <f t="shared" si="60"/>
        <v>4</v>
      </c>
      <c r="Q564" t="s">
        <v>113</v>
      </c>
      <c r="R564">
        <f t="shared" si="61"/>
        <v>2104</v>
      </c>
      <c r="S564" t="s">
        <v>1565</v>
      </c>
      <c r="T564">
        <f t="shared" si="62"/>
        <v>8416</v>
      </c>
      <c r="U564">
        <f>YEAR(Sales_Table[[#This Row],[Date_clean]])</f>
        <v>2024</v>
      </c>
      <c r="V564" t="str">
        <f>TEXT(Sales_Table[[#This Row],[Date_clean]],"mmmm")</f>
        <v>January</v>
      </c>
      <c r="W564">
        <f>WEEKNUM(Sales_Table[[#This Row],[Date_clean]],2)</f>
        <v>4</v>
      </c>
      <c r="X564" t="str" cm="1">
        <f t="array" ref="X564">_xlfn.IFS(Sales_Table[[#This Row],[Revenue]]&gt;=50000,"High",Sales_Table[[#This Row],[Revenue]]&gt;=20000,"Medium",Sales_Table[[#This Row],[Revenue]]&lt;20000,"Low")</f>
        <v>Low</v>
      </c>
      <c r="Y564" t="str">
        <f>IF(Sales_Table[[#This Row],[Payment Method_clean]]="cash","Offline","Online")</f>
        <v>Online</v>
      </c>
      <c r="Z564">
        <f>IFERROR(Sales_Table[[#This Row],[Revenue]],0)</f>
        <v>8416</v>
      </c>
    </row>
    <row r="565" spans="1:26" x14ac:dyDescent="0.3">
      <c r="A565">
        <v>564</v>
      </c>
      <c r="B565" s="2">
        <f t="shared" si="56"/>
        <v>45315.458333333336</v>
      </c>
      <c r="C565" t="s">
        <v>1566</v>
      </c>
      <c r="D565" t="s">
        <v>27</v>
      </c>
      <c r="E565" t="str">
        <f>PROPER(TRIM(CLEAN(Sales_Table[[#This Row],[Region]])))</f>
        <v>East</v>
      </c>
      <c r="F565" t="s">
        <v>78</v>
      </c>
      <c r="G565" t="str">
        <f t="shared" si="57"/>
        <v>Grocery</v>
      </c>
      <c r="H565" t="str">
        <f>PROPER(TRIM(CLEAN(Sales_Table[[#This Row],[Product Name]])))</f>
        <v>Laptop</v>
      </c>
      <c r="I565" t="s">
        <v>52</v>
      </c>
      <c r="J565" t="str">
        <f t="shared" si="58"/>
        <v>CUST0273</v>
      </c>
      <c r="K565" t="s">
        <v>1378</v>
      </c>
      <c r="L565" t="str">
        <f>PROPER(TRIM(CLEAN(Sales_Table[[#This Row],[Salesperson]])))</f>
        <v>Rahul</v>
      </c>
      <c r="M565" t="s">
        <v>31</v>
      </c>
      <c r="N565" t="str">
        <f t="shared" si="59"/>
        <v>Net Banking</v>
      </c>
      <c r="O565" t="s">
        <v>60</v>
      </c>
      <c r="P565">
        <f t="shared" si="60"/>
        <v>2</v>
      </c>
      <c r="Q565" t="s">
        <v>196</v>
      </c>
      <c r="R565">
        <f t="shared" si="61"/>
        <v>415</v>
      </c>
      <c r="S565" t="s">
        <v>1567</v>
      </c>
      <c r="T565">
        <f t="shared" si="62"/>
        <v>830</v>
      </c>
      <c r="U565">
        <f>YEAR(Sales_Table[[#This Row],[Date_clean]])</f>
        <v>2024</v>
      </c>
      <c r="V565" t="str">
        <f>TEXT(Sales_Table[[#This Row],[Date_clean]],"mmmm")</f>
        <v>January</v>
      </c>
      <c r="W565">
        <f>WEEKNUM(Sales_Table[[#This Row],[Date_clean]],2)</f>
        <v>4</v>
      </c>
      <c r="X565" t="str" cm="1">
        <f t="array" ref="X565">_xlfn.IFS(Sales_Table[[#This Row],[Revenue]]&gt;=50000,"High",Sales_Table[[#This Row],[Revenue]]&gt;=20000,"Medium",Sales_Table[[#This Row],[Revenue]]&lt;20000,"Low")</f>
        <v>Low</v>
      </c>
      <c r="Y565" t="str">
        <f>IF(Sales_Table[[#This Row],[Payment Method_clean]]="cash","Offline","Online")</f>
        <v>Online</v>
      </c>
      <c r="Z565">
        <f>IFERROR(Sales_Table[[#This Row],[Revenue]],0)</f>
        <v>830</v>
      </c>
    </row>
    <row r="566" spans="1:26" x14ac:dyDescent="0.3">
      <c r="A566">
        <v>565</v>
      </c>
      <c r="B566" s="2">
        <f t="shared" si="56"/>
        <v>45315.5</v>
      </c>
      <c r="C566" t="s">
        <v>1568</v>
      </c>
      <c r="D566" t="s">
        <v>36</v>
      </c>
      <c r="E566" t="str">
        <f>PROPER(TRIM(CLEAN(Sales_Table[[#This Row],[Region]])))</f>
        <v>West</v>
      </c>
      <c r="F566" t="s">
        <v>46</v>
      </c>
      <c r="G566" t="str">
        <f t="shared" si="57"/>
        <v>Electronics</v>
      </c>
      <c r="H566" t="str">
        <f>PROPER(TRIM(CLEAN(Sales_Table[[#This Row],[Product Name]])))</f>
        <v>Mixer Grinder</v>
      </c>
      <c r="I566" t="s">
        <v>29</v>
      </c>
      <c r="J566" t="str">
        <f t="shared" si="58"/>
        <v>CUST0481</v>
      </c>
      <c r="K566" t="s">
        <v>1375</v>
      </c>
      <c r="L566" t="str">
        <f>PROPER(TRIM(CLEAN(Sales_Table[[#This Row],[Salesperson]])))</f>
        <v>Karthik</v>
      </c>
      <c r="M566" t="s">
        <v>70</v>
      </c>
      <c r="N566" t="str">
        <f t="shared" si="59"/>
        <v>Debit Card</v>
      </c>
      <c r="O566" t="s">
        <v>41</v>
      </c>
      <c r="P566">
        <f t="shared" si="60"/>
        <v>10</v>
      </c>
      <c r="Q566" t="s">
        <v>117</v>
      </c>
      <c r="R566">
        <f t="shared" si="61"/>
        <v>4766</v>
      </c>
      <c r="S566" t="s">
        <v>1569</v>
      </c>
      <c r="T566">
        <f t="shared" si="62"/>
        <v>47660</v>
      </c>
      <c r="U566">
        <f>YEAR(Sales_Table[[#This Row],[Date_clean]])</f>
        <v>2024</v>
      </c>
      <c r="V566" t="str">
        <f>TEXT(Sales_Table[[#This Row],[Date_clean]],"mmmm")</f>
        <v>January</v>
      </c>
      <c r="W566">
        <f>WEEKNUM(Sales_Table[[#This Row],[Date_clean]],2)</f>
        <v>4</v>
      </c>
      <c r="X566" t="str" cm="1">
        <f t="array" ref="X566">_xlfn.IFS(Sales_Table[[#This Row],[Revenue]]&gt;=50000,"High",Sales_Table[[#This Row],[Revenue]]&gt;=20000,"Medium",Sales_Table[[#This Row],[Revenue]]&lt;20000,"Low")</f>
        <v>Medium</v>
      </c>
      <c r="Y566" t="str">
        <f>IF(Sales_Table[[#This Row],[Payment Method_clean]]="cash","Offline","Online")</f>
        <v>Online</v>
      </c>
      <c r="Z566">
        <f>IFERROR(Sales_Table[[#This Row],[Revenue]],0)</f>
        <v>47660</v>
      </c>
    </row>
    <row r="567" spans="1:26" x14ac:dyDescent="0.3">
      <c r="A567">
        <v>566</v>
      </c>
      <c r="B567" s="2">
        <f t="shared" si="56"/>
        <v>45315.541666666664</v>
      </c>
      <c r="C567" t="s">
        <v>1570</v>
      </c>
      <c r="D567" t="s">
        <v>84</v>
      </c>
      <c r="E567" t="str">
        <f>PROPER(TRIM(CLEAN(Sales_Table[[#This Row],[Region]])))</f>
        <v>South</v>
      </c>
      <c r="F567" t="s">
        <v>37</v>
      </c>
      <c r="G567" t="str">
        <f t="shared" si="57"/>
        <v>Home Appliances</v>
      </c>
      <c r="H567" t="str">
        <f>PROPER(TRIM(CLEAN(Sales_Table[[#This Row],[Product Name]])))</f>
        <v>Washing Machine</v>
      </c>
      <c r="I567" t="s">
        <v>79</v>
      </c>
      <c r="J567" t="str">
        <f t="shared" si="58"/>
        <v>CUST0416</v>
      </c>
      <c r="K567" t="s">
        <v>1571</v>
      </c>
      <c r="L567" t="str">
        <f>PROPER(TRIM(CLEAN(Sales_Table[[#This Row],[Salesperson]])))</f>
        <v>Karthik</v>
      </c>
      <c r="M567" t="s">
        <v>70</v>
      </c>
      <c r="N567" t="str">
        <f t="shared" si="59"/>
        <v>Cash</v>
      </c>
      <c r="O567" t="s">
        <v>32</v>
      </c>
      <c r="P567">
        <f t="shared" si="60"/>
        <v>5</v>
      </c>
      <c r="Q567" t="s">
        <v>89</v>
      </c>
      <c r="R567">
        <f t="shared" si="61"/>
        <v>4920</v>
      </c>
      <c r="S567" t="s">
        <v>1572</v>
      </c>
      <c r="T567">
        <f t="shared" si="62"/>
        <v>24600</v>
      </c>
      <c r="U567">
        <f>YEAR(Sales_Table[[#This Row],[Date_clean]])</f>
        <v>2024</v>
      </c>
      <c r="V567" t="str">
        <f>TEXT(Sales_Table[[#This Row],[Date_clean]],"mmmm")</f>
        <v>January</v>
      </c>
      <c r="W567">
        <f>WEEKNUM(Sales_Table[[#This Row],[Date_clean]],2)</f>
        <v>4</v>
      </c>
      <c r="X567" t="str" cm="1">
        <f t="array" ref="X567">_xlfn.IFS(Sales_Table[[#This Row],[Revenue]]&gt;=50000,"High",Sales_Table[[#This Row],[Revenue]]&gt;=20000,"Medium",Sales_Table[[#This Row],[Revenue]]&lt;20000,"Low")</f>
        <v>Medium</v>
      </c>
      <c r="Y567" t="str">
        <f>IF(Sales_Table[[#This Row],[Payment Method_clean]]="cash","Offline","Online")</f>
        <v>Offline</v>
      </c>
      <c r="Z567">
        <f>IFERROR(Sales_Table[[#This Row],[Revenue]],0)</f>
        <v>24600</v>
      </c>
    </row>
    <row r="568" spans="1:26" x14ac:dyDescent="0.3">
      <c r="A568">
        <v>567</v>
      </c>
      <c r="B568" s="2">
        <f t="shared" si="56"/>
        <v>45315.583333333336</v>
      </c>
      <c r="C568" t="s">
        <v>1573</v>
      </c>
      <c r="D568" t="s">
        <v>84</v>
      </c>
      <c r="E568" t="str">
        <f>PROPER(TRIM(CLEAN(Sales_Table[[#This Row],[Region]])))</f>
        <v>South</v>
      </c>
      <c r="F568" t="s">
        <v>37</v>
      </c>
      <c r="G568" t="str">
        <f t="shared" si="57"/>
        <v>Home Appliances</v>
      </c>
      <c r="H568" t="str">
        <f>PROPER(TRIM(CLEAN(Sales_Table[[#This Row],[Product Name]])))</f>
        <v>Laptop</v>
      </c>
      <c r="I568" t="s">
        <v>52</v>
      </c>
      <c r="J568" t="str">
        <f t="shared" si="58"/>
        <v>CUST0506</v>
      </c>
      <c r="K568" t="s">
        <v>1574</v>
      </c>
      <c r="L568" t="str">
        <f>PROPER(TRIM(CLEAN(Sales_Table[[#This Row],[Salesperson]])))</f>
        <v>Anita</v>
      </c>
      <c r="M568" t="s">
        <v>64</v>
      </c>
      <c r="N568" t="str">
        <f t="shared" si="59"/>
        <v>Credit Card</v>
      </c>
      <c r="O568" t="s">
        <v>65</v>
      </c>
      <c r="P568">
        <f t="shared" si="60"/>
        <v>2</v>
      </c>
      <c r="Q568" t="s">
        <v>196</v>
      </c>
      <c r="R568">
        <f t="shared" si="61"/>
        <v>3155</v>
      </c>
      <c r="S568" t="s">
        <v>1575</v>
      </c>
      <c r="T568">
        <f t="shared" si="62"/>
        <v>6310</v>
      </c>
      <c r="U568">
        <f>YEAR(Sales_Table[[#This Row],[Date_clean]])</f>
        <v>2024</v>
      </c>
      <c r="V568" t="str">
        <f>TEXT(Sales_Table[[#This Row],[Date_clean]],"mmmm")</f>
        <v>January</v>
      </c>
      <c r="W568">
        <f>WEEKNUM(Sales_Table[[#This Row],[Date_clean]],2)</f>
        <v>4</v>
      </c>
      <c r="X568" t="str" cm="1">
        <f t="array" ref="X568">_xlfn.IFS(Sales_Table[[#This Row],[Revenue]]&gt;=50000,"High",Sales_Table[[#This Row],[Revenue]]&gt;=20000,"Medium",Sales_Table[[#This Row],[Revenue]]&lt;20000,"Low")</f>
        <v>Low</v>
      </c>
      <c r="Y568" t="str">
        <f>IF(Sales_Table[[#This Row],[Payment Method_clean]]="cash","Offline","Online")</f>
        <v>Online</v>
      </c>
      <c r="Z568">
        <f>IFERROR(Sales_Table[[#This Row],[Revenue]],0)</f>
        <v>6310</v>
      </c>
    </row>
    <row r="569" spans="1:26" x14ac:dyDescent="0.3">
      <c r="A569">
        <v>568</v>
      </c>
      <c r="B569" s="2">
        <f t="shared" si="56"/>
        <v>45315.625</v>
      </c>
      <c r="C569" t="s">
        <v>1576</v>
      </c>
      <c r="D569" t="s">
        <v>36</v>
      </c>
      <c r="E569" t="str">
        <f>PROPER(TRIM(CLEAN(Sales_Table[[#This Row],[Region]])))</f>
        <v>West</v>
      </c>
      <c r="F569" t="s">
        <v>46</v>
      </c>
      <c r="G569" t="str">
        <f t="shared" si="57"/>
        <v>Electronics</v>
      </c>
      <c r="H569" t="str">
        <f>PROPER(TRIM(CLEAN(Sales_Table[[#This Row],[Product Name]])))</f>
        <v>Men T-Shirt</v>
      </c>
      <c r="I569" t="s">
        <v>38</v>
      </c>
      <c r="J569" t="str">
        <f t="shared" si="58"/>
        <v>CUST0733</v>
      </c>
      <c r="K569" t="s">
        <v>1449</v>
      </c>
      <c r="L569" t="str">
        <f>PROPER(TRIM(CLEAN(Sales_Table[[#This Row],[Salesperson]])))</f>
        <v>Anita</v>
      </c>
      <c r="M569" t="s">
        <v>64</v>
      </c>
      <c r="N569" t="str">
        <f t="shared" si="59"/>
        <v>Cash</v>
      </c>
      <c r="O569" t="s">
        <v>32</v>
      </c>
      <c r="P569">
        <f t="shared" si="60"/>
        <v>14</v>
      </c>
      <c r="Q569" t="s">
        <v>55</v>
      </c>
      <c r="R569">
        <f t="shared" si="61"/>
        <v>1949</v>
      </c>
      <c r="S569" t="s">
        <v>1577</v>
      </c>
      <c r="T569">
        <f t="shared" si="62"/>
        <v>27286</v>
      </c>
      <c r="U569">
        <f>YEAR(Sales_Table[[#This Row],[Date_clean]])</f>
        <v>2024</v>
      </c>
      <c r="V569" t="str">
        <f>TEXT(Sales_Table[[#This Row],[Date_clean]],"mmmm")</f>
        <v>January</v>
      </c>
      <c r="W569">
        <f>WEEKNUM(Sales_Table[[#This Row],[Date_clean]],2)</f>
        <v>4</v>
      </c>
      <c r="X569" t="str" cm="1">
        <f t="array" ref="X569">_xlfn.IFS(Sales_Table[[#This Row],[Revenue]]&gt;=50000,"High",Sales_Table[[#This Row],[Revenue]]&gt;=20000,"Medium",Sales_Table[[#This Row],[Revenue]]&lt;20000,"Low")</f>
        <v>Medium</v>
      </c>
      <c r="Y569" t="str">
        <f>IF(Sales_Table[[#This Row],[Payment Method_clean]]="cash","Offline","Online")</f>
        <v>Offline</v>
      </c>
      <c r="Z569">
        <f>IFERROR(Sales_Table[[#This Row],[Revenue]],0)</f>
        <v>27286</v>
      </c>
    </row>
    <row r="570" spans="1:26" x14ac:dyDescent="0.3">
      <c r="A570">
        <v>569</v>
      </c>
      <c r="B570" s="2">
        <f t="shared" si="56"/>
        <v>45315.666666666664</v>
      </c>
      <c r="C570" t="s">
        <v>1578</v>
      </c>
      <c r="D570" t="s">
        <v>27</v>
      </c>
      <c r="E570" t="str">
        <f>PROPER(TRIM(CLEAN(Sales_Table[[#This Row],[Region]])))</f>
        <v>East</v>
      </c>
      <c r="F570" t="s">
        <v>37</v>
      </c>
      <c r="G570" t="str">
        <f t="shared" si="57"/>
        <v>Home Appliances</v>
      </c>
      <c r="H570" t="str">
        <f>PROPER(TRIM(CLEAN(Sales_Table[[#This Row],[Product Name]])))</f>
        <v>Led Tv 42Inch</v>
      </c>
      <c r="I570" t="s">
        <v>58</v>
      </c>
      <c r="J570" t="str">
        <f t="shared" si="58"/>
        <v>CUST0725</v>
      </c>
      <c r="K570" t="s">
        <v>1338</v>
      </c>
      <c r="L570" t="str">
        <f>PROPER(TRIM(CLEAN(Sales_Table[[#This Row],[Salesperson]])))</f>
        <v>Suresh</v>
      </c>
      <c r="M570" t="s">
        <v>54</v>
      </c>
      <c r="N570" t="str">
        <f t="shared" si="59"/>
        <v>Debit Card</v>
      </c>
      <c r="O570" t="s">
        <v>41</v>
      </c>
      <c r="P570">
        <f t="shared" si="60"/>
        <v>10</v>
      </c>
      <c r="Q570" t="s">
        <v>117</v>
      </c>
      <c r="R570">
        <f t="shared" si="61"/>
        <v>2053</v>
      </c>
      <c r="S570" t="s">
        <v>1579</v>
      </c>
      <c r="T570">
        <f t="shared" si="62"/>
        <v>20530</v>
      </c>
      <c r="U570">
        <f>YEAR(Sales_Table[[#This Row],[Date_clean]])</f>
        <v>2024</v>
      </c>
      <c r="V570" t="str">
        <f>TEXT(Sales_Table[[#This Row],[Date_clean]],"mmmm")</f>
        <v>January</v>
      </c>
      <c r="W570">
        <f>WEEKNUM(Sales_Table[[#This Row],[Date_clean]],2)</f>
        <v>4</v>
      </c>
      <c r="X570" t="str" cm="1">
        <f t="array" ref="X570">_xlfn.IFS(Sales_Table[[#This Row],[Revenue]]&gt;=50000,"High",Sales_Table[[#This Row],[Revenue]]&gt;=20000,"Medium",Sales_Table[[#This Row],[Revenue]]&lt;20000,"Low")</f>
        <v>Medium</v>
      </c>
      <c r="Y570" t="str">
        <f>IF(Sales_Table[[#This Row],[Payment Method_clean]]="cash","Offline","Online")</f>
        <v>Online</v>
      </c>
      <c r="Z570">
        <f>IFERROR(Sales_Table[[#This Row],[Revenue]],0)</f>
        <v>20530</v>
      </c>
    </row>
    <row r="571" spans="1:26" x14ac:dyDescent="0.3">
      <c r="A571">
        <v>570</v>
      </c>
      <c r="B571" s="2">
        <f t="shared" si="56"/>
        <v>45315.708333333336</v>
      </c>
      <c r="C571" t="s">
        <v>1580</v>
      </c>
      <c r="D571" t="s">
        <v>27</v>
      </c>
      <c r="E571" t="str">
        <f>PROPER(TRIM(CLEAN(Sales_Table[[#This Row],[Region]])))</f>
        <v>East</v>
      </c>
      <c r="F571" t="s">
        <v>78</v>
      </c>
      <c r="G571" t="str">
        <f t="shared" si="57"/>
        <v>Grocery</v>
      </c>
      <c r="H571" t="str">
        <f>PROPER(TRIM(CLEAN(Sales_Table[[#This Row],[Product Name]])))</f>
        <v>Mixer Grinder</v>
      </c>
      <c r="I571" t="s">
        <v>29</v>
      </c>
      <c r="J571" t="str">
        <f t="shared" si="58"/>
        <v>CUST0424</v>
      </c>
      <c r="K571" t="s">
        <v>1065</v>
      </c>
      <c r="L571" t="str">
        <f>PROPER(TRIM(CLEAN(Sales_Table[[#This Row],[Salesperson]])))</f>
        <v>Rahul</v>
      </c>
      <c r="M571" t="s">
        <v>31</v>
      </c>
      <c r="N571" t="str">
        <f t="shared" si="59"/>
        <v>Credit Card</v>
      </c>
      <c r="O571" t="s">
        <v>65</v>
      </c>
      <c r="P571">
        <f t="shared" si="60"/>
        <v>6</v>
      </c>
      <c r="Q571" t="s">
        <v>75</v>
      </c>
      <c r="R571">
        <f t="shared" si="61"/>
        <v>488</v>
      </c>
      <c r="S571" t="s">
        <v>1581</v>
      </c>
      <c r="T571">
        <f t="shared" si="62"/>
        <v>2928</v>
      </c>
      <c r="U571">
        <f>YEAR(Sales_Table[[#This Row],[Date_clean]])</f>
        <v>2024</v>
      </c>
      <c r="V571" t="str">
        <f>TEXT(Sales_Table[[#This Row],[Date_clean]],"mmmm")</f>
        <v>January</v>
      </c>
      <c r="W571">
        <f>WEEKNUM(Sales_Table[[#This Row],[Date_clean]],2)</f>
        <v>4</v>
      </c>
      <c r="X571" t="str" cm="1">
        <f t="array" ref="X571">_xlfn.IFS(Sales_Table[[#This Row],[Revenue]]&gt;=50000,"High",Sales_Table[[#This Row],[Revenue]]&gt;=20000,"Medium",Sales_Table[[#This Row],[Revenue]]&lt;20000,"Low")</f>
        <v>Low</v>
      </c>
      <c r="Y571" t="str">
        <f>IF(Sales_Table[[#This Row],[Payment Method_clean]]="cash","Offline","Online")</f>
        <v>Online</v>
      </c>
      <c r="Z571">
        <f>IFERROR(Sales_Table[[#This Row],[Revenue]],0)</f>
        <v>2928</v>
      </c>
    </row>
    <row r="572" spans="1:26" x14ac:dyDescent="0.3">
      <c r="A572">
        <v>571</v>
      </c>
      <c r="B572" s="2">
        <f t="shared" si="56"/>
        <v>45315.75</v>
      </c>
      <c r="C572" t="s">
        <v>1582</v>
      </c>
      <c r="D572" t="s">
        <v>84</v>
      </c>
      <c r="E572" t="str">
        <f>PROPER(TRIM(CLEAN(Sales_Table[[#This Row],[Region]])))</f>
        <v>South</v>
      </c>
      <c r="F572" t="s">
        <v>46</v>
      </c>
      <c r="G572" t="str">
        <f t="shared" si="57"/>
        <v>Electronics</v>
      </c>
      <c r="H572" t="str">
        <f>PROPER(TRIM(CLEAN(Sales_Table[[#This Row],[Product Name]])))</f>
        <v>Men T-Shirt</v>
      </c>
      <c r="I572" t="s">
        <v>38</v>
      </c>
      <c r="J572" t="str">
        <f t="shared" si="58"/>
        <v>CUST0407</v>
      </c>
      <c r="K572" t="s">
        <v>1583</v>
      </c>
      <c r="L572" t="str">
        <f>PROPER(TRIM(CLEAN(Sales_Table[[#This Row],[Salesperson]])))</f>
        <v>Meena</v>
      </c>
      <c r="M572" t="s">
        <v>40</v>
      </c>
      <c r="N572" t="str">
        <f t="shared" si="59"/>
        <v>Net Banking</v>
      </c>
      <c r="O572" t="s">
        <v>60</v>
      </c>
      <c r="P572">
        <f t="shared" si="60"/>
        <v>11</v>
      </c>
      <c r="Q572" t="s">
        <v>97</v>
      </c>
      <c r="R572">
        <f t="shared" si="61"/>
        <v>2869</v>
      </c>
      <c r="S572" t="s">
        <v>1584</v>
      </c>
      <c r="T572">
        <f t="shared" si="62"/>
        <v>31559</v>
      </c>
      <c r="U572">
        <f>YEAR(Sales_Table[[#This Row],[Date_clean]])</f>
        <v>2024</v>
      </c>
      <c r="V572" t="str">
        <f>TEXT(Sales_Table[[#This Row],[Date_clean]],"mmmm")</f>
        <v>January</v>
      </c>
      <c r="W572">
        <f>WEEKNUM(Sales_Table[[#This Row],[Date_clean]],2)</f>
        <v>4</v>
      </c>
      <c r="X572" t="str" cm="1">
        <f t="array" ref="X572">_xlfn.IFS(Sales_Table[[#This Row],[Revenue]]&gt;=50000,"High",Sales_Table[[#This Row],[Revenue]]&gt;=20000,"Medium",Sales_Table[[#This Row],[Revenue]]&lt;20000,"Low")</f>
        <v>Medium</v>
      </c>
      <c r="Y572" t="str">
        <f>IF(Sales_Table[[#This Row],[Payment Method_clean]]="cash","Offline","Online")</f>
        <v>Online</v>
      </c>
      <c r="Z572">
        <f>IFERROR(Sales_Table[[#This Row],[Revenue]],0)</f>
        <v>31559</v>
      </c>
    </row>
    <row r="573" spans="1:26" x14ac:dyDescent="0.3">
      <c r="A573">
        <v>572</v>
      </c>
      <c r="B573" s="2">
        <f t="shared" si="56"/>
        <v>45315.791666666664</v>
      </c>
      <c r="C573" t="s">
        <v>1585</v>
      </c>
      <c r="D573" t="s">
        <v>27</v>
      </c>
      <c r="E573" t="str">
        <f>PROPER(TRIM(CLEAN(Sales_Table[[#This Row],[Region]])))</f>
        <v>East</v>
      </c>
      <c r="F573" t="s">
        <v>78</v>
      </c>
      <c r="G573" t="str">
        <f t="shared" si="57"/>
        <v>Grocery</v>
      </c>
      <c r="H573" t="str">
        <f>PROPER(TRIM(CLEAN(Sales_Table[[#This Row],[Product Name]])))</f>
        <v>Washing Machine</v>
      </c>
      <c r="I573" t="s">
        <v>79</v>
      </c>
      <c r="J573" t="str">
        <f t="shared" si="58"/>
        <v>CUST0568</v>
      </c>
      <c r="K573" t="s">
        <v>982</v>
      </c>
      <c r="L573" t="str">
        <f>PROPER(TRIM(CLEAN(Sales_Table[[#This Row],[Salesperson]])))</f>
        <v>Anita</v>
      </c>
      <c r="M573" t="s">
        <v>64</v>
      </c>
      <c r="N573" t="str">
        <f t="shared" si="59"/>
        <v>Upi</v>
      </c>
      <c r="O573" t="s">
        <v>48</v>
      </c>
      <c r="P573">
        <f t="shared" si="60"/>
        <v>10</v>
      </c>
      <c r="Q573" t="s">
        <v>117</v>
      </c>
      <c r="R573">
        <f t="shared" si="61"/>
        <v>4639</v>
      </c>
      <c r="S573" t="s">
        <v>1586</v>
      </c>
      <c r="T573">
        <f t="shared" si="62"/>
        <v>46390</v>
      </c>
      <c r="U573">
        <f>YEAR(Sales_Table[[#This Row],[Date_clean]])</f>
        <v>2024</v>
      </c>
      <c r="V573" t="str">
        <f>TEXT(Sales_Table[[#This Row],[Date_clean]],"mmmm")</f>
        <v>January</v>
      </c>
      <c r="W573">
        <f>WEEKNUM(Sales_Table[[#This Row],[Date_clean]],2)</f>
        <v>4</v>
      </c>
      <c r="X573" t="str" cm="1">
        <f t="array" ref="X573">_xlfn.IFS(Sales_Table[[#This Row],[Revenue]]&gt;=50000,"High",Sales_Table[[#This Row],[Revenue]]&gt;=20000,"Medium",Sales_Table[[#This Row],[Revenue]]&lt;20000,"Low")</f>
        <v>Medium</v>
      </c>
      <c r="Y573" t="str">
        <f>IF(Sales_Table[[#This Row],[Payment Method_clean]]="cash","Offline","Online")</f>
        <v>Online</v>
      </c>
      <c r="Z573">
        <f>IFERROR(Sales_Table[[#This Row],[Revenue]],0)</f>
        <v>46390</v>
      </c>
    </row>
    <row r="574" spans="1:26" x14ac:dyDescent="0.3">
      <c r="A574">
        <v>573</v>
      </c>
      <c r="B574" s="2">
        <f t="shared" si="56"/>
        <v>45315.833333333336</v>
      </c>
      <c r="C574" t="s">
        <v>1587</v>
      </c>
      <c r="D574" t="s">
        <v>45</v>
      </c>
      <c r="E574" t="str">
        <f>PROPER(TRIM(CLEAN(Sales_Table[[#This Row],[Region]])))</f>
        <v>North</v>
      </c>
      <c r="F574" t="s">
        <v>78</v>
      </c>
      <c r="G574" t="str">
        <f t="shared" si="57"/>
        <v>Grocery</v>
      </c>
      <c r="H574" t="str">
        <f>PROPER(TRIM(CLEAN(Sales_Table[[#This Row],[Product Name]])))</f>
        <v>Rice 5Kg</v>
      </c>
      <c r="I574" t="s">
        <v>73</v>
      </c>
      <c r="J574" t="str">
        <f t="shared" si="58"/>
        <v>CUST0390</v>
      </c>
      <c r="K574" t="s">
        <v>1211</v>
      </c>
      <c r="L574" t="str">
        <f>PROPER(TRIM(CLEAN(Sales_Table[[#This Row],[Salesperson]])))</f>
        <v>Meena</v>
      </c>
      <c r="M574" t="s">
        <v>40</v>
      </c>
      <c r="N574" t="str">
        <f t="shared" si="59"/>
        <v>Net Banking</v>
      </c>
      <c r="O574" t="s">
        <v>60</v>
      </c>
      <c r="P574">
        <f t="shared" si="60"/>
        <v>1</v>
      </c>
      <c r="Q574" t="s">
        <v>93</v>
      </c>
      <c r="R574">
        <f t="shared" si="61"/>
        <v>3146</v>
      </c>
      <c r="S574" t="s">
        <v>1588</v>
      </c>
      <c r="T574">
        <f t="shared" si="62"/>
        <v>3146</v>
      </c>
      <c r="U574">
        <f>YEAR(Sales_Table[[#This Row],[Date_clean]])</f>
        <v>2024</v>
      </c>
      <c r="V574" t="str">
        <f>TEXT(Sales_Table[[#This Row],[Date_clean]],"mmmm")</f>
        <v>January</v>
      </c>
      <c r="W574">
        <f>WEEKNUM(Sales_Table[[#This Row],[Date_clean]],2)</f>
        <v>4</v>
      </c>
      <c r="X574" t="str" cm="1">
        <f t="array" ref="X574">_xlfn.IFS(Sales_Table[[#This Row],[Revenue]]&gt;=50000,"High",Sales_Table[[#This Row],[Revenue]]&gt;=20000,"Medium",Sales_Table[[#This Row],[Revenue]]&lt;20000,"Low")</f>
        <v>Low</v>
      </c>
      <c r="Y574" t="str">
        <f>IF(Sales_Table[[#This Row],[Payment Method_clean]]="cash","Offline","Online")</f>
        <v>Online</v>
      </c>
      <c r="Z574">
        <f>IFERROR(Sales_Table[[#This Row],[Revenue]],0)</f>
        <v>3146</v>
      </c>
    </row>
    <row r="575" spans="1:26" x14ac:dyDescent="0.3">
      <c r="A575">
        <v>574</v>
      </c>
      <c r="B575" s="2">
        <f t="shared" si="56"/>
        <v>45315.875</v>
      </c>
      <c r="C575" t="s">
        <v>1589</v>
      </c>
      <c r="D575" t="s">
        <v>84</v>
      </c>
      <c r="E575" t="str">
        <f>PROPER(TRIM(CLEAN(Sales_Table[[#This Row],[Region]])))</f>
        <v>South</v>
      </c>
      <c r="F575" t="s">
        <v>78</v>
      </c>
      <c r="G575" t="str">
        <f t="shared" si="57"/>
        <v>Grocery</v>
      </c>
      <c r="H575" t="str">
        <f>PROPER(TRIM(CLEAN(Sales_Table[[#This Row],[Product Name]])))</f>
        <v>Washing Machine</v>
      </c>
      <c r="I575" t="s">
        <v>79</v>
      </c>
      <c r="J575" t="str">
        <f t="shared" si="58"/>
        <v>CUST0342</v>
      </c>
      <c r="K575" t="s">
        <v>1590</v>
      </c>
      <c r="L575" t="str">
        <f>PROPER(TRIM(CLEAN(Sales_Table[[#This Row],[Salesperson]])))</f>
        <v>Meena</v>
      </c>
      <c r="M575" t="s">
        <v>40</v>
      </c>
      <c r="N575" t="str">
        <f t="shared" si="59"/>
        <v>Net Banking</v>
      </c>
      <c r="O575" t="s">
        <v>60</v>
      </c>
      <c r="P575">
        <f t="shared" si="60"/>
        <v>14</v>
      </c>
      <c r="Q575" t="s">
        <v>55</v>
      </c>
      <c r="R575">
        <f t="shared" si="61"/>
        <v>2515</v>
      </c>
      <c r="S575" t="s">
        <v>1591</v>
      </c>
      <c r="T575">
        <f t="shared" si="62"/>
        <v>35210</v>
      </c>
      <c r="U575">
        <f>YEAR(Sales_Table[[#This Row],[Date_clean]])</f>
        <v>2024</v>
      </c>
      <c r="V575" t="str">
        <f>TEXT(Sales_Table[[#This Row],[Date_clean]],"mmmm")</f>
        <v>January</v>
      </c>
      <c r="W575">
        <f>WEEKNUM(Sales_Table[[#This Row],[Date_clean]],2)</f>
        <v>4</v>
      </c>
      <c r="X575" t="str" cm="1">
        <f t="array" ref="X575">_xlfn.IFS(Sales_Table[[#This Row],[Revenue]]&gt;=50000,"High",Sales_Table[[#This Row],[Revenue]]&gt;=20000,"Medium",Sales_Table[[#This Row],[Revenue]]&lt;20000,"Low")</f>
        <v>Medium</v>
      </c>
      <c r="Y575" t="str">
        <f>IF(Sales_Table[[#This Row],[Payment Method_clean]]="cash","Offline","Online")</f>
        <v>Online</v>
      </c>
      <c r="Z575">
        <f>IFERROR(Sales_Table[[#This Row],[Revenue]],0)</f>
        <v>35210</v>
      </c>
    </row>
    <row r="576" spans="1:26" x14ac:dyDescent="0.3">
      <c r="A576">
        <v>575</v>
      </c>
      <c r="B576" s="2">
        <f t="shared" si="56"/>
        <v>45315.916666666664</v>
      </c>
      <c r="C576" t="s">
        <v>1592</v>
      </c>
      <c r="D576" t="s">
        <v>27</v>
      </c>
      <c r="E576" t="str">
        <f>PROPER(TRIM(CLEAN(Sales_Table[[#This Row],[Region]])))</f>
        <v>East</v>
      </c>
      <c r="F576" t="s">
        <v>78</v>
      </c>
      <c r="G576" t="str">
        <f t="shared" si="57"/>
        <v>Grocery</v>
      </c>
      <c r="H576" t="str">
        <f>PROPER(TRIM(CLEAN(Sales_Table[[#This Row],[Product Name]])))</f>
        <v>Laptop</v>
      </c>
      <c r="I576" t="s">
        <v>52</v>
      </c>
      <c r="J576" t="str">
        <f t="shared" si="58"/>
        <v>CUST0614</v>
      </c>
      <c r="K576" t="s">
        <v>1593</v>
      </c>
      <c r="L576" t="str">
        <f>PROPER(TRIM(CLEAN(Sales_Table[[#This Row],[Salesperson]])))</f>
        <v>Rahul</v>
      </c>
      <c r="M576" t="s">
        <v>31</v>
      </c>
      <c r="N576" t="str">
        <f t="shared" si="59"/>
        <v>Upi</v>
      </c>
      <c r="O576" t="s">
        <v>48</v>
      </c>
      <c r="P576">
        <f t="shared" si="60"/>
        <v>6</v>
      </c>
      <c r="Q576" t="s">
        <v>75</v>
      </c>
      <c r="R576">
        <f t="shared" si="61"/>
        <v>2489</v>
      </c>
      <c r="S576" t="s">
        <v>1594</v>
      </c>
      <c r="T576">
        <f t="shared" si="62"/>
        <v>14934</v>
      </c>
      <c r="U576">
        <f>YEAR(Sales_Table[[#This Row],[Date_clean]])</f>
        <v>2024</v>
      </c>
      <c r="V576" t="str">
        <f>TEXT(Sales_Table[[#This Row],[Date_clean]],"mmmm")</f>
        <v>January</v>
      </c>
      <c r="W576">
        <f>WEEKNUM(Sales_Table[[#This Row],[Date_clean]],2)</f>
        <v>4</v>
      </c>
      <c r="X576" t="str" cm="1">
        <f t="array" ref="X576">_xlfn.IFS(Sales_Table[[#This Row],[Revenue]]&gt;=50000,"High",Sales_Table[[#This Row],[Revenue]]&gt;=20000,"Medium",Sales_Table[[#This Row],[Revenue]]&lt;20000,"Low")</f>
        <v>Low</v>
      </c>
      <c r="Y576" t="str">
        <f>IF(Sales_Table[[#This Row],[Payment Method_clean]]="cash","Offline","Online")</f>
        <v>Online</v>
      </c>
      <c r="Z576">
        <f>IFERROR(Sales_Table[[#This Row],[Revenue]],0)</f>
        <v>14934</v>
      </c>
    </row>
    <row r="577" spans="1:26" x14ac:dyDescent="0.3">
      <c r="A577">
        <v>576</v>
      </c>
      <c r="B577" s="2">
        <f t="shared" si="56"/>
        <v>45315.958333333336</v>
      </c>
      <c r="C577" t="s">
        <v>1595</v>
      </c>
      <c r="D577" t="s">
        <v>84</v>
      </c>
      <c r="E577" t="str">
        <f>PROPER(TRIM(CLEAN(Sales_Table[[#This Row],[Region]])))</f>
        <v>South</v>
      </c>
      <c r="F577" t="s">
        <v>46</v>
      </c>
      <c r="G577" t="str">
        <f t="shared" si="57"/>
        <v>Electronics</v>
      </c>
      <c r="H577" t="str">
        <f>PROPER(TRIM(CLEAN(Sales_Table[[#This Row],[Product Name]])))</f>
        <v>Led Tv 42Inch</v>
      </c>
      <c r="I577" t="s">
        <v>58</v>
      </c>
      <c r="J577" t="str">
        <f t="shared" si="58"/>
        <v>CUST0493</v>
      </c>
      <c r="K577" t="s">
        <v>1596</v>
      </c>
      <c r="L577" t="str">
        <f>PROPER(TRIM(CLEAN(Sales_Table[[#This Row],[Salesperson]])))</f>
        <v>Suresh</v>
      </c>
      <c r="M577" t="s">
        <v>54</v>
      </c>
      <c r="N577" t="str">
        <f t="shared" si="59"/>
        <v>Upi</v>
      </c>
      <c r="O577" t="s">
        <v>48</v>
      </c>
      <c r="P577">
        <f t="shared" si="60"/>
        <v>4</v>
      </c>
      <c r="Q577" t="s">
        <v>113</v>
      </c>
      <c r="R577">
        <f t="shared" si="61"/>
        <v>403</v>
      </c>
      <c r="S577" t="s">
        <v>1181</v>
      </c>
      <c r="T577">
        <f t="shared" si="62"/>
        <v>1612</v>
      </c>
      <c r="U577">
        <f>YEAR(Sales_Table[[#This Row],[Date_clean]])</f>
        <v>2024</v>
      </c>
      <c r="V577" t="str">
        <f>TEXT(Sales_Table[[#This Row],[Date_clean]],"mmmm")</f>
        <v>January</v>
      </c>
      <c r="W577">
        <f>WEEKNUM(Sales_Table[[#This Row],[Date_clean]],2)</f>
        <v>4</v>
      </c>
      <c r="X577" t="str" cm="1">
        <f t="array" ref="X577">_xlfn.IFS(Sales_Table[[#This Row],[Revenue]]&gt;=50000,"High",Sales_Table[[#This Row],[Revenue]]&gt;=20000,"Medium",Sales_Table[[#This Row],[Revenue]]&lt;20000,"Low")</f>
        <v>Low</v>
      </c>
      <c r="Y577" t="str">
        <f>IF(Sales_Table[[#This Row],[Payment Method_clean]]="cash","Offline","Online")</f>
        <v>Online</v>
      </c>
      <c r="Z577">
        <f>IFERROR(Sales_Table[[#This Row],[Revenue]],0)</f>
        <v>1612</v>
      </c>
    </row>
    <row r="578" spans="1:26" x14ac:dyDescent="0.3">
      <c r="A578">
        <v>577</v>
      </c>
      <c r="B578" s="2">
        <f t="shared" si="56"/>
        <v>45316</v>
      </c>
      <c r="C578" t="s">
        <v>1597</v>
      </c>
      <c r="D578" t="s">
        <v>45</v>
      </c>
      <c r="E578" t="str">
        <f>PROPER(TRIM(CLEAN(Sales_Table[[#This Row],[Region]])))</f>
        <v>North</v>
      </c>
      <c r="F578" t="s">
        <v>78</v>
      </c>
      <c r="G578" t="str">
        <f t="shared" si="57"/>
        <v>Grocery</v>
      </c>
      <c r="H578" t="str">
        <f>PROPER(TRIM(CLEAN(Sales_Table[[#This Row],[Product Name]])))</f>
        <v>Laptop</v>
      </c>
      <c r="I578" t="s">
        <v>52</v>
      </c>
      <c r="J578" t="str">
        <f t="shared" si="58"/>
        <v>CUST0192</v>
      </c>
      <c r="K578" t="s">
        <v>977</v>
      </c>
      <c r="L578" t="str">
        <f>PROPER(TRIM(CLEAN(Sales_Table[[#This Row],[Salesperson]])))</f>
        <v>Rahul</v>
      </c>
      <c r="M578" t="s">
        <v>31</v>
      </c>
      <c r="N578" t="str">
        <f t="shared" si="59"/>
        <v>Upi</v>
      </c>
      <c r="O578" t="s">
        <v>48</v>
      </c>
      <c r="P578">
        <f t="shared" si="60"/>
        <v>3</v>
      </c>
      <c r="Q578" t="s">
        <v>66</v>
      </c>
      <c r="R578">
        <f t="shared" si="61"/>
        <v>863</v>
      </c>
      <c r="S578" t="s">
        <v>142</v>
      </c>
      <c r="T578">
        <f t="shared" si="62"/>
        <v>2589</v>
      </c>
      <c r="U578">
        <f>YEAR(Sales_Table[[#This Row],[Date_clean]])</f>
        <v>2024</v>
      </c>
      <c r="V578" t="str">
        <f>TEXT(Sales_Table[[#This Row],[Date_clean]],"mmmm")</f>
        <v>January</v>
      </c>
      <c r="W578">
        <f>WEEKNUM(Sales_Table[[#This Row],[Date_clean]],2)</f>
        <v>4</v>
      </c>
      <c r="X578" t="str" cm="1">
        <f t="array" ref="X578">_xlfn.IFS(Sales_Table[[#This Row],[Revenue]]&gt;=50000,"High",Sales_Table[[#This Row],[Revenue]]&gt;=20000,"Medium",Sales_Table[[#This Row],[Revenue]]&lt;20000,"Low")</f>
        <v>Low</v>
      </c>
      <c r="Y578" t="str">
        <f>IF(Sales_Table[[#This Row],[Payment Method_clean]]="cash","Offline","Online")</f>
        <v>Online</v>
      </c>
      <c r="Z578">
        <f>IFERROR(Sales_Table[[#This Row],[Revenue]],0)</f>
        <v>2589</v>
      </c>
    </row>
    <row r="579" spans="1:26" x14ac:dyDescent="0.3">
      <c r="A579">
        <v>578</v>
      </c>
      <c r="B579" s="2">
        <f t="shared" ref="B579:B642" si="63">DATEVALUE(LEFT(C579,10))+TIMEVALUE(MID(C579,12,8))</f>
        <v>45316.041666666664</v>
      </c>
      <c r="C579" t="s">
        <v>1598</v>
      </c>
      <c r="D579" t="s">
        <v>84</v>
      </c>
      <c r="E579" t="str">
        <f>PROPER(TRIM(CLEAN(Sales_Table[[#This Row],[Region]])))</f>
        <v>South</v>
      </c>
      <c r="F579" t="s">
        <v>78</v>
      </c>
      <c r="G579" t="str">
        <f t="shared" ref="G579:G642" si="64">PROPER(TRIM(CLEAN(F579)))</f>
        <v>Grocery</v>
      </c>
      <c r="H579" t="str">
        <f>PROPER(TRIM(CLEAN(Sales_Table[[#This Row],[Product Name]])))</f>
        <v>Mixer Grinder</v>
      </c>
      <c r="I579" t="s">
        <v>29</v>
      </c>
      <c r="J579" t="str">
        <f t="shared" ref="J579:J642" si="65">TRIM(K579)</f>
        <v>CUST0499</v>
      </c>
      <c r="K579" t="s">
        <v>518</v>
      </c>
      <c r="L579" t="str">
        <f>PROPER(TRIM(CLEAN(Sales_Table[[#This Row],[Salesperson]])))</f>
        <v>Anita</v>
      </c>
      <c r="M579" t="s">
        <v>64</v>
      </c>
      <c r="N579" t="str">
        <f t="shared" ref="N579:N642" si="66">PROPER(TRIM(O579))</f>
        <v>Credit Card</v>
      </c>
      <c r="O579" t="s">
        <v>65</v>
      </c>
      <c r="P579">
        <f t="shared" ref="P579:P642" si="67">VALUE(Q579)</f>
        <v>2</v>
      </c>
      <c r="Q579" t="s">
        <v>196</v>
      </c>
      <c r="R579">
        <f t="shared" ref="R579:R642" si="68">VALUE(S579)</f>
        <v>2073</v>
      </c>
      <c r="S579" t="s">
        <v>1599</v>
      </c>
      <c r="T579">
        <f t="shared" ref="T579:T642" si="69">P579*R579</f>
        <v>4146</v>
      </c>
      <c r="U579">
        <f>YEAR(Sales_Table[[#This Row],[Date_clean]])</f>
        <v>2024</v>
      </c>
      <c r="V579" t="str">
        <f>TEXT(Sales_Table[[#This Row],[Date_clean]],"mmmm")</f>
        <v>January</v>
      </c>
      <c r="W579">
        <f>WEEKNUM(Sales_Table[[#This Row],[Date_clean]],2)</f>
        <v>4</v>
      </c>
      <c r="X579" t="str" cm="1">
        <f t="array" ref="X579">_xlfn.IFS(Sales_Table[[#This Row],[Revenue]]&gt;=50000,"High",Sales_Table[[#This Row],[Revenue]]&gt;=20000,"Medium",Sales_Table[[#This Row],[Revenue]]&lt;20000,"Low")</f>
        <v>Low</v>
      </c>
      <c r="Y579" t="str">
        <f>IF(Sales_Table[[#This Row],[Payment Method_clean]]="cash","Offline","Online")</f>
        <v>Online</v>
      </c>
      <c r="Z579">
        <f>IFERROR(Sales_Table[[#This Row],[Revenue]],0)</f>
        <v>4146</v>
      </c>
    </row>
    <row r="580" spans="1:26" x14ac:dyDescent="0.3">
      <c r="A580">
        <v>579</v>
      </c>
      <c r="B580" s="2">
        <f t="shared" si="63"/>
        <v>45316.083333333336</v>
      </c>
      <c r="C580" t="s">
        <v>1600</v>
      </c>
      <c r="D580" t="s">
        <v>84</v>
      </c>
      <c r="E580" t="str">
        <f>PROPER(TRIM(CLEAN(Sales_Table[[#This Row],[Region]])))</f>
        <v>South</v>
      </c>
      <c r="F580" t="s">
        <v>37</v>
      </c>
      <c r="G580" t="str">
        <f t="shared" si="64"/>
        <v>Home Appliances</v>
      </c>
      <c r="H580" t="str">
        <f>PROPER(TRIM(CLEAN(Sales_Table[[#This Row],[Product Name]])))</f>
        <v>Mixer Grinder</v>
      </c>
      <c r="I580" t="s">
        <v>29</v>
      </c>
      <c r="J580" t="str">
        <f t="shared" si="65"/>
        <v>CUST0712</v>
      </c>
      <c r="K580" t="s">
        <v>1280</v>
      </c>
      <c r="L580" t="str">
        <f>PROPER(TRIM(CLEAN(Sales_Table[[#This Row],[Salesperson]])))</f>
        <v>Meena</v>
      </c>
      <c r="M580" t="s">
        <v>40</v>
      </c>
      <c r="N580" t="str">
        <f t="shared" si="66"/>
        <v>Cash</v>
      </c>
      <c r="O580" t="s">
        <v>32</v>
      </c>
      <c r="P580">
        <f t="shared" si="67"/>
        <v>7</v>
      </c>
      <c r="Q580" t="s">
        <v>49</v>
      </c>
      <c r="R580">
        <f t="shared" si="68"/>
        <v>915</v>
      </c>
      <c r="S580" t="s">
        <v>420</v>
      </c>
      <c r="T580">
        <f t="shared" si="69"/>
        <v>6405</v>
      </c>
      <c r="U580">
        <f>YEAR(Sales_Table[[#This Row],[Date_clean]])</f>
        <v>2024</v>
      </c>
      <c r="V580" t="str">
        <f>TEXT(Sales_Table[[#This Row],[Date_clean]],"mmmm")</f>
        <v>January</v>
      </c>
      <c r="W580">
        <f>WEEKNUM(Sales_Table[[#This Row],[Date_clean]],2)</f>
        <v>4</v>
      </c>
      <c r="X580" t="str" cm="1">
        <f t="array" ref="X580">_xlfn.IFS(Sales_Table[[#This Row],[Revenue]]&gt;=50000,"High",Sales_Table[[#This Row],[Revenue]]&gt;=20000,"Medium",Sales_Table[[#This Row],[Revenue]]&lt;20000,"Low")</f>
        <v>Low</v>
      </c>
      <c r="Y580" t="str">
        <f>IF(Sales_Table[[#This Row],[Payment Method_clean]]="cash","Offline","Online")</f>
        <v>Offline</v>
      </c>
      <c r="Z580">
        <f>IFERROR(Sales_Table[[#This Row],[Revenue]],0)</f>
        <v>6405</v>
      </c>
    </row>
    <row r="581" spans="1:26" x14ac:dyDescent="0.3">
      <c r="A581">
        <v>580</v>
      </c>
      <c r="B581" s="2">
        <f t="shared" si="63"/>
        <v>45316.125</v>
      </c>
      <c r="C581" t="s">
        <v>1601</v>
      </c>
      <c r="D581" t="s">
        <v>84</v>
      </c>
      <c r="E581" t="str">
        <f>PROPER(TRIM(CLEAN(Sales_Table[[#This Row],[Region]])))</f>
        <v>South</v>
      </c>
      <c r="F581" t="s">
        <v>46</v>
      </c>
      <c r="G581" t="str">
        <f t="shared" si="64"/>
        <v>Electronics</v>
      </c>
      <c r="H581" t="str">
        <f>PROPER(TRIM(CLEAN(Sales_Table[[#This Row],[Product Name]])))</f>
        <v>Led Tv 42Inch</v>
      </c>
      <c r="I581" t="s">
        <v>58</v>
      </c>
      <c r="J581" t="str">
        <f t="shared" si="65"/>
        <v>CUST0233</v>
      </c>
      <c r="K581" t="s">
        <v>1602</v>
      </c>
      <c r="L581" t="str">
        <f>PROPER(TRIM(CLEAN(Sales_Table[[#This Row],[Salesperson]])))</f>
        <v>Rahul</v>
      </c>
      <c r="M581" t="s">
        <v>31</v>
      </c>
      <c r="N581" t="str">
        <f t="shared" si="66"/>
        <v>Cash</v>
      </c>
      <c r="O581" t="s">
        <v>32</v>
      </c>
      <c r="P581">
        <f t="shared" si="67"/>
        <v>9</v>
      </c>
      <c r="Q581" t="s">
        <v>130</v>
      </c>
      <c r="R581">
        <f t="shared" si="68"/>
        <v>977</v>
      </c>
      <c r="S581" t="s">
        <v>1603</v>
      </c>
      <c r="T581">
        <f t="shared" si="69"/>
        <v>8793</v>
      </c>
      <c r="U581">
        <f>YEAR(Sales_Table[[#This Row],[Date_clean]])</f>
        <v>2024</v>
      </c>
      <c r="V581" t="str">
        <f>TEXT(Sales_Table[[#This Row],[Date_clean]],"mmmm")</f>
        <v>January</v>
      </c>
      <c r="W581">
        <f>WEEKNUM(Sales_Table[[#This Row],[Date_clean]],2)</f>
        <v>4</v>
      </c>
      <c r="X581" t="str" cm="1">
        <f t="array" ref="X581">_xlfn.IFS(Sales_Table[[#This Row],[Revenue]]&gt;=50000,"High",Sales_Table[[#This Row],[Revenue]]&gt;=20000,"Medium",Sales_Table[[#This Row],[Revenue]]&lt;20000,"Low")</f>
        <v>Low</v>
      </c>
      <c r="Y581" t="str">
        <f>IF(Sales_Table[[#This Row],[Payment Method_clean]]="cash","Offline","Online")</f>
        <v>Offline</v>
      </c>
      <c r="Z581">
        <f>IFERROR(Sales_Table[[#This Row],[Revenue]],0)</f>
        <v>8793</v>
      </c>
    </row>
    <row r="582" spans="1:26" x14ac:dyDescent="0.3">
      <c r="A582">
        <v>581</v>
      </c>
      <c r="B582" s="2">
        <f t="shared" si="63"/>
        <v>45316.166666666664</v>
      </c>
      <c r="C582" t="s">
        <v>1604</v>
      </c>
      <c r="D582" t="s">
        <v>84</v>
      </c>
      <c r="E582" t="str">
        <f>PROPER(TRIM(CLEAN(Sales_Table[[#This Row],[Region]])))</f>
        <v>South</v>
      </c>
      <c r="F582" t="s">
        <v>46</v>
      </c>
      <c r="G582" t="str">
        <f t="shared" si="64"/>
        <v>Electronics</v>
      </c>
      <c r="H582" t="str">
        <f>PROPER(TRIM(CLEAN(Sales_Table[[#This Row],[Product Name]])))</f>
        <v>Men T-Shirt</v>
      </c>
      <c r="I582" t="s">
        <v>38</v>
      </c>
      <c r="J582" t="str">
        <f t="shared" si="65"/>
        <v>CUST0227</v>
      </c>
      <c r="K582" t="s">
        <v>1183</v>
      </c>
      <c r="L582" t="str">
        <f>PROPER(TRIM(CLEAN(Sales_Table[[#This Row],[Salesperson]])))</f>
        <v>Rahul</v>
      </c>
      <c r="M582" t="s">
        <v>31</v>
      </c>
      <c r="N582" t="str">
        <f t="shared" si="66"/>
        <v>Upi</v>
      </c>
      <c r="O582" t="s">
        <v>48</v>
      </c>
      <c r="P582">
        <f t="shared" si="67"/>
        <v>12</v>
      </c>
      <c r="Q582" t="s">
        <v>33</v>
      </c>
      <c r="R582">
        <f t="shared" si="68"/>
        <v>4898</v>
      </c>
      <c r="S582" t="s">
        <v>1605</v>
      </c>
      <c r="T582">
        <f t="shared" si="69"/>
        <v>58776</v>
      </c>
      <c r="U582">
        <f>YEAR(Sales_Table[[#This Row],[Date_clean]])</f>
        <v>2024</v>
      </c>
      <c r="V582" t="str">
        <f>TEXT(Sales_Table[[#This Row],[Date_clean]],"mmmm")</f>
        <v>January</v>
      </c>
      <c r="W582">
        <f>WEEKNUM(Sales_Table[[#This Row],[Date_clean]],2)</f>
        <v>4</v>
      </c>
      <c r="X582" t="str" cm="1">
        <f t="array" ref="X582">_xlfn.IFS(Sales_Table[[#This Row],[Revenue]]&gt;=50000,"High",Sales_Table[[#This Row],[Revenue]]&gt;=20000,"Medium",Sales_Table[[#This Row],[Revenue]]&lt;20000,"Low")</f>
        <v>High</v>
      </c>
      <c r="Y582" t="str">
        <f>IF(Sales_Table[[#This Row],[Payment Method_clean]]="cash","Offline","Online")</f>
        <v>Online</v>
      </c>
      <c r="Z582">
        <f>IFERROR(Sales_Table[[#This Row],[Revenue]],0)</f>
        <v>58776</v>
      </c>
    </row>
    <row r="583" spans="1:26" x14ac:dyDescent="0.3">
      <c r="A583">
        <v>582</v>
      </c>
      <c r="B583" s="2">
        <f t="shared" si="63"/>
        <v>45316.208333333336</v>
      </c>
      <c r="C583" t="s">
        <v>1606</v>
      </c>
      <c r="D583" t="s">
        <v>45</v>
      </c>
      <c r="E583" t="str">
        <f>PROPER(TRIM(CLEAN(Sales_Table[[#This Row],[Region]])))</f>
        <v>North</v>
      </c>
      <c r="F583" t="s">
        <v>28</v>
      </c>
      <c r="G583" t="str">
        <f t="shared" si="64"/>
        <v>Clothing</v>
      </c>
      <c r="H583" t="str">
        <f>PROPER(TRIM(CLEAN(Sales_Table[[#This Row],[Product Name]])))</f>
        <v>Men T-Shirt</v>
      </c>
      <c r="I583" t="s">
        <v>38</v>
      </c>
      <c r="J583" t="str">
        <f t="shared" si="65"/>
        <v>CUST0371</v>
      </c>
      <c r="K583" t="s">
        <v>285</v>
      </c>
      <c r="L583" t="str">
        <f>PROPER(TRIM(CLEAN(Sales_Table[[#This Row],[Salesperson]])))</f>
        <v>Rahul</v>
      </c>
      <c r="M583" t="s">
        <v>31</v>
      </c>
      <c r="N583" t="str">
        <f t="shared" si="66"/>
        <v>Net Banking</v>
      </c>
      <c r="O583" t="s">
        <v>60</v>
      </c>
      <c r="P583">
        <f t="shared" si="67"/>
        <v>3</v>
      </c>
      <c r="Q583" t="s">
        <v>66</v>
      </c>
      <c r="R583">
        <f t="shared" si="68"/>
        <v>2426</v>
      </c>
      <c r="S583" t="s">
        <v>1607</v>
      </c>
      <c r="T583">
        <f t="shared" si="69"/>
        <v>7278</v>
      </c>
      <c r="U583">
        <f>YEAR(Sales_Table[[#This Row],[Date_clean]])</f>
        <v>2024</v>
      </c>
      <c r="V583" t="str">
        <f>TEXT(Sales_Table[[#This Row],[Date_clean]],"mmmm")</f>
        <v>January</v>
      </c>
      <c r="W583">
        <f>WEEKNUM(Sales_Table[[#This Row],[Date_clean]],2)</f>
        <v>4</v>
      </c>
      <c r="X583" t="str" cm="1">
        <f t="array" ref="X583">_xlfn.IFS(Sales_Table[[#This Row],[Revenue]]&gt;=50000,"High",Sales_Table[[#This Row],[Revenue]]&gt;=20000,"Medium",Sales_Table[[#This Row],[Revenue]]&lt;20000,"Low")</f>
        <v>Low</v>
      </c>
      <c r="Y583" t="str">
        <f>IF(Sales_Table[[#This Row],[Payment Method_clean]]="cash","Offline","Online")</f>
        <v>Online</v>
      </c>
      <c r="Z583">
        <f>IFERROR(Sales_Table[[#This Row],[Revenue]],0)</f>
        <v>7278</v>
      </c>
    </row>
    <row r="584" spans="1:26" x14ac:dyDescent="0.3">
      <c r="A584">
        <v>583</v>
      </c>
      <c r="B584" s="2">
        <f t="shared" si="63"/>
        <v>45316.25</v>
      </c>
      <c r="C584" t="s">
        <v>1608</v>
      </c>
      <c r="D584" t="s">
        <v>36</v>
      </c>
      <c r="E584" t="str">
        <f>PROPER(TRIM(CLEAN(Sales_Table[[#This Row],[Region]])))</f>
        <v>West</v>
      </c>
      <c r="F584" t="s">
        <v>46</v>
      </c>
      <c r="G584" t="str">
        <f t="shared" si="64"/>
        <v>Electronics</v>
      </c>
      <c r="H584" t="str">
        <f>PROPER(TRIM(CLEAN(Sales_Table[[#This Row],[Product Name]])))</f>
        <v>Mixer Grinder</v>
      </c>
      <c r="I584" t="s">
        <v>29</v>
      </c>
      <c r="J584" t="str">
        <f t="shared" si="65"/>
        <v>CUST0139</v>
      </c>
      <c r="K584" t="s">
        <v>1560</v>
      </c>
      <c r="L584" t="str">
        <f>PROPER(TRIM(CLEAN(Sales_Table[[#This Row],[Salesperson]])))</f>
        <v>Anita</v>
      </c>
      <c r="M584" t="s">
        <v>64</v>
      </c>
      <c r="N584" t="str">
        <f t="shared" si="66"/>
        <v>Debit Card</v>
      </c>
      <c r="O584" t="s">
        <v>41</v>
      </c>
      <c r="P584">
        <f t="shared" si="67"/>
        <v>6</v>
      </c>
      <c r="Q584" t="s">
        <v>75</v>
      </c>
      <c r="R584">
        <f t="shared" si="68"/>
        <v>2529</v>
      </c>
      <c r="S584" t="s">
        <v>1609</v>
      </c>
      <c r="T584">
        <f t="shared" si="69"/>
        <v>15174</v>
      </c>
      <c r="U584">
        <f>YEAR(Sales_Table[[#This Row],[Date_clean]])</f>
        <v>2024</v>
      </c>
      <c r="V584" t="str">
        <f>TEXT(Sales_Table[[#This Row],[Date_clean]],"mmmm")</f>
        <v>January</v>
      </c>
      <c r="W584">
        <f>WEEKNUM(Sales_Table[[#This Row],[Date_clean]],2)</f>
        <v>4</v>
      </c>
      <c r="X584" t="str" cm="1">
        <f t="array" ref="X584">_xlfn.IFS(Sales_Table[[#This Row],[Revenue]]&gt;=50000,"High",Sales_Table[[#This Row],[Revenue]]&gt;=20000,"Medium",Sales_Table[[#This Row],[Revenue]]&lt;20000,"Low")</f>
        <v>Low</v>
      </c>
      <c r="Y584" t="str">
        <f>IF(Sales_Table[[#This Row],[Payment Method_clean]]="cash","Offline","Online")</f>
        <v>Online</v>
      </c>
      <c r="Z584">
        <f>IFERROR(Sales_Table[[#This Row],[Revenue]],0)</f>
        <v>15174</v>
      </c>
    </row>
    <row r="585" spans="1:26" x14ac:dyDescent="0.3">
      <c r="A585">
        <v>584</v>
      </c>
      <c r="B585" s="2">
        <f t="shared" si="63"/>
        <v>45316.291666666664</v>
      </c>
      <c r="C585" t="s">
        <v>1610</v>
      </c>
      <c r="D585" t="s">
        <v>84</v>
      </c>
      <c r="E585" t="str">
        <f>PROPER(TRIM(CLEAN(Sales_Table[[#This Row],[Region]])))</f>
        <v>South</v>
      </c>
      <c r="F585" t="s">
        <v>46</v>
      </c>
      <c r="G585" t="str">
        <f t="shared" si="64"/>
        <v>Electronics</v>
      </c>
      <c r="H585" t="str">
        <f>PROPER(TRIM(CLEAN(Sales_Table[[#This Row],[Product Name]])))</f>
        <v>Mixer Grinder</v>
      </c>
      <c r="I585" t="s">
        <v>29</v>
      </c>
      <c r="J585" t="str">
        <f t="shared" si="65"/>
        <v>CUST0149</v>
      </c>
      <c r="K585" t="s">
        <v>1611</v>
      </c>
      <c r="L585" t="str">
        <f>PROPER(TRIM(CLEAN(Sales_Table[[#This Row],[Salesperson]])))</f>
        <v>Suresh</v>
      </c>
      <c r="M585" t="s">
        <v>54</v>
      </c>
      <c r="N585" t="str">
        <f t="shared" si="66"/>
        <v>Upi</v>
      </c>
      <c r="O585" t="s">
        <v>48</v>
      </c>
      <c r="P585">
        <f t="shared" si="67"/>
        <v>9</v>
      </c>
      <c r="Q585" t="s">
        <v>130</v>
      </c>
      <c r="R585">
        <f t="shared" si="68"/>
        <v>2160</v>
      </c>
      <c r="S585" t="s">
        <v>1024</v>
      </c>
      <c r="T585">
        <f t="shared" si="69"/>
        <v>19440</v>
      </c>
      <c r="U585">
        <f>YEAR(Sales_Table[[#This Row],[Date_clean]])</f>
        <v>2024</v>
      </c>
      <c r="V585" t="str">
        <f>TEXT(Sales_Table[[#This Row],[Date_clean]],"mmmm")</f>
        <v>January</v>
      </c>
      <c r="W585">
        <f>WEEKNUM(Sales_Table[[#This Row],[Date_clean]],2)</f>
        <v>4</v>
      </c>
      <c r="X585" t="str" cm="1">
        <f t="array" ref="X585">_xlfn.IFS(Sales_Table[[#This Row],[Revenue]]&gt;=50000,"High",Sales_Table[[#This Row],[Revenue]]&gt;=20000,"Medium",Sales_Table[[#This Row],[Revenue]]&lt;20000,"Low")</f>
        <v>Low</v>
      </c>
      <c r="Y585" t="str">
        <f>IF(Sales_Table[[#This Row],[Payment Method_clean]]="cash","Offline","Online")</f>
        <v>Online</v>
      </c>
      <c r="Z585">
        <f>IFERROR(Sales_Table[[#This Row],[Revenue]],0)</f>
        <v>19440</v>
      </c>
    </row>
    <row r="586" spans="1:26" x14ac:dyDescent="0.3">
      <c r="A586">
        <v>585</v>
      </c>
      <c r="B586" s="2">
        <f t="shared" si="63"/>
        <v>45316.333333333336</v>
      </c>
      <c r="C586" t="s">
        <v>1612</v>
      </c>
      <c r="D586" t="s">
        <v>84</v>
      </c>
      <c r="E586" t="str">
        <f>PROPER(TRIM(CLEAN(Sales_Table[[#This Row],[Region]])))</f>
        <v>South</v>
      </c>
      <c r="F586" t="s">
        <v>28</v>
      </c>
      <c r="G586" t="str">
        <f t="shared" si="64"/>
        <v>Clothing</v>
      </c>
      <c r="H586" t="str">
        <f>PROPER(TRIM(CLEAN(Sales_Table[[#This Row],[Product Name]])))</f>
        <v>Rice 5Kg</v>
      </c>
      <c r="I586" t="s">
        <v>73</v>
      </c>
      <c r="J586" t="str">
        <f t="shared" si="65"/>
        <v>CUST0115</v>
      </c>
      <c r="K586" t="s">
        <v>1613</v>
      </c>
      <c r="L586" t="str">
        <f>PROPER(TRIM(CLEAN(Sales_Table[[#This Row],[Salesperson]])))</f>
        <v>Rahul</v>
      </c>
      <c r="M586" t="s">
        <v>31</v>
      </c>
      <c r="N586" t="str">
        <f t="shared" si="66"/>
        <v>Net Banking</v>
      </c>
      <c r="O586" t="s">
        <v>60</v>
      </c>
      <c r="P586">
        <f t="shared" si="67"/>
        <v>2</v>
      </c>
      <c r="Q586" t="s">
        <v>196</v>
      </c>
      <c r="R586">
        <f t="shared" si="68"/>
        <v>4498</v>
      </c>
      <c r="S586" t="s">
        <v>1614</v>
      </c>
      <c r="T586">
        <f t="shared" si="69"/>
        <v>8996</v>
      </c>
      <c r="U586">
        <f>YEAR(Sales_Table[[#This Row],[Date_clean]])</f>
        <v>2024</v>
      </c>
      <c r="V586" t="str">
        <f>TEXT(Sales_Table[[#This Row],[Date_clean]],"mmmm")</f>
        <v>January</v>
      </c>
      <c r="W586">
        <f>WEEKNUM(Sales_Table[[#This Row],[Date_clean]],2)</f>
        <v>4</v>
      </c>
      <c r="X586" t="str" cm="1">
        <f t="array" ref="X586">_xlfn.IFS(Sales_Table[[#This Row],[Revenue]]&gt;=50000,"High",Sales_Table[[#This Row],[Revenue]]&gt;=20000,"Medium",Sales_Table[[#This Row],[Revenue]]&lt;20000,"Low")</f>
        <v>Low</v>
      </c>
      <c r="Y586" t="str">
        <f>IF(Sales_Table[[#This Row],[Payment Method_clean]]="cash","Offline","Online")</f>
        <v>Online</v>
      </c>
      <c r="Z586">
        <f>IFERROR(Sales_Table[[#This Row],[Revenue]],0)</f>
        <v>8996</v>
      </c>
    </row>
    <row r="587" spans="1:26" x14ac:dyDescent="0.3">
      <c r="A587">
        <v>586</v>
      </c>
      <c r="B587" s="2">
        <f t="shared" si="63"/>
        <v>45316.375</v>
      </c>
      <c r="C587" t="s">
        <v>1615</v>
      </c>
      <c r="D587" t="s">
        <v>27</v>
      </c>
      <c r="E587" t="str">
        <f>PROPER(TRIM(CLEAN(Sales_Table[[#This Row],[Region]])))</f>
        <v>East</v>
      </c>
      <c r="F587" t="s">
        <v>46</v>
      </c>
      <c r="G587" t="str">
        <f t="shared" si="64"/>
        <v>Electronics</v>
      </c>
      <c r="H587" t="str">
        <f>PROPER(TRIM(CLEAN(Sales_Table[[#This Row],[Product Name]])))</f>
        <v>Men T-Shirt</v>
      </c>
      <c r="I587" t="s">
        <v>38</v>
      </c>
      <c r="J587" t="str">
        <f t="shared" si="65"/>
        <v>CUST0450</v>
      </c>
      <c r="K587" t="s">
        <v>598</v>
      </c>
      <c r="L587" t="str">
        <f>PROPER(TRIM(CLEAN(Sales_Table[[#This Row],[Salesperson]])))</f>
        <v>Anita</v>
      </c>
      <c r="M587" t="s">
        <v>64</v>
      </c>
      <c r="N587" t="str">
        <f t="shared" si="66"/>
        <v>Net Banking</v>
      </c>
      <c r="O587" t="s">
        <v>60</v>
      </c>
      <c r="P587">
        <f t="shared" si="67"/>
        <v>7</v>
      </c>
      <c r="Q587" t="s">
        <v>49</v>
      </c>
      <c r="R587">
        <f t="shared" si="68"/>
        <v>1679</v>
      </c>
      <c r="S587" t="s">
        <v>1616</v>
      </c>
      <c r="T587">
        <f t="shared" si="69"/>
        <v>11753</v>
      </c>
      <c r="U587">
        <f>YEAR(Sales_Table[[#This Row],[Date_clean]])</f>
        <v>2024</v>
      </c>
      <c r="V587" t="str">
        <f>TEXT(Sales_Table[[#This Row],[Date_clean]],"mmmm")</f>
        <v>January</v>
      </c>
      <c r="W587">
        <f>WEEKNUM(Sales_Table[[#This Row],[Date_clean]],2)</f>
        <v>4</v>
      </c>
      <c r="X587" t="str" cm="1">
        <f t="array" ref="X587">_xlfn.IFS(Sales_Table[[#This Row],[Revenue]]&gt;=50000,"High",Sales_Table[[#This Row],[Revenue]]&gt;=20000,"Medium",Sales_Table[[#This Row],[Revenue]]&lt;20000,"Low")</f>
        <v>Low</v>
      </c>
      <c r="Y587" t="str">
        <f>IF(Sales_Table[[#This Row],[Payment Method_clean]]="cash","Offline","Online")</f>
        <v>Online</v>
      </c>
      <c r="Z587">
        <f>IFERROR(Sales_Table[[#This Row],[Revenue]],0)</f>
        <v>11753</v>
      </c>
    </row>
    <row r="588" spans="1:26" x14ac:dyDescent="0.3">
      <c r="A588">
        <v>587</v>
      </c>
      <c r="B588" s="2">
        <f t="shared" si="63"/>
        <v>45316.416666666664</v>
      </c>
      <c r="C588" t="s">
        <v>1617</v>
      </c>
      <c r="D588" t="s">
        <v>84</v>
      </c>
      <c r="E588" t="str">
        <f>PROPER(TRIM(CLEAN(Sales_Table[[#This Row],[Region]])))</f>
        <v>South</v>
      </c>
      <c r="F588" t="s">
        <v>46</v>
      </c>
      <c r="G588" t="str">
        <f t="shared" si="64"/>
        <v>Electronics</v>
      </c>
      <c r="H588" t="str">
        <f>PROPER(TRIM(CLEAN(Sales_Table[[#This Row],[Product Name]])))</f>
        <v>Led Tv 42Inch</v>
      </c>
      <c r="I588" t="s">
        <v>58</v>
      </c>
      <c r="J588" t="str">
        <f t="shared" si="65"/>
        <v>CUST0063</v>
      </c>
      <c r="K588" t="s">
        <v>1618</v>
      </c>
      <c r="L588" t="str">
        <f>PROPER(TRIM(CLEAN(Sales_Table[[#This Row],[Salesperson]])))</f>
        <v>Meena</v>
      </c>
      <c r="M588" t="s">
        <v>40</v>
      </c>
      <c r="N588" t="str">
        <f t="shared" si="66"/>
        <v>Credit Card</v>
      </c>
      <c r="O588" t="s">
        <v>65</v>
      </c>
      <c r="P588">
        <f t="shared" si="67"/>
        <v>5</v>
      </c>
      <c r="Q588" t="s">
        <v>89</v>
      </c>
      <c r="R588">
        <f t="shared" si="68"/>
        <v>4355</v>
      </c>
      <c r="S588" t="s">
        <v>647</v>
      </c>
      <c r="T588">
        <f t="shared" si="69"/>
        <v>21775</v>
      </c>
      <c r="U588">
        <f>YEAR(Sales_Table[[#This Row],[Date_clean]])</f>
        <v>2024</v>
      </c>
      <c r="V588" t="str">
        <f>TEXT(Sales_Table[[#This Row],[Date_clean]],"mmmm")</f>
        <v>January</v>
      </c>
      <c r="W588">
        <f>WEEKNUM(Sales_Table[[#This Row],[Date_clean]],2)</f>
        <v>4</v>
      </c>
      <c r="X588" t="str" cm="1">
        <f t="array" ref="X588">_xlfn.IFS(Sales_Table[[#This Row],[Revenue]]&gt;=50000,"High",Sales_Table[[#This Row],[Revenue]]&gt;=20000,"Medium",Sales_Table[[#This Row],[Revenue]]&lt;20000,"Low")</f>
        <v>Medium</v>
      </c>
      <c r="Y588" t="str">
        <f>IF(Sales_Table[[#This Row],[Payment Method_clean]]="cash","Offline","Online")</f>
        <v>Online</v>
      </c>
      <c r="Z588">
        <f>IFERROR(Sales_Table[[#This Row],[Revenue]],0)</f>
        <v>21775</v>
      </c>
    </row>
    <row r="589" spans="1:26" x14ac:dyDescent="0.3">
      <c r="A589">
        <v>588</v>
      </c>
      <c r="B589" s="2">
        <f t="shared" si="63"/>
        <v>45316.458333333336</v>
      </c>
      <c r="C589" t="s">
        <v>1619</v>
      </c>
      <c r="D589" t="s">
        <v>27</v>
      </c>
      <c r="E589" t="str">
        <f>PROPER(TRIM(CLEAN(Sales_Table[[#This Row],[Region]])))</f>
        <v>East</v>
      </c>
      <c r="F589" t="s">
        <v>46</v>
      </c>
      <c r="G589" t="str">
        <f t="shared" si="64"/>
        <v>Electronics</v>
      </c>
      <c r="H589" t="str">
        <f>PROPER(TRIM(CLEAN(Sales_Table[[#This Row],[Product Name]])))</f>
        <v>Men T-Shirt</v>
      </c>
      <c r="I589" t="s">
        <v>38</v>
      </c>
      <c r="J589" t="str">
        <f t="shared" si="65"/>
        <v>CUST0104</v>
      </c>
      <c r="K589" t="s">
        <v>438</v>
      </c>
      <c r="L589" t="str">
        <f>PROPER(TRIM(CLEAN(Sales_Table[[#This Row],[Salesperson]])))</f>
        <v>Karthik</v>
      </c>
      <c r="M589" t="s">
        <v>70</v>
      </c>
      <c r="N589" t="str">
        <f t="shared" si="66"/>
        <v>Credit Card</v>
      </c>
      <c r="O589" t="s">
        <v>65</v>
      </c>
      <c r="P589">
        <f t="shared" si="67"/>
        <v>5</v>
      </c>
      <c r="Q589" t="s">
        <v>89</v>
      </c>
      <c r="R589">
        <f t="shared" si="68"/>
        <v>2301</v>
      </c>
      <c r="S589" t="s">
        <v>1620</v>
      </c>
      <c r="T589">
        <f t="shared" si="69"/>
        <v>11505</v>
      </c>
      <c r="U589">
        <f>YEAR(Sales_Table[[#This Row],[Date_clean]])</f>
        <v>2024</v>
      </c>
      <c r="V589" t="str">
        <f>TEXT(Sales_Table[[#This Row],[Date_clean]],"mmmm")</f>
        <v>January</v>
      </c>
      <c r="W589">
        <f>WEEKNUM(Sales_Table[[#This Row],[Date_clean]],2)</f>
        <v>4</v>
      </c>
      <c r="X589" t="str" cm="1">
        <f t="array" ref="X589">_xlfn.IFS(Sales_Table[[#This Row],[Revenue]]&gt;=50000,"High",Sales_Table[[#This Row],[Revenue]]&gt;=20000,"Medium",Sales_Table[[#This Row],[Revenue]]&lt;20000,"Low")</f>
        <v>Low</v>
      </c>
      <c r="Y589" t="str">
        <f>IF(Sales_Table[[#This Row],[Payment Method_clean]]="cash","Offline","Online")</f>
        <v>Online</v>
      </c>
      <c r="Z589">
        <f>IFERROR(Sales_Table[[#This Row],[Revenue]],0)</f>
        <v>11505</v>
      </c>
    </row>
    <row r="590" spans="1:26" x14ac:dyDescent="0.3">
      <c r="A590">
        <v>589</v>
      </c>
      <c r="B590" s="2">
        <f t="shared" si="63"/>
        <v>45316.5</v>
      </c>
      <c r="C590" t="s">
        <v>1621</v>
      </c>
      <c r="D590" t="s">
        <v>36</v>
      </c>
      <c r="E590" t="str">
        <f>PROPER(TRIM(CLEAN(Sales_Table[[#This Row],[Region]])))</f>
        <v>West</v>
      </c>
      <c r="F590" t="s">
        <v>46</v>
      </c>
      <c r="G590" t="str">
        <f t="shared" si="64"/>
        <v>Electronics</v>
      </c>
      <c r="H590" t="str">
        <f>PROPER(TRIM(CLEAN(Sales_Table[[#This Row],[Product Name]])))</f>
        <v>Rice 5Kg</v>
      </c>
      <c r="I590" t="s">
        <v>73</v>
      </c>
      <c r="J590" t="str">
        <f t="shared" si="65"/>
        <v>CUST0668</v>
      </c>
      <c r="K590" t="s">
        <v>1622</v>
      </c>
      <c r="L590" t="str">
        <f>PROPER(TRIM(CLEAN(Sales_Table[[#This Row],[Salesperson]])))</f>
        <v>Anita</v>
      </c>
      <c r="M590" t="s">
        <v>64</v>
      </c>
      <c r="N590" t="str">
        <f t="shared" si="66"/>
        <v>Cash</v>
      </c>
      <c r="O590" t="s">
        <v>32</v>
      </c>
      <c r="P590">
        <f t="shared" si="67"/>
        <v>11</v>
      </c>
      <c r="Q590" t="s">
        <v>97</v>
      </c>
      <c r="R590">
        <f t="shared" si="68"/>
        <v>3697</v>
      </c>
      <c r="S590" t="s">
        <v>1623</v>
      </c>
      <c r="T590">
        <f t="shared" si="69"/>
        <v>40667</v>
      </c>
      <c r="U590">
        <f>YEAR(Sales_Table[[#This Row],[Date_clean]])</f>
        <v>2024</v>
      </c>
      <c r="V590" t="str">
        <f>TEXT(Sales_Table[[#This Row],[Date_clean]],"mmmm")</f>
        <v>January</v>
      </c>
      <c r="W590">
        <f>WEEKNUM(Sales_Table[[#This Row],[Date_clean]],2)</f>
        <v>4</v>
      </c>
      <c r="X590" t="str" cm="1">
        <f t="array" ref="X590">_xlfn.IFS(Sales_Table[[#This Row],[Revenue]]&gt;=50000,"High",Sales_Table[[#This Row],[Revenue]]&gt;=20000,"Medium",Sales_Table[[#This Row],[Revenue]]&lt;20000,"Low")</f>
        <v>Medium</v>
      </c>
      <c r="Y590" t="str">
        <f>IF(Sales_Table[[#This Row],[Payment Method_clean]]="cash","Offline","Online")</f>
        <v>Offline</v>
      </c>
      <c r="Z590">
        <f>IFERROR(Sales_Table[[#This Row],[Revenue]],0)</f>
        <v>40667</v>
      </c>
    </row>
    <row r="591" spans="1:26" x14ac:dyDescent="0.3">
      <c r="A591">
        <v>590</v>
      </c>
      <c r="B591" s="2">
        <f t="shared" si="63"/>
        <v>45316.541666666664</v>
      </c>
      <c r="C591" t="s">
        <v>1624</v>
      </c>
      <c r="D591" t="s">
        <v>45</v>
      </c>
      <c r="E591" t="str">
        <f>PROPER(TRIM(CLEAN(Sales_Table[[#This Row],[Region]])))</f>
        <v>North</v>
      </c>
      <c r="F591" t="s">
        <v>28</v>
      </c>
      <c r="G591" t="str">
        <f t="shared" si="64"/>
        <v>Clothing</v>
      </c>
      <c r="H591" t="str">
        <f>PROPER(TRIM(CLEAN(Sales_Table[[#This Row],[Product Name]])))</f>
        <v>Laptop</v>
      </c>
      <c r="I591" t="s">
        <v>52</v>
      </c>
      <c r="J591" t="str">
        <f t="shared" si="65"/>
        <v>CUST0273</v>
      </c>
      <c r="K591" t="s">
        <v>1378</v>
      </c>
      <c r="L591" t="str">
        <f>PROPER(TRIM(CLEAN(Sales_Table[[#This Row],[Salesperson]])))</f>
        <v>Karthik</v>
      </c>
      <c r="M591" t="s">
        <v>70</v>
      </c>
      <c r="N591" t="str">
        <f t="shared" si="66"/>
        <v>Cash</v>
      </c>
      <c r="O591" t="s">
        <v>32</v>
      </c>
      <c r="P591">
        <f t="shared" si="67"/>
        <v>7</v>
      </c>
      <c r="Q591" t="s">
        <v>49</v>
      </c>
      <c r="R591">
        <f t="shared" si="68"/>
        <v>1303</v>
      </c>
      <c r="S591" t="s">
        <v>1625</v>
      </c>
      <c r="T591">
        <f t="shared" si="69"/>
        <v>9121</v>
      </c>
      <c r="U591">
        <f>YEAR(Sales_Table[[#This Row],[Date_clean]])</f>
        <v>2024</v>
      </c>
      <c r="V591" t="str">
        <f>TEXT(Sales_Table[[#This Row],[Date_clean]],"mmmm")</f>
        <v>January</v>
      </c>
      <c r="W591">
        <f>WEEKNUM(Sales_Table[[#This Row],[Date_clean]],2)</f>
        <v>4</v>
      </c>
      <c r="X591" t="str" cm="1">
        <f t="array" ref="X591">_xlfn.IFS(Sales_Table[[#This Row],[Revenue]]&gt;=50000,"High",Sales_Table[[#This Row],[Revenue]]&gt;=20000,"Medium",Sales_Table[[#This Row],[Revenue]]&lt;20000,"Low")</f>
        <v>Low</v>
      </c>
      <c r="Y591" t="str">
        <f>IF(Sales_Table[[#This Row],[Payment Method_clean]]="cash","Offline","Online")</f>
        <v>Offline</v>
      </c>
      <c r="Z591">
        <f>IFERROR(Sales_Table[[#This Row],[Revenue]],0)</f>
        <v>9121</v>
      </c>
    </row>
    <row r="592" spans="1:26" x14ac:dyDescent="0.3">
      <c r="A592">
        <v>591</v>
      </c>
      <c r="B592" s="2">
        <f t="shared" si="63"/>
        <v>45316.583333333336</v>
      </c>
      <c r="C592" t="s">
        <v>1626</v>
      </c>
      <c r="D592" t="s">
        <v>45</v>
      </c>
      <c r="E592" t="str">
        <f>PROPER(TRIM(CLEAN(Sales_Table[[#This Row],[Region]])))</f>
        <v>North</v>
      </c>
      <c r="F592" t="s">
        <v>46</v>
      </c>
      <c r="G592" t="str">
        <f t="shared" si="64"/>
        <v>Electronics</v>
      </c>
      <c r="H592" t="str">
        <f>PROPER(TRIM(CLEAN(Sales_Table[[#This Row],[Product Name]])))</f>
        <v>Mixer Grinder</v>
      </c>
      <c r="I592" t="s">
        <v>29</v>
      </c>
      <c r="J592" t="str">
        <f t="shared" si="65"/>
        <v>CUST0006</v>
      </c>
      <c r="K592" t="s">
        <v>1290</v>
      </c>
      <c r="L592" t="str">
        <f>PROPER(TRIM(CLEAN(Sales_Table[[#This Row],[Salesperson]])))</f>
        <v>Rahul</v>
      </c>
      <c r="M592" t="s">
        <v>31</v>
      </c>
      <c r="N592" t="str">
        <f t="shared" si="66"/>
        <v>Debit Card</v>
      </c>
      <c r="O592" t="s">
        <v>41</v>
      </c>
      <c r="P592">
        <f t="shared" si="67"/>
        <v>9</v>
      </c>
      <c r="Q592" t="s">
        <v>130</v>
      </c>
      <c r="R592">
        <f t="shared" si="68"/>
        <v>2524</v>
      </c>
      <c r="S592" t="s">
        <v>1627</v>
      </c>
      <c r="T592">
        <f t="shared" si="69"/>
        <v>22716</v>
      </c>
      <c r="U592">
        <f>YEAR(Sales_Table[[#This Row],[Date_clean]])</f>
        <v>2024</v>
      </c>
      <c r="V592" t="str">
        <f>TEXT(Sales_Table[[#This Row],[Date_clean]],"mmmm")</f>
        <v>January</v>
      </c>
      <c r="W592">
        <f>WEEKNUM(Sales_Table[[#This Row],[Date_clean]],2)</f>
        <v>4</v>
      </c>
      <c r="X592" t="str" cm="1">
        <f t="array" ref="X592">_xlfn.IFS(Sales_Table[[#This Row],[Revenue]]&gt;=50000,"High",Sales_Table[[#This Row],[Revenue]]&gt;=20000,"Medium",Sales_Table[[#This Row],[Revenue]]&lt;20000,"Low")</f>
        <v>Medium</v>
      </c>
      <c r="Y592" t="str">
        <f>IF(Sales_Table[[#This Row],[Payment Method_clean]]="cash","Offline","Online")</f>
        <v>Online</v>
      </c>
      <c r="Z592">
        <f>IFERROR(Sales_Table[[#This Row],[Revenue]],0)</f>
        <v>22716</v>
      </c>
    </row>
    <row r="593" spans="1:26" x14ac:dyDescent="0.3">
      <c r="A593">
        <v>592</v>
      </c>
      <c r="B593" s="2">
        <f t="shared" si="63"/>
        <v>45316.625</v>
      </c>
      <c r="C593" t="s">
        <v>1628</v>
      </c>
      <c r="D593" t="s">
        <v>36</v>
      </c>
      <c r="E593" t="str">
        <f>PROPER(TRIM(CLEAN(Sales_Table[[#This Row],[Region]])))</f>
        <v>West</v>
      </c>
      <c r="F593" t="s">
        <v>46</v>
      </c>
      <c r="G593" t="str">
        <f t="shared" si="64"/>
        <v>Electronics</v>
      </c>
      <c r="H593" t="str">
        <f>PROPER(TRIM(CLEAN(Sales_Table[[#This Row],[Product Name]])))</f>
        <v>Mixer Grinder</v>
      </c>
      <c r="I593" t="s">
        <v>29</v>
      </c>
      <c r="J593" t="str">
        <f t="shared" si="65"/>
        <v>CUST0147</v>
      </c>
      <c r="K593" t="s">
        <v>1629</v>
      </c>
      <c r="L593" t="str">
        <f>PROPER(TRIM(CLEAN(Sales_Table[[#This Row],[Salesperson]])))</f>
        <v>Rahul</v>
      </c>
      <c r="M593" t="s">
        <v>31</v>
      </c>
      <c r="N593" t="str">
        <f t="shared" si="66"/>
        <v>Debit Card</v>
      </c>
      <c r="O593" t="s">
        <v>41</v>
      </c>
      <c r="P593">
        <f t="shared" si="67"/>
        <v>4</v>
      </c>
      <c r="Q593" t="s">
        <v>113</v>
      </c>
      <c r="R593">
        <f t="shared" si="68"/>
        <v>3975</v>
      </c>
      <c r="S593" t="s">
        <v>1630</v>
      </c>
      <c r="T593">
        <f t="shared" si="69"/>
        <v>15900</v>
      </c>
      <c r="U593">
        <f>YEAR(Sales_Table[[#This Row],[Date_clean]])</f>
        <v>2024</v>
      </c>
      <c r="V593" t="str">
        <f>TEXT(Sales_Table[[#This Row],[Date_clean]],"mmmm")</f>
        <v>January</v>
      </c>
      <c r="W593">
        <f>WEEKNUM(Sales_Table[[#This Row],[Date_clean]],2)</f>
        <v>4</v>
      </c>
      <c r="X593" t="str" cm="1">
        <f t="array" ref="X593">_xlfn.IFS(Sales_Table[[#This Row],[Revenue]]&gt;=50000,"High",Sales_Table[[#This Row],[Revenue]]&gt;=20000,"Medium",Sales_Table[[#This Row],[Revenue]]&lt;20000,"Low")</f>
        <v>Low</v>
      </c>
      <c r="Y593" t="str">
        <f>IF(Sales_Table[[#This Row],[Payment Method_clean]]="cash","Offline","Online")</f>
        <v>Online</v>
      </c>
      <c r="Z593">
        <f>IFERROR(Sales_Table[[#This Row],[Revenue]],0)</f>
        <v>15900</v>
      </c>
    </row>
    <row r="594" spans="1:26" x14ac:dyDescent="0.3">
      <c r="A594">
        <v>593</v>
      </c>
      <c r="B594" s="2">
        <f t="shared" si="63"/>
        <v>45316.666666666664</v>
      </c>
      <c r="C594" t="s">
        <v>1631</v>
      </c>
      <c r="D594" t="s">
        <v>45</v>
      </c>
      <c r="E594" t="str">
        <f>PROPER(TRIM(CLEAN(Sales_Table[[#This Row],[Region]])))</f>
        <v>North</v>
      </c>
      <c r="F594" t="s">
        <v>28</v>
      </c>
      <c r="G594" t="str">
        <f t="shared" si="64"/>
        <v>Clothing</v>
      </c>
      <c r="H594" t="str">
        <f>PROPER(TRIM(CLEAN(Sales_Table[[#This Row],[Product Name]])))</f>
        <v>Rice 5Kg</v>
      </c>
      <c r="I594" t="s">
        <v>73</v>
      </c>
      <c r="J594" t="str">
        <f t="shared" si="65"/>
        <v>CUST0184</v>
      </c>
      <c r="K594" t="s">
        <v>781</v>
      </c>
      <c r="L594" t="str">
        <f>PROPER(TRIM(CLEAN(Sales_Table[[#This Row],[Salesperson]])))</f>
        <v>Anita</v>
      </c>
      <c r="M594" t="s">
        <v>64</v>
      </c>
      <c r="N594" t="str">
        <f t="shared" si="66"/>
        <v>Debit Card</v>
      </c>
      <c r="O594" t="s">
        <v>41</v>
      </c>
      <c r="P594">
        <f t="shared" si="67"/>
        <v>9</v>
      </c>
      <c r="Q594" t="s">
        <v>130</v>
      </c>
      <c r="R594">
        <f t="shared" si="68"/>
        <v>2923</v>
      </c>
      <c r="S594" t="s">
        <v>1368</v>
      </c>
      <c r="T594">
        <f t="shared" si="69"/>
        <v>26307</v>
      </c>
      <c r="U594">
        <f>YEAR(Sales_Table[[#This Row],[Date_clean]])</f>
        <v>2024</v>
      </c>
      <c r="V594" t="str">
        <f>TEXT(Sales_Table[[#This Row],[Date_clean]],"mmmm")</f>
        <v>January</v>
      </c>
      <c r="W594">
        <f>WEEKNUM(Sales_Table[[#This Row],[Date_clean]],2)</f>
        <v>4</v>
      </c>
      <c r="X594" t="str" cm="1">
        <f t="array" ref="X594">_xlfn.IFS(Sales_Table[[#This Row],[Revenue]]&gt;=50000,"High",Sales_Table[[#This Row],[Revenue]]&gt;=20000,"Medium",Sales_Table[[#This Row],[Revenue]]&lt;20000,"Low")</f>
        <v>Medium</v>
      </c>
      <c r="Y594" t="str">
        <f>IF(Sales_Table[[#This Row],[Payment Method_clean]]="cash","Offline","Online")</f>
        <v>Online</v>
      </c>
      <c r="Z594">
        <f>IFERROR(Sales_Table[[#This Row],[Revenue]],0)</f>
        <v>26307</v>
      </c>
    </row>
    <row r="595" spans="1:26" x14ac:dyDescent="0.3">
      <c r="A595">
        <v>594</v>
      </c>
      <c r="B595" s="2">
        <f t="shared" si="63"/>
        <v>45316.708333333336</v>
      </c>
      <c r="C595" t="s">
        <v>1632</v>
      </c>
      <c r="D595" t="s">
        <v>36</v>
      </c>
      <c r="E595" t="str">
        <f>PROPER(TRIM(CLEAN(Sales_Table[[#This Row],[Region]])))</f>
        <v>West</v>
      </c>
      <c r="F595" t="s">
        <v>37</v>
      </c>
      <c r="G595" t="str">
        <f t="shared" si="64"/>
        <v>Home Appliances</v>
      </c>
      <c r="H595" t="str">
        <f>PROPER(TRIM(CLEAN(Sales_Table[[#This Row],[Product Name]])))</f>
        <v>Led Tv 42Inch</v>
      </c>
      <c r="I595" t="s">
        <v>58</v>
      </c>
      <c r="J595" t="str">
        <f t="shared" si="65"/>
        <v>CUST0028</v>
      </c>
      <c r="K595" t="s">
        <v>1633</v>
      </c>
      <c r="L595" t="str">
        <f>PROPER(TRIM(CLEAN(Sales_Table[[#This Row],[Salesperson]])))</f>
        <v>Karthik</v>
      </c>
      <c r="M595" t="s">
        <v>70</v>
      </c>
      <c r="N595" t="str">
        <f t="shared" si="66"/>
        <v>Debit Card</v>
      </c>
      <c r="O595" t="s">
        <v>41</v>
      </c>
      <c r="P595">
        <f t="shared" si="67"/>
        <v>14</v>
      </c>
      <c r="Q595" t="s">
        <v>55</v>
      </c>
      <c r="R595">
        <f t="shared" si="68"/>
        <v>3385</v>
      </c>
      <c r="S595" t="s">
        <v>1634</v>
      </c>
      <c r="T595">
        <f t="shared" si="69"/>
        <v>47390</v>
      </c>
      <c r="U595">
        <f>YEAR(Sales_Table[[#This Row],[Date_clean]])</f>
        <v>2024</v>
      </c>
      <c r="V595" t="str">
        <f>TEXT(Sales_Table[[#This Row],[Date_clean]],"mmmm")</f>
        <v>January</v>
      </c>
      <c r="W595">
        <f>WEEKNUM(Sales_Table[[#This Row],[Date_clean]],2)</f>
        <v>4</v>
      </c>
      <c r="X595" t="str" cm="1">
        <f t="array" ref="X595">_xlfn.IFS(Sales_Table[[#This Row],[Revenue]]&gt;=50000,"High",Sales_Table[[#This Row],[Revenue]]&gt;=20000,"Medium",Sales_Table[[#This Row],[Revenue]]&lt;20000,"Low")</f>
        <v>Medium</v>
      </c>
      <c r="Y595" t="str">
        <f>IF(Sales_Table[[#This Row],[Payment Method_clean]]="cash","Offline","Online")</f>
        <v>Online</v>
      </c>
      <c r="Z595">
        <f>IFERROR(Sales_Table[[#This Row],[Revenue]],0)</f>
        <v>47390</v>
      </c>
    </row>
    <row r="596" spans="1:26" x14ac:dyDescent="0.3">
      <c r="A596">
        <v>595</v>
      </c>
      <c r="B596" s="2">
        <f t="shared" si="63"/>
        <v>45316.75</v>
      </c>
      <c r="C596" t="s">
        <v>1635</v>
      </c>
      <c r="D596" t="s">
        <v>36</v>
      </c>
      <c r="E596" t="str">
        <f>PROPER(TRIM(CLEAN(Sales_Table[[#This Row],[Region]])))</f>
        <v>West</v>
      </c>
      <c r="F596" t="s">
        <v>78</v>
      </c>
      <c r="G596" t="str">
        <f t="shared" si="64"/>
        <v>Grocery</v>
      </c>
      <c r="H596" t="str">
        <f>PROPER(TRIM(CLEAN(Sales_Table[[#This Row],[Product Name]])))</f>
        <v>Mixer Grinder</v>
      </c>
      <c r="I596" t="s">
        <v>29</v>
      </c>
      <c r="J596" t="str">
        <f t="shared" si="65"/>
        <v>CUST0550</v>
      </c>
      <c r="K596" t="s">
        <v>462</v>
      </c>
      <c r="L596" t="str">
        <f>PROPER(TRIM(CLEAN(Sales_Table[[#This Row],[Salesperson]])))</f>
        <v>Rahul</v>
      </c>
      <c r="M596" t="s">
        <v>31</v>
      </c>
      <c r="N596" t="str">
        <f t="shared" si="66"/>
        <v>Net Banking</v>
      </c>
      <c r="O596" t="s">
        <v>60</v>
      </c>
      <c r="P596">
        <f t="shared" si="67"/>
        <v>13</v>
      </c>
      <c r="Q596" t="s">
        <v>81</v>
      </c>
      <c r="R596">
        <f t="shared" si="68"/>
        <v>2163</v>
      </c>
      <c r="S596" t="s">
        <v>1636</v>
      </c>
      <c r="T596">
        <f t="shared" si="69"/>
        <v>28119</v>
      </c>
      <c r="U596">
        <f>YEAR(Sales_Table[[#This Row],[Date_clean]])</f>
        <v>2024</v>
      </c>
      <c r="V596" t="str">
        <f>TEXT(Sales_Table[[#This Row],[Date_clean]],"mmmm")</f>
        <v>January</v>
      </c>
      <c r="W596">
        <f>WEEKNUM(Sales_Table[[#This Row],[Date_clean]],2)</f>
        <v>4</v>
      </c>
      <c r="X596" t="str" cm="1">
        <f t="array" ref="X596">_xlfn.IFS(Sales_Table[[#This Row],[Revenue]]&gt;=50000,"High",Sales_Table[[#This Row],[Revenue]]&gt;=20000,"Medium",Sales_Table[[#This Row],[Revenue]]&lt;20000,"Low")</f>
        <v>Medium</v>
      </c>
      <c r="Y596" t="str">
        <f>IF(Sales_Table[[#This Row],[Payment Method_clean]]="cash","Offline","Online")</f>
        <v>Online</v>
      </c>
      <c r="Z596">
        <f>IFERROR(Sales_Table[[#This Row],[Revenue]],0)</f>
        <v>28119</v>
      </c>
    </row>
    <row r="597" spans="1:26" x14ac:dyDescent="0.3">
      <c r="A597">
        <v>596</v>
      </c>
      <c r="B597" s="2">
        <f t="shared" si="63"/>
        <v>45316.791666666664</v>
      </c>
      <c r="C597" t="s">
        <v>1637</v>
      </c>
      <c r="D597" t="s">
        <v>36</v>
      </c>
      <c r="E597" t="str">
        <f>PROPER(TRIM(CLEAN(Sales_Table[[#This Row],[Region]])))</f>
        <v>West</v>
      </c>
      <c r="F597" t="s">
        <v>37</v>
      </c>
      <c r="G597" t="str">
        <f t="shared" si="64"/>
        <v>Home Appliances</v>
      </c>
      <c r="H597" t="str">
        <f>PROPER(TRIM(CLEAN(Sales_Table[[#This Row],[Product Name]])))</f>
        <v>Washing Machine</v>
      </c>
      <c r="I597" t="s">
        <v>79</v>
      </c>
      <c r="J597" t="str">
        <f t="shared" si="65"/>
        <v>CUST0119</v>
      </c>
      <c r="K597" t="s">
        <v>1638</v>
      </c>
      <c r="L597" t="str">
        <f>PROPER(TRIM(CLEAN(Sales_Table[[#This Row],[Salesperson]])))</f>
        <v>Meena</v>
      </c>
      <c r="M597" t="s">
        <v>40</v>
      </c>
      <c r="N597" t="str">
        <f t="shared" si="66"/>
        <v>Net Banking</v>
      </c>
      <c r="O597" t="s">
        <v>60</v>
      </c>
      <c r="P597">
        <f t="shared" si="67"/>
        <v>11</v>
      </c>
      <c r="Q597" t="s">
        <v>97</v>
      </c>
      <c r="R597">
        <f t="shared" si="68"/>
        <v>2079</v>
      </c>
      <c r="S597" t="s">
        <v>1639</v>
      </c>
      <c r="T597">
        <f t="shared" si="69"/>
        <v>22869</v>
      </c>
      <c r="U597">
        <f>YEAR(Sales_Table[[#This Row],[Date_clean]])</f>
        <v>2024</v>
      </c>
      <c r="V597" t="str">
        <f>TEXT(Sales_Table[[#This Row],[Date_clean]],"mmmm")</f>
        <v>January</v>
      </c>
      <c r="W597">
        <f>WEEKNUM(Sales_Table[[#This Row],[Date_clean]],2)</f>
        <v>4</v>
      </c>
      <c r="X597" t="str" cm="1">
        <f t="array" ref="X597">_xlfn.IFS(Sales_Table[[#This Row],[Revenue]]&gt;=50000,"High",Sales_Table[[#This Row],[Revenue]]&gt;=20000,"Medium",Sales_Table[[#This Row],[Revenue]]&lt;20000,"Low")</f>
        <v>Medium</v>
      </c>
      <c r="Y597" t="str">
        <f>IF(Sales_Table[[#This Row],[Payment Method_clean]]="cash","Offline","Online")</f>
        <v>Online</v>
      </c>
      <c r="Z597">
        <f>IFERROR(Sales_Table[[#This Row],[Revenue]],0)</f>
        <v>22869</v>
      </c>
    </row>
    <row r="598" spans="1:26" x14ac:dyDescent="0.3">
      <c r="A598">
        <v>597</v>
      </c>
      <c r="B598" s="2">
        <f t="shared" si="63"/>
        <v>45316.833333333336</v>
      </c>
      <c r="C598" t="s">
        <v>1640</v>
      </c>
      <c r="D598" t="s">
        <v>45</v>
      </c>
      <c r="E598" t="str">
        <f>PROPER(TRIM(CLEAN(Sales_Table[[#This Row],[Region]])))</f>
        <v>North</v>
      </c>
      <c r="F598" t="s">
        <v>28</v>
      </c>
      <c r="G598" t="str">
        <f t="shared" si="64"/>
        <v>Clothing</v>
      </c>
      <c r="H598" t="str">
        <f>PROPER(TRIM(CLEAN(Sales_Table[[#This Row],[Product Name]])))</f>
        <v>Mixer Grinder</v>
      </c>
      <c r="I598" t="s">
        <v>29</v>
      </c>
      <c r="J598" t="str">
        <f t="shared" si="65"/>
        <v>CUST0293</v>
      </c>
      <c r="K598" t="s">
        <v>1641</v>
      </c>
      <c r="L598" t="str">
        <f>PROPER(TRIM(CLEAN(Sales_Table[[#This Row],[Salesperson]])))</f>
        <v>Suresh</v>
      </c>
      <c r="M598" t="s">
        <v>54</v>
      </c>
      <c r="N598" t="str">
        <f t="shared" si="66"/>
        <v>Cash</v>
      </c>
      <c r="O598" t="s">
        <v>32</v>
      </c>
      <c r="P598">
        <f t="shared" si="67"/>
        <v>10</v>
      </c>
      <c r="Q598" t="s">
        <v>117</v>
      </c>
      <c r="R598">
        <f t="shared" si="68"/>
        <v>4448</v>
      </c>
      <c r="S598" t="s">
        <v>638</v>
      </c>
      <c r="T598">
        <f t="shared" si="69"/>
        <v>44480</v>
      </c>
      <c r="U598">
        <f>YEAR(Sales_Table[[#This Row],[Date_clean]])</f>
        <v>2024</v>
      </c>
      <c r="V598" t="str">
        <f>TEXT(Sales_Table[[#This Row],[Date_clean]],"mmmm")</f>
        <v>January</v>
      </c>
      <c r="W598">
        <f>WEEKNUM(Sales_Table[[#This Row],[Date_clean]],2)</f>
        <v>4</v>
      </c>
      <c r="X598" t="str" cm="1">
        <f t="array" ref="X598">_xlfn.IFS(Sales_Table[[#This Row],[Revenue]]&gt;=50000,"High",Sales_Table[[#This Row],[Revenue]]&gt;=20000,"Medium",Sales_Table[[#This Row],[Revenue]]&lt;20000,"Low")</f>
        <v>Medium</v>
      </c>
      <c r="Y598" t="str">
        <f>IF(Sales_Table[[#This Row],[Payment Method_clean]]="cash","Offline","Online")</f>
        <v>Offline</v>
      </c>
      <c r="Z598">
        <f>IFERROR(Sales_Table[[#This Row],[Revenue]],0)</f>
        <v>44480</v>
      </c>
    </row>
    <row r="599" spans="1:26" x14ac:dyDescent="0.3">
      <c r="A599">
        <v>598</v>
      </c>
      <c r="B599" s="2">
        <f t="shared" si="63"/>
        <v>45316.875</v>
      </c>
      <c r="C599" t="s">
        <v>1642</v>
      </c>
      <c r="D599" t="s">
        <v>27</v>
      </c>
      <c r="E599" t="str">
        <f>PROPER(TRIM(CLEAN(Sales_Table[[#This Row],[Region]])))</f>
        <v>East</v>
      </c>
      <c r="F599" t="s">
        <v>78</v>
      </c>
      <c r="G599" t="str">
        <f t="shared" si="64"/>
        <v>Grocery</v>
      </c>
      <c r="H599" t="str">
        <f>PROPER(TRIM(CLEAN(Sales_Table[[#This Row],[Product Name]])))</f>
        <v>Washing Machine</v>
      </c>
      <c r="I599" t="s">
        <v>79</v>
      </c>
      <c r="J599" t="str">
        <f t="shared" si="65"/>
        <v>CUST0371</v>
      </c>
      <c r="K599" t="s">
        <v>285</v>
      </c>
      <c r="L599" t="str">
        <f>PROPER(TRIM(CLEAN(Sales_Table[[#This Row],[Salesperson]])))</f>
        <v>Suresh</v>
      </c>
      <c r="M599" t="s">
        <v>54</v>
      </c>
      <c r="N599" t="str">
        <f t="shared" si="66"/>
        <v>Credit Card</v>
      </c>
      <c r="O599" t="s">
        <v>65</v>
      </c>
      <c r="P599">
        <f t="shared" si="67"/>
        <v>9</v>
      </c>
      <c r="Q599" t="s">
        <v>130</v>
      </c>
      <c r="R599">
        <f t="shared" si="68"/>
        <v>3231</v>
      </c>
      <c r="S599" t="s">
        <v>1643</v>
      </c>
      <c r="T599">
        <f t="shared" si="69"/>
        <v>29079</v>
      </c>
      <c r="U599">
        <f>YEAR(Sales_Table[[#This Row],[Date_clean]])</f>
        <v>2024</v>
      </c>
      <c r="V599" t="str">
        <f>TEXT(Sales_Table[[#This Row],[Date_clean]],"mmmm")</f>
        <v>January</v>
      </c>
      <c r="W599">
        <f>WEEKNUM(Sales_Table[[#This Row],[Date_clean]],2)</f>
        <v>4</v>
      </c>
      <c r="X599" t="str" cm="1">
        <f t="array" ref="X599">_xlfn.IFS(Sales_Table[[#This Row],[Revenue]]&gt;=50000,"High",Sales_Table[[#This Row],[Revenue]]&gt;=20000,"Medium",Sales_Table[[#This Row],[Revenue]]&lt;20000,"Low")</f>
        <v>Medium</v>
      </c>
      <c r="Y599" t="str">
        <f>IF(Sales_Table[[#This Row],[Payment Method_clean]]="cash","Offline","Online")</f>
        <v>Online</v>
      </c>
      <c r="Z599">
        <f>IFERROR(Sales_Table[[#This Row],[Revenue]],0)</f>
        <v>29079</v>
      </c>
    </row>
    <row r="600" spans="1:26" x14ac:dyDescent="0.3">
      <c r="A600">
        <v>599</v>
      </c>
      <c r="B600" s="2">
        <f t="shared" si="63"/>
        <v>45316.916666666664</v>
      </c>
      <c r="C600" t="s">
        <v>1644</v>
      </c>
      <c r="D600" t="s">
        <v>36</v>
      </c>
      <c r="E600" t="str">
        <f>PROPER(TRIM(CLEAN(Sales_Table[[#This Row],[Region]])))</f>
        <v>West</v>
      </c>
      <c r="F600" t="s">
        <v>28</v>
      </c>
      <c r="G600" t="str">
        <f t="shared" si="64"/>
        <v>Clothing</v>
      </c>
      <c r="H600" t="str">
        <f>PROPER(TRIM(CLEAN(Sales_Table[[#This Row],[Product Name]])))</f>
        <v>Rice 5Kg</v>
      </c>
      <c r="I600" t="s">
        <v>73</v>
      </c>
      <c r="J600" t="str">
        <f t="shared" si="65"/>
        <v>CUST0244</v>
      </c>
      <c r="K600" t="s">
        <v>1645</v>
      </c>
      <c r="L600" t="str">
        <f>PROPER(TRIM(CLEAN(Sales_Table[[#This Row],[Salesperson]])))</f>
        <v>Rahul</v>
      </c>
      <c r="M600" t="s">
        <v>31</v>
      </c>
      <c r="N600" t="str">
        <f t="shared" si="66"/>
        <v>Credit Card</v>
      </c>
      <c r="O600" t="s">
        <v>65</v>
      </c>
      <c r="P600">
        <f t="shared" si="67"/>
        <v>13</v>
      </c>
      <c r="Q600" t="s">
        <v>81</v>
      </c>
      <c r="R600">
        <f t="shared" si="68"/>
        <v>3192</v>
      </c>
      <c r="S600" t="s">
        <v>1646</v>
      </c>
      <c r="T600">
        <f t="shared" si="69"/>
        <v>41496</v>
      </c>
      <c r="U600">
        <f>YEAR(Sales_Table[[#This Row],[Date_clean]])</f>
        <v>2024</v>
      </c>
      <c r="V600" t="str">
        <f>TEXT(Sales_Table[[#This Row],[Date_clean]],"mmmm")</f>
        <v>January</v>
      </c>
      <c r="W600">
        <f>WEEKNUM(Sales_Table[[#This Row],[Date_clean]],2)</f>
        <v>4</v>
      </c>
      <c r="X600" t="str" cm="1">
        <f t="array" ref="X600">_xlfn.IFS(Sales_Table[[#This Row],[Revenue]]&gt;=50000,"High",Sales_Table[[#This Row],[Revenue]]&gt;=20000,"Medium",Sales_Table[[#This Row],[Revenue]]&lt;20000,"Low")</f>
        <v>Medium</v>
      </c>
      <c r="Y600" t="str">
        <f>IF(Sales_Table[[#This Row],[Payment Method_clean]]="cash","Offline","Online")</f>
        <v>Online</v>
      </c>
      <c r="Z600">
        <f>IFERROR(Sales_Table[[#This Row],[Revenue]],0)</f>
        <v>41496</v>
      </c>
    </row>
    <row r="601" spans="1:26" x14ac:dyDescent="0.3">
      <c r="A601">
        <v>600</v>
      </c>
      <c r="B601" s="2">
        <f t="shared" si="63"/>
        <v>45316.958333333336</v>
      </c>
      <c r="C601" t="s">
        <v>1647</v>
      </c>
      <c r="D601" t="s">
        <v>84</v>
      </c>
      <c r="E601" t="str">
        <f>PROPER(TRIM(CLEAN(Sales_Table[[#This Row],[Region]])))</f>
        <v>South</v>
      </c>
      <c r="F601" t="s">
        <v>28</v>
      </c>
      <c r="G601" t="str">
        <f t="shared" si="64"/>
        <v>Clothing</v>
      </c>
      <c r="H601" t="str">
        <f>PROPER(TRIM(CLEAN(Sales_Table[[#This Row],[Product Name]])))</f>
        <v>Rice 5Kg</v>
      </c>
      <c r="I601" t="s">
        <v>73</v>
      </c>
      <c r="J601" t="str">
        <f t="shared" si="65"/>
        <v>CUST0580</v>
      </c>
      <c r="K601" t="s">
        <v>1648</v>
      </c>
      <c r="L601" t="str">
        <f>PROPER(TRIM(CLEAN(Sales_Table[[#This Row],[Salesperson]])))</f>
        <v>Karthik</v>
      </c>
      <c r="M601" t="s">
        <v>70</v>
      </c>
      <c r="N601" t="str">
        <f t="shared" si="66"/>
        <v>Upi</v>
      </c>
      <c r="O601" t="s">
        <v>48</v>
      </c>
      <c r="P601">
        <f t="shared" si="67"/>
        <v>4</v>
      </c>
      <c r="Q601" t="s">
        <v>113</v>
      </c>
      <c r="R601">
        <f t="shared" si="68"/>
        <v>4926</v>
      </c>
      <c r="S601" t="s">
        <v>1649</v>
      </c>
      <c r="T601">
        <f t="shared" si="69"/>
        <v>19704</v>
      </c>
      <c r="U601">
        <f>YEAR(Sales_Table[[#This Row],[Date_clean]])</f>
        <v>2024</v>
      </c>
      <c r="V601" t="str">
        <f>TEXT(Sales_Table[[#This Row],[Date_clean]],"mmmm")</f>
        <v>January</v>
      </c>
      <c r="W601">
        <f>WEEKNUM(Sales_Table[[#This Row],[Date_clean]],2)</f>
        <v>4</v>
      </c>
      <c r="X601" t="str" cm="1">
        <f t="array" ref="X601">_xlfn.IFS(Sales_Table[[#This Row],[Revenue]]&gt;=50000,"High",Sales_Table[[#This Row],[Revenue]]&gt;=20000,"Medium",Sales_Table[[#This Row],[Revenue]]&lt;20000,"Low")</f>
        <v>Low</v>
      </c>
      <c r="Y601" t="str">
        <f>IF(Sales_Table[[#This Row],[Payment Method_clean]]="cash","Offline","Online")</f>
        <v>Online</v>
      </c>
      <c r="Z601">
        <f>IFERROR(Sales_Table[[#This Row],[Revenue]],0)</f>
        <v>19704</v>
      </c>
    </row>
    <row r="602" spans="1:26" x14ac:dyDescent="0.3">
      <c r="A602">
        <v>601</v>
      </c>
      <c r="B602" s="2">
        <f t="shared" si="63"/>
        <v>45317</v>
      </c>
      <c r="C602" t="s">
        <v>1650</v>
      </c>
      <c r="D602" t="s">
        <v>45</v>
      </c>
      <c r="E602" t="str">
        <f>PROPER(TRIM(CLEAN(Sales_Table[[#This Row],[Region]])))</f>
        <v>North</v>
      </c>
      <c r="F602" t="s">
        <v>46</v>
      </c>
      <c r="G602" t="str">
        <f t="shared" si="64"/>
        <v>Electronics</v>
      </c>
      <c r="H602" t="str">
        <f>PROPER(TRIM(CLEAN(Sales_Table[[#This Row],[Product Name]])))</f>
        <v>Mixer Grinder</v>
      </c>
      <c r="I602" t="s">
        <v>29</v>
      </c>
      <c r="J602" t="str">
        <f t="shared" si="65"/>
        <v>CUST0726</v>
      </c>
      <c r="K602" t="s">
        <v>723</v>
      </c>
      <c r="L602" t="str">
        <f>PROPER(TRIM(CLEAN(Sales_Table[[#This Row],[Salesperson]])))</f>
        <v>Rahul</v>
      </c>
      <c r="M602" t="s">
        <v>31</v>
      </c>
      <c r="N602" t="str">
        <f t="shared" si="66"/>
        <v>Net Banking</v>
      </c>
      <c r="O602" t="s">
        <v>60</v>
      </c>
      <c r="P602">
        <f t="shared" si="67"/>
        <v>3</v>
      </c>
      <c r="Q602" t="s">
        <v>66</v>
      </c>
      <c r="R602">
        <f t="shared" si="68"/>
        <v>3764</v>
      </c>
      <c r="S602" t="s">
        <v>1651</v>
      </c>
      <c r="T602">
        <f t="shared" si="69"/>
        <v>11292</v>
      </c>
      <c r="U602">
        <f>YEAR(Sales_Table[[#This Row],[Date_clean]])</f>
        <v>2024</v>
      </c>
      <c r="V602" t="str">
        <f>TEXT(Sales_Table[[#This Row],[Date_clean]],"mmmm")</f>
        <v>January</v>
      </c>
      <c r="W602">
        <f>WEEKNUM(Sales_Table[[#This Row],[Date_clean]],2)</f>
        <v>4</v>
      </c>
      <c r="X602" t="str" cm="1">
        <f t="array" ref="X602">_xlfn.IFS(Sales_Table[[#This Row],[Revenue]]&gt;=50000,"High",Sales_Table[[#This Row],[Revenue]]&gt;=20000,"Medium",Sales_Table[[#This Row],[Revenue]]&lt;20000,"Low")</f>
        <v>Low</v>
      </c>
      <c r="Y602" t="str">
        <f>IF(Sales_Table[[#This Row],[Payment Method_clean]]="cash","Offline","Online")</f>
        <v>Online</v>
      </c>
      <c r="Z602">
        <f>IFERROR(Sales_Table[[#This Row],[Revenue]],0)</f>
        <v>11292</v>
      </c>
    </row>
    <row r="603" spans="1:26" x14ac:dyDescent="0.3">
      <c r="A603">
        <v>602</v>
      </c>
      <c r="B603" s="2">
        <f t="shared" si="63"/>
        <v>45317.041666666664</v>
      </c>
      <c r="C603" t="s">
        <v>1652</v>
      </c>
      <c r="D603" t="s">
        <v>36</v>
      </c>
      <c r="E603" t="str">
        <f>PROPER(TRIM(CLEAN(Sales_Table[[#This Row],[Region]])))</f>
        <v>West</v>
      </c>
      <c r="F603" t="s">
        <v>78</v>
      </c>
      <c r="G603" t="str">
        <f t="shared" si="64"/>
        <v>Grocery</v>
      </c>
      <c r="H603" t="str">
        <f>PROPER(TRIM(CLEAN(Sales_Table[[#This Row],[Product Name]])))</f>
        <v>Men T-Shirt</v>
      </c>
      <c r="I603" t="s">
        <v>38</v>
      </c>
      <c r="J603" t="str">
        <f t="shared" si="65"/>
        <v>CUST0218</v>
      </c>
      <c r="K603" t="s">
        <v>1149</v>
      </c>
      <c r="L603" t="str">
        <f>PROPER(TRIM(CLEAN(Sales_Table[[#This Row],[Salesperson]])))</f>
        <v>Karthik</v>
      </c>
      <c r="M603" t="s">
        <v>70</v>
      </c>
      <c r="N603" t="str">
        <f t="shared" si="66"/>
        <v>Debit Card</v>
      </c>
      <c r="O603" t="s">
        <v>41</v>
      </c>
      <c r="P603">
        <f t="shared" si="67"/>
        <v>2</v>
      </c>
      <c r="Q603" t="s">
        <v>196</v>
      </c>
      <c r="R603">
        <f t="shared" si="68"/>
        <v>2436</v>
      </c>
      <c r="S603" t="s">
        <v>1653</v>
      </c>
      <c r="T603">
        <f t="shared" si="69"/>
        <v>4872</v>
      </c>
      <c r="U603">
        <f>YEAR(Sales_Table[[#This Row],[Date_clean]])</f>
        <v>2024</v>
      </c>
      <c r="V603" t="str">
        <f>TEXT(Sales_Table[[#This Row],[Date_clean]],"mmmm")</f>
        <v>January</v>
      </c>
      <c r="W603">
        <f>WEEKNUM(Sales_Table[[#This Row],[Date_clean]],2)</f>
        <v>4</v>
      </c>
      <c r="X603" t="str" cm="1">
        <f t="array" ref="X603">_xlfn.IFS(Sales_Table[[#This Row],[Revenue]]&gt;=50000,"High",Sales_Table[[#This Row],[Revenue]]&gt;=20000,"Medium",Sales_Table[[#This Row],[Revenue]]&lt;20000,"Low")</f>
        <v>Low</v>
      </c>
      <c r="Y603" t="str">
        <f>IF(Sales_Table[[#This Row],[Payment Method_clean]]="cash","Offline","Online")</f>
        <v>Online</v>
      </c>
      <c r="Z603">
        <f>IFERROR(Sales_Table[[#This Row],[Revenue]],0)</f>
        <v>4872</v>
      </c>
    </row>
    <row r="604" spans="1:26" x14ac:dyDescent="0.3">
      <c r="A604">
        <v>603</v>
      </c>
      <c r="B604" s="2">
        <f t="shared" si="63"/>
        <v>45317.083333333336</v>
      </c>
      <c r="C604" t="s">
        <v>1654</v>
      </c>
      <c r="D604" t="s">
        <v>36</v>
      </c>
      <c r="E604" t="str">
        <f>PROPER(TRIM(CLEAN(Sales_Table[[#This Row],[Region]])))</f>
        <v>West</v>
      </c>
      <c r="F604" t="s">
        <v>46</v>
      </c>
      <c r="G604" t="str">
        <f t="shared" si="64"/>
        <v>Electronics</v>
      </c>
      <c r="H604" t="str">
        <f>PROPER(TRIM(CLEAN(Sales_Table[[#This Row],[Product Name]])))</f>
        <v>Washing Machine</v>
      </c>
      <c r="I604" t="s">
        <v>79</v>
      </c>
      <c r="J604" t="str">
        <f t="shared" si="65"/>
        <v>CUST0177</v>
      </c>
      <c r="K604" t="s">
        <v>1312</v>
      </c>
      <c r="L604" t="str">
        <f>PROPER(TRIM(CLEAN(Sales_Table[[#This Row],[Salesperson]])))</f>
        <v>Meena</v>
      </c>
      <c r="M604" t="s">
        <v>40</v>
      </c>
      <c r="N604" t="str">
        <f t="shared" si="66"/>
        <v>Debit Card</v>
      </c>
      <c r="O604" t="s">
        <v>41</v>
      </c>
      <c r="P604">
        <f t="shared" si="67"/>
        <v>9</v>
      </c>
      <c r="Q604" t="s">
        <v>130</v>
      </c>
      <c r="R604">
        <f t="shared" si="68"/>
        <v>3714</v>
      </c>
      <c r="S604" t="s">
        <v>1655</v>
      </c>
      <c r="T604">
        <f t="shared" si="69"/>
        <v>33426</v>
      </c>
      <c r="U604">
        <f>YEAR(Sales_Table[[#This Row],[Date_clean]])</f>
        <v>2024</v>
      </c>
      <c r="V604" t="str">
        <f>TEXT(Sales_Table[[#This Row],[Date_clean]],"mmmm")</f>
        <v>January</v>
      </c>
      <c r="W604">
        <f>WEEKNUM(Sales_Table[[#This Row],[Date_clean]],2)</f>
        <v>4</v>
      </c>
      <c r="X604" t="str" cm="1">
        <f t="array" ref="X604">_xlfn.IFS(Sales_Table[[#This Row],[Revenue]]&gt;=50000,"High",Sales_Table[[#This Row],[Revenue]]&gt;=20000,"Medium",Sales_Table[[#This Row],[Revenue]]&lt;20000,"Low")</f>
        <v>Medium</v>
      </c>
      <c r="Y604" t="str">
        <f>IF(Sales_Table[[#This Row],[Payment Method_clean]]="cash","Offline","Online")</f>
        <v>Online</v>
      </c>
      <c r="Z604">
        <f>IFERROR(Sales_Table[[#This Row],[Revenue]],0)</f>
        <v>33426</v>
      </c>
    </row>
    <row r="605" spans="1:26" x14ac:dyDescent="0.3">
      <c r="A605">
        <v>604</v>
      </c>
      <c r="B605" s="2">
        <f t="shared" si="63"/>
        <v>45317.125</v>
      </c>
      <c r="C605" t="s">
        <v>1656</v>
      </c>
      <c r="D605" t="s">
        <v>84</v>
      </c>
      <c r="E605" t="str">
        <f>PROPER(TRIM(CLEAN(Sales_Table[[#This Row],[Region]])))</f>
        <v>South</v>
      </c>
      <c r="F605" t="s">
        <v>78</v>
      </c>
      <c r="G605" t="str">
        <f t="shared" si="64"/>
        <v>Grocery</v>
      </c>
      <c r="H605" t="str">
        <f>PROPER(TRIM(CLEAN(Sales_Table[[#This Row],[Product Name]])))</f>
        <v>Led Tv 42Inch</v>
      </c>
      <c r="I605" t="s">
        <v>58</v>
      </c>
      <c r="J605" t="str">
        <f t="shared" si="65"/>
        <v>CUST0299</v>
      </c>
      <c r="K605" t="s">
        <v>476</v>
      </c>
      <c r="L605" t="str">
        <f>PROPER(TRIM(CLEAN(Sales_Table[[#This Row],[Salesperson]])))</f>
        <v>Karthik</v>
      </c>
      <c r="M605" t="s">
        <v>70</v>
      </c>
      <c r="N605" t="str">
        <f t="shared" si="66"/>
        <v>Upi</v>
      </c>
      <c r="O605" t="s">
        <v>48</v>
      </c>
      <c r="P605">
        <f t="shared" si="67"/>
        <v>12</v>
      </c>
      <c r="Q605" t="s">
        <v>33</v>
      </c>
      <c r="R605">
        <f t="shared" si="68"/>
        <v>597</v>
      </c>
      <c r="S605" t="s">
        <v>1657</v>
      </c>
      <c r="T605">
        <f t="shared" si="69"/>
        <v>7164</v>
      </c>
      <c r="U605">
        <f>YEAR(Sales_Table[[#This Row],[Date_clean]])</f>
        <v>2024</v>
      </c>
      <c r="V605" t="str">
        <f>TEXT(Sales_Table[[#This Row],[Date_clean]],"mmmm")</f>
        <v>January</v>
      </c>
      <c r="W605">
        <f>WEEKNUM(Sales_Table[[#This Row],[Date_clean]],2)</f>
        <v>4</v>
      </c>
      <c r="X605" t="str" cm="1">
        <f t="array" ref="X605">_xlfn.IFS(Sales_Table[[#This Row],[Revenue]]&gt;=50000,"High",Sales_Table[[#This Row],[Revenue]]&gt;=20000,"Medium",Sales_Table[[#This Row],[Revenue]]&lt;20000,"Low")</f>
        <v>Low</v>
      </c>
      <c r="Y605" t="str">
        <f>IF(Sales_Table[[#This Row],[Payment Method_clean]]="cash","Offline","Online")</f>
        <v>Online</v>
      </c>
      <c r="Z605">
        <f>IFERROR(Sales_Table[[#This Row],[Revenue]],0)</f>
        <v>7164</v>
      </c>
    </row>
    <row r="606" spans="1:26" x14ac:dyDescent="0.3">
      <c r="A606">
        <v>605</v>
      </c>
      <c r="B606" s="2">
        <f t="shared" si="63"/>
        <v>45317.166666666664</v>
      </c>
      <c r="C606" t="s">
        <v>1658</v>
      </c>
      <c r="D606" t="s">
        <v>27</v>
      </c>
      <c r="E606" t="str">
        <f>PROPER(TRIM(CLEAN(Sales_Table[[#This Row],[Region]])))</f>
        <v>East</v>
      </c>
      <c r="F606" t="s">
        <v>28</v>
      </c>
      <c r="G606" t="str">
        <f t="shared" si="64"/>
        <v>Clothing</v>
      </c>
      <c r="H606" t="str">
        <f>PROPER(TRIM(CLEAN(Sales_Table[[#This Row],[Product Name]])))</f>
        <v>Mixer Grinder</v>
      </c>
      <c r="I606" t="s">
        <v>29</v>
      </c>
      <c r="J606" t="str">
        <f t="shared" si="65"/>
        <v>CUST0676</v>
      </c>
      <c r="K606" t="s">
        <v>1659</v>
      </c>
      <c r="L606" t="str">
        <f>PROPER(TRIM(CLEAN(Sales_Table[[#This Row],[Salesperson]])))</f>
        <v>Rahul</v>
      </c>
      <c r="M606" t="s">
        <v>31</v>
      </c>
      <c r="N606" t="str">
        <f t="shared" si="66"/>
        <v>Credit Card</v>
      </c>
      <c r="O606" t="s">
        <v>65</v>
      </c>
      <c r="P606">
        <f t="shared" si="67"/>
        <v>2</v>
      </c>
      <c r="Q606" t="s">
        <v>196</v>
      </c>
      <c r="R606">
        <f t="shared" si="68"/>
        <v>3917</v>
      </c>
      <c r="S606" t="s">
        <v>1660</v>
      </c>
      <c r="T606">
        <f t="shared" si="69"/>
        <v>7834</v>
      </c>
      <c r="U606">
        <f>YEAR(Sales_Table[[#This Row],[Date_clean]])</f>
        <v>2024</v>
      </c>
      <c r="V606" t="str">
        <f>TEXT(Sales_Table[[#This Row],[Date_clean]],"mmmm")</f>
        <v>January</v>
      </c>
      <c r="W606">
        <f>WEEKNUM(Sales_Table[[#This Row],[Date_clean]],2)</f>
        <v>4</v>
      </c>
      <c r="X606" t="str" cm="1">
        <f t="array" ref="X606">_xlfn.IFS(Sales_Table[[#This Row],[Revenue]]&gt;=50000,"High",Sales_Table[[#This Row],[Revenue]]&gt;=20000,"Medium",Sales_Table[[#This Row],[Revenue]]&lt;20000,"Low")</f>
        <v>Low</v>
      </c>
      <c r="Y606" t="str">
        <f>IF(Sales_Table[[#This Row],[Payment Method_clean]]="cash","Offline","Online")</f>
        <v>Online</v>
      </c>
      <c r="Z606">
        <f>IFERROR(Sales_Table[[#This Row],[Revenue]],0)</f>
        <v>7834</v>
      </c>
    </row>
    <row r="607" spans="1:26" x14ac:dyDescent="0.3">
      <c r="A607">
        <v>606</v>
      </c>
      <c r="B607" s="2">
        <f t="shared" si="63"/>
        <v>45317.208333333336</v>
      </c>
      <c r="C607" t="s">
        <v>1661</v>
      </c>
      <c r="D607" t="s">
        <v>27</v>
      </c>
      <c r="E607" t="str">
        <f>PROPER(TRIM(CLEAN(Sales_Table[[#This Row],[Region]])))</f>
        <v>East</v>
      </c>
      <c r="F607" t="s">
        <v>28</v>
      </c>
      <c r="G607" t="str">
        <f t="shared" si="64"/>
        <v>Clothing</v>
      </c>
      <c r="H607" t="str">
        <f>PROPER(TRIM(CLEAN(Sales_Table[[#This Row],[Product Name]])))</f>
        <v>Led Tv 42Inch</v>
      </c>
      <c r="I607" t="s">
        <v>58</v>
      </c>
      <c r="J607" t="str">
        <f t="shared" si="65"/>
        <v>CUST0058</v>
      </c>
      <c r="K607" t="s">
        <v>1381</v>
      </c>
      <c r="L607" t="str">
        <f>PROPER(TRIM(CLEAN(Sales_Table[[#This Row],[Salesperson]])))</f>
        <v>Meena</v>
      </c>
      <c r="M607" t="s">
        <v>40</v>
      </c>
      <c r="N607" t="str">
        <f t="shared" si="66"/>
        <v>Debit Card</v>
      </c>
      <c r="O607" t="s">
        <v>41</v>
      </c>
      <c r="P607">
        <f t="shared" si="67"/>
        <v>6</v>
      </c>
      <c r="Q607" t="s">
        <v>75</v>
      </c>
      <c r="R607">
        <f t="shared" si="68"/>
        <v>4743</v>
      </c>
      <c r="S607" t="s">
        <v>1662</v>
      </c>
      <c r="T607">
        <f t="shared" si="69"/>
        <v>28458</v>
      </c>
      <c r="U607">
        <f>YEAR(Sales_Table[[#This Row],[Date_clean]])</f>
        <v>2024</v>
      </c>
      <c r="V607" t="str">
        <f>TEXT(Sales_Table[[#This Row],[Date_clean]],"mmmm")</f>
        <v>January</v>
      </c>
      <c r="W607">
        <f>WEEKNUM(Sales_Table[[#This Row],[Date_clean]],2)</f>
        <v>4</v>
      </c>
      <c r="X607" t="str" cm="1">
        <f t="array" ref="X607">_xlfn.IFS(Sales_Table[[#This Row],[Revenue]]&gt;=50000,"High",Sales_Table[[#This Row],[Revenue]]&gt;=20000,"Medium",Sales_Table[[#This Row],[Revenue]]&lt;20000,"Low")</f>
        <v>Medium</v>
      </c>
      <c r="Y607" t="str">
        <f>IF(Sales_Table[[#This Row],[Payment Method_clean]]="cash","Offline","Online")</f>
        <v>Online</v>
      </c>
      <c r="Z607">
        <f>IFERROR(Sales_Table[[#This Row],[Revenue]],0)</f>
        <v>28458</v>
      </c>
    </row>
    <row r="608" spans="1:26" x14ac:dyDescent="0.3">
      <c r="A608">
        <v>607</v>
      </c>
      <c r="B608" s="2">
        <f t="shared" si="63"/>
        <v>45317.25</v>
      </c>
      <c r="C608" t="s">
        <v>1663</v>
      </c>
      <c r="D608" t="s">
        <v>27</v>
      </c>
      <c r="E608" t="str">
        <f>PROPER(TRIM(CLEAN(Sales_Table[[#This Row],[Region]])))</f>
        <v>East</v>
      </c>
      <c r="F608" t="s">
        <v>37</v>
      </c>
      <c r="G608" t="str">
        <f t="shared" si="64"/>
        <v>Home Appliances</v>
      </c>
      <c r="H608" t="str">
        <f>PROPER(TRIM(CLEAN(Sales_Table[[#This Row],[Product Name]])))</f>
        <v>Mixer Grinder</v>
      </c>
      <c r="I608" t="s">
        <v>29</v>
      </c>
      <c r="J608" t="str">
        <f t="shared" si="65"/>
        <v>CUST0269</v>
      </c>
      <c r="K608" t="s">
        <v>216</v>
      </c>
      <c r="L608" t="str">
        <f>PROPER(TRIM(CLEAN(Sales_Table[[#This Row],[Salesperson]])))</f>
        <v>Anita</v>
      </c>
      <c r="M608" t="s">
        <v>64</v>
      </c>
      <c r="N608" t="str">
        <f t="shared" si="66"/>
        <v>Credit Card</v>
      </c>
      <c r="O608" t="s">
        <v>65</v>
      </c>
      <c r="P608">
        <f t="shared" si="67"/>
        <v>5</v>
      </c>
      <c r="Q608" t="s">
        <v>89</v>
      </c>
      <c r="R608">
        <f t="shared" si="68"/>
        <v>231</v>
      </c>
      <c r="S608" t="s">
        <v>1664</v>
      </c>
      <c r="T608">
        <f t="shared" si="69"/>
        <v>1155</v>
      </c>
      <c r="U608">
        <f>YEAR(Sales_Table[[#This Row],[Date_clean]])</f>
        <v>2024</v>
      </c>
      <c r="V608" t="str">
        <f>TEXT(Sales_Table[[#This Row],[Date_clean]],"mmmm")</f>
        <v>January</v>
      </c>
      <c r="W608">
        <f>WEEKNUM(Sales_Table[[#This Row],[Date_clean]],2)</f>
        <v>4</v>
      </c>
      <c r="X608" t="str" cm="1">
        <f t="array" ref="X608">_xlfn.IFS(Sales_Table[[#This Row],[Revenue]]&gt;=50000,"High",Sales_Table[[#This Row],[Revenue]]&gt;=20000,"Medium",Sales_Table[[#This Row],[Revenue]]&lt;20000,"Low")</f>
        <v>Low</v>
      </c>
      <c r="Y608" t="str">
        <f>IF(Sales_Table[[#This Row],[Payment Method_clean]]="cash","Offline","Online")</f>
        <v>Online</v>
      </c>
      <c r="Z608">
        <f>IFERROR(Sales_Table[[#This Row],[Revenue]],0)</f>
        <v>1155</v>
      </c>
    </row>
    <row r="609" spans="1:26" x14ac:dyDescent="0.3">
      <c r="A609">
        <v>608</v>
      </c>
      <c r="B609" s="2">
        <f t="shared" si="63"/>
        <v>45317.291666666664</v>
      </c>
      <c r="C609" t="s">
        <v>1665</v>
      </c>
      <c r="D609" t="s">
        <v>36</v>
      </c>
      <c r="E609" t="str">
        <f>PROPER(TRIM(CLEAN(Sales_Table[[#This Row],[Region]])))</f>
        <v>West</v>
      </c>
      <c r="F609" t="s">
        <v>78</v>
      </c>
      <c r="G609" t="str">
        <f t="shared" si="64"/>
        <v>Grocery</v>
      </c>
      <c r="H609" t="str">
        <f>PROPER(TRIM(CLEAN(Sales_Table[[#This Row],[Product Name]])))</f>
        <v>Men T-Shirt</v>
      </c>
      <c r="I609" t="s">
        <v>38</v>
      </c>
      <c r="J609" t="str">
        <f t="shared" si="65"/>
        <v>CUST0308</v>
      </c>
      <c r="K609" t="s">
        <v>1326</v>
      </c>
      <c r="L609" t="str">
        <f>PROPER(TRIM(CLEAN(Sales_Table[[#This Row],[Salesperson]])))</f>
        <v>Suresh</v>
      </c>
      <c r="M609" t="s">
        <v>54</v>
      </c>
      <c r="N609" t="str">
        <f t="shared" si="66"/>
        <v>Upi</v>
      </c>
      <c r="O609" t="s">
        <v>48</v>
      </c>
      <c r="P609">
        <f t="shared" si="67"/>
        <v>14</v>
      </c>
      <c r="Q609" t="s">
        <v>55</v>
      </c>
      <c r="R609">
        <f t="shared" si="68"/>
        <v>957</v>
      </c>
      <c r="S609" t="s">
        <v>1666</v>
      </c>
      <c r="T609">
        <f t="shared" si="69"/>
        <v>13398</v>
      </c>
      <c r="U609">
        <f>YEAR(Sales_Table[[#This Row],[Date_clean]])</f>
        <v>2024</v>
      </c>
      <c r="V609" t="str">
        <f>TEXT(Sales_Table[[#This Row],[Date_clean]],"mmmm")</f>
        <v>January</v>
      </c>
      <c r="W609">
        <f>WEEKNUM(Sales_Table[[#This Row],[Date_clean]],2)</f>
        <v>4</v>
      </c>
      <c r="X609" t="str" cm="1">
        <f t="array" ref="X609">_xlfn.IFS(Sales_Table[[#This Row],[Revenue]]&gt;=50000,"High",Sales_Table[[#This Row],[Revenue]]&gt;=20000,"Medium",Sales_Table[[#This Row],[Revenue]]&lt;20000,"Low")</f>
        <v>Low</v>
      </c>
      <c r="Y609" t="str">
        <f>IF(Sales_Table[[#This Row],[Payment Method_clean]]="cash","Offline","Online")</f>
        <v>Online</v>
      </c>
      <c r="Z609">
        <f>IFERROR(Sales_Table[[#This Row],[Revenue]],0)</f>
        <v>13398</v>
      </c>
    </row>
    <row r="610" spans="1:26" x14ac:dyDescent="0.3">
      <c r="A610">
        <v>609</v>
      </c>
      <c r="B610" s="2">
        <f t="shared" si="63"/>
        <v>45317.333333333336</v>
      </c>
      <c r="C610" t="s">
        <v>1667</v>
      </c>
      <c r="D610" t="s">
        <v>36</v>
      </c>
      <c r="E610" t="str">
        <f>PROPER(TRIM(CLEAN(Sales_Table[[#This Row],[Region]])))</f>
        <v>West</v>
      </c>
      <c r="F610" t="s">
        <v>46</v>
      </c>
      <c r="G610" t="str">
        <f t="shared" si="64"/>
        <v>Electronics</v>
      </c>
      <c r="H610" t="str">
        <f>PROPER(TRIM(CLEAN(Sales_Table[[#This Row],[Product Name]])))</f>
        <v>Men T-Shirt</v>
      </c>
      <c r="I610" t="s">
        <v>38</v>
      </c>
      <c r="J610" t="str">
        <f t="shared" si="65"/>
        <v>CUST0570</v>
      </c>
      <c r="K610" t="s">
        <v>931</v>
      </c>
      <c r="L610" t="str">
        <f>PROPER(TRIM(CLEAN(Sales_Table[[#This Row],[Salesperson]])))</f>
        <v>Rahul</v>
      </c>
      <c r="M610" t="s">
        <v>31</v>
      </c>
      <c r="N610" t="str">
        <f t="shared" si="66"/>
        <v>Credit Card</v>
      </c>
      <c r="O610" t="s">
        <v>65</v>
      </c>
      <c r="P610">
        <f t="shared" si="67"/>
        <v>5</v>
      </c>
      <c r="Q610" t="s">
        <v>89</v>
      </c>
      <c r="R610">
        <f t="shared" si="68"/>
        <v>620</v>
      </c>
      <c r="S610" t="s">
        <v>1668</v>
      </c>
      <c r="T610">
        <f t="shared" si="69"/>
        <v>3100</v>
      </c>
      <c r="U610">
        <f>YEAR(Sales_Table[[#This Row],[Date_clean]])</f>
        <v>2024</v>
      </c>
      <c r="V610" t="str">
        <f>TEXT(Sales_Table[[#This Row],[Date_clean]],"mmmm")</f>
        <v>January</v>
      </c>
      <c r="W610">
        <f>WEEKNUM(Sales_Table[[#This Row],[Date_clean]],2)</f>
        <v>4</v>
      </c>
      <c r="X610" t="str" cm="1">
        <f t="array" ref="X610">_xlfn.IFS(Sales_Table[[#This Row],[Revenue]]&gt;=50000,"High",Sales_Table[[#This Row],[Revenue]]&gt;=20000,"Medium",Sales_Table[[#This Row],[Revenue]]&lt;20000,"Low")</f>
        <v>Low</v>
      </c>
      <c r="Y610" t="str">
        <f>IF(Sales_Table[[#This Row],[Payment Method_clean]]="cash","Offline","Online")</f>
        <v>Online</v>
      </c>
      <c r="Z610">
        <f>IFERROR(Sales_Table[[#This Row],[Revenue]],0)</f>
        <v>3100</v>
      </c>
    </row>
    <row r="611" spans="1:26" x14ac:dyDescent="0.3">
      <c r="A611">
        <v>610</v>
      </c>
      <c r="B611" s="2">
        <f t="shared" si="63"/>
        <v>45317.375</v>
      </c>
      <c r="C611" t="s">
        <v>1669</v>
      </c>
      <c r="D611" t="s">
        <v>36</v>
      </c>
      <c r="E611" t="str">
        <f>PROPER(TRIM(CLEAN(Sales_Table[[#This Row],[Region]])))</f>
        <v>West</v>
      </c>
      <c r="F611" t="s">
        <v>37</v>
      </c>
      <c r="G611" t="str">
        <f t="shared" si="64"/>
        <v>Home Appliances</v>
      </c>
      <c r="H611" t="str">
        <f>PROPER(TRIM(CLEAN(Sales_Table[[#This Row],[Product Name]])))</f>
        <v>Men T-Shirt</v>
      </c>
      <c r="I611" t="s">
        <v>38</v>
      </c>
      <c r="J611" t="str">
        <f t="shared" si="65"/>
        <v>CUST0288</v>
      </c>
      <c r="K611" t="s">
        <v>663</v>
      </c>
      <c r="L611" t="str">
        <f>PROPER(TRIM(CLEAN(Sales_Table[[#This Row],[Salesperson]])))</f>
        <v>Rahul</v>
      </c>
      <c r="M611" t="s">
        <v>31</v>
      </c>
      <c r="N611" t="str">
        <f t="shared" si="66"/>
        <v>Credit Card</v>
      </c>
      <c r="O611" t="s">
        <v>65</v>
      </c>
      <c r="P611">
        <f t="shared" si="67"/>
        <v>4</v>
      </c>
      <c r="Q611" t="s">
        <v>113</v>
      </c>
      <c r="R611">
        <f t="shared" si="68"/>
        <v>129</v>
      </c>
      <c r="S611" t="s">
        <v>1670</v>
      </c>
      <c r="T611">
        <f t="shared" si="69"/>
        <v>516</v>
      </c>
      <c r="U611">
        <f>YEAR(Sales_Table[[#This Row],[Date_clean]])</f>
        <v>2024</v>
      </c>
      <c r="V611" t="str">
        <f>TEXT(Sales_Table[[#This Row],[Date_clean]],"mmmm")</f>
        <v>January</v>
      </c>
      <c r="W611">
        <f>WEEKNUM(Sales_Table[[#This Row],[Date_clean]],2)</f>
        <v>4</v>
      </c>
      <c r="X611" t="str" cm="1">
        <f t="array" ref="X611">_xlfn.IFS(Sales_Table[[#This Row],[Revenue]]&gt;=50000,"High",Sales_Table[[#This Row],[Revenue]]&gt;=20000,"Medium",Sales_Table[[#This Row],[Revenue]]&lt;20000,"Low")</f>
        <v>Low</v>
      </c>
      <c r="Y611" t="str">
        <f>IF(Sales_Table[[#This Row],[Payment Method_clean]]="cash","Offline","Online")</f>
        <v>Online</v>
      </c>
      <c r="Z611">
        <f>IFERROR(Sales_Table[[#This Row],[Revenue]],0)</f>
        <v>516</v>
      </c>
    </row>
    <row r="612" spans="1:26" x14ac:dyDescent="0.3">
      <c r="A612">
        <v>611</v>
      </c>
      <c r="B612" s="2">
        <f t="shared" si="63"/>
        <v>45317.416666666664</v>
      </c>
      <c r="C612" t="s">
        <v>1671</v>
      </c>
      <c r="D612" t="s">
        <v>45</v>
      </c>
      <c r="E612" t="str">
        <f>PROPER(TRIM(CLEAN(Sales_Table[[#This Row],[Region]])))</f>
        <v>North</v>
      </c>
      <c r="F612" t="s">
        <v>37</v>
      </c>
      <c r="G612" t="str">
        <f t="shared" si="64"/>
        <v>Home Appliances</v>
      </c>
      <c r="H612" t="str">
        <f>PROPER(TRIM(CLEAN(Sales_Table[[#This Row],[Product Name]])))</f>
        <v>Laptop</v>
      </c>
      <c r="I612" t="s">
        <v>52</v>
      </c>
      <c r="J612" t="str">
        <f t="shared" si="65"/>
        <v>CUST0105</v>
      </c>
      <c r="K612" t="s">
        <v>1672</v>
      </c>
      <c r="L612" t="str">
        <f>PROPER(TRIM(CLEAN(Sales_Table[[#This Row],[Salesperson]])))</f>
        <v>Rahul</v>
      </c>
      <c r="M612" t="s">
        <v>31</v>
      </c>
      <c r="N612" t="str">
        <f t="shared" si="66"/>
        <v>Credit Card</v>
      </c>
      <c r="O612" t="s">
        <v>65</v>
      </c>
      <c r="P612">
        <f t="shared" si="67"/>
        <v>6</v>
      </c>
      <c r="Q612" t="s">
        <v>75</v>
      </c>
      <c r="R612">
        <f t="shared" si="68"/>
        <v>3496</v>
      </c>
      <c r="S612" t="s">
        <v>1673</v>
      </c>
      <c r="T612">
        <f t="shared" si="69"/>
        <v>20976</v>
      </c>
      <c r="U612">
        <f>YEAR(Sales_Table[[#This Row],[Date_clean]])</f>
        <v>2024</v>
      </c>
      <c r="V612" t="str">
        <f>TEXT(Sales_Table[[#This Row],[Date_clean]],"mmmm")</f>
        <v>January</v>
      </c>
      <c r="W612">
        <f>WEEKNUM(Sales_Table[[#This Row],[Date_clean]],2)</f>
        <v>4</v>
      </c>
      <c r="X612" t="str" cm="1">
        <f t="array" ref="X612">_xlfn.IFS(Sales_Table[[#This Row],[Revenue]]&gt;=50000,"High",Sales_Table[[#This Row],[Revenue]]&gt;=20000,"Medium",Sales_Table[[#This Row],[Revenue]]&lt;20000,"Low")</f>
        <v>Medium</v>
      </c>
      <c r="Y612" t="str">
        <f>IF(Sales_Table[[#This Row],[Payment Method_clean]]="cash","Offline","Online")</f>
        <v>Online</v>
      </c>
      <c r="Z612">
        <f>IFERROR(Sales_Table[[#This Row],[Revenue]],0)</f>
        <v>20976</v>
      </c>
    </row>
    <row r="613" spans="1:26" x14ac:dyDescent="0.3">
      <c r="A613">
        <v>612</v>
      </c>
      <c r="B613" s="2">
        <f t="shared" si="63"/>
        <v>45317.458333333336</v>
      </c>
      <c r="C613" t="s">
        <v>1674</v>
      </c>
      <c r="D613" t="s">
        <v>84</v>
      </c>
      <c r="E613" t="str">
        <f>PROPER(TRIM(CLEAN(Sales_Table[[#This Row],[Region]])))</f>
        <v>South</v>
      </c>
      <c r="F613" t="s">
        <v>37</v>
      </c>
      <c r="G613" t="str">
        <f t="shared" si="64"/>
        <v>Home Appliances</v>
      </c>
      <c r="H613" t="str">
        <f>PROPER(TRIM(CLEAN(Sales_Table[[#This Row],[Product Name]])))</f>
        <v>Men T-Shirt</v>
      </c>
      <c r="I613" t="s">
        <v>38</v>
      </c>
      <c r="J613" t="str">
        <f t="shared" si="65"/>
        <v>CUST0228</v>
      </c>
      <c r="K613" t="s">
        <v>1675</v>
      </c>
      <c r="L613" t="str">
        <f>PROPER(TRIM(CLEAN(Sales_Table[[#This Row],[Salesperson]])))</f>
        <v>Meena</v>
      </c>
      <c r="M613" t="s">
        <v>40</v>
      </c>
      <c r="N613" t="str">
        <f t="shared" si="66"/>
        <v>Debit Card</v>
      </c>
      <c r="O613" t="s">
        <v>41</v>
      </c>
      <c r="P613">
        <f t="shared" si="67"/>
        <v>5</v>
      </c>
      <c r="Q613" t="s">
        <v>89</v>
      </c>
      <c r="R613">
        <f t="shared" si="68"/>
        <v>4704</v>
      </c>
      <c r="S613" t="s">
        <v>1676</v>
      </c>
      <c r="T613">
        <f t="shared" si="69"/>
        <v>23520</v>
      </c>
      <c r="U613">
        <f>YEAR(Sales_Table[[#This Row],[Date_clean]])</f>
        <v>2024</v>
      </c>
      <c r="V613" t="str">
        <f>TEXT(Sales_Table[[#This Row],[Date_clean]],"mmmm")</f>
        <v>January</v>
      </c>
      <c r="W613">
        <f>WEEKNUM(Sales_Table[[#This Row],[Date_clean]],2)</f>
        <v>4</v>
      </c>
      <c r="X613" t="str" cm="1">
        <f t="array" ref="X613">_xlfn.IFS(Sales_Table[[#This Row],[Revenue]]&gt;=50000,"High",Sales_Table[[#This Row],[Revenue]]&gt;=20000,"Medium",Sales_Table[[#This Row],[Revenue]]&lt;20000,"Low")</f>
        <v>Medium</v>
      </c>
      <c r="Y613" t="str">
        <f>IF(Sales_Table[[#This Row],[Payment Method_clean]]="cash","Offline","Online")</f>
        <v>Online</v>
      </c>
      <c r="Z613">
        <f>IFERROR(Sales_Table[[#This Row],[Revenue]],0)</f>
        <v>23520</v>
      </c>
    </row>
    <row r="614" spans="1:26" x14ac:dyDescent="0.3">
      <c r="A614">
        <v>613</v>
      </c>
      <c r="B614" s="2">
        <f t="shared" si="63"/>
        <v>45317.5</v>
      </c>
      <c r="C614" t="s">
        <v>1677</v>
      </c>
      <c r="D614" t="s">
        <v>36</v>
      </c>
      <c r="E614" t="str">
        <f>PROPER(TRIM(CLEAN(Sales_Table[[#This Row],[Region]])))</f>
        <v>West</v>
      </c>
      <c r="F614" t="s">
        <v>46</v>
      </c>
      <c r="G614" t="str">
        <f t="shared" si="64"/>
        <v>Electronics</v>
      </c>
      <c r="H614" t="str">
        <f>PROPER(TRIM(CLEAN(Sales_Table[[#This Row],[Product Name]])))</f>
        <v>Rice 5Kg</v>
      </c>
      <c r="I614" t="s">
        <v>73</v>
      </c>
      <c r="J614" t="str">
        <f t="shared" si="65"/>
        <v>CUST0247</v>
      </c>
      <c r="K614" t="s">
        <v>1089</v>
      </c>
      <c r="L614" t="str">
        <f>PROPER(TRIM(CLEAN(Sales_Table[[#This Row],[Salesperson]])))</f>
        <v>Anita</v>
      </c>
      <c r="M614" t="s">
        <v>64</v>
      </c>
      <c r="N614" t="str">
        <f t="shared" si="66"/>
        <v>Cash</v>
      </c>
      <c r="O614" t="s">
        <v>32</v>
      </c>
      <c r="P614">
        <f t="shared" si="67"/>
        <v>11</v>
      </c>
      <c r="Q614" t="s">
        <v>97</v>
      </c>
      <c r="R614">
        <f t="shared" si="68"/>
        <v>1360</v>
      </c>
      <c r="S614" t="s">
        <v>1678</v>
      </c>
      <c r="T614">
        <f t="shared" si="69"/>
        <v>14960</v>
      </c>
      <c r="U614">
        <f>YEAR(Sales_Table[[#This Row],[Date_clean]])</f>
        <v>2024</v>
      </c>
      <c r="V614" t="str">
        <f>TEXT(Sales_Table[[#This Row],[Date_clean]],"mmmm")</f>
        <v>January</v>
      </c>
      <c r="W614">
        <f>WEEKNUM(Sales_Table[[#This Row],[Date_clean]],2)</f>
        <v>4</v>
      </c>
      <c r="X614" t="str" cm="1">
        <f t="array" ref="X614">_xlfn.IFS(Sales_Table[[#This Row],[Revenue]]&gt;=50000,"High",Sales_Table[[#This Row],[Revenue]]&gt;=20000,"Medium",Sales_Table[[#This Row],[Revenue]]&lt;20000,"Low")</f>
        <v>Low</v>
      </c>
      <c r="Y614" t="str">
        <f>IF(Sales_Table[[#This Row],[Payment Method_clean]]="cash","Offline","Online")</f>
        <v>Offline</v>
      </c>
      <c r="Z614">
        <f>IFERROR(Sales_Table[[#This Row],[Revenue]],0)</f>
        <v>14960</v>
      </c>
    </row>
    <row r="615" spans="1:26" x14ac:dyDescent="0.3">
      <c r="A615">
        <v>614</v>
      </c>
      <c r="B615" s="2">
        <f t="shared" si="63"/>
        <v>45317.541666666664</v>
      </c>
      <c r="C615" t="s">
        <v>1679</v>
      </c>
      <c r="D615" t="s">
        <v>84</v>
      </c>
      <c r="E615" t="str">
        <f>PROPER(TRIM(CLEAN(Sales_Table[[#This Row],[Region]])))</f>
        <v>South</v>
      </c>
      <c r="F615" t="s">
        <v>37</v>
      </c>
      <c r="G615" t="str">
        <f t="shared" si="64"/>
        <v>Home Appliances</v>
      </c>
      <c r="H615" t="str">
        <f>PROPER(TRIM(CLEAN(Sales_Table[[#This Row],[Product Name]])))</f>
        <v>Rice 5Kg</v>
      </c>
      <c r="I615" t="s">
        <v>73</v>
      </c>
      <c r="J615" t="str">
        <f t="shared" si="65"/>
        <v>CUST0700</v>
      </c>
      <c r="K615" t="s">
        <v>1680</v>
      </c>
      <c r="L615" t="str">
        <f>PROPER(TRIM(CLEAN(Sales_Table[[#This Row],[Salesperson]])))</f>
        <v>Karthik</v>
      </c>
      <c r="M615" t="s">
        <v>70</v>
      </c>
      <c r="N615" t="str">
        <f t="shared" si="66"/>
        <v>Net Banking</v>
      </c>
      <c r="O615" t="s">
        <v>60</v>
      </c>
      <c r="P615">
        <f t="shared" si="67"/>
        <v>4</v>
      </c>
      <c r="Q615" t="s">
        <v>113</v>
      </c>
      <c r="R615">
        <f t="shared" si="68"/>
        <v>1658</v>
      </c>
      <c r="S615" t="s">
        <v>1681</v>
      </c>
      <c r="T615">
        <f t="shared" si="69"/>
        <v>6632</v>
      </c>
      <c r="U615">
        <f>YEAR(Sales_Table[[#This Row],[Date_clean]])</f>
        <v>2024</v>
      </c>
      <c r="V615" t="str">
        <f>TEXT(Sales_Table[[#This Row],[Date_clean]],"mmmm")</f>
        <v>January</v>
      </c>
      <c r="W615">
        <f>WEEKNUM(Sales_Table[[#This Row],[Date_clean]],2)</f>
        <v>4</v>
      </c>
      <c r="X615" t="str" cm="1">
        <f t="array" ref="X615">_xlfn.IFS(Sales_Table[[#This Row],[Revenue]]&gt;=50000,"High",Sales_Table[[#This Row],[Revenue]]&gt;=20000,"Medium",Sales_Table[[#This Row],[Revenue]]&lt;20000,"Low")</f>
        <v>Low</v>
      </c>
      <c r="Y615" t="str">
        <f>IF(Sales_Table[[#This Row],[Payment Method_clean]]="cash","Offline","Online")</f>
        <v>Online</v>
      </c>
      <c r="Z615">
        <f>IFERROR(Sales_Table[[#This Row],[Revenue]],0)</f>
        <v>6632</v>
      </c>
    </row>
    <row r="616" spans="1:26" x14ac:dyDescent="0.3">
      <c r="A616">
        <v>615</v>
      </c>
      <c r="B616" s="2">
        <f t="shared" si="63"/>
        <v>45317.583333333336</v>
      </c>
      <c r="C616" t="s">
        <v>1682</v>
      </c>
      <c r="D616" t="s">
        <v>84</v>
      </c>
      <c r="E616" t="str">
        <f>PROPER(TRIM(CLEAN(Sales_Table[[#This Row],[Region]])))</f>
        <v>South</v>
      </c>
      <c r="F616" t="s">
        <v>46</v>
      </c>
      <c r="G616" t="str">
        <f t="shared" si="64"/>
        <v>Electronics</v>
      </c>
      <c r="H616" t="str">
        <f>PROPER(TRIM(CLEAN(Sales_Table[[#This Row],[Product Name]])))</f>
        <v>Laptop</v>
      </c>
      <c r="I616" t="s">
        <v>52</v>
      </c>
      <c r="J616" t="str">
        <f t="shared" si="65"/>
        <v>CUST0494</v>
      </c>
      <c r="K616" t="s">
        <v>916</v>
      </c>
      <c r="L616" t="str">
        <f>PROPER(TRIM(CLEAN(Sales_Table[[#This Row],[Salesperson]])))</f>
        <v>Anita</v>
      </c>
      <c r="M616" t="s">
        <v>64</v>
      </c>
      <c r="N616" t="str">
        <f t="shared" si="66"/>
        <v>Credit Card</v>
      </c>
      <c r="O616" t="s">
        <v>65</v>
      </c>
      <c r="P616">
        <f t="shared" si="67"/>
        <v>13</v>
      </c>
      <c r="Q616" t="s">
        <v>81</v>
      </c>
      <c r="R616">
        <f t="shared" si="68"/>
        <v>115</v>
      </c>
      <c r="S616" t="s">
        <v>1544</v>
      </c>
      <c r="T616">
        <f t="shared" si="69"/>
        <v>1495</v>
      </c>
      <c r="U616">
        <f>YEAR(Sales_Table[[#This Row],[Date_clean]])</f>
        <v>2024</v>
      </c>
      <c r="V616" t="str">
        <f>TEXT(Sales_Table[[#This Row],[Date_clean]],"mmmm")</f>
        <v>January</v>
      </c>
      <c r="W616">
        <f>WEEKNUM(Sales_Table[[#This Row],[Date_clean]],2)</f>
        <v>4</v>
      </c>
      <c r="X616" t="str" cm="1">
        <f t="array" ref="X616">_xlfn.IFS(Sales_Table[[#This Row],[Revenue]]&gt;=50000,"High",Sales_Table[[#This Row],[Revenue]]&gt;=20000,"Medium",Sales_Table[[#This Row],[Revenue]]&lt;20000,"Low")</f>
        <v>Low</v>
      </c>
      <c r="Y616" t="str">
        <f>IF(Sales_Table[[#This Row],[Payment Method_clean]]="cash","Offline","Online")</f>
        <v>Online</v>
      </c>
      <c r="Z616">
        <f>IFERROR(Sales_Table[[#This Row],[Revenue]],0)</f>
        <v>1495</v>
      </c>
    </row>
    <row r="617" spans="1:26" x14ac:dyDescent="0.3">
      <c r="A617">
        <v>616</v>
      </c>
      <c r="B617" s="2">
        <f t="shared" si="63"/>
        <v>45317.625</v>
      </c>
      <c r="C617" t="s">
        <v>1683</v>
      </c>
      <c r="D617" t="s">
        <v>27</v>
      </c>
      <c r="E617" t="str">
        <f>PROPER(TRIM(CLEAN(Sales_Table[[#This Row],[Region]])))</f>
        <v>East</v>
      </c>
      <c r="F617" t="s">
        <v>37</v>
      </c>
      <c r="G617" t="str">
        <f t="shared" si="64"/>
        <v>Home Appliances</v>
      </c>
      <c r="H617" t="str">
        <f>PROPER(TRIM(CLEAN(Sales_Table[[#This Row],[Product Name]])))</f>
        <v>Washing Machine</v>
      </c>
      <c r="I617" t="s">
        <v>79</v>
      </c>
      <c r="J617" t="str">
        <f t="shared" si="65"/>
        <v>CUST0083</v>
      </c>
      <c r="K617" t="s">
        <v>1684</v>
      </c>
      <c r="L617" t="str">
        <f>PROPER(TRIM(CLEAN(Sales_Table[[#This Row],[Salesperson]])))</f>
        <v>Meena</v>
      </c>
      <c r="M617" t="s">
        <v>40</v>
      </c>
      <c r="N617" t="str">
        <f t="shared" si="66"/>
        <v>Credit Card</v>
      </c>
      <c r="O617" t="s">
        <v>65</v>
      </c>
      <c r="P617">
        <f t="shared" si="67"/>
        <v>9</v>
      </c>
      <c r="Q617" t="s">
        <v>130</v>
      </c>
      <c r="R617">
        <f t="shared" si="68"/>
        <v>3705</v>
      </c>
      <c r="S617" t="s">
        <v>1685</v>
      </c>
      <c r="T617">
        <f t="shared" si="69"/>
        <v>33345</v>
      </c>
      <c r="U617">
        <f>YEAR(Sales_Table[[#This Row],[Date_clean]])</f>
        <v>2024</v>
      </c>
      <c r="V617" t="str">
        <f>TEXT(Sales_Table[[#This Row],[Date_clean]],"mmmm")</f>
        <v>January</v>
      </c>
      <c r="W617">
        <f>WEEKNUM(Sales_Table[[#This Row],[Date_clean]],2)</f>
        <v>4</v>
      </c>
      <c r="X617" t="str" cm="1">
        <f t="array" ref="X617">_xlfn.IFS(Sales_Table[[#This Row],[Revenue]]&gt;=50000,"High",Sales_Table[[#This Row],[Revenue]]&gt;=20000,"Medium",Sales_Table[[#This Row],[Revenue]]&lt;20000,"Low")</f>
        <v>Medium</v>
      </c>
      <c r="Y617" t="str">
        <f>IF(Sales_Table[[#This Row],[Payment Method_clean]]="cash","Offline","Online")</f>
        <v>Online</v>
      </c>
      <c r="Z617">
        <f>IFERROR(Sales_Table[[#This Row],[Revenue]],0)</f>
        <v>33345</v>
      </c>
    </row>
    <row r="618" spans="1:26" x14ac:dyDescent="0.3">
      <c r="A618">
        <v>617</v>
      </c>
      <c r="B618" s="2">
        <f t="shared" si="63"/>
        <v>45317.666666666664</v>
      </c>
      <c r="C618" t="s">
        <v>1686</v>
      </c>
      <c r="D618" t="s">
        <v>45</v>
      </c>
      <c r="E618" t="str">
        <f>PROPER(TRIM(CLEAN(Sales_Table[[#This Row],[Region]])))</f>
        <v>North</v>
      </c>
      <c r="F618" t="s">
        <v>46</v>
      </c>
      <c r="G618" t="str">
        <f t="shared" si="64"/>
        <v>Electronics</v>
      </c>
      <c r="H618" t="str">
        <f>PROPER(TRIM(CLEAN(Sales_Table[[#This Row],[Product Name]])))</f>
        <v>Led Tv 42Inch</v>
      </c>
      <c r="I618" t="s">
        <v>58</v>
      </c>
      <c r="J618" t="str">
        <f t="shared" si="65"/>
        <v>CUST0186</v>
      </c>
      <c r="K618" t="s">
        <v>1687</v>
      </c>
      <c r="L618" t="str">
        <f>PROPER(TRIM(CLEAN(Sales_Table[[#This Row],[Salesperson]])))</f>
        <v>Rahul</v>
      </c>
      <c r="M618" t="s">
        <v>31</v>
      </c>
      <c r="N618" t="str">
        <f t="shared" si="66"/>
        <v>Credit Card</v>
      </c>
      <c r="O618" t="s">
        <v>65</v>
      </c>
      <c r="P618">
        <f t="shared" si="67"/>
        <v>13</v>
      </c>
      <c r="Q618" t="s">
        <v>81</v>
      </c>
      <c r="R618">
        <f t="shared" si="68"/>
        <v>1707</v>
      </c>
      <c r="S618" t="s">
        <v>1688</v>
      </c>
      <c r="T618">
        <f t="shared" si="69"/>
        <v>22191</v>
      </c>
      <c r="U618">
        <f>YEAR(Sales_Table[[#This Row],[Date_clean]])</f>
        <v>2024</v>
      </c>
      <c r="V618" t="str">
        <f>TEXT(Sales_Table[[#This Row],[Date_clean]],"mmmm")</f>
        <v>January</v>
      </c>
      <c r="W618">
        <f>WEEKNUM(Sales_Table[[#This Row],[Date_clean]],2)</f>
        <v>4</v>
      </c>
      <c r="X618" t="str" cm="1">
        <f t="array" ref="X618">_xlfn.IFS(Sales_Table[[#This Row],[Revenue]]&gt;=50000,"High",Sales_Table[[#This Row],[Revenue]]&gt;=20000,"Medium",Sales_Table[[#This Row],[Revenue]]&lt;20000,"Low")</f>
        <v>Medium</v>
      </c>
      <c r="Y618" t="str">
        <f>IF(Sales_Table[[#This Row],[Payment Method_clean]]="cash","Offline","Online")</f>
        <v>Online</v>
      </c>
      <c r="Z618">
        <f>IFERROR(Sales_Table[[#This Row],[Revenue]],0)</f>
        <v>22191</v>
      </c>
    </row>
    <row r="619" spans="1:26" x14ac:dyDescent="0.3">
      <c r="A619">
        <v>618</v>
      </c>
      <c r="B619" s="2">
        <f t="shared" si="63"/>
        <v>45317.708333333336</v>
      </c>
      <c r="C619" t="s">
        <v>1689</v>
      </c>
      <c r="D619" t="s">
        <v>36</v>
      </c>
      <c r="E619" t="str">
        <f>PROPER(TRIM(CLEAN(Sales_Table[[#This Row],[Region]])))</f>
        <v>West</v>
      </c>
      <c r="F619" t="s">
        <v>28</v>
      </c>
      <c r="G619" t="str">
        <f t="shared" si="64"/>
        <v>Clothing</v>
      </c>
      <c r="H619" t="str">
        <f>PROPER(TRIM(CLEAN(Sales_Table[[#This Row],[Product Name]])))</f>
        <v>Mixer Grinder</v>
      </c>
      <c r="I619" t="s">
        <v>29</v>
      </c>
      <c r="J619" t="str">
        <f t="shared" si="65"/>
        <v>CUST0252</v>
      </c>
      <c r="K619" t="s">
        <v>1690</v>
      </c>
      <c r="L619" t="str">
        <f>PROPER(TRIM(CLEAN(Sales_Table[[#This Row],[Salesperson]])))</f>
        <v>Suresh</v>
      </c>
      <c r="M619" t="s">
        <v>54</v>
      </c>
      <c r="N619" t="str">
        <f t="shared" si="66"/>
        <v>Cash</v>
      </c>
      <c r="O619" t="s">
        <v>32</v>
      </c>
      <c r="P619">
        <f t="shared" si="67"/>
        <v>6</v>
      </c>
      <c r="Q619" t="s">
        <v>75</v>
      </c>
      <c r="R619">
        <f t="shared" si="68"/>
        <v>3617</v>
      </c>
      <c r="S619" t="s">
        <v>1691</v>
      </c>
      <c r="T619">
        <f t="shared" si="69"/>
        <v>21702</v>
      </c>
      <c r="U619">
        <f>YEAR(Sales_Table[[#This Row],[Date_clean]])</f>
        <v>2024</v>
      </c>
      <c r="V619" t="str">
        <f>TEXT(Sales_Table[[#This Row],[Date_clean]],"mmmm")</f>
        <v>January</v>
      </c>
      <c r="W619">
        <f>WEEKNUM(Sales_Table[[#This Row],[Date_clean]],2)</f>
        <v>4</v>
      </c>
      <c r="X619" t="str" cm="1">
        <f t="array" ref="X619">_xlfn.IFS(Sales_Table[[#This Row],[Revenue]]&gt;=50000,"High",Sales_Table[[#This Row],[Revenue]]&gt;=20000,"Medium",Sales_Table[[#This Row],[Revenue]]&lt;20000,"Low")</f>
        <v>Medium</v>
      </c>
      <c r="Y619" t="str">
        <f>IF(Sales_Table[[#This Row],[Payment Method_clean]]="cash","Offline","Online")</f>
        <v>Offline</v>
      </c>
      <c r="Z619">
        <f>IFERROR(Sales_Table[[#This Row],[Revenue]],0)</f>
        <v>21702</v>
      </c>
    </row>
    <row r="620" spans="1:26" x14ac:dyDescent="0.3">
      <c r="A620">
        <v>619</v>
      </c>
      <c r="B620" s="2">
        <f t="shared" si="63"/>
        <v>45317.75</v>
      </c>
      <c r="C620" t="s">
        <v>1692</v>
      </c>
      <c r="D620" t="s">
        <v>27</v>
      </c>
      <c r="E620" t="str">
        <f>PROPER(TRIM(CLEAN(Sales_Table[[#This Row],[Region]])))</f>
        <v>East</v>
      </c>
      <c r="F620" t="s">
        <v>28</v>
      </c>
      <c r="G620" t="str">
        <f t="shared" si="64"/>
        <v>Clothing</v>
      </c>
      <c r="H620" t="str">
        <f>PROPER(TRIM(CLEAN(Sales_Table[[#This Row],[Product Name]])))</f>
        <v>Mixer Grinder</v>
      </c>
      <c r="I620" t="s">
        <v>29</v>
      </c>
      <c r="J620" t="str">
        <f t="shared" si="65"/>
        <v>CUST0355</v>
      </c>
      <c r="K620" t="s">
        <v>144</v>
      </c>
      <c r="L620" t="str">
        <f>PROPER(TRIM(CLEAN(Sales_Table[[#This Row],[Salesperson]])))</f>
        <v>Rahul</v>
      </c>
      <c r="M620" t="s">
        <v>31</v>
      </c>
      <c r="N620" t="str">
        <f t="shared" si="66"/>
        <v>Upi</v>
      </c>
      <c r="O620" t="s">
        <v>48</v>
      </c>
      <c r="P620">
        <f t="shared" si="67"/>
        <v>11</v>
      </c>
      <c r="Q620" t="s">
        <v>97</v>
      </c>
      <c r="R620">
        <f t="shared" si="68"/>
        <v>2116</v>
      </c>
      <c r="S620" t="s">
        <v>1693</v>
      </c>
      <c r="T620">
        <f t="shared" si="69"/>
        <v>23276</v>
      </c>
      <c r="U620">
        <f>YEAR(Sales_Table[[#This Row],[Date_clean]])</f>
        <v>2024</v>
      </c>
      <c r="V620" t="str">
        <f>TEXT(Sales_Table[[#This Row],[Date_clean]],"mmmm")</f>
        <v>January</v>
      </c>
      <c r="W620">
        <f>WEEKNUM(Sales_Table[[#This Row],[Date_clean]],2)</f>
        <v>4</v>
      </c>
      <c r="X620" t="str" cm="1">
        <f t="array" ref="X620">_xlfn.IFS(Sales_Table[[#This Row],[Revenue]]&gt;=50000,"High",Sales_Table[[#This Row],[Revenue]]&gt;=20000,"Medium",Sales_Table[[#This Row],[Revenue]]&lt;20000,"Low")</f>
        <v>Medium</v>
      </c>
      <c r="Y620" t="str">
        <f>IF(Sales_Table[[#This Row],[Payment Method_clean]]="cash","Offline","Online")</f>
        <v>Online</v>
      </c>
      <c r="Z620">
        <f>IFERROR(Sales_Table[[#This Row],[Revenue]],0)</f>
        <v>23276</v>
      </c>
    </row>
    <row r="621" spans="1:26" x14ac:dyDescent="0.3">
      <c r="A621">
        <v>620</v>
      </c>
      <c r="B621" s="2">
        <f t="shared" si="63"/>
        <v>45317.791666666664</v>
      </c>
      <c r="C621" t="s">
        <v>1694</v>
      </c>
      <c r="D621" t="s">
        <v>27</v>
      </c>
      <c r="E621" t="str">
        <f>PROPER(TRIM(CLEAN(Sales_Table[[#This Row],[Region]])))</f>
        <v>East</v>
      </c>
      <c r="F621" t="s">
        <v>28</v>
      </c>
      <c r="G621" t="str">
        <f t="shared" si="64"/>
        <v>Clothing</v>
      </c>
      <c r="H621" t="str">
        <f>PROPER(TRIM(CLEAN(Sales_Table[[#This Row],[Product Name]])))</f>
        <v>Laptop</v>
      </c>
      <c r="I621" t="s">
        <v>52</v>
      </c>
      <c r="J621" t="str">
        <f t="shared" si="65"/>
        <v>CUST0750</v>
      </c>
      <c r="K621" t="s">
        <v>1695</v>
      </c>
      <c r="L621" t="str">
        <f>PROPER(TRIM(CLEAN(Sales_Table[[#This Row],[Salesperson]])))</f>
        <v>Karthik</v>
      </c>
      <c r="M621" t="s">
        <v>70</v>
      </c>
      <c r="N621" t="str">
        <f t="shared" si="66"/>
        <v>Debit Card</v>
      </c>
      <c r="O621" t="s">
        <v>41</v>
      </c>
      <c r="P621">
        <f t="shared" si="67"/>
        <v>10</v>
      </c>
      <c r="Q621" t="s">
        <v>117</v>
      </c>
      <c r="R621">
        <f t="shared" si="68"/>
        <v>3674</v>
      </c>
      <c r="S621" t="s">
        <v>1696</v>
      </c>
      <c r="T621">
        <f t="shared" si="69"/>
        <v>36740</v>
      </c>
      <c r="U621">
        <f>YEAR(Sales_Table[[#This Row],[Date_clean]])</f>
        <v>2024</v>
      </c>
      <c r="V621" t="str">
        <f>TEXT(Sales_Table[[#This Row],[Date_clean]],"mmmm")</f>
        <v>January</v>
      </c>
      <c r="W621">
        <f>WEEKNUM(Sales_Table[[#This Row],[Date_clean]],2)</f>
        <v>4</v>
      </c>
      <c r="X621" t="str" cm="1">
        <f t="array" ref="X621">_xlfn.IFS(Sales_Table[[#This Row],[Revenue]]&gt;=50000,"High",Sales_Table[[#This Row],[Revenue]]&gt;=20000,"Medium",Sales_Table[[#This Row],[Revenue]]&lt;20000,"Low")</f>
        <v>Medium</v>
      </c>
      <c r="Y621" t="str">
        <f>IF(Sales_Table[[#This Row],[Payment Method_clean]]="cash","Offline","Online")</f>
        <v>Online</v>
      </c>
      <c r="Z621">
        <f>IFERROR(Sales_Table[[#This Row],[Revenue]],0)</f>
        <v>36740</v>
      </c>
    </row>
    <row r="622" spans="1:26" x14ac:dyDescent="0.3">
      <c r="A622">
        <v>621</v>
      </c>
      <c r="B622" s="2">
        <f t="shared" si="63"/>
        <v>45317.833333333336</v>
      </c>
      <c r="C622" t="s">
        <v>1697</v>
      </c>
      <c r="D622" t="s">
        <v>36</v>
      </c>
      <c r="E622" t="str">
        <f>PROPER(TRIM(CLEAN(Sales_Table[[#This Row],[Region]])))</f>
        <v>West</v>
      </c>
      <c r="F622" t="s">
        <v>28</v>
      </c>
      <c r="G622" t="str">
        <f t="shared" si="64"/>
        <v>Clothing</v>
      </c>
      <c r="H622" t="str">
        <f>PROPER(TRIM(CLEAN(Sales_Table[[#This Row],[Product Name]])))</f>
        <v>Rice 5Kg</v>
      </c>
      <c r="I622" t="s">
        <v>73</v>
      </c>
      <c r="J622" t="str">
        <f t="shared" si="65"/>
        <v>CUST0696</v>
      </c>
      <c r="K622" t="s">
        <v>1698</v>
      </c>
      <c r="L622" t="str">
        <f>PROPER(TRIM(CLEAN(Sales_Table[[#This Row],[Salesperson]])))</f>
        <v>Suresh</v>
      </c>
      <c r="M622" t="s">
        <v>54</v>
      </c>
      <c r="N622" t="str">
        <f t="shared" si="66"/>
        <v>Cash</v>
      </c>
      <c r="O622" t="s">
        <v>32</v>
      </c>
      <c r="P622">
        <f t="shared" si="67"/>
        <v>10</v>
      </c>
      <c r="Q622" t="s">
        <v>117</v>
      </c>
      <c r="R622">
        <f t="shared" si="68"/>
        <v>1843</v>
      </c>
      <c r="S622" t="s">
        <v>1699</v>
      </c>
      <c r="T622">
        <f t="shared" si="69"/>
        <v>18430</v>
      </c>
      <c r="U622">
        <f>YEAR(Sales_Table[[#This Row],[Date_clean]])</f>
        <v>2024</v>
      </c>
      <c r="V622" t="str">
        <f>TEXT(Sales_Table[[#This Row],[Date_clean]],"mmmm")</f>
        <v>January</v>
      </c>
      <c r="W622">
        <f>WEEKNUM(Sales_Table[[#This Row],[Date_clean]],2)</f>
        <v>4</v>
      </c>
      <c r="X622" t="str" cm="1">
        <f t="array" ref="X622">_xlfn.IFS(Sales_Table[[#This Row],[Revenue]]&gt;=50000,"High",Sales_Table[[#This Row],[Revenue]]&gt;=20000,"Medium",Sales_Table[[#This Row],[Revenue]]&lt;20000,"Low")</f>
        <v>Low</v>
      </c>
      <c r="Y622" t="str">
        <f>IF(Sales_Table[[#This Row],[Payment Method_clean]]="cash","Offline","Online")</f>
        <v>Offline</v>
      </c>
      <c r="Z622">
        <f>IFERROR(Sales_Table[[#This Row],[Revenue]],0)</f>
        <v>18430</v>
      </c>
    </row>
    <row r="623" spans="1:26" x14ac:dyDescent="0.3">
      <c r="A623">
        <v>622</v>
      </c>
      <c r="B623" s="2">
        <f t="shared" si="63"/>
        <v>45317.875</v>
      </c>
      <c r="C623" t="s">
        <v>1700</v>
      </c>
      <c r="D623" t="s">
        <v>84</v>
      </c>
      <c r="E623" t="str">
        <f>PROPER(TRIM(CLEAN(Sales_Table[[#This Row],[Region]])))</f>
        <v>South</v>
      </c>
      <c r="F623" t="s">
        <v>28</v>
      </c>
      <c r="G623" t="str">
        <f t="shared" si="64"/>
        <v>Clothing</v>
      </c>
      <c r="H623" t="str">
        <f>PROPER(TRIM(CLEAN(Sales_Table[[#This Row],[Product Name]])))</f>
        <v>Mixer Grinder</v>
      </c>
      <c r="I623" t="s">
        <v>29</v>
      </c>
      <c r="J623" t="str">
        <f t="shared" si="65"/>
        <v>CUST0796</v>
      </c>
      <c r="K623" t="s">
        <v>1701</v>
      </c>
      <c r="L623" t="str">
        <f>PROPER(TRIM(CLEAN(Sales_Table[[#This Row],[Salesperson]])))</f>
        <v>Rahul</v>
      </c>
      <c r="M623" t="s">
        <v>31</v>
      </c>
      <c r="N623" t="str">
        <f t="shared" si="66"/>
        <v>Credit Card</v>
      </c>
      <c r="O623" t="s">
        <v>65</v>
      </c>
      <c r="P623">
        <f t="shared" si="67"/>
        <v>13</v>
      </c>
      <c r="Q623" t="s">
        <v>81</v>
      </c>
      <c r="R623">
        <f t="shared" si="68"/>
        <v>3891</v>
      </c>
      <c r="S623" t="s">
        <v>1702</v>
      </c>
      <c r="T623">
        <f t="shared" si="69"/>
        <v>50583</v>
      </c>
      <c r="U623">
        <f>YEAR(Sales_Table[[#This Row],[Date_clean]])</f>
        <v>2024</v>
      </c>
      <c r="V623" t="str">
        <f>TEXT(Sales_Table[[#This Row],[Date_clean]],"mmmm")</f>
        <v>January</v>
      </c>
      <c r="W623">
        <f>WEEKNUM(Sales_Table[[#This Row],[Date_clean]],2)</f>
        <v>4</v>
      </c>
      <c r="X623" t="str" cm="1">
        <f t="array" ref="X623">_xlfn.IFS(Sales_Table[[#This Row],[Revenue]]&gt;=50000,"High",Sales_Table[[#This Row],[Revenue]]&gt;=20000,"Medium",Sales_Table[[#This Row],[Revenue]]&lt;20000,"Low")</f>
        <v>High</v>
      </c>
      <c r="Y623" t="str">
        <f>IF(Sales_Table[[#This Row],[Payment Method_clean]]="cash","Offline","Online")</f>
        <v>Online</v>
      </c>
      <c r="Z623">
        <f>IFERROR(Sales_Table[[#This Row],[Revenue]],0)</f>
        <v>50583</v>
      </c>
    </row>
    <row r="624" spans="1:26" x14ac:dyDescent="0.3">
      <c r="A624">
        <v>623</v>
      </c>
      <c r="B624" s="2">
        <f t="shared" si="63"/>
        <v>45317.916666666664</v>
      </c>
      <c r="C624" t="s">
        <v>1703</v>
      </c>
      <c r="D624" t="s">
        <v>27</v>
      </c>
      <c r="E624" t="str">
        <f>PROPER(TRIM(CLEAN(Sales_Table[[#This Row],[Region]])))</f>
        <v>East</v>
      </c>
      <c r="F624" t="s">
        <v>37</v>
      </c>
      <c r="G624" t="str">
        <f t="shared" si="64"/>
        <v>Home Appliances</v>
      </c>
      <c r="H624" t="str">
        <f>PROPER(TRIM(CLEAN(Sales_Table[[#This Row],[Product Name]])))</f>
        <v>Rice 5Kg</v>
      </c>
      <c r="I624" t="s">
        <v>73</v>
      </c>
      <c r="J624" t="str">
        <f t="shared" si="65"/>
        <v>CUST0210</v>
      </c>
      <c r="K624" t="s">
        <v>1704</v>
      </c>
      <c r="L624" t="str">
        <f>PROPER(TRIM(CLEAN(Sales_Table[[#This Row],[Salesperson]])))</f>
        <v>Suresh</v>
      </c>
      <c r="M624" t="s">
        <v>54</v>
      </c>
      <c r="N624" t="str">
        <f t="shared" si="66"/>
        <v>Cash</v>
      </c>
      <c r="O624" t="s">
        <v>32</v>
      </c>
      <c r="P624">
        <f t="shared" si="67"/>
        <v>10</v>
      </c>
      <c r="Q624" t="s">
        <v>117</v>
      </c>
      <c r="R624">
        <f t="shared" si="68"/>
        <v>3734</v>
      </c>
      <c r="S624" t="s">
        <v>1705</v>
      </c>
      <c r="T624">
        <f t="shared" si="69"/>
        <v>37340</v>
      </c>
      <c r="U624">
        <f>YEAR(Sales_Table[[#This Row],[Date_clean]])</f>
        <v>2024</v>
      </c>
      <c r="V624" t="str">
        <f>TEXT(Sales_Table[[#This Row],[Date_clean]],"mmmm")</f>
        <v>January</v>
      </c>
      <c r="W624">
        <f>WEEKNUM(Sales_Table[[#This Row],[Date_clean]],2)</f>
        <v>4</v>
      </c>
      <c r="X624" t="str" cm="1">
        <f t="array" ref="X624">_xlfn.IFS(Sales_Table[[#This Row],[Revenue]]&gt;=50000,"High",Sales_Table[[#This Row],[Revenue]]&gt;=20000,"Medium",Sales_Table[[#This Row],[Revenue]]&lt;20000,"Low")</f>
        <v>Medium</v>
      </c>
      <c r="Y624" t="str">
        <f>IF(Sales_Table[[#This Row],[Payment Method_clean]]="cash","Offline","Online")</f>
        <v>Offline</v>
      </c>
      <c r="Z624">
        <f>IFERROR(Sales_Table[[#This Row],[Revenue]],0)</f>
        <v>37340</v>
      </c>
    </row>
    <row r="625" spans="1:26" x14ac:dyDescent="0.3">
      <c r="A625">
        <v>624</v>
      </c>
      <c r="B625" s="2">
        <f t="shared" si="63"/>
        <v>45317.958333333336</v>
      </c>
      <c r="C625" t="s">
        <v>1706</v>
      </c>
      <c r="D625" t="s">
        <v>84</v>
      </c>
      <c r="E625" t="str">
        <f>PROPER(TRIM(CLEAN(Sales_Table[[#This Row],[Region]])))</f>
        <v>South</v>
      </c>
      <c r="F625" t="s">
        <v>37</v>
      </c>
      <c r="G625" t="str">
        <f t="shared" si="64"/>
        <v>Home Appliances</v>
      </c>
      <c r="H625" t="str">
        <f>PROPER(TRIM(CLEAN(Sales_Table[[#This Row],[Product Name]])))</f>
        <v>Washing Machine</v>
      </c>
      <c r="I625" t="s">
        <v>79</v>
      </c>
      <c r="J625" t="str">
        <f t="shared" si="65"/>
        <v>CUST0609</v>
      </c>
      <c r="K625" t="s">
        <v>1707</v>
      </c>
      <c r="L625" t="str">
        <f>PROPER(TRIM(CLEAN(Sales_Table[[#This Row],[Salesperson]])))</f>
        <v>Anita</v>
      </c>
      <c r="M625" t="s">
        <v>64</v>
      </c>
      <c r="N625" t="str">
        <f t="shared" si="66"/>
        <v>Cash</v>
      </c>
      <c r="O625" t="s">
        <v>32</v>
      </c>
      <c r="P625">
        <f t="shared" si="67"/>
        <v>13</v>
      </c>
      <c r="Q625" t="s">
        <v>81</v>
      </c>
      <c r="R625">
        <f t="shared" si="68"/>
        <v>1188</v>
      </c>
      <c r="S625" t="s">
        <v>1708</v>
      </c>
      <c r="T625">
        <f t="shared" si="69"/>
        <v>15444</v>
      </c>
      <c r="U625">
        <f>YEAR(Sales_Table[[#This Row],[Date_clean]])</f>
        <v>2024</v>
      </c>
      <c r="V625" t="str">
        <f>TEXT(Sales_Table[[#This Row],[Date_clean]],"mmmm")</f>
        <v>January</v>
      </c>
      <c r="W625">
        <f>WEEKNUM(Sales_Table[[#This Row],[Date_clean]],2)</f>
        <v>4</v>
      </c>
      <c r="X625" t="str" cm="1">
        <f t="array" ref="X625">_xlfn.IFS(Sales_Table[[#This Row],[Revenue]]&gt;=50000,"High",Sales_Table[[#This Row],[Revenue]]&gt;=20000,"Medium",Sales_Table[[#This Row],[Revenue]]&lt;20000,"Low")</f>
        <v>Low</v>
      </c>
      <c r="Y625" t="str">
        <f>IF(Sales_Table[[#This Row],[Payment Method_clean]]="cash","Offline","Online")</f>
        <v>Offline</v>
      </c>
      <c r="Z625">
        <f>IFERROR(Sales_Table[[#This Row],[Revenue]],0)</f>
        <v>15444</v>
      </c>
    </row>
    <row r="626" spans="1:26" x14ac:dyDescent="0.3">
      <c r="A626">
        <v>625</v>
      </c>
      <c r="B626" s="2">
        <f t="shared" si="63"/>
        <v>45318</v>
      </c>
      <c r="C626" t="s">
        <v>1709</v>
      </c>
      <c r="D626" t="s">
        <v>45</v>
      </c>
      <c r="E626" t="str">
        <f>PROPER(TRIM(CLEAN(Sales_Table[[#This Row],[Region]])))</f>
        <v>North</v>
      </c>
      <c r="F626" t="s">
        <v>37</v>
      </c>
      <c r="G626" t="str">
        <f t="shared" si="64"/>
        <v>Home Appliances</v>
      </c>
      <c r="H626" t="str">
        <f>PROPER(TRIM(CLEAN(Sales_Table[[#This Row],[Product Name]])))</f>
        <v>Led Tv 42Inch</v>
      </c>
      <c r="I626" t="s">
        <v>58</v>
      </c>
      <c r="J626" t="str">
        <f t="shared" si="65"/>
        <v>CUST0447</v>
      </c>
      <c r="K626" t="s">
        <v>1163</v>
      </c>
      <c r="L626" t="str">
        <f>PROPER(TRIM(CLEAN(Sales_Table[[#This Row],[Salesperson]])))</f>
        <v>Meena</v>
      </c>
      <c r="M626" t="s">
        <v>40</v>
      </c>
      <c r="N626" t="str">
        <f t="shared" si="66"/>
        <v>Cash</v>
      </c>
      <c r="O626" t="s">
        <v>32</v>
      </c>
      <c r="P626">
        <f t="shared" si="67"/>
        <v>3</v>
      </c>
      <c r="Q626" t="s">
        <v>66</v>
      </c>
      <c r="R626">
        <f t="shared" si="68"/>
        <v>1461</v>
      </c>
      <c r="S626" t="s">
        <v>1710</v>
      </c>
      <c r="T626">
        <f t="shared" si="69"/>
        <v>4383</v>
      </c>
      <c r="U626">
        <f>YEAR(Sales_Table[[#This Row],[Date_clean]])</f>
        <v>2024</v>
      </c>
      <c r="V626" t="str">
        <f>TEXT(Sales_Table[[#This Row],[Date_clean]],"mmmm")</f>
        <v>January</v>
      </c>
      <c r="W626">
        <f>WEEKNUM(Sales_Table[[#This Row],[Date_clean]],2)</f>
        <v>4</v>
      </c>
      <c r="X626" t="str" cm="1">
        <f t="array" ref="X626">_xlfn.IFS(Sales_Table[[#This Row],[Revenue]]&gt;=50000,"High",Sales_Table[[#This Row],[Revenue]]&gt;=20000,"Medium",Sales_Table[[#This Row],[Revenue]]&lt;20000,"Low")</f>
        <v>Low</v>
      </c>
      <c r="Y626" t="str">
        <f>IF(Sales_Table[[#This Row],[Payment Method_clean]]="cash","Offline","Online")</f>
        <v>Offline</v>
      </c>
      <c r="Z626">
        <f>IFERROR(Sales_Table[[#This Row],[Revenue]],0)</f>
        <v>4383</v>
      </c>
    </row>
    <row r="627" spans="1:26" x14ac:dyDescent="0.3">
      <c r="A627">
        <v>626</v>
      </c>
      <c r="B627" s="2">
        <f t="shared" si="63"/>
        <v>45318.041666666664</v>
      </c>
      <c r="C627" t="s">
        <v>1711</v>
      </c>
      <c r="D627" t="s">
        <v>84</v>
      </c>
      <c r="E627" t="str">
        <f>PROPER(TRIM(CLEAN(Sales_Table[[#This Row],[Region]])))</f>
        <v>South</v>
      </c>
      <c r="F627" t="s">
        <v>46</v>
      </c>
      <c r="G627" t="str">
        <f t="shared" si="64"/>
        <v>Electronics</v>
      </c>
      <c r="H627" t="str">
        <f>PROPER(TRIM(CLEAN(Sales_Table[[#This Row],[Product Name]])))</f>
        <v>Washing Machine</v>
      </c>
      <c r="I627" t="s">
        <v>79</v>
      </c>
      <c r="J627" t="str">
        <f t="shared" si="65"/>
        <v>CUST0460</v>
      </c>
      <c r="K627" t="s">
        <v>1712</v>
      </c>
      <c r="L627" t="str">
        <f>PROPER(TRIM(CLEAN(Sales_Table[[#This Row],[Salesperson]])))</f>
        <v>Rahul</v>
      </c>
      <c r="M627" t="s">
        <v>31</v>
      </c>
      <c r="N627" t="str">
        <f t="shared" si="66"/>
        <v>Upi</v>
      </c>
      <c r="O627" t="s">
        <v>48</v>
      </c>
      <c r="P627">
        <f t="shared" si="67"/>
        <v>10</v>
      </c>
      <c r="Q627" t="s">
        <v>117</v>
      </c>
      <c r="R627">
        <f t="shared" si="68"/>
        <v>3472</v>
      </c>
      <c r="S627" t="s">
        <v>1713</v>
      </c>
      <c r="T627">
        <f t="shared" si="69"/>
        <v>34720</v>
      </c>
      <c r="U627">
        <f>YEAR(Sales_Table[[#This Row],[Date_clean]])</f>
        <v>2024</v>
      </c>
      <c r="V627" t="str">
        <f>TEXT(Sales_Table[[#This Row],[Date_clean]],"mmmm")</f>
        <v>January</v>
      </c>
      <c r="W627">
        <f>WEEKNUM(Sales_Table[[#This Row],[Date_clean]],2)</f>
        <v>4</v>
      </c>
      <c r="X627" t="str" cm="1">
        <f t="array" ref="X627">_xlfn.IFS(Sales_Table[[#This Row],[Revenue]]&gt;=50000,"High",Sales_Table[[#This Row],[Revenue]]&gt;=20000,"Medium",Sales_Table[[#This Row],[Revenue]]&lt;20000,"Low")</f>
        <v>Medium</v>
      </c>
      <c r="Y627" t="str">
        <f>IF(Sales_Table[[#This Row],[Payment Method_clean]]="cash","Offline","Online")</f>
        <v>Online</v>
      </c>
      <c r="Z627">
        <f>IFERROR(Sales_Table[[#This Row],[Revenue]],0)</f>
        <v>34720</v>
      </c>
    </row>
    <row r="628" spans="1:26" x14ac:dyDescent="0.3">
      <c r="A628">
        <v>627</v>
      </c>
      <c r="B628" s="2">
        <f t="shared" si="63"/>
        <v>45318.083333333336</v>
      </c>
      <c r="C628" t="s">
        <v>1714</v>
      </c>
      <c r="D628" t="s">
        <v>45</v>
      </c>
      <c r="E628" t="str">
        <f>PROPER(TRIM(CLEAN(Sales_Table[[#This Row],[Region]])))</f>
        <v>North</v>
      </c>
      <c r="F628" t="s">
        <v>46</v>
      </c>
      <c r="G628" t="str">
        <f t="shared" si="64"/>
        <v>Electronics</v>
      </c>
      <c r="H628" t="str">
        <f>PROPER(TRIM(CLEAN(Sales_Table[[#This Row],[Product Name]])))</f>
        <v>Laptop</v>
      </c>
      <c r="I628" t="s">
        <v>52</v>
      </c>
      <c r="J628" t="str">
        <f t="shared" si="65"/>
        <v>CUST0472</v>
      </c>
      <c r="K628" t="s">
        <v>1715</v>
      </c>
      <c r="L628" t="str">
        <f>PROPER(TRIM(CLEAN(Sales_Table[[#This Row],[Salesperson]])))</f>
        <v>Karthik</v>
      </c>
      <c r="M628" t="s">
        <v>70</v>
      </c>
      <c r="N628" t="str">
        <f t="shared" si="66"/>
        <v>Net Banking</v>
      </c>
      <c r="O628" t="s">
        <v>60</v>
      </c>
      <c r="P628">
        <f t="shared" si="67"/>
        <v>6</v>
      </c>
      <c r="Q628" t="s">
        <v>75</v>
      </c>
      <c r="R628">
        <f t="shared" si="68"/>
        <v>4573</v>
      </c>
      <c r="S628" t="s">
        <v>1716</v>
      </c>
      <c r="T628">
        <f t="shared" si="69"/>
        <v>27438</v>
      </c>
      <c r="U628">
        <f>YEAR(Sales_Table[[#This Row],[Date_clean]])</f>
        <v>2024</v>
      </c>
      <c r="V628" t="str">
        <f>TEXT(Sales_Table[[#This Row],[Date_clean]],"mmmm")</f>
        <v>January</v>
      </c>
      <c r="W628">
        <f>WEEKNUM(Sales_Table[[#This Row],[Date_clean]],2)</f>
        <v>4</v>
      </c>
      <c r="X628" t="str" cm="1">
        <f t="array" ref="X628">_xlfn.IFS(Sales_Table[[#This Row],[Revenue]]&gt;=50000,"High",Sales_Table[[#This Row],[Revenue]]&gt;=20000,"Medium",Sales_Table[[#This Row],[Revenue]]&lt;20000,"Low")</f>
        <v>Medium</v>
      </c>
      <c r="Y628" t="str">
        <f>IF(Sales_Table[[#This Row],[Payment Method_clean]]="cash","Offline","Online")</f>
        <v>Online</v>
      </c>
      <c r="Z628">
        <f>IFERROR(Sales_Table[[#This Row],[Revenue]],0)</f>
        <v>27438</v>
      </c>
    </row>
    <row r="629" spans="1:26" x14ac:dyDescent="0.3">
      <c r="A629">
        <v>628</v>
      </c>
      <c r="B629" s="2">
        <f t="shared" si="63"/>
        <v>45318.125</v>
      </c>
      <c r="C629" t="s">
        <v>1717</v>
      </c>
      <c r="D629" t="s">
        <v>84</v>
      </c>
      <c r="E629" t="str">
        <f>PROPER(TRIM(CLEAN(Sales_Table[[#This Row],[Region]])))</f>
        <v>South</v>
      </c>
      <c r="F629" t="s">
        <v>46</v>
      </c>
      <c r="G629" t="str">
        <f t="shared" si="64"/>
        <v>Electronics</v>
      </c>
      <c r="H629" t="str">
        <f>PROPER(TRIM(CLEAN(Sales_Table[[#This Row],[Product Name]])))</f>
        <v>Men T-Shirt</v>
      </c>
      <c r="I629" t="s">
        <v>38</v>
      </c>
      <c r="J629" t="str">
        <f t="shared" si="65"/>
        <v>CUST0720</v>
      </c>
      <c r="K629" t="s">
        <v>1158</v>
      </c>
      <c r="L629" t="str">
        <f>PROPER(TRIM(CLEAN(Sales_Table[[#This Row],[Salesperson]])))</f>
        <v>Anita</v>
      </c>
      <c r="M629" t="s">
        <v>64</v>
      </c>
      <c r="N629" t="str">
        <f t="shared" si="66"/>
        <v>Debit Card</v>
      </c>
      <c r="O629" t="s">
        <v>41</v>
      </c>
      <c r="P629">
        <f t="shared" si="67"/>
        <v>14</v>
      </c>
      <c r="Q629" t="s">
        <v>55</v>
      </c>
      <c r="R629">
        <f t="shared" si="68"/>
        <v>575</v>
      </c>
      <c r="S629" t="s">
        <v>406</v>
      </c>
      <c r="T629">
        <f t="shared" si="69"/>
        <v>8050</v>
      </c>
      <c r="U629">
        <f>YEAR(Sales_Table[[#This Row],[Date_clean]])</f>
        <v>2024</v>
      </c>
      <c r="V629" t="str">
        <f>TEXT(Sales_Table[[#This Row],[Date_clean]],"mmmm")</f>
        <v>January</v>
      </c>
      <c r="W629">
        <f>WEEKNUM(Sales_Table[[#This Row],[Date_clean]],2)</f>
        <v>4</v>
      </c>
      <c r="X629" t="str" cm="1">
        <f t="array" ref="X629">_xlfn.IFS(Sales_Table[[#This Row],[Revenue]]&gt;=50000,"High",Sales_Table[[#This Row],[Revenue]]&gt;=20000,"Medium",Sales_Table[[#This Row],[Revenue]]&lt;20000,"Low")</f>
        <v>Low</v>
      </c>
      <c r="Y629" t="str">
        <f>IF(Sales_Table[[#This Row],[Payment Method_clean]]="cash","Offline","Online")</f>
        <v>Online</v>
      </c>
      <c r="Z629">
        <f>IFERROR(Sales_Table[[#This Row],[Revenue]],0)</f>
        <v>8050</v>
      </c>
    </row>
    <row r="630" spans="1:26" x14ac:dyDescent="0.3">
      <c r="A630">
        <v>629</v>
      </c>
      <c r="B630" s="2">
        <f t="shared" si="63"/>
        <v>45318.166666666664</v>
      </c>
      <c r="C630" t="s">
        <v>1718</v>
      </c>
      <c r="D630" t="s">
        <v>27</v>
      </c>
      <c r="E630" t="str">
        <f>PROPER(TRIM(CLEAN(Sales_Table[[#This Row],[Region]])))</f>
        <v>East</v>
      </c>
      <c r="F630" t="s">
        <v>46</v>
      </c>
      <c r="G630" t="str">
        <f t="shared" si="64"/>
        <v>Electronics</v>
      </c>
      <c r="H630" t="str">
        <f>PROPER(TRIM(CLEAN(Sales_Table[[#This Row],[Product Name]])))</f>
        <v>Men T-Shirt</v>
      </c>
      <c r="I630" t="s">
        <v>38</v>
      </c>
      <c r="J630" t="str">
        <f t="shared" si="65"/>
        <v>CUST0370</v>
      </c>
      <c r="K630" t="s">
        <v>1719</v>
      </c>
      <c r="L630" t="str">
        <f>PROPER(TRIM(CLEAN(Sales_Table[[#This Row],[Salesperson]])))</f>
        <v>Rahul</v>
      </c>
      <c r="M630" t="s">
        <v>31</v>
      </c>
      <c r="N630" t="str">
        <f t="shared" si="66"/>
        <v>Upi</v>
      </c>
      <c r="O630" t="s">
        <v>48</v>
      </c>
      <c r="P630">
        <f t="shared" si="67"/>
        <v>1</v>
      </c>
      <c r="Q630" t="s">
        <v>93</v>
      </c>
      <c r="R630">
        <f t="shared" si="68"/>
        <v>1389</v>
      </c>
      <c r="S630" t="s">
        <v>1720</v>
      </c>
      <c r="T630">
        <f t="shared" si="69"/>
        <v>1389</v>
      </c>
      <c r="U630">
        <f>YEAR(Sales_Table[[#This Row],[Date_clean]])</f>
        <v>2024</v>
      </c>
      <c r="V630" t="str">
        <f>TEXT(Sales_Table[[#This Row],[Date_clean]],"mmmm")</f>
        <v>January</v>
      </c>
      <c r="W630">
        <f>WEEKNUM(Sales_Table[[#This Row],[Date_clean]],2)</f>
        <v>4</v>
      </c>
      <c r="X630" t="str" cm="1">
        <f t="array" ref="X630">_xlfn.IFS(Sales_Table[[#This Row],[Revenue]]&gt;=50000,"High",Sales_Table[[#This Row],[Revenue]]&gt;=20000,"Medium",Sales_Table[[#This Row],[Revenue]]&lt;20000,"Low")</f>
        <v>Low</v>
      </c>
      <c r="Y630" t="str">
        <f>IF(Sales_Table[[#This Row],[Payment Method_clean]]="cash","Offline","Online")</f>
        <v>Online</v>
      </c>
      <c r="Z630">
        <f>IFERROR(Sales_Table[[#This Row],[Revenue]],0)</f>
        <v>1389</v>
      </c>
    </row>
    <row r="631" spans="1:26" x14ac:dyDescent="0.3">
      <c r="A631">
        <v>630</v>
      </c>
      <c r="B631" s="2">
        <f t="shared" si="63"/>
        <v>45318.208333333336</v>
      </c>
      <c r="C631" t="s">
        <v>1721</v>
      </c>
      <c r="D631" t="s">
        <v>27</v>
      </c>
      <c r="E631" t="str">
        <f>PROPER(TRIM(CLEAN(Sales_Table[[#This Row],[Region]])))</f>
        <v>East</v>
      </c>
      <c r="F631" t="s">
        <v>28</v>
      </c>
      <c r="G631" t="str">
        <f t="shared" si="64"/>
        <v>Clothing</v>
      </c>
      <c r="H631" t="str">
        <f>PROPER(TRIM(CLEAN(Sales_Table[[#This Row],[Product Name]])))</f>
        <v>Men T-Shirt</v>
      </c>
      <c r="I631" t="s">
        <v>38</v>
      </c>
      <c r="J631" t="str">
        <f t="shared" si="65"/>
        <v>CUST0492</v>
      </c>
      <c r="K631" t="s">
        <v>1722</v>
      </c>
      <c r="L631" t="str">
        <f>PROPER(TRIM(CLEAN(Sales_Table[[#This Row],[Salesperson]])))</f>
        <v>Anita</v>
      </c>
      <c r="M631" t="s">
        <v>64</v>
      </c>
      <c r="N631" t="str">
        <f t="shared" si="66"/>
        <v>Upi</v>
      </c>
      <c r="O631" t="s">
        <v>48</v>
      </c>
      <c r="P631">
        <f t="shared" si="67"/>
        <v>5</v>
      </c>
      <c r="Q631" t="s">
        <v>89</v>
      </c>
      <c r="R631">
        <f t="shared" si="68"/>
        <v>428</v>
      </c>
      <c r="S631" t="s">
        <v>1723</v>
      </c>
      <c r="T631">
        <f t="shared" si="69"/>
        <v>2140</v>
      </c>
      <c r="U631">
        <f>YEAR(Sales_Table[[#This Row],[Date_clean]])</f>
        <v>2024</v>
      </c>
      <c r="V631" t="str">
        <f>TEXT(Sales_Table[[#This Row],[Date_clean]],"mmmm")</f>
        <v>January</v>
      </c>
      <c r="W631">
        <f>WEEKNUM(Sales_Table[[#This Row],[Date_clean]],2)</f>
        <v>4</v>
      </c>
      <c r="X631" t="str" cm="1">
        <f t="array" ref="X631">_xlfn.IFS(Sales_Table[[#This Row],[Revenue]]&gt;=50000,"High",Sales_Table[[#This Row],[Revenue]]&gt;=20000,"Medium",Sales_Table[[#This Row],[Revenue]]&lt;20000,"Low")</f>
        <v>Low</v>
      </c>
      <c r="Y631" t="str">
        <f>IF(Sales_Table[[#This Row],[Payment Method_clean]]="cash","Offline","Online")</f>
        <v>Online</v>
      </c>
      <c r="Z631">
        <f>IFERROR(Sales_Table[[#This Row],[Revenue]],0)</f>
        <v>2140</v>
      </c>
    </row>
    <row r="632" spans="1:26" x14ac:dyDescent="0.3">
      <c r="A632">
        <v>631</v>
      </c>
      <c r="B632" s="2">
        <f t="shared" si="63"/>
        <v>45318.25</v>
      </c>
      <c r="C632" t="s">
        <v>1724</v>
      </c>
      <c r="D632" t="s">
        <v>45</v>
      </c>
      <c r="E632" t="str">
        <f>PROPER(TRIM(CLEAN(Sales_Table[[#This Row],[Region]])))</f>
        <v>North</v>
      </c>
      <c r="F632" t="s">
        <v>28</v>
      </c>
      <c r="G632" t="str">
        <f t="shared" si="64"/>
        <v>Clothing</v>
      </c>
      <c r="H632" t="str">
        <f>PROPER(TRIM(CLEAN(Sales_Table[[#This Row],[Product Name]])))</f>
        <v>Washing Machine</v>
      </c>
      <c r="I632" t="s">
        <v>79</v>
      </c>
      <c r="J632" t="str">
        <f t="shared" si="65"/>
        <v>CUST0137</v>
      </c>
      <c r="K632" t="s">
        <v>1725</v>
      </c>
      <c r="L632" t="str">
        <f>PROPER(TRIM(CLEAN(Sales_Table[[#This Row],[Salesperson]])))</f>
        <v>Karthik</v>
      </c>
      <c r="M632" t="s">
        <v>70</v>
      </c>
      <c r="N632" t="str">
        <f t="shared" si="66"/>
        <v>Net Banking</v>
      </c>
      <c r="O632" t="s">
        <v>60</v>
      </c>
      <c r="P632">
        <f t="shared" si="67"/>
        <v>10</v>
      </c>
      <c r="Q632" t="s">
        <v>117</v>
      </c>
      <c r="R632">
        <f t="shared" si="68"/>
        <v>4144</v>
      </c>
      <c r="S632" t="s">
        <v>1726</v>
      </c>
      <c r="T632">
        <f t="shared" si="69"/>
        <v>41440</v>
      </c>
      <c r="U632">
        <f>YEAR(Sales_Table[[#This Row],[Date_clean]])</f>
        <v>2024</v>
      </c>
      <c r="V632" t="str">
        <f>TEXT(Sales_Table[[#This Row],[Date_clean]],"mmmm")</f>
        <v>January</v>
      </c>
      <c r="W632">
        <f>WEEKNUM(Sales_Table[[#This Row],[Date_clean]],2)</f>
        <v>4</v>
      </c>
      <c r="X632" t="str" cm="1">
        <f t="array" ref="X632">_xlfn.IFS(Sales_Table[[#This Row],[Revenue]]&gt;=50000,"High",Sales_Table[[#This Row],[Revenue]]&gt;=20000,"Medium",Sales_Table[[#This Row],[Revenue]]&lt;20000,"Low")</f>
        <v>Medium</v>
      </c>
      <c r="Y632" t="str">
        <f>IF(Sales_Table[[#This Row],[Payment Method_clean]]="cash","Offline","Online")</f>
        <v>Online</v>
      </c>
      <c r="Z632">
        <f>IFERROR(Sales_Table[[#This Row],[Revenue]],0)</f>
        <v>41440</v>
      </c>
    </row>
    <row r="633" spans="1:26" x14ac:dyDescent="0.3">
      <c r="A633">
        <v>632</v>
      </c>
      <c r="B633" s="2">
        <f t="shared" si="63"/>
        <v>45318.291666666664</v>
      </c>
      <c r="C633" t="s">
        <v>1727</v>
      </c>
      <c r="D633" t="s">
        <v>36</v>
      </c>
      <c r="E633" t="str">
        <f>PROPER(TRIM(CLEAN(Sales_Table[[#This Row],[Region]])))</f>
        <v>West</v>
      </c>
      <c r="F633" t="s">
        <v>28</v>
      </c>
      <c r="G633" t="str">
        <f t="shared" si="64"/>
        <v>Clothing</v>
      </c>
      <c r="H633" t="str">
        <f>PROPER(TRIM(CLEAN(Sales_Table[[#This Row],[Product Name]])))</f>
        <v>Mixer Grinder</v>
      </c>
      <c r="I633" t="s">
        <v>29</v>
      </c>
      <c r="J633" t="str">
        <f t="shared" si="65"/>
        <v>CUST0367</v>
      </c>
      <c r="K633" t="s">
        <v>1509</v>
      </c>
      <c r="L633" t="str">
        <f>PROPER(TRIM(CLEAN(Sales_Table[[#This Row],[Salesperson]])))</f>
        <v>Rahul</v>
      </c>
      <c r="M633" t="s">
        <v>31</v>
      </c>
      <c r="N633" t="str">
        <f t="shared" si="66"/>
        <v>Upi</v>
      </c>
      <c r="O633" t="s">
        <v>48</v>
      </c>
      <c r="P633">
        <f t="shared" si="67"/>
        <v>6</v>
      </c>
      <c r="Q633" t="s">
        <v>75</v>
      </c>
      <c r="R633">
        <f t="shared" si="68"/>
        <v>1939</v>
      </c>
      <c r="S633" t="s">
        <v>621</v>
      </c>
      <c r="T633">
        <f t="shared" si="69"/>
        <v>11634</v>
      </c>
      <c r="U633">
        <f>YEAR(Sales_Table[[#This Row],[Date_clean]])</f>
        <v>2024</v>
      </c>
      <c r="V633" t="str">
        <f>TEXT(Sales_Table[[#This Row],[Date_clean]],"mmmm")</f>
        <v>January</v>
      </c>
      <c r="W633">
        <f>WEEKNUM(Sales_Table[[#This Row],[Date_clean]],2)</f>
        <v>4</v>
      </c>
      <c r="X633" t="str" cm="1">
        <f t="array" ref="X633">_xlfn.IFS(Sales_Table[[#This Row],[Revenue]]&gt;=50000,"High",Sales_Table[[#This Row],[Revenue]]&gt;=20000,"Medium",Sales_Table[[#This Row],[Revenue]]&lt;20000,"Low")</f>
        <v>Low</v>
      </c>
      <c r="Y633" t="str">
        <f>IF(Sales_Table[[#This Row],[Payment Method_clean]]="cash","Offline","Online")</f>
        <v>Online</v>
      </c>
      <c r="Z633">
        <f>IFERROR(Sales_Table[[#This Row],[Revenue]],0)</f>
        <v>11634</v>
      </c>
    </row>
    <row r="634" spans="1:26" x14ac:dyDescent="0.3">
      <c r="A634">
        <v>633</v>
      </c>
      <c r="B634" s="2">
        <f t="shared" si="63"/>
        <v>45318.333333333336</v>
      </c>
      <c r="C634" t="s">
        <v>1728</v>
      </c>
      <c r="D634" t="s">
        <v>45</v>
      </c>
      <c r="E634" t="str">
        <f>PROPER(TRIM(CLEAN(Sales_Table[[#This Row],[Region]])))</f>
        <v>North</v>
      </c>
      <c r="F634" t="s">
        <v>78</v>
      </c>
      <c r="G634" t="str">
        <f t="shared" si="64"/>
        <v>Grocery</v>
      </c>
      <c r="H634" t="str">
        <f>PROPER(TRIM(CLEAN(Sales_Table[[#This Row],[Product Name]])))</f>
        <v>Led Tv 42Inch</v>
      </c>
      <c r="I634" t="s">
        <v>58</v>
      </c>
      <c r="J634" t="str">
        <f t="shared" si="65"/>
        <v>CUST0184</v>
      </c>
      <c r="K634" t="s">
        <v>781</v>
      </c>
      <c r="L634" t="str">
        <f>PROPER(TRIM(CLEAN(Sales_Table[[#This Row],[Salesperson]])))</f>
        <v>Karthik</v>
      </c>
      <c r="M634" t="s">
        <v>70</v>
      </c>
      <c r="N634" t="str">
        <f t="shared" si="66"/>
        <v>Cash</v>
      </c>
      <c r="O634" t="s">
        <v>32</v>
      </c>
      <c r="P634">
        <f t="shared" si="67"/>
        <v>11</v>
      </c>
      <c r="Q634" t="s">
        <v>97</v>
      </c>
      <c r="R634">
        <f t="shared" si="68"/>
        <v>1286</v>
      </c>
      <c r="S634" t="s">
        <v>1729</v>
      </c>
      <c r="T634">
        <f t="shared" si="69"/>
        <v>14146</v>
      </c>
      <c r="U634">
        <f>YEAR(Sales_Table[[#This Row],[Date_clean]])</f>
        <v>2024</v>
      </c>
      <c r="V634" t="str">
        <f>TEXT(Sales_Table[[#This Row],[Date_clean]],"mmmm")</f>
        <v>January</v>
      </c>
      <c r="W634">
        <f>WEEKNUM(Sales_Table[[#This Row],[Date_clean]],2)</f>
        <v>4</v>
      </c>
      <c r="X634" t="str" cm="1">
        <f t="array" ref="X634">_xlfn.IFS(Sales_Table[[#This Row],[Revenue]]&gt;=50000,"High",Sales_Table[[#This Row],[Revenue]]&gt;=20000,"Medium",Sales_Table[[#This Row],[Revenue]]&lt;20000,"Low")</f>
        <v>Low</v>
      </c>
      <c r="Y634" t="str">
        <f>IF(Sales_Table[[#This Row],[Payment Method_clean]]="cash","Offline","Online")</f>
        <v>Offline</v>
      </c>
      <c r="Z634">
        <f>IFERROR(Sales_Table[[#This Row],[Revenue]],0)</f>
        <v>14146</v>
      </c>
    </row>
    <row r="635" spans="1:26" x14ac:dyDescent="0.3">
      <c r="A635">
        <v>634</v>
      </c>
      <c r="B635" s="2">
        <f t="shared" si="63"/>
        <v>45318.375</v>
      </c>
      <c r="C635" t="s">
        <v>1730</v>
      </c>
      <c r="D635" t="s">
        <v>45</v>
      </c>
      <c r="E635" t="str">
        <f>PROPER(TRIM(CLEAN(Sales_Table[[#This Row],[Region]])))</f>
        <v>North</v>
      </c>
      <c r="F635" t="s">
        <v>37</v>
      </c>
      <c r="G635" t="str">
        <f t="shared" si="64"/>
        <v>Home Appliances</v>
      </c>
      <c r="H635" t="str">
        <f>PROPER(TRIM(CLEAN(Sales_Table[[#This Row],[Product Name]])))</f>
        <v>Men T-Shirt</v>
      </c>
      <c r="I635" t="s">
        <v>38</v>
      </c>
      <c r="J635" t="str">
        <f t="shared" si="65"/>
        <v>CUST0588</v>
      </c>
      <c r="K635" t="s">
        <v>1731</v>
      </c>
      <c r="L635" t="str">
        <f>PROPER(TRIM(CLEAN(Sales_Table[[#This Row],[Salesperson]])))</f>
        <v>Suresh</v>
      </c>
      <c r="M635" t="s">
        <v>54</v>
      </c>
      <c r="N635" t="str">
        <f t="shared" si="66"/>
        <v>Cash</v>
      </c>
      <c r="O635" t="s">
        <v>32</v>
      </c>
      <c r="P635">
        <f t="shared" si="67"/>
        <v>8</v>
      </c>
      <c r="Q635" t="s">
        <v>42</v>
      </c>
      <c r="R635">
        <f t="shared" si="68"/>
        <v>4633</v>
      </c>
      <c r="S635" t="s">
        <v>1732</v>
      </c>
      <c r="T635">
        <f t="shared" si="69"/>
        <v>37064</v>
      </c>
      <c r="U635">
        <f>YEAR(Sales_Table[[#This Row],[Date_clean]])</f>
        <v>2024</v>
      </c>
      <c r="V635" t="str">
        <f>TEXT(Sales_Table[[#This Row],[Date_clean]],"mmmm")</f>
        <v>January</v>
      </c>
      <c r="W635">
        <f>WEEKNUM(Sales_Table[[#This Row],[Date_clean]],2)</f>
        <v>4</v>
      </c>
      <c r="X635" t="str" cm="1">
        <f t="array" ref="X635">_xlfn.IFS(Sales_Table[[#This Row],[Revenue]]&gt;=50000,"High",Sales_Table[[#This Row],[Revenue]]&gt;=20000,"Medium",Sales_Table[[#This Row],[Revenue]]&lt;20000,"Low")</f>
        <v>Medium</v>
      </c>
      <c r="Y635" t="str">
        <f>IF(Sales_Table[[#This Row],[Payment Method_clean]]="cash","Offline","Online")</f>
        <v>Offline</v>
      </c>
      <c r="Z635">
        <f>IFERROR(Sales_Table[[#This Row],[Revenue]],0)</f>
        <v>37064</v>
      </c>
    </row>
    <row r="636" spans="1:26" x14ac:dyDescent="0.3">
      <c r="A636">
        <v>635</v>
      </c>
      <c r="B636" s="2">
        <f t="shared" si="63"/>
        <v>45318.416666666664</v>
      </c>
      <c r="C636" t="s">
        <v>1733</v>
      </c>
      <c r="D636" t="s">
        <v>84</v>
      </c>
      <c r="E636" t="str">
        <f>PROPER(TRIM(CLEAN(Sales_Table[[#This Row],[Region]])))</f>
        <v>South</v>
      </c>
      <c r="F636" t="s">
        <v>46</v>
      </c>
      <c r="G636" t="str">
        <f t="shared" si="64"/>
        <v>Electronics</v>
      </c>
      <c r="H636" t="str">
        <f>PROPER(TRIM(CLEAN(Sales_Table[[#This Row],[Product Name]])))</f>
        <v>Laptop</v>
      </c>
      <c r="I636" t="s">
        <v>52</v>
      </c>
      <c r="J636" t="str">
        <f t="shared" si="65"/>
        <v>CUST0287</v>
      </c>
      <c r="K636" t="s">
        <v>1333</v>
      </c>
      <c r="L636" t="str">
        <f>PROPER(TRIM(CLEAN(Sales_Table[[#This Row],[Salesperson]])))</f>
        <v>Karthik</v>
      </c>
      <c r="M636" t="s">
        <v>70</v>
      </c>
      <c r="N636" t="str">
        <f t="shared" si="66"/>
        <v>Credit Card</v>
      </c>
      <c r="O636" t="s">
        <v>65</v>
      </c>
      <c r="P636">
        <f t="shared" si="67"/>
        <v>11</v>
      </c>
      <c r="Q636" t="s">
        <v>97</v>
      </c>
      <c r="R636">
        <f t="shared" si="68"/>
        <v>3514</v>
      </c>
      <c r="S636" t="s">
        <v>1734</v>
      </c>
      <c r="T636">
        <f t="shared" si="69"/>
        <v>38654</v>
      </c>
      <c r="U636">
        <f>YEAR(Sales_Table[[#This Row],[Date_clean]])</f>
        <v>2024</v>
      </c>
      <c r="V636" t="str">
        <f>TEXT(Sales_Table[[#This Row],[Date_clean]],"mmmm")</f>
        <v>January</v>
      </c>
      <c r="W636">
        <f>WEEKNUM(Sales_Table[[#This Row],[Date_clean]],2)</f>
        <v>4</v>
      </c>
      <c r="X636" t="str" cm="1">
        <f t="array" ref="X636">_xlfn.IFS(Sales_Table[[#This Row],[Revenue]]&gt;=50000,"High",Sales_Table[[#This Row],[Revenue]]&gt;=20000,"Medium",Sales_Table[[#This Row],[Revenue]]&lt;20000,"Low")</f>
        <v>Medium</v>
      </c>
      <c r="Y636" t="str">
        <f>IF(Sales_Table[[#This Row],[Payment Method_clean]]="cash","Offline","Online")</f>
        <v>Online</v>
      </c>
      <c r="Z636">
        <f>IFERROR(Sales_Table[[#This Row],[Revenue]],0)</f>
        <v>38654</v>
      </c>
    </row>
    <row r="637" spans="1:26" x14ac:dyDescent="0.3">
      <c r="A637">
        <v>636</v>
      </c>
      <c r="B637" s="2">
        <f t="shared" si="63"/>
        <v>45318.458333333336</v>
      </c>
      <c r="C637" t="s">
        <v>1735</v>
      </c>
      <c r="D637" t="s">
        <v>84</v>
      </c>
      <c r="E637" t="str">
        <f>PROPER(TRIM(CLEAN(Sales_Table[[#This Row],[Region]])))</f>
        <v>South</v>
      </c>
      <c r="F637" t="s">
        <v>46</v>
      </c>
      <c r="G637" t="str">
        <f t="shared" si="64"/>
        <v>Electronics</v>
      </c>
      <c r="H637" t="str">
        <f>PROPER(TRIM(CLEAN(Sales_Table[[#This Row],[Product Name]])))</f>
        <v>Laptop</v>
      </c>
      <c r="I637" t="s">
        <v>52</v>
      </c>
      <c r="J637" t="str">
        <f t="shared" si="65"/>
        <v>CUST0472</v>
      </c>
      <c r="K637" t="s">
        <v>1715</v>
      </c>
      <c r="L637" t="str">
        <f>PROPER(TRIM(CLEAN(Sales_Table[[#This Row],[Salesperson]])))</f>
        <v>Suresh</v>
      </c>
      <c r="M637" t="s">
        <v>54</v>
      </c>
      <c r="N637" t="str">
        <f t="shared" si="66"/>
        <v>Upi</v>
      </c>
      <c r="O637" t="s">
        <v>48</v>
      </c>
      <c r="P637">
        <f t="shared" si="67"/>
        <v>9</v>
      </c>
      <c r="Q637" t="s">
        <v>130</v>
      </c>
      <c r="R637">
        <f t="shared" si="68"/>
        <v>3636</v>
      </c>
      <c r="S637" t="s">
        <v>1736</v>
      </c>
      <c r="T637">
        <f t="shared" si="69"/>
        <v>32724</v>
      </c>
      <c r="U637">
        <f>YEAR(Sales_Table[[#This Row],[Date_clean]])</f>
        <v>2024</v>
      </c>
      <c r="V637" t="str">
        <f>TEXT(Sales_Table[[#This Row],[Date_clean]],"mmmm")</f>
        <v>January</v>
      </c>
      <c r="W637">
        <f>WEEKNUM(Sales_Table[[#This Row],[Date_clean]],2)</f>
        <v>4</v>
      </c>
      <c r="X637" t="str" cm="1">
        <f t="array" ref="X637">_xlfn.IFS(Sales_Table[[#This Row],[Revenue]]&gt;=50000,"High",Sales_Table[[#This Row],[Revenue]]&gt;=20000,"Medium",Sales_Table[[#This Row],[Revenue]]&lt;20000,"Low")</f>
        <v>Medium</v>
      </c>
      <c r="Y637" t="str">
        <f>IF(Sales_Table[[#This Row],[Payment Method_clean]]="cash","Offline","Online")</f>
        <v>Online</v>
      </c>
      <c r="Z637">
        <f>IFERROR(Sales_Table[[#This Row],[Revenue]],0)</f>
        <v>32724</v>
      </c>
    </row>
    <row r="638" spans="1:26" x14ac:dyDescent="0.3">
      <c r="A638">
        <v>637</v>
      </c>
      <c r="B638" s="2">
        <f t="shared" si="63"/>
        <v>45318.5</v>
      </c>
      <c r="C638" t="s">
        <v>1737</v>
      </c>
      <c r="D638" t="s">
        <v>45</v>
      </c>
      <c r="E638" t="str">
        <f>PROPER(TRIM(CLEAN(Sales_Table[[#This Row],[Region]])))</f>
        <v>North</v>
      </c>
      <c r="F638" t="s">
        <v>28</v>
      </c>
      <c r="G638" t="str">
        <f t="shared" si="64"/>
        <v>Clothing</v>
      </c>
      <c r="H638" t="str">
        <f>PROPER(TRIM(CLEAN(Sales_Table[[#This Row],[Product Name]])))</f>
        <v>Men T-Shirt</v>
      </c>
      <c r="I638" t="s">
        <v>38</v>
      </c>
      <c r="J638" t="str">
        <f t="shared" si="65"/>
        <v>CUST0375</v>
      </c>
      <c r="K638" t="s">
        <v>751</v>
      </c>
      <c r="L638" t="str">
        <f>PROPER(TRIM(CLEAN(Sales_Table[[#This Row],[Salesperson]])))</f>
        <v>Rahul</v>
      </c>
      <c r="M638" t="s">
        <v>31</v>
      </c>
      <c r="N638" t="str">
        <f t="shared" si="66"/>
        <v>Credit Card</v>
      </c>
      <c r="O638" t="s">
        <v>65</v>
      </c>
      <c r="P638">
        <f t="shared" si="67"/>
        <v>11</v>
      </c>
      <c r="Q638" t="s">
        <v>97</v>
      </c>
      <c r="R638">
        <f t="shared" si="68"/>
        <v>1873</v>
      </c>
      <c r="S638" t="s">
        <v>1738</v>
      </c>
      <c r="T638">
        <f t="shared" si="69"/>
        <v>20603</v>
      </c>
      <c r="U638">
        <f>YEAR(Sales_Table[[#This Row],[Date_clean]])</f>
        <v>2024</v>
      </c>
      <c r="V638" t="str">
        <f>TEXT(Sales_Table[[#This Row],[Date_clean]],"mmmm")</f>
        <v>January</v>
      </c>
      <c r="W638">
        <f>WEEKNUM(Sales_Table[[#This Row],[Date_clean]],2)</f>
        <v>4</v>
      </c>
      <c r="X638" t="str" cm="1">
        <f t="array" ref="X638">_xlfn.IFS(Sales_Table[[#This Row],[Revenue]]&gt;=50000,"High",Sales_Table[[#This Row],[Revenue]]&gt;=20000,"Medium",Sales_Table[[#This Row],[Revenue]]&lt;20000,"Low")</f>
        <v>Medium</v>
      </c>
      <c r="Y638" t="str">
        <f>IF(Sales_Table[[#This Row],[Payment Method_clean]]="cash","Offline","Online")</f>
        <v>Online</v>
      </c>
      <c r="Z638">
        <f>IFERROR(Sales_Table[[#This Row],[Revenue]],0)</f>
        <v>20603</v>
      </c>
    </row>
    <row r="639" spans="1:26" x14ac:dyDescent="0.3">
      <c r="A639">
        <v>638</v>
      </c>
      <c r="B639" s="2">
        <f t="shared" si="63"/>
        <v>45318.541666666664</v>
      </c>
      <c r="C639" t="s">
        <v>1739</v>
      </c>
      <c r="D639" t="s">
        <v>27</v>
      </c>
      <c r="E639" t="str">
        <f>PROPER(TRIM(CLEAN(Sales_Table[[#This Row],[Region]])))</f>
        <v>East</v>
      </c>
      <c r="F639" t="s">
        <v>46</v>
      </c>
      <c r="G639" t="str">
        <f t="shared" si="64"/>
        <v>Electronics</v>
      </c>
      <c r="H639" t="str">
        <f>PROPER(TRIM(CLEAN(Sales_Table[[#This Row],[Product Name]])))</f>
        <v>Men T-Shirt</v>
      </c>
      <c r="I639" t="s">
        <v>38</v>
      </c>
      <c r="J639" t="str">
        <f t="shared" si="65"/>
        <v>CUST0654</v>
      </c>
      <c r="K639" t="s">
        <v>737</v>
      </c>
      <c r="L639" t="str">
        <f>PROPER(TRIM(CLEAN(Sales_Table[[#This Row],[Salesperson]])))</f>
        <v>Suresh</v>
      </c>
      <c r="M639" t="s">
        <v>54</v>
      </c>
      <c r="N639" t="str">
        <f t="shared" si="66"/>
        <v>Debit Card</v>
      </c>
      <c r="O639" t="s">
        <v>41</v>
      </c>
      <c r="P639">
        <f t="shared" si="67"/>
        <v>3</v>
      </c>
      <c r="Q639" t="s">
        <v>66</v>
      </c>
      <c r="R639">
        <f t="shared" si="68"/>
        <v>2163</v>
      </c>
      <c r="S639" t="s">
        <v>1636</v>
      </c>
      <c r="T639">
        <f t="shared" si="69"/>
        <v>6489</v>
      </c>
      <c r="U639">
        <f>YEAR(Sales_Table[[#This Row],[Date_clean]])</f>
        <v>2024</v>
      </c>
      <c r="V639" t="str">
        <f>TEXT(Sales_Table[[#This Row],[Date_clean]],"mmmm")</f>
        <v>January</v>
      </c>
      <c r="W639">
        <f>WEEKNUM(Sales_Table[[#This Row],[Date_clean]],2)</f>
        <v>4</v>
      </c>
      <c r="X639" t="str" cm="1">
        <f t="array" ref="X639">_xlfn.IFS(Sales_Table[[#This Row],[Revenue]]&gt;=50000,"High",Sales_Table[[#This Row],[Revenue]]&gt;=20000,"Medium",Sales_Table[[#This Row],[Revenue]]&lt;20000,"Low")</f>
        <v>Low</v>
      </c>
      <c r="Y639" t="str">
        <f>IF(Sales_Table[[#This Row],[Payment Method_clean]]="cash","Offline","Online")</f>
        <v>Online</v>
      </c>
      <c r="Z639">
        <f>IFERROR(Sales_Table[[#This Row],[Revenue]],0)</f>
        <v>6489</v>
      </c>
    </row>
    <row r="640" spans="1:26" x14ac:dyDescent="0.3">
      <c r="A640">
        <v>639</v>
      </c>
      <c r="B640" s="2">
        <f t="shared" si="63"/>
        <v>45318.583333333336</v>
      </c>
      <c r="C640" t="s">
        <v>1740</v>
      </c>
      <c r="D640" t="s">
        <v>84</v>
      </c>
      <c r="E640" t="str">
        <f>PROPER(TRIM(CLEAN(Sales_Table[[#This Row],[Region]])))</f>
        <v>South</v>
      </c>
      <c r="F640" t="s">
        <v>46</v>
      </c>
      <c r="G640" t="str">
        <f t="shared" si="64"/>
        <v>Electronics</v>
      </c>
      <c r="H640" t="str">
        <f>PROPER(TRIM(CLEAN(Sales_Table[[#This Row],[Product Name]])))</f>
        <v>Led Tv 42Inch</v>
      </c>
      <c r="I640" t="s">
        <v>58</v>
      </c>
      <c r="J640" t="str">
        <f t="shared" si="65"/>
        <v>CUST0749</v>
      </c>
      <c r="K640" t="s">
        <v>1741</v>
      </c>
      <c r="L640" t="str">
        <f>PROPER(TRIM(CLEAN(Sales_Table[[#This Row],[Salesperson]])))</f>
        <v>Rahul</v>
      </c>
      <c r="M640" t="s">
        <v>31</v>
      </c>
      <c r="N640" t="str">
        <f t="shared" si="66"/>
        <v>Cash</v>
      </c>
      <c r="O640" t="s">
        <v>32</v>
      </c>
      <c r="P640">
        <f t="shared" si="67"/>
        <v>2</v>
      </c>
      <c r="Q640" t="s">
        <v>196</v>
      </c>
      <c r="R640">
        <f t="shared" si="68"/>
        <v>1944</v>
      </c>
      <c r="S640" t="s">
        <v>1742</v>
      </c>
      <c r="T640">
        <f t="shared" si="69"/>
        <v>3888</v>
      </c>
      <c r="U640">
        <f>YEAR(Sales_Table[[#This Row],[Date_clean]])</f>
        <v>2024</v>
      </c>
      <c r="V640" t="str">
        <f>TEXT(Sales_Table[[#This Row],[Date_clean]],"mmmm")</f>
        <v>January</v>
      </c>
      <c r="W640">
        <f>WEEKNUM(Sales_Table[[#This Row],[Date_clean]],2)</f>
        <v>4</v>
      </c>
      <c r="X640" t="str" cm="1">
        <f t="array" ref="X640">_xlfn.IFS(Sales_Table[[#This Row],[Revenue]]&gt;=50000,"High",Sales_Table[[#This Row],[Revenue]]&gt;=20000,"Medium",Sales_Table[[#This Row],[Revenue]]&lt;20000,"Low")</f>
        <v>Low</v>
      </c>
      <c r="Y640" t="str">
        <f>IF(Sales_Table[[#This Row],[Payment Method_clean]]="cash","Offline","Online")</f>
        <v>Offline</v>
      </c>
      <c r="Z640">
        <f>IFERROR(Sales_Table[[#This Row],[Revenue]],0)</f>
        <v>3888</v>
      </c>
    </row>
    <row r="641" spans="1:26" x14ac:dyDescent="0.3">
      <c r="A641">
        <v>640</v>
      </c>
      <c r="B641" s="2">
        <f t="shared" si="63"/>
        <v>45318.625</v>
      </c>
      <c r="C641" t="s">
        <v>1743</v>
      </c>
      <c r="D641" t="s">
        <v>36</v>
      </c>
      <c r="E641" t="str">
        <f>PROPER(TRIM(CLEAN(Sales_Table[[#This Row],[Region]])))</f>
        <v>West</v>
      </c>
      <c r="F641" t="s">
        <v>37</v>
      </c>
      <c r="G641" t="str">
        <f t="shared" si="64"/>
        <v>Home Appliances</v>
      </c>
      <c r="H641" t="str">
        <f>PROPER(TRIM(CLEAN(Sales_Table[[#This Row],[Product Name]])))</f>
        <v>Men T-Shirt</v>
      </c>
      <c r="I641" t="s">
        <v>38</v>
      </c>
      <c r="J641" t="str">
        <f t="shared" si="65"/>
        <v>CUST0537</v>
      </c>
      <c r="K641" t="s">
        <v>581</v>
      </c>
      <c r="L641" t="str">
        <f>PROPER(TRIM(CLEAN(Sales_Table[[#This Row],[Salesperson]])))</f>
        <v>Rahul</v>
      </c>
      <c r="M641" t="s">
        <v>31</v>
      </c>
      <c r="N641" t="str">
        <f t="shared" si="66"/>
        <v>Debit Card</v>
      </c>
      <c r="O641" t="s">
        <v>41</v>
      </c>
      <c r="P641">
        <f t="shared" si="67"/>
        <v>13</v>
      </c>
      <c r="Q641" t="s">
        <v>81</v>
      </c>
      <c r="R641">
        <f t="shared" si="68"/>
        <v>2658</v>
      </c>
      <c r="S641" t="s">
        <v>1744</v>
      </c>
      <c r="T641">
        <f t="shared" si="69"/>
        <v>34554</v>
      </c>
      <c r="U641">
        <f>YEAR(Sales_Table[[#This Row],[Date_clean]])</f>
        <v>2024</v>
      </c>
      <c r="V641" t="str">
        <f>TEXT(Sales_Table[[#This Row],[Date_clean]],"mmmm")</f>
        <v>January</v>
      </c>
      <c r="W641">
        <f>WEEKNUM(Sales_Table[[#This Row],[Date_clean]],2)</f>
        <v>4</v>
      </c>
      <c r="X641" t="str" cm="1">
        <f t="array" ref="X641">_xlfn.IFS(Sales_Table[[#This Row],[Revenue]]&gt;=50000,"High",Sales_Table[[#This Row],[Revenue]]&gt;=20000,"Medium",Sales_Table[[#This Row],[Revenue]]&lt;20000,"Low")</f>
        <v>Medium</v>
      </c>
      <c r="Y641" t="str">
        <f>IF(Sales_Table[[#This Row],[Payment Method_clean]]="cash","Offline","Online")</f>
        <v>Online</v>
      </c>
      <c r="Z641">
        <f>IFERROR(Sales_Table[[#This Row],[Revenue]],0)</f>
        <v>34554</v>
      </c>
    </row>
    <row r="642" spans="1:26" x14ac:dyDescent="0.3">
      <c r="A642">
        <v>641</v>
      </c>
      <c r="B642" s="2">
        <f t="shared" si="63"/>
        <v>45318.666666666664</v>
      </c>
      <c r="C642" t="s">
        <v>1745</v>
      </c>
      <c r="D642" t="s">
        <v>84</v>
      </c>
      <c r="E642" t="str">
        <f>PROPER(TRIM(CLEAN(Sales_Table[[#This Row],[Region]])))</f>
        <v>South</v>
      </c>
      <c r="F642" t="s">
        <v>28</v>
      </c>
      <c r="G642" t="str">
        <f t="shared" si="64"/>
        <v>Clothing</v>
      </c>
      <c r="H642" t="str">
        <f>PROPER(TRIM(CLEAN(Sales_Table[[#This Row],[Product Name]])))</f>
        <v>Led Tv 42Inch</v>
      </c>
      <c r="I642" t="s">
        <v>58</v>
      </c>
      <c r="J642" t="str">
        <f t="shared" si="65"/>
        <v>CUST0511</v>
      </c>
      <c r="K642" t="s">
        <v>700</v>
      </c>
      <c r="L642" t="str">
        <f>PROPER(TRIM(CLEAN(Sales_Table[[#This Row],[Salesperson]])))</f>
        <v>Meena</v>
      </c>
      <c r="M642" t="s">
        <v>40</v>
      </c>
      <c r="N642" t="str">
        <f t="shared" si="66"/>
        <v>Net Banking</v>
      </c>
      <c r="O642" t="s">
        <v>60</v>
      </c>
      <c r="P642">
        <f t="shared" si="67"/>
        <v>4</v>
      </c>
      <c r="Q642" t="s">
        <v>113</v>
      </c>
      <c r="R642">
        <f t="shared" si="68"/>
        <v>1362</v>
      </c>
      <c r="S642" t="s">
        <v>1746</v>
      </c>
      <c r="T642">
        <f t="shared" si="69"/>
        <v>5448</v>
      </c>
      <c r="U642">
        <f>YEAR(Sales_Table[[#This Row],[Date_clean]])</f>
        <v>2024</v>
      </c>
      <c r="V642" t="str">
        <f>TEXT(Sales_Table[[#This Row],[Date_clean]],"mmmm")</f>
        <v>January</v>
      </c>
      <c r="W642">
        <f>WEEKNUM(Sales_Table[[#This Row],[Date_clean]],2)</f>
        <v>4</v>
      </c>
      <c r="X642" t="str" cm="1">
        <f t="array" ref="X642">_xlfn.IFS(Sales_Table[[#This Row],[Revenue]]&gt;=50000,"High",Sales_Table[[#This Row],[Revenue]]&gt;=20000,"Medium",Sales_Table[[#This Row],[Revenue]]&lt;20000,"Low")</f>
        <v>Low</v>
      </c>
      <c r="Y642" t="str">
        <f>IF(Sales_Table[[#This Row],[Payment Method_clean]]="cash","Offline","Online")</f>
        <v>Online</v>
      </c>
      <c r="Z642">
        <f>IFERROR(Sales_Table[[#This Row],[Revenue]],0)</f>
        <v>5448</v>
      </c>
    </row>
    <row r="643" spans="1:26" x14ac:dyDescent="0.3">
      <c r="A643">
        <v>642</v>
      </c>
      <c r="B643" s="2">
        <f t="shared" ref="B643:B706" si="70">DATEVALUE(LEFT(C643,10))+TIMEVALUE(MID(C643,12,8))</f>
        <v>45318.708333333336</v>
      </c>
      <c r="C643" t="s">
        <v>1747</v>
      </c>
      <c r="D643" t="s">
        <v>84</v>
      </c>
      <c r="E643" t="str">
        <f>PROPER(TRIM(CLEAN(Sales_Table[[#This Row],[Region]])))</f>
        <v>South</v>
      </c>
      <c r="F643" t="s">
        <v>37</v>
      </c>
      <c r="G643" t="str">
        <f t="shared" ref="G643:G706" si="71">PROPER(TRIM(CLEAN(F643)))</f>
        <v>Home Appliances</v>
      </c>
      <c r="H643" t="str">
        <f>PROPER(TRIM(CLEAN(Sales_Table[[#This Row],[Product Name]])))</f>
        <v>Laptop</v>
      </c>
      <c r="I643" t="s">
        <v>52</v>
      </c>
      <c r="J643" t="str">
        <f t="shared" ref="J643:J706" si="72">TRIM(K643)</f>
        <v>CUST0579</v>
      </c>
      <c r="K643" t="s">
        <v>1748</v>
      </c>
      <c r="L643" t="str">
        <f>PROPER(TRIM(CLEAN(Sales_Table[[#This Row],[Salesperson]])))</f>
        <v>Rahul</v>
      </c>
      <c r="M643" t="s">
        <v>31</v>
      </c>
      <c r="N643" t="str">
        <f t="shared" ref="N643:N706" si="73">PROPER(TRIM(O643))</f>
        <v>Cash</v>
      </c>
      <c r="O643" t="s">
        <v>32</v>
      </c>
      <c r="P643">
        <f t="shared" ref="P643:P706" si="74">VALUE(Q643)</f>
        <v>8</v>
      </c>
      <c r="Q643" t="s">
        <v>42</v>
      </c>
      <c r="R643">
        <f t="shared" ref="R643:R706" si="75">VALUE(S643)</f>
        <v>3391</v>
      </c>
      <c r="S643" t="s">
        <v>1749</v>
      </c>
      <c r="T643">
        <f t="shared" ref="T643:T706" si="76">P643*R643</f>
        <v>27128</v>
      </c>
      <c r="U643">
        <f>YEAR(Sales_Table[[#This Row],[Date_clean]])</f>
        <v>2024</v>
      </c>
      <c r="V643" t="str">
        <f>TEXT(Sales_Table[[#This Row],[Date_clean]],"mmmm")</f>
        <v>January</v>
      </c>
      <c r="W643">
        <f>WEEKNUM(Sales_Table[[#This Row],[Date_clean]],2)</f>
        <v>4</v>
      </c>
      <c r="X643" t="str" cm="1">
        <f t="array" ref="X643">_xlfn.IFS(Sales_Table[[#This Row],[Revenue]]&gt;=50000,"High",Sales_Table[[#This Row],[Revenue]]&gt;=20000,"Medium",Sales_Table[[#This Row],[Revenue]]&lt;20000,"Low")</f>
        <v>Medium</v>
      </c>
      <c r="Y643" t="str">
        <f>IF(Sales_Table[[#This Row],[Payment Method_clean]]="cash","Offline","Online")</f>
        <v>Offline</v>
      </c>
      <c r="Z643">
        <f>IFERROR(Sales_Table[[#This Row],[Revenue]],0)</f>
        <v>27128</v>
      </c>
    </row>
    <row r="644" spans="1:26" x14ac:dyDescent="0.3">
      <c r="A644">
        <v>643</v>
      </c>
      <c r="B644" s="2">
        <f t="shared" si="70"/>
        <v>45318.75</v>
      </c>
      <c r="C644" t="s">
        <v>1750</v>
      </c>
      <c r="D644" t="s">
        <v>36</v>
      </c>
      <c r="E644" t="str">
        <f>PROPER(TRIM(CLEAN(Sales_Table[[#This Row],[Region]])))</f>
        <v>West</v>
      </c>
      <c r="F644" t="s">
        <v>78</v>
      </c>
      <c r="G644" t="str">
        <f t="shared" si="71"/>
        <v>Grocery</v>
      </c>
      <c r="H644" t="str">
        <f>PROPER(TRIM(CLEAN(Sales_Table[[#This Row],[Product Name]])))</f>
        <v>Men T-Shirt</v>
      </c>
      <c r="I644" t="s">
        <v>38</v>
      </c>
      <c r="J644" t="str">
        <f t="shared" si="72"/>
        <v>CUST0250</v>
      </c>
      <c r="K644" t="s">
        <v>120</v>
      </c>
      <c r="L644" t="str">
        <f>PROPER(TRIM(CLEAN(Sales_Table[[#This Row],[Salesperson]])))</f>
        <v>Suresh</v>
      </c>
      <c r="M644" t="s">
        <v>54</v>
      </c>
      <c r="N644" t="str">
        <f t="shared" si="73"/>
        <v>Debit Card</v>
      </c>
      <c r="O644" t="s">
        <v>41</v>
      </c>
      <c r="P644">
        <f t="shared" si="74"/>
        <v>11</v>
      </c>
      <c r="Q644" t="s">
        <v>97</v>
      </c>
      <c r="R644">
        <f t="shared" si="75"/>
        <v>1118</v>
      </c>
      <c r="S644" t="s">
        <v>1751</v>
      </c>
      <c r="T644">
        <f t="shared" si="76"/>
        <v>12298</v>
      </c>
      <c r="U644">
        <f>YEAR(Sales_Table[[#This Row],[Date_clean]])</f>
        <v>2024</v>
      </c>
      <c r="V644" t="str">
        <f>TEXT(Sales_Table[[#This Row],[Date_clean]],"mmmm")</f>
        <v>January</v>
      </c>
      <c r="W644">
        <f>WEEKNUM(Sales_Table[[#This Row],[Date_clean]],2)</f>
        <v>4</v>
      </c>
      <c r="X644" t="str" cm="1">
        <f t="array" ref="X644">_xlfn.IFS(Sales_Table[[#This Row],[Revenue]]&gt;=50000,"High",Sales_Table[[#This Row],[Revenue]]&gt;=20000,"Medium",Sales_Table[[#This Row],[Revenue]]&lt;20000,"Low")</f>
        <v>Low</v>
      </c>
      <c r="Y644" t="str">
        <f>IF(Sales_Table[[#This Row],[Payment Method_clean]]="cash","Offline","Online")</f>
        <v>Online</v>
      </c>
      <c r="Z644">
        <f>IFERROR(Sales_Table[[#This Row],[Revenue]],0)</f>
        <v>12298</v>
      </c>
    </row>
    <row r="645" spans="1:26" x14ac:dyDescent="0.3">
      <c r="A645">
        <v>644</v>
      </c>
      <c r="B645" s="2">
        <f t="shared" si="70"/>
        <v>45318.791666666664</v>
      </c>
      <c r="C645" t="s">
        <v>1752</v>
      </c>
      <c r="D645" t="s">
        <v>45</v>
      </c>
      <c r="E645" t="str">
        <f>PROPER(TRIM(CLEAN(Sales_Table[[#This Row],[Region]])))</f>
        <v>North</v>
      </c>
      <c r="F645" t="s">
        <v>78</v>
      </c>
      <c r="G645" t="str">
        <f t="shared" si="71"/>
        <v>Grocery</v>
      </c>
      <c r="H645" t="str">
        <f>PROPER(TRIM(CLEAN(Sales_Table[[#This Row],[Product Name]])))</f>
        <v>Washing Machine</v>
      </c>
      <c r="I645" t="s">
        <v>79</v>
      </c>
      <c r="J645" t="str">
        <f t="shared" si="72"/>
        <v>CUST0510</v>
      </c>
      <c r="K645" t="s">
        <v>1753</v>
      </c>
      <c r="L645" t="str">
        <f>PROPER(TRIM(CLEAN(Sales_Table[[#This Row],[Salesperson]])))</f>
        <v>Meena</v>
      </c>
      <c r="M645" t="s">
        <v>40</v>
      </c>
      <c r="N645" t="str">
        <f t="shared" si="73"/>
        <v>Net Banking</v>
      </c>
      <c r="O645" t="s">
        <v>60</v>
      </c>
      <c r="P645">
        <f t="shared" si="74"/>
        <v>8</v>
      </c>
      <c r="Q645" t="s">
        <v>42</v>
      </c>
      <c r="R645">
        <f t="shared" si="75"/>
        <v>1889</v>
      </c>
      <c r="S645" t="s">
        <v>1458</v>
      </c>
      <c r="T645">
        <f t="shared" si="76"/>
        <v>15112</v>
      </c>
      <c r="U645">
        <f>YEAR(Sales_Table[[#This Row],[Date_clean]])</f>
        <v>2024</v>
      </c>
      <c r="V645" t="str">
        <f>TEXT(Sales_Table[[#This Row],[Date_clean]],"mmmm")</f>
        <v>January</v>
      </c>
      <c r="W645">
        <f>WEEKNUM(Sales_Table[[#This Row],[Date_clean]],2)</f>
        <v>4</v>
      </c>
      <c r="X645" t="str" cm="1">
        <f t="array" ref="X645">_xlfn.IFS(Sales_Table[[#This Row],[Revenue]]&gt;=50000,"High",Sales_Table[[#This Row],[Revenue]]&gt;=20000,"Medium",Sales_Table[[#This Row],[Revenue]]&lt;20000,"Low")</f>
        <v>Low</v>
      </c>
      <c r="Y645" t="str">
        <f>IF(Sales_Table[[#This Row],[Payment Method_clean]]="cash","Offline","Online")</f>
        <v>Online</v>
      </c>
      <c r="Z645">
        <f>IFERROR(Sales_Table[[#This Row],[Revenue]],0)</f>
        <v>15112</v>
      </c>
    </row>
    <row r="646" spans="1:26" x14ac:dyDescent="0.3">
      <c r="A646">
        <v>645</v>
      </c>
      <c r="B646" s="2">
        <f t="shared" si="70"/>
        <v>45318.833333333336</v>
      </c>
      <c r="C646" t="s">
        <v>1754</v>
      </c>
      <c r="D646" t="s">
        <v>36</v>
      </c>
      <c r="E646" t="str">
        <f>PROPER(TRIM(CLEAN(Sales_Table[[#This Row],[Region]])))</f>
        <v>West</v>
      </c>
      <c r="F646" t="s">
        <v>78</v>
      </c>
      <c r="G646" t="str">
        <f t="shared" si="71"/>
        <v>Grocery</v>
      </c>
      <c r="H646" t="str">
        <f>PROPER(TRIM(CLEAN(Sales_Table[[#This Row],[Product Name]])))</f>
        <v>Washing Machine</v>
      </c>
      <c r="I646" t="s">
        <v>79</v>
      </c>
      <c r="J646" t="str">
        <f t="shared" si="72"/>
        <v>CUST0630</v>
      </c>
      <c r="K646" t="s">
        <v>1755</v>
      </c>
      <c r="L646" t="str">
        <f>PROPER(TRIM(CLEAN(Sales_Table[[#This Row],[Salesperson]])))</f>
        <v>Meena</v>
      </c>
      <c r="M646" t="s">
        <v>40</v>
      </c>
      <c r="N646" t="str">
        <f t="shared" si="73"/>
        <v>Debit Card</v>
      </c>
      <c r="O646" t="s">
        <v>41</v>
      </c>
      <c r="P646">
        <f t="shared" si="74"/>
        <v>3</v>
      </c>
      <c r="Q646" t="s">
        <v>66</v>
      </c>
      <c r="R646">
        <f t="shared" si="75"/>
        <v>3624</v>
      </c>
      <c r="S646" t="s">
        <v>1756</v>
      </c>
      <c r="T646">
        <f t="shared" si="76"/>
        <v>10872</v>
      </c>
      <c r="U646">
        <f>YEAR(Sales_Table[[#This Row],[Date_clean]])</f>
        <v>2024</v>
      </c>
      <c r="V646" t="str">
        <f>TEXT(Sales_Table[[#This Row],[Date_clean]],"mmmm")</f>
        <v>January</v>
      </c>
      <c r="W646">
        <f>WEEKNUM(Sales_Table[[#This Row],[Date_clean]],2)</f>
        <v>4</v>
      </c>
      <c r="X646" t="str" cm="1">
        <f t="array" ref="X646">_xlfn.IFS(Sales_Table[[#This Row],[Revenue]]&gt;=50000,"High",Sales_Table[[#This Row],[Revenue]]&gt;=20000,"Medium",Sales_Table[[#This Row],[Revenue]]&lt;20000,"Low")</f>
        <v>Low</v>
      </c>
      <c r="Y646" t="str">
        <f>IF(Sales_Table[[#This Row],[Payment Method_clean]]="cash","Offline","Online")</f>
        <v>Online</v>
      </c>
      <c r="Z646">
        <f>IFERROR(Sales_Table[[#This Row],[Revenue]],0)</f>
        <v>10872</v>
      </c>
    </row>
    <row r="647" spans="1:26" x14ac:dyDescent="0.3">
      <c r="A647">
        <v>646</v>
      </c>
      <c r="B647" s="2">
        <f t="shared" si="70"/>
        <v>45318.875</v>
      </c>
      <c r="C647" t="s">
        <v>1757</v>
      </c>
      <c r="D647" t="s">
        <v>45</v>
      </c>
      <c r="E647" t="str">
        <f>PROPER(TRIM(CLEAN(Sales_Table[[#This Row],[Region]])))</f>
        <v>North</v>
      </c>
      <c r="F647" t="s">
        <v>28</v>
      </c>
      <c r="G647" t="str">
        <f t="shared" si="71"/>
        <v>Clothing</v>
      </c>
      <c r="H647" t="str">
        <f>PROPER(TRIM(CLEAN(Sales_Table[[#This Row],[Product Name]])))</f>
        <v>Laptop</v>
      </c>
      <c r="I647" t="s">
        <v>52</v>
      </c>
      <c r="J647" t="str">
        <f t="shared" si="72"/>
        <v>CUST0073</v>
      </c>
      <c r="K647" t="s">
        <v>859</v>
      </c>
      <c r="L647" t="str">
        <f>PROPER(TRIM(CLEAN(Sales_Table[[#This Row],[Salesperson]])))</f>
        <v>Rahul</v>
      </c>
      <c r="M647" t="s">
        <v>31</v>
      </c>
      <c r="N647" t="str">
        <f t="shared" si="73"/>
        <v>Net Banking</v>
      </c>
      <c r="O647" t="s">
        <v>60</v>
      </c>
      <c r="P647">
        <f t="shared" si="74"/>
        <v>4</v>
      </c>
      <c r="Q647" t="s">
        <v>113</v>
      </c>
      <c r="R647">
        <f t="shared" si="75"/>
        <v>3604</v>
      </c>
      <c r="S647" t="s">
        <v>1513</v>
      </c>
      <c r="T647">
        <f t="shared" si="76"/>
        <v>14416</v>
      </c>
      <c r="U647">
        <f>YEAR(Sales_Table[[#This Row],[Date_clean]])</f>
        <v>2024</v>
      </c>
      <c r="V647" t="str">
        <f>TEXT(Sales_Table[[#This Row],[Date_clean]],"mmmm")</f>
        <v>January</v>
      </c>
      <c r="W647">
        <f>WEEKNUM(Sales_Table[[#This Row],[Date_clean]],2)</f>
        <v>4</v>
      </c>
      <c r="X647" t="str" cm="1">
        <f t="array" ref="X647">_xlfn.IFS(Sales_Table[[#This Row],[Revenue]]&gt;=50000,"High",Sales_Table[[#This Row],[Revenue]]&gt;=20000,"Medium",Sales_Table[[#This Row],[Revenue]]&lt;20000,"Low")</f>
        <v>Low</v>
      </c>
      <c r="Y647" t="str">
        <f>IF(Sales_Table[[#This Row],[Payment Method_clean]]="cash","Offline","Online")</f>
        <v>Online</v>
      </c>
      <c r="Z647">
        <f>IFERROR(Sales_Table[[#This Row],[Revenue]],0)</f>
        <v>14416</v>
      </c>
    </row>
    <row r="648" spans="1:26" x14ac:dyDescent="0.3">
      <c r="A648">
        <v>647</v>
      </c>
      <c r="B648" s="2">
        <f t="shared" si="70"/>
        <v>45318.916666666664</v>
      </c>
      <c r="C648" t="s">
        <v>1758</v>
      </c>
      <c r="D648" t="s">
        <v>45</v>
      </c>
      <c r="E648" t="str">
        <f>PROPER(TRIM(CLEAN(Sales_Table[[#This Row],[Region]])))</f>
        <v>North</v>
      </c>
      <c r="F648" t="s">
        <v>46</v>
      </c>
      <c r="G648" t="str">
        <f t="shared" si="71"/>
        <v>Electronics</v>
      </c>
      <c r="H648" t="str">
        <f>PROPER(TRIM(CLEAN(Sales_Table[[#This Row],[Product Name]])))</f>
        <v>Led Tv 42Inch</v>
      </c>
      <c r="I648" t="s">
        <v>58</v>
      </c>
      <c r="J648" t="str">
        <f t="shared" si="72"/>
        <v>CUST0282</v>
      </c>
      <c r="K648" t="s">
        <v>1759</v>
      </c>
      <c r="L648" t="str">
        <f>PROPER(TRIM(CLEAN(Sales_Table[[#This Row],[Salesperson]])))</f>
        <v>Karthik</v>
      </c>
      <c r="M648" t="s">
        <v>70</v>
      </c>
      <c r="N648" t="str">
        <f t="shared" si="73"/>
        <v>Net Banking</v>
      </c>
      <c r="O648" t="s">
        <v>60</v>
      </c>
      <c r="P648">
        <f t="shared" si="74"/>
        <v>3</v>
      </c>
      <c r="Q648" t="s">
        <v>66</v>
      </c>
      <c r="R648">
        <f t="shared" si="75"/>
        <v>906</v>
      </c>
      <c r="S648" t="s">
        <v>454</v>
      </c>
      <c r="T648">
        <f t="shared" si="76"/>
        <v>2718</v>
      </c>
      <c r="U648">
        <f>YEAR(Sales_Table[[#This Row],[Date_clean]])</f>
        <v>2024</v>
      </c>
      <c r="V648" t="str">
        <f>TEXT(Sales_Table[[#This Row],[Date_clean]],"mmmm")</f>
        <v>January</v>
      </c>
      <c r="W648">
        <f>WEEKNUM(Sales_Table[[#This Row],[Date_clean]],2)</f>
        <v>4</v>
      </c>
      <c r="X648" t="str" cm="1">
        <f t="array" ref="X648">_xlfn.IFS(Sales_Table[[#This Row],[Revenue]]&gt;=50000,"High",Sales_Table[[#This Row],[Revenue]]&gt;=20000,"Medium",Sales_Table[[#This Row],[Revenue]]&lt;20000,"Low")</f>
        <v>Low</v>
      </c>
      <c r="Y648" t="str">
        <f>IF(Sales_Table[[#This Row],[Payment Method_clean]]="cash","Offline","Online")</f>
        <v>Online</v>
      </c>
      <c r="Z648">
        <f>IFERROR(Sales_Table[[#This Row],[Revenue]],0)</f>
        <v>2718</v>
      </c>
    </row>
    <row r="649" spans="1:26" x14ac:dyDescent="0.3">
      <c r="A649">
        <v>648</v>
      </c>
      <c r="B649" s="2">
        <f t="shared" si="70"/>
        <v>45318.958333333336</v>
      </c>
      <c r="C649" t="s">
        <v>1760</v>
      </c>
      <c r="D649" t="s">
        <v>45</v>
      </c>
      <c r="E649" t="str">
        <f>PROPER(TRIM(CLEAN(Sales_Table[[#This Row],[Region]])))</f>
        <v>North</v>
      </c>
      <c r="F649" t="s">
        <v>28</v>
      </c>
      <c r="G649" t="str">
        <f t="shared" si="71"/>
        <v>Clothing</v>
      </c>
      <c r="H649" t="str">
        <f>PROPER(TRIM(CLEAN(Sales_Table[[#This Row],[Product Name]])))</f>
        <v>Washing Machine</v>
      </c>
      <c r="I649" t="s">
        <v>79</v>
      </c>
      <c r="J649" t="str">
        <f t="shared" si="72"/>
        <v>CUST0360</v>
      </c>
      <c r="K649" t="s">
        <v>971</v>
      </c>
      <c r="L649" t="str">
        <f>PROPER(TRIM(CLEAN(Sales_Table[[#This Row],[Salesperson]])))</f>
        <v>Karthik</v>
      </c>
      <c r="M649" t="s">
        <v>70</v>
      </c>
      <c r="N649" t="str">
        <f t="shared" si="73"/>
        <v>Cash</v>
      </c>
      <c r="O649" t="s">
        <v>32</v>
      </c>
      <c r="P649">
        <f t="shared" si="74"/>
        <v>10</v>
      </c>
      <c r="Q649" t="s">
        <v>117</v>
      </c>
      <c r="R649">
        <f t="shared" si="75"/>
        <v>2766</v>
      </c>
      <c r="S649" t="s">
        <v>1761</v>
      </c>
      <c r="T649">
        <f t="shared" si="76"/>
        <v>27660</v>
      </c>
      <c r="U649">
        <f>YEAR(Sales_Table[[#This Row],[Date_clean]])</f>
        <v>2024</v>
      </c>
      <c r="V649" t="str">
        <f>TEXT(Sales_Table[[#This Row],[Date_clean]],"mmmm")</f>
        <v>January</v>
      </c>
      <c r="W649">
        <f>WEEKNUM(Sales_Table[[#This Row],[Date_clean]],2)</f>
        <v>4</v>
      </c>
      <c r="X649" t="str" cm="1">
        <f t="array" ref="X649">_xlfn.IFS(Sales_Table[[#This Row],[Revenue]]&gt;=50000,"High",Sales_Table[[#This Row],[Revenue]]&gt;=20000,"Medium",Sales_Table[[#This Row],[Revenue]]&lt;20000,"Low")</f>
        <v>Medium</v>
      </c>
      <c r="Y649" t="str">
        <f>IF(Sales_Table[[#This Row],[Payment Method_clean]]="cash","Offline","Online")</f>
        <v>Offline</v>
      </c>
      <c r="Z649">
        <f>IFERROR(Sales_Table[[#This Row],[Revenue]],0)</f>
        <v>27660</v>
      </c>
    </row>
    <row r="650" spans="1:26" x14ac:dyDescent="0.3">
      <c r="A650">
        <v>649</v>
      </c>
      <c r="B650" s="2">
        <f t="shared" si="70"/>
        <v>45319</v>
      </c>
      <c r="C650" t="s">
        <v>1762</v>
      </c>
      <c r="D650" t="s">
        <v>36</v>
      </c>
      <c r="E650" t="str">
        <f>PROPER(TRIM(CLEAN(Sales_Table[[#This Row],[Region]])))</f>
        <v>West</v>
      </c>
      <c r="F650" t="s">
        <v>28</v>
      </c>
      <c r="G650" t="str">
        <f t="shared" si="71"/>
        <v>Clothing</v>
      </c>
      <c r="H650" t="str">
        <f>PROPER(TRIM(CLEAN(Sales_Table[[#This Row],[Product Name]])))</f>
        <v>Led Tv 42Inch</v>
      </c>
      <c r="I650" t="s">
        <v>58</v>
      </c>
      <c r="J650" t="str">
        <f t="shared" si="72"/>
        <v>CUST0010</v>
      </c>
      <c r="K650" t="s">
        <v>1763</v>
      </c>
      <c r="L650" t="str">
        <f>PROPER(TRIM(CLEAN(Sales_Table[[#This Row],[Salesperson]])))</f>
        <v>Meena</v>
      </c>
      <c r="M650" t="s">
        <v>40</v>
      </c>
      <c r="N650" t="str">
        <f t="shared" si="73"/>
        <v>Credit Card</v>
      </c>
      <c r="O650" t="s">
        <v>65</v>
      </c>
      <c r="P650">
        <f t="shared" si="74"/>
        <v>2</v>
      </c>
      <c r="Q650" t="s">
        <v>196</v>
      </c>
      <c r="R650">
        <f t="shared" si="75"/>
        <v>504</v>
      </c>
      <c r="S650" t="s">
        <v>1764</v>
      </c>
      <c r="T650">
        <f t="shared" si="76"/>
        <v>1008</v>
      </c>
      <c r="U650">
        <f>YEAR(Sales_Table[[#This Row],[Date_clean]])</f>
        <v>2024</v>
      </c>
      <c r="V650" t="str">
        <f>TEXT(Sales_Table[[#This Row],[Date_clean]],"mmmm")</f>
        <v>January</v>
      </c>
      <c r="W650">
        <f>WEEKNUM(Sales_Table[[#This Row],[Date_clean]],2)</f>
        <v>4</v>
      </c>
      <c r="X650" t="str" cm="1">
        <f t="array" ref="X650">_xlfn.IFS(Sales_Table[[#This Row],[Revenue]]&gt;=50000,"High",Sales_Table[[#This Row],[Revenue]]&gt;=20000,"Medium",Sales_Table[[#This Row],[Revenue]]&lt;20000,"Low")</f>
        <v>Low</v>
      </c>
      <c r="Y650" t="str">
        <f>IF(Sales_Table[[#This Row],[Payment Method_clean]]="cash","Offline","Online")</f>
        <v>Online</v>
      </c>
      <c r="Z650">
        <f>IFERROR(Sales_Table[[#This Row],[Revenue]],0)</f>
        <v>1008</v>
      </c>
    </row>
    <row r="651" spans="1:26" x14ac:dyDescent="0.3">
      <c r="A651">
        <v>650</v>
      </c>
      <c r="B651" s="2">
        <f t="shared" si="70"/>
        <v>45319.041666666664</v>
      </c>
      <c r="C651" t="s">
        <v>1765</v>
      </c>
      <c r="D651" t="s">
        <v>45</v>
      </c>
      <c r="E651" t="str">
        <f>PROPER(TRIM(CLEAN(Sales_Table[[#This Row],[Region]])))</f>
        <v>North</v>
      </c>
      <c r="F651" t="s">
        <v>46</v>
      </c>
      <c r="G651" t="str">
        <f t="shared" si="71"/>
        <v>Electronics</v>
      </c>
      <c r="H651" t="str">
        <f>PROPER(TRIM(CLEAN(Sales_Table[[#This Row],[Product Name]])))</f>
        <v>Washing Machine</v>
      </c>
      <c r="I651" t="s">
        <v>79</v>
      </c>
      <c r="J651" t="str">
        <f t="shared" si="72"/>
        <v>CUST0211</v>
      </c>
      <c r="K651" t="s">
        <v>150</v>
      </c>
      <c r="L651" t="str">
        <f>PROPER(TRIM(CLEAN(Sales_Table[[#This Row],[Salesperson]])))</f>
        <v>Rahul</v>
      </c>
      <c r="M651" t="s">
        <v>31</v>
      </c>
      <c r="N651" t="str">
        <f t="shared" si="73"/>
        <v>Net Banking</v>
      </c>
      <c r="O651" t="s">
        <v>60</v>
      </c>
      <c r="P651">
        <f t="shared" si="74"/>
        <v>4</v>
      </c>
      <c r="Q651" t="s">
        <v>113</v>
      </c>
      <c r="R651">
        <f t="shared" si="75"/>
        <v>693</v>
      </c>
      <c r="S651" t="s">
        <v>1766</v>
      </c>
      <c r="T651">
        <f t="shared" si="76"/>
        <v>2772</v>
      </c>
      <c r="U651">
        <f>YEAR(Sales_Table[[#This Row],[Date_clean]])</f>
        <v>2024</v>
      </c>
      <c r="V651" t="str">
        <f>TEXT(Sales_Table[[#This Row],[Date_clean]],"mmmm")</f>
        <v>January</v>
      </c>
      <c r="W651">
        <f>WEEKNUM(Sales_Table[[#This Row],[Date_clean]],2)</f>
        <v>4</v>
      </c>
      <c r="X651" t="str" cm="1">
        <f t="array" ref="X651">_xlfn.IFS(Sales_Table[[#This Row],[Revenue]]&gt;=50000,"High",Sales_Table[[#This Row],[Revenue]]&gt;=20000,"Medium",Sales_Table[[#This Row],[Revenue]]&lt;20000,"Low")</f>
        <v>Low</v>
      </c>
      <c r="Y651" t="str">
        <f>IF(Sales_Table[[#This Row],[Payment Method_clean]]="cash","Offline","Online")</f>
        <v>Online</v>
      </c>
      <c r="Z651">
        <f>IFERROR(Sales_Table[[#This Row],[Revenue]],0)</f>
        <v>2772</v>
      </c>
    </row>
    <row r="652" spans="1:26" x14ac:dyDescent="0.3">
      <c r="A652">
        <v>651</v>
      </c>
      <c r="B652" s="2">
        <f t="shared" si="70"/>
        <v>45319.083333333336</v>
      </c>
      <c r="C652" t="s">
        <v>1767</v>
      </c>
      <c r="D652" t="s">
        <v>27</v>
      </c>
      <c r="E652" t="str">
        <f>PROPER(TRIM(CLEAN(Sales_Table[[#This Row],[Region]])))</f>
        <v>East</v>
      </c>
      <c r="F652" t="s">
        <v>37</v>
      </c>
      <c r="G652" t="str">
        <f t="shared" si="71"/>
        <v>Home Appliances</v>
      </c>
      <c r="H652" t="str">
        <f>PROPER(TRIM(CLEAN(Sales_Table[[#This Row],[Product Name]])))</f>
        <v>Washing Machine</v>
      </c>
      <c r="I652" t="s">
        <v>79</v>
      </c>
      <c r="J652" t="str">
        <f t="shared" si="72"/>
        <v>CUST0152</v>
      </c>
      <c r="K652" t="s">
        <v>1768</v>
      </c>
      <c r="L652" t="str">
        <f>PROPER(TRIM(CLEAN(Sales_Table[[#This Row],[Salesperson]])))</f>
        <v>Karthik</v>
      </c>
      <c r="M652" t="s">
        <v>70</v>
      </c>
      <c r="N652" t="str">
        <f t="shared" si="73"/>
        <v>Net Banking</v>
      </c>
      <c r="O652" t="s">
        <v>60</v>
      </c>
      <c r="P652">
        <f t="shared" si="74"/>
        <v>6</v>
      </c>
      <c r="Q652" t="s">
        <v>75</v>
      </c>
      <c r="R652">
        <f t="shared" si="75"/>
        <v>4049</v>
      </c>
      <c r="S652" t="s">
        <v>1769</v>
      </c>
      <c r="T652">
        <f t="shared" si="76"/>
        <v>24294</v>
      </c>
      <c r="U652">
        <f>YEAR(Sales_Table[[#This Row],[Date_clean]])</f>
        <v>2024</v>
      </c>
      <c r="V652" t="str">
        <f>TEXT(Sales_Table[[#This Row],[Date_clean]],"mmmm")</f>
        <v>January</v>
      </c>
      <c r="W652">
        <f>WEEKNUM(Sales_Table[[#This Row],[Date_clean]],2)</f>
        <v>4</v>
      </c>
      <c r="X652" t="str" cm="1">
        <f t="array" ref="X652">_xlfn.IFS(Sales_Table[[#This Row],[Revenue]]&gt;=50000,"High",Sales_Table[[#This Row],[Revenue]]&gt;=20000,"Medium",Sales_Table[[#This Row],[Revenue]]&lt;20000,"Low")</f>
        <v>Medium</v>
      </c>
      <c r="Y652" t="str">
        <f>IF(Sales_Table[[#This Row],[Payment Method_clean]]="cash","Offline","Online")</f>
        <v>Online</v>
      </c>
      <c r="Z652">
        <f>IFERROR(Sales_Table[[#This Row],[Revenue]],0)</f>
        <v>24294</v>
      </c>
    </row>
    <row r="653" spans="1:26" x14ac:dyDescent="0.3">
      <c r="A653">
        <v>652</v>
      </c>
      <c r="B653" s="2">
        <f t="shared" si="70"/>
        <v>45319.125</v>
      </c>
      <c r="C653" t="s">
        <v>1770</v>
      </c>
      <c r="D653" t="s">
        <v>36</v>
      </c>
      <c r="E653" t="str">
        <f>PROPER(TRIM(CLEAN(Sales_Table[[#This Row],[Region]])))</f>
        <v>West</v>
      </c>
      <c r="F653" t="s">
        <v>78</v>
      </c>
      <c r="G653" t="str">
        <f t="shared" si="71"/>
        <v>Grocery</v>
      </c>
      <c r="H653" t="str">
        <f>PROPER(TRIM(CLEAN(Sales_Table[[#This Row],[Product Name]])))</f>
        <v>Led Tv 42Inch</v>
      </c>
      <c r="I653" t="s">
        <v>58</v>
      </c>
      <c r="J653" t="str">
        <f t="shared" si="72"/>
        <v>CUST0005</v>
      </c>
      <c r="K653" t="s">
        <v>1771</v>
      </c>
      <c r="L653" t="str">
        <f>PROPER(TRIM(CLEAN(Sales_Table[[#This Row],[Salesperson]])))</f>
        <v>Rahul</v>
      </c>
      <c r="M653" t="s">
        <v>31</v>
      </c>
      <c r="N653" t="str">
        <f t="shared" si="73"/>
        <v>Cash</v>
      </c>
      <c r="O653" t="s">
        <v>32</v>
      </c>
      <c r="P653">
        <f t="shared" si="74"/>
        <v>11</v>
      </c>
      <c r="Q653" t="s">
        <v>97</v>
      </c>
      <c r="R653">
        <f t="shared" si="75"/>
        <v>4207</v>
      </c>
      <c r="S653" t="s">
        <v>1772</v>
      </c>
      <c r="T653">
        <f t="shared" si="76"/>
        <v>46277</v>
      </c>
      <c r="U653">
        <f>YEAR(Sales_Table[[#This Row],[Date_clean]])</f>
        <v>2024</v>
      </c>
      <c r="V653" t="str">
        <f>TEXT(Sales_Table[[#This Row],[Date_clean]],"mmmm")</f>
        <v>January</v>
      </c>
      <c r="W653">
        <f>WEEKNUM(Sales_Table[[#This Row],[Date_clean]],2)</f>
        <v>4</v>
      </c>
      <c r="X653" t="str" cm="1">
        <f t="array" ref="X653">_xlfn.IFS(Sales_Table[[#This Row],[Revenue]]&gt;=50000,"High",Sales_Table[[#This Row],[Revenue]]&gt;=20000,"Medium",Sales_Table[[#This Row],[Revenue]]&lt;20000,"Low")</f>
        <v>Medium</v>
      </c>
      <c r="Y653" t="str">
        <f>IF(Sales_Table[[#This Row],[Payment Method_clean]]="cash","Offline","Online")</f>
        <v>Offline</v>
      </c>
      <c r="Z653">
        <f>IFERROR(Sales_Table[[#This Row],[Revenue]],0)</f>
        <v>46277</v>
      </c>
    </row>
    <row r="654" spans="1:26" x14ac:dyDescent="0.3">
      <c r="A654">
        <v>653</v>
      </c>
      <c r="B654" s="2">
        <f t="shared" si="70"/>
        <v>45319.166666666664</v>
      </c>
      <c r="C654" t="s">
        <v>1773</v>
      </c>
      <c r="D654" t="s">
        <v>27</v>
      </c>
      <c r="E654" t="str">
        <f>PROPER(TRIM(CLEAN(Sales_Table[[#This Row],[Region]])))</f>
        <v>East</v>
      </c>
      <c r="F654" t="s">
        <v>37</v>
      </c>
      <c r="G654" t="str">
        <f t="shared" si="71"/>
        <v>Home Appliances</v>
      </c>
      <c r="H654" t="str">
        <f>PROPER(TRIM(CLEAN(Sales_Table[[#This Row],[Product Name]])))</f>
        <v>Mixer Grinder</v>
      </c>
      <c r="I654" t="s">
        <v>29</v>
      </c>
      <c r="J654" t="str">
        <f t="shared" si="72"/>
        <v>CUST0195</v>
      </c>
      <c r="K654" t="s">
        <v>314</v>
      </c>
      <c r="L654" t="str">
        <f>PROPER(TRIM(CLEAN(Sales_Table[[#This Row],[Salesperson]])))</f>
        <v>Rahul</v>
      </c>
      <c r="M654" t="s">
        <v>31</v>
      </c>
      <c r="N654" t="str">
        <f t="shared" si="73"/>
        <v>Credit Card</v>
      </c>
      <c r="O654" t="s">
        <v>65</v>
      </c>
      <c r="P654">
        <f t="shared" si="74"/>
        <v>14</v>
      </c>
      <c r="Q654" t="s">
        <v>55</v>
      </c>
      <c r="R654">
        <f t="shared" si="75"/>
        <v>3380</v>
      </c>
      <c r="S654" t="s">
        <v>1774</v>
      </c>
      <c r="T654">
        <f t="shared" si="76"/>
        <v>47320</v>
      </c>
      <c r="U654">
        <f>YEAR(Sales_Table[[#This Row],[Date_clean]])</f>
        <v>2024</v>
      </c>
      <c r="V654" t="str">
        <f>TEXT(Sales_Table[[#This Row],[Date_clean]],"mmmm")</f>
        <v>January</v>
      </c>
      <c r="W654">
        <f>WEEKNUM(Sales_Table[[#This Row],[Date_clean]],2)</f>
        <v>4</v>
      </c>
      <c r="X654" t="str" cm="1">
        <f t="array" ref="X654">_xlfn.IFS(Sales_Table[[#This Row],[Revenue]]&gt;=50000,"High",Sales_Table[[#This Row],[Revenue]]&gt;=20000,"Medium",Sales_Table[[#This Row],[Revenue]]&lt;20000,"Low")</f>
        <v>Medium</v>
      </c>
      <c r="Y654" t="str">
        <f>IF(Sales_Table[[#This Row],[Payment Method_clean]]="cash","Offline","Online")</f>
        <v>Online</v>
      </c>
      <c r="Z654">
        <f>IFERROR(Sales_Table[[#This Row],[Revenue]],0)</f>
        <v>47320</v>
      </c>
    </row>
    <row r="655" spans="1:26" x14ac:dyDescent="0.3">
      <c r="A655">
        <v>654</v>
      </c>
      <c r="B655" s="2">
        <f t="shared" si="70"/>
        <v>45319.208333333336</v>
      </c>
      <c r="C655" t="s">
        <v>1775</v>
      </c>
      <c r="D655" t="s">
        <v>45</v>
      </c>
      <c r="E655" t="str">
        <f>PROPER(TRIM(CLEAN(Sales_Table[[#This Row],[Region]])))</f>
        <v>North</v>
      </c>
      <c r="F655" t="s">
        <v>78</v>
      </c>
      <c r="G655" t="str">
        <f t="shared" si="71"/>
        <v>Grocery</v>
      </c>
      <c r="H655" t="str">
        <f>PROPER(TRIM(CLEAN(Sales_Table[[#This Row],[Product Name]])))</f>
        <v>Washing Machine</v>
      </c>
      <c r="I655" t="s">
        <v>79</v>
      </c>
      <c r="J655" t="str">
        <f t="shared" si="72"/>
        <v>CUST0283</v>
      </c>
      <c r="K655" t="s">
        <v>1776</v>
      </c>
      <c r="L655" t="str">
        <f>PROPER(TRIM(CLEAN(Sales_Table[[#This Row],[Salesperson]])))</f>
        <v>Meena</v>
      </c>
      <c r="M655" t="s">
        <v>40</v>
      </c>
      <c r="N655" t="str">
        <f t="shared" si="73"/>
        <v>Upi</v>
      </c>
      <c r="O655" t="s">
        <v>48</v>
      </c>
      <c r="P655">
        <f t="shared" si="74"/>
        <v>11</v>
      </c>
      <c r="Q655" t="s">
        <v>97</v>
      </c>
      <c r="R655">
        <f t="shared" si="75"/>
        <v>2312</v>
      </c>
      <c r="S655" t="s">
        <v>1777</v>
      </c>
      <c r="T655">
        <f t="shared" si="76"/>
        <v>25432</v>
      </c>
      <c r="U655">
        <f>YEAR(Sales_Table[[#This Row],[Date_clean]])</f>
        <v>2024</v>
      </c>
      <c r="V655" t="str">
        <f>TEXT(Sales_Table[[#This Row],[Date_clean]],"mmmm")</f>
        <v>January</v>
      </c>
      <c r="W655">
        <f>WEEKNUM(Sales_Table[[#This Row],[Date_clean]],2)</f>
        <v>4</v>
      </c>
      <c r="X655" t="str" cm="1">
        <f t="array" ref="X655">_xlfn.IFS(Sales_Table[[#This Row],[Revenue]]&gt;=50000,"High",Sales_Table[[#This Row],[Revenue]]&gt;=20000,"Medium",Sales_Table[[#This Row],[Revenue]]&lt;20000,"Low")</f>
        <v>Medium</v>
      </c>
      <c r="Y655" t="str">
        <f>IF(Sales_Table[[#This Row],[Payment Method_clean]]="cash","Offline","Online")</f>
        <v>Online</v>
      </c>
      <c r="Z655">
        <f>IFERROR(Sales_Table[[#This Row],[Revenue]],0)</f>
        <v>25432</v>
      </c>
    </row>
    <row r="656" spans="1:26" x14ac:dyDescent="0.3">
      <c r="A656">
        <v>655</v>
      </c>
      <c r="B656" s="2">
        <f t="shared" si="70"/>
        <v>45319.25</v>
      </c>
      <c r="C656" t="s">
        <v>1778</v>
      </c>
      <c r="D656" t="s">
        <v>84</v>
      </c>
      <c r="E656" t="str">
        <f>PROPER(TRIM(CLEAN(Sales_Table[[#This Row],[Region]])))</f>
        <v>South</v>
      </c>
      <c r="F656" t="s">
        <v>28</v>
      </c>
      <c r="G656" t="str">
        <f t="shared" si="71"/>
        <v>Clothing</v>
      </c>
      <c r="H656" t="str">
        <f>PROPER(TRIM(CLEAN(Sales_Table[[#This Row],[Product Name]])))</f>
        <v>Men T-Shirt</v>
      </c>
      <c r="I656" t="s">
        <v>38</v>
      </c>
      <c r="J656" t="str">
        <f t="shared" si="72"/>
        <v>CUST0464</v>
      </c>
      <c r="K656" t="s">
        <v>1779</v>
      </c>
      <c r="L656" t="str">
        <f>PROPER(TRIM(CLEAN(Sales_Table[[#This Row],[Salesperson]])))</f>
        <v>Meena</v>
      </c>
      <c r="M656" t="s">
        <v>40</v>
      </c>
      <c r="N656" t="str">
        <f t="shared" si="73"/>
        <v>Upi</v>
      </c>
      <c r="O656" t="s">
        <v>48</v>
      </c>
      <c r="P656">
        <f t="shared" si="74"/>
        <v>5</v>
      </c>
      <c r="Q656" t="s">
        <v>89</v>
      </c>
      <c r="R656">
        <f t="shared" si="75"/>
        <v>1642</v>
      </c>
      <c r="S656" t="s">
        <v>1780</v>
      </c>
      <c r="T656">
        <f t="shared" si="76"/>
        <v>8210</v>
      </c>
      <c r="U656">
        <f>YEAR(Sales_Table[[#This Row],[Date_clean]])</f>
        <v>2024</v>
      </c>
      <c r="V656" t="str">
        <f>TEXT(Sales_Table[[#This Row],[Date_clean]],"mmmm")</f>
        <v>January</v>
      </c>
      <c r="W656">
        <f>WEEKNUM(Sales_Table[[#This Row],[Date_clean]],2)</f>
        <v>4</v>
      </c>
      <c r="X656" t="str" cm="1">
        <f t="array" ref="X656">_xlfn.IFS(Sales_Table[[#This Row],[Revenue]]&gt;=50000,"High",Sales_Table[[#This Row],[Revenue]]&gt;=20000,"Medium",Sales_Table[[#This Row],[Revenue]]&lt;20000,"Low")</f>
        <v>Low</v>
      </c>
      <c r="Y656" t="str">
        <f>IF(Sales_Table[[#This Row],[Payment Method_clean]]="cash","Offline","Online")</f>
        <v>Online</v>
      </c>
      <c r="Z656">
        <f>IFERROR(Sales_Table[[#This Row],[Revenue]],0)</f>
        <v>8210</v>
      </c>
    </row>
    <row r="657" spans="1:26" x14ac:dyDescent="0.3">
      <c r="A657">
        <v>656</v>
      </c>
      <c r="B657" s="2">
        <f t="shared" si="70"/>
        <v>45319.291666666664</v>
      </c>
      <c r="C657" t="s">
        <v>1781</v>
      </c>
      <c r="D657" t="s">
        <v>45</v>
      </c>
      <c r="E657" t="str">
        <f>PROPER(TRIM(CLEAN(Sales_Table[[#This Row],[Region]])))</f>
        <v>North</v>
      </c>
      <c r="F657" t="s">
        <v>78</v>
      </c>
      <c r="G657" t="str">
        <f t="shared" si="71"/>
        <v>Grocery</v>
      </c>
      <c r="H657" t="str">
        <f>PROPER(TRIM(CLEAN(Sales_Table[[#This Row],[Product Name]])))</f>
        <v>Laptop</v>
      </c>
      <c r="I657" t="s">
        <v>52</v>
      </c>
      <c r="J657" t="str">
        <f t="shared" si="72"/>
        <v>CUST0113</v>
      </c>
      <c r="K657" t="s">
        <v>646</v>
      </c>
      <c r="L657" t="str">
        <f>PROPER(TRIM(CLEAN(Sales_Table[[#This Row],[Salesperson]])))</f>
        <v>Anita</v>
      </c>
      <c r="M657" t="s">
        <v>64</v>
      </c>
      <c r="N657" t="str">
        <f t="shared" si="73"/>
        <v>Credit Card</v>
      </c>
      <c r="O657" t="s">
        <v>65</v>
      </c>
      <c r="P657">
        <f t="shared" si="74"/>
        <v>3</v>
      </c>
      <c r="Q657" t="s">
        <v>66</v>
      </c>
      <c r="R657">
        <f t="shared" si="75"/>
        <v>713</v>
      </c>
      <c r="S657" t="s">
        <v>1782</v>
      </c>
      <c r="T657">
        <f t="shared" si="76"/>
        <v>2139</v>
      </c>
      <c r="U657">
        <f>YEAR(Sales_Table[[#This Row],[Date_clean]])</f>
        <v>2024</v>
      </c>
      <c r="V657" t="str">
        <f>TEXT(Sales_Table[[#This Row],[Date_clean]],"mmmm")</f>
        <v>January</v>
      </c>
      <c r="W657">
        <f>WEEKNUM(Sales_Table[[#This Row],[Date_clean]],2)</f>
        <v>4</v>
      </c>
      <c r="X657" t="str" cm="1">
        <f t="array" ref="X657">_xlfn.IFS(Sales_Table[[#This Row],[Revenue]]&gt;=50000,"High",Sales_Table[[#This Row],[Revenue]]&gt;=20000,"Medium",Sales_Table[[#This Row],[Revenue]]&lt;20000,"Low")</f>
        <v>Low</v>
      </c>
      <c r="Y657" t="str">
        <f>IF(Sales_Table[[#This Row],[Payment Method_clean]]="cash","Offline","Online")</f>
        <v>Online</v>
      </c>
      <c r="Z657">
        <f>IFERROR(Sales_Table[[#This Row],[Revenue]],0)</f>
        <v>2139</v>
      </c>
    </row>
    <row r="658" spans="1:26" x14ac:dyDescent="0.3">
      <c r="A658">
        <v>657</v>
      </c>
      <c r="B658" s="2">
        <f t="shared" si="70"/>
        <v>45319.333333333336</v>
      </c>
      <c r="C658" t="s">
        <v>1783</v>
      </c>
      <c r="D658" t="s">
        <v>27</v>
      </c>
      <c r="E658" t="str">
        <f>PROPER(TRIM(CLEAN(Sales_Table[[#This Row],[Region]])))</f>
        <v>East</v>
      </c>
      <c r="F658" t="s">
        <v>28</v>
      </c>
      <c r="G658" t="str">
        <f t="shared" si="71"/>
        <v>Clothing</v>
      </c>
      <c r="H658" t="str">
        <f>PROPER(TRIM(CLEAN(Sales_Table[[#This Row],[Product Name]])))</f>
        <v>Mixer Grinder</v>
      </c>
      <c r="I658" t="s">
        <v>29</v>
      </c>
      <c r="J658" t="str">
        <f t="shared" si="72"/>
        <v>CUST0271</v>
      </c>
      <c r="K658" t="s">
        <v>1128</v>
      </c>
      <c r="L658" t="str">
        <f>PROPER(TRIM(CLEAN(Sales_Table[[#This Row],[Salesperson]])))</f>
        <v>Karthik</v>
      </c>
      <c r="M658" t="s">
        <v>70</v>
      </c>
      <c r="N658" t="str">
        <f t="shared" si="73"/>
        <v>Debit Card</v>
      </c>
      <c r="O658" t="s">
        <v>41</v>
      </c>
      <c r="P658">
        <f t="shared" si="74"/>
        <v>2</v>
      </c>
      <c r="Q658" t="s">
        <v>196</v>
      </c>
      <c r="R658">
        <f t="shared" si="75"/>
        <v>968</v>
      </c>
      <c r="S658" t="s">
        <v>1784</v>
      </c>
      <c r="T658">
        <f t="shared" si="76"/>
        <v>1936</v>
      </c>
      <c r="U658">
        <f>YEAR(Sales_Table[[#This Row],[Date_clean]])</f>
        <v>2024</v>
      </c>
      <c r="V658" t="str">
        <f>TEXT(Sales_Table[[#This Row],[Date_clean]],"mmmm")</f>
        <v>January</v>
      </c>
      <c r="W658">
        <f>WEEKNUM(Sales_Table[[#This Row],[Date_clean]],2)</f>
        <v>4</v>
      </c>
      <c r="X658" t="str" cm="1">
        <f t="array" ref="X658">_xlfn.IFS(Sales_Table[[#This Row],[Revenue]]&gt;=50000,"High",Sales_Table[[#This Row],[Revenue]]&gt;=20000,"Medium",Sales_Table[[#This Row],[Revenue]]&lt;20000,"Low")</f>
        <v>Low</v>
      </c>
      <c r="Y658" t="str">
        <f>IF(Sales_Table[[#This Row],[Payment Method_clean]]="cash","Offline","Online")</f>
        <v>Online</v>
      </c>
      <c r="Z658">
        <f>IFERROR(Sales_Table[[#This Row],[Revenue]],0)</f>
        <v>1936</v>
      </c>
    </row>
    <row r="659" spans="1:26" x14ac:dyDescent="0.3">
      <c r="A659">
        <v>658</v>
      </c>
      <c r="B659" s="2">
        <f t="shared" si="70"/>
        <v>45319.375</v>
      </c>
      <c r="C659" t="s">
        <v>1785</v>
      </c>
      <c r="D659" t="s">
        <v>27</v>
      </c>
      <c r="E659" t="str">
        <f>PROPER(TRIM(CLEAN(Sales_Table[[#This Row],[Region]])))</f>
        <v>East</v>
      </c>
      <c r="F659" t="s">
        <v>37</v>
      </c>
      <c r="G659" t="str">
        <f t="shared" si="71"/>
        <v>Home Appliances</v>
      </c>
      <c r="H659" t="str">
        <f>PROPER(TRIM(CLEAN(Sales_Table[[#This Row],[Product Name]])))</f>
        <v>Led Tv 42Inch</v>
      </c>
      <c r="I659" t="s">
        <v>58</v>
      </c>
      <c r="J659" t="str">
        <f t="shared" si="72"/>
        <v>CUST0163</v>
      </c>
      <c r="K659" t="s">
        <v>1786</v>
      </c>
      <c r="L659" t="str">
        <f>PROPER(TRIM(CLEAN(Sales_Table[[#This Row],[Salesperson]])))</f>
        <v>Karthik</v>
      </c>
      <c r="M659" t="s">
        <v>70</v>
      </c>
      <c r="N659" t="str">
        <f t="shared" si="73"/>
        <v>Cash</v>
      </c>
      <c r="O659" t="s">
        <v>32</v>
      </c>
      <c r="P659">
        <f t="shared" si="74"/>
        <v>9</v>
      </c>
      <c r="Q659" t="s">
        <v>130</v>
      </c>
      <c r="R659">
        <f t="shared" si="75"/>
        <v>911</v>
      </c>
      <c r="S659" t="s">
        <v>1787</v>
      </c>
      <c r="T659">
        <f t="shared" si="76"/>
        <v>8199</v>
      </c>
      <c r="U659">
        <f>YEAR(Sales_Table[[#This Row],[Date_clean]])</f>
        <v>2024</v>
      </c>
      <c r="V659" t="str">
        <f>TEXT(Sales_Table[[#This Row],[Date_clean]],"mmmm")</f>
        <v>January</v>
      </c>
      <c r="W659">
        <f>WEEKNUM(Sales_Table[[#This Row],[Date_clean]],2)</f>
        <v>4</v>
      </c>
      <c r="X659" t="str" cm="1">
        <f t="array" ref="X659">_xlfn.IFS(Sales_Table[[#This Row],[Revenue]]&gt;=50000,"High",Sales_Table[[#This Row],[Revenue]]&gt;=20000,"Medium",Sales_Table[[#This Row],[Revenue]]&lt;20000,"Low")</f>
        <v>Low</v>
      </c>
      <c r="Y659" t="str">
        <f>IF(Sales_Table[[#This Row],[Payment Method_clean]]="cash","Offline","Online")</f>
        <v>Offline</v>
      </c>
      <c r="Z659">
        <f>IFERROR(Sales_Table[[#This Row],[Revenue]],0)</f>
        <v>8199</v>
      </c>
    </row>
    <row r="660" spans="1:26" x14ac:dyDescent="0.3">
      <c r="A660">
        <v>659</v>
      </c>
      <c r="B660" s="2">
        <f t="shared" si="70"/>
        <v>45319.416666666664</v>
      </c>
      <c r="C660" t="s">
        <v>1788</v>
      </c>
      <c r="D660" t="s">
        <v>36</v>
      </c>
      <c r="E660" t="str">
        <f>PROPER(TRIM(CLEAN(Sales_Table[[#This Row],[Region]])))</f>
        <v>West</v>
      </c>
      <c r="F660" t="s">
        <v>28</v>
      </c>
      <c r="G660" t="str">
        <f t="shared" si="71"/>
        <v>Clothing</v>
      </c>
      <c r="H660" t="str">
        <f>PROPER(TRIM(CLEAN(Sales_Table[[#This Row],[Product Name]])))</f>
        <v>Mixer Grinder</v>
      </c>
      <c r="I660" t="s">
        <v>29</v>
      </c>
      <c r="J660" t="str">
        <f t="shared" si="72"/>
        <v>CUST0460</v>
      </c>
      <c r="K660" t="s">
        <v>1712</v>
      </c>
      <c r="L660" t="str">
        <f>PROPER(TRIM(CLEAN(Sales_Table[[#This Row],[Salesperson]])))</f>
        <v>Karthik</v>
      </c>
      <c r="M660" t="s">
        <v>70</v>
      </c>
      <c r="N660" t="str">
        <f t="shared" si="73"/>
        <v>Credit Card</v>
      </c>
      <c r="O660" t="s">
        <v>65</v>
      </c>
      <c r="P660">
        <f t="shared" si="74"/>
        <v>1</v>
      </c>
      <c r="Q660" t="s">
        <v>93</v>
      </c>
      <c r="R660">
        <f t="shared" si="75"/>
        <v>1922</v>
      </c>
      <c r="S660" t="s">
        <v>1789</v>
      </c>
      <c r="T660">
        <f t="shared" si="76"/>
        <v>1922</v>
      </c>
      <c r="U660">
        <f>YEAR(Sales_Table[[#This Row],[Date_clean]])</f>
        <v>2024</v>
      </c>
      <c r="V660" t="str">
        <f>TEXT(Sales_Table[[#This Row],[Date_clean]],"mmmm")</f>
        <v>January</v>
      </c>
      <c r="W660">
        <f>WEEKNUM(Sales_Table[[#This Row],[Date_clean]],2)</f>
        <v>4</v>
      </c>
      <c r="X660" t="str" cm="1">
        <f t="array" ref="X660">_xlfn.IFS(Sales_Table[[#This Row],[Revenue]]&gt;=50000,"High",Sales_Table[[#This Row],[Revenue]]&gt;=20000,"Medium",Sales_Table[[#This Row],[Revenue]]&lt;20000,"Low")</f>
        <v>Low</v>
      </c>
      <c r="Y660" t="str">
        <f>IF(Sales_Table[[#This Row],[Payment Method_clean]]="cash","Offline","Online")</f>
        <v>Online</v>
      </c>
      <c r="Z660">
        <f>IFERROR(Sales_Table[[#This Row],[Revenue]],0)</f>
        <v>1922</v>
      </c>
    </row>
    <row r="661" spans="1:26" x14ac:dyDescent="0.3">
      <c r="A661">
        <v>660</v>
      </c>
      <c r="B661" s="2">
        <f t="shared" si="70"/>
        <v>45319.458333333336</v>
      </c>
      <c r="C661" t="s">
        <v>1790</v>
      </c>
      <c r="D661" t="s">
        <v>84</v>
      </c>
      <c r="E661" t="str">
        <f>PROPER(TRIM(CLEAN(Sales_Table[[#This Row],[Region]])))</f>
        <v>South</v>
      </c>
      <c r="F661" t="s">
        <v>37</v>
      </c>
      <c r="G661" t="str">
        <f t="shared" si="71"/>
        <v>Home Appliances</v>
      </c>
      <c r="H661" t="str">
        <f>PROPER(TRIM(CLEAN(Sales_Table[[#This Row],[Product Name]])))</f>
        <v>Rice 5Kg</v>
      </c>
      <c r="I661" t="s">
        <v>73</v>
      </c>
      <c r="J661" t="str">
        <f t="shared" si="72"/>
        <v>CUST0105</v>
      </c>
      <c r="K661" t="s">
        <v>1672</v>
      </c>
      <c r="L661" t="str">
        <f>PROPER(TRIM(CLEAN(Sales_Table[[#This Row],[Salesperson]])))</f>
        <v>Suresh</v>
      </c>
      <c r="M661" t="s">
        <v>54</v>
      </c>
      <c r="N661" t="str">
        <f t="shared" si="73"/>
        <v>Upi</v>
      </c>
      <c r="O661" t="s">
        <v>48</v>
      </c>
      <c r="P661">
        <f t="shared" si="74"/>
        <v>9</v>
      </c>
      <c r="Q661" t="s">
        <v>130</v>
      </c>
      <c r="R661">
        <f t="shared" si="75"/>
        <v>4962</v>
      </c>
      <c r="S661" t="s">
        <v>1791</v>
      </c>
      <c r="T661">
        <f t="shared" si="76"/>
        <v>44658</v>
      </c>
      <c r="U661">
        <f>YEAR(Sales_Table[[#This Row],[Date_clean]])</f>
        <v>2024</v>
      </c>
      <c r="V661" t="str">
        <f>TEXT(Sales_Table[[#This Row],[Date_clean]],"mmmm")</f>
        <v>January</v>
      </c>
      <c r="W661">
        <f>WEEKNUM(Sales_Table[[#This Row],[Date_clean]],2)</f>
        <v>4</v>
      </c>
      <c r="X661" t="str" cm="1">
        <f t="array" ref="X661">_xlfn.IFS(Sales_Table[[#This Row],[Revenue]]&gt;=50000,"High",Sales_Table[[#This Row],[Revenue]]&gt;=20000,"Medium",Sales_Table[[#This Row],[Revenue]]&lt;20000,"Low")</f>
        <v>Medium</v>
      </c>
      <c r="Y661" t="str">
        <f>IF(Sales_Table[[#This Row],[Payment Method_clean]]="cash","Offline","Online")</f>
        <v>Online</v>
      </c>
      <c r="Z661">
        <f>IFERROR(Sales_Table[[#This Row],[Revenue]],0)</f>
        <v>44658</v>
      </c>
    </row>
    <row r="662" spans="1:26" x14ac:dyDescent="0.3">
      <c r="A662">
        <v>661</v>
      </c>
      <c r="B662" s="2">
        <f t="shared" si="70"/>
        <v>45319.5</v>
      </c>
      <c r="C662" t="s">
        <v>1792</v>
      </c>
      <c r="D662" t="s">
        <v>36</v>
      </c>
      <c r="E662" t="str">
        <f>PROPER(TRIM(CLEAN(Sales_Table[[#This Row],[Region]])))</f>
        <v>West</v>
      </c>
      <c r="F662" t="s">
        <v>46</v>
      </c>
      <c r="G662" t="str">
        <f t="shared" si="71"/>
        <v>Electronics</v>
      </c>
      <c r="H662" t="str">
        <f>PROPER(TRIM(CLEAN(Sales_Table[[#This Row],[Product Name]])))</f>
        <v>Rice 5Kg</v>
      </c>
      <c r="I662" t="s">
        <v>73</v>
      </c>
      <c r="J662" t="str">
        <f t="shared" si="72"/>
        <v>CUST0693</v>
      </c>
      <c r="K662" t="s">
        <v>1793</v>
      </c>
      <c r="L662" t="str">
        <f>PROPER(TRIM(CLEAN(Sales_Table[[#This Row],[Salesperson]])))</f>
        <v>Rahul</v>
      </c>
      <c r="M662" t="s">
        <v>31</v>
      </c>
      <c r="N662" t="str">
        <f t="shared" si="73"/>
        <v>Net Banking</v>
      </c>
      <c r="O662" t="s">
        <v>60</v>
      </c>
      <c r="P662">
        <f t="shared" si="74"/>
        <v>1</v>
      </c>
      <c r="Q662" t="s">
        <v>93</v>
      </c>
      <c r="R662">
        <f t="shared" si="75"/>
        <v>4277</v>
      </c>
      <c r="S662" t="s">
        <v>1794</v>
      </c>
      <c r="T662">
        <f t="shared" si="76"/>
        <v>4277</v>
      </c>
      <c r="U662">
        <f>YEAR(Sales_Table[[#This Row],[Date_clean]])</f>
        <v>2024</v>
      </c>
      <c r="V662" t="str">
        <f>TEXT(Sales_Table[[#This Row],[Date_clean]],"mmmm")</f>
        <v>January</v>
      </c>
      <c r="W662">
        <f>WEEKNUM(Sales_Table[[#This Row],[Date_clean]],2)</f>
        <v>4</v>
      </c>
      <c r="X662" t="str" cm="1">
        <f t="array" ref="X662">_xlfn.IFS(Sales_Table[[#This Row],[Revenue]]&gt;=50000,"High",Sales_Table[[#This Row],[Revenue]]&gt;=20000,"Medium",Sales_Table[[#This Row],[Revenue]]&lt;20000,"Low")</f>
        <v>Low</v>
      </c>
      <c r="Y662" t="str">
        <f>IF(Sales_Table[[#This Row],[Payment Method_clean]]="cash","Offline","Online")</f>
        <v>Online</v>
      </c>
      <c r="Z662">
        <f>IFERROR(Sales_Table[[#This Row],[Revenue]],0)</f>
        <v>4277</v>
      </c>
    </row>
    <row r="663" spans="1:26" x14ac:dyDescent="0.3">
      <c r="A663">
        <v>662</v>
      </c>
      <c r="B663" s="2">
        <f t="shared" si="70"/>
        <v>45319.541666666664</v>
      </c>
      <c r="C663" t="s">
        <v>1795</v>
      </c>
      <c r="D663" t="s">
        <v>27</v>
      </c>
      <c r="E663" t="str">
        <f>PROPER(TRIM(CLEAN(Sales_Table[[#This Row],[Region]])))</f>
        <v>East</v>
      </c>
      <c r="F663" t="s">
        <v>46</v>
      </c>
      <c r="G663" t="str">
        <f t="shared" si="71"/>
        <v>Electronics</v>
      </c>
      <c r="H663" t="str">
        <f>PROPER(TRIM(CLEAN(Sales_Table[[#This Row],[Product Name]])))</f>
        <v>Washing Machine</v>
      </c>
      <c r="I663" t="s">
        <v>79</v>
      </c>
      <c r="J663" t="str">
        <f t="shared" si="72"/>
        <v>CUST0556</v>
      </c>
      <c r="K663" t="s">
        <v>1796</v>
      </c>
      <c r="L663" t="str">
        <f>PROPER(TRIM(CLEAN(Sales_Table[[#This Row],[Salesperson]])))</f>
        <v>Meena</v>
      </c>
      <c r="M663" t="s">
        <v>40</v>
      </c>
      <c r="N663" t="str">
        <f t="shared" si="73"/>
        <v>Upi</v>
      </c>
      <c r="O663" t="s">
        <v>48</v>
      </c>
      <c r="P663">
        <f t="shared" si="74"/>
        <v>14</v>
      </c>
      <c r="Q663" t="s">
        <v>55</v>
      </c>
      <c r="R663">
        <f t="shared" si="75"/>
        <v>1844</v>
      </c>
      <c r="S663" t="s">
        <v>1797</v>
      </c>
      <c r="T663">
        <f t="shared" si="76"/>
        <v>25816</v>
      </c>
      <c r="U663">
        <f>YEAR(Sales_Table[[#This Row],[Date_clean]])</f>
        <v>2024</v>
      </c>
      <c r="V663" t="str">
        <f>TEXT(Sales_Table[[#This Row],[Date_clean]],"mmmm")</f>
        <v>January</v>
      </c>
      <c r="W663">
        <f>WEEKNUM(Sales_Table[[#This Row],[Date_clean]],2)</f>
        <v>4</v>
      </c>
      <c r="X663" t="str" cm="1">
        <f t="array" ref="X663">_xlfn.IFS(Sales_Table[[#This Row],[Revenue]]&gt;=50000,"High",Sales_Table[[#This Row],[Revenue]]&gt;=20000,"Medium",Sales_Table[[#This Row],[Revenue]]&lt;20000,"Low")</f>
        <v>Medium</v>
      </c>
      <c r="Y663" t="str">
        <f>IF(Sales_Table[[#This Row],[Payment Method_clean]]="cash","Offline","Online")</f>
        <v>Online</v>
      </c>
      <c r="Z663">
        <f>IFERROR(Sales_Table[[#This Row],[Revenue]],0)</f>
        <v>25816</v>
      </c>
    </row>
    <row r="664" spans="1:26" x14ac:dyDescent="0.3">
      <c r="A664">
        <v>663</v>
      </c>
      <c r="B664" s="2">
        <f t="shared" si="70"/>
        <v>45319.583333333336</v>
      </c>
      <c r="C664" t="s">
        <v>1798</v>
      </c>
      <c r="D664" t="s">
        <v>45</v>
      </c>
      <c r="E664" t="str">
        <f>PROPER(TRIM(CLEAN(Sales_Table[[#This Row],[Region]])))</f>
        <v>North</v>
      </c>
      <c r="F664" t="s">
        <v>46</v>
      </c>
      <c r="G664" t="str">
        <f t="shared" si="71"/>
        <v>Electronics</v>
      </c>
      <c r="H664" t="str">
        <f>PROPER(TRIM(CLEAN(Sales_Table[[#This Row],[Product Name]])))</f>
        <v>Washing Machine</v>
      </c>
      <c r="I664" t="s">
        <v>79</v>
      </c>
      <c r="J664" t="str">
        <f t="shared" si="72"/>
        <v>CUST0282</v>
      </c>
      <c r="K664" t="s">
        <v>1759</v>
      </c>
      <c r="L664" t="str">
        <f>PROPER(TRIM(CLEAN(Sales_Table[[#This Row],[Salesperson]])))</f>
        <v>Karthik</v>
      </c>
      <c r="M664" t="s">
        <v>70</v>
      </c>
      <c r="N664" t="str">
        <f t="shared" si="73"/>
        <v>Net Banking</v>
      </c>
      <c r="O664" t="s">
        <v>60</v>
      </c>
      <c r="P664">
        <f t="shared" si="74"/>
        <v>7</v>
      </c>
      <c r="Q664" t="s">
        <v>49</v>
      </c>
      <c r="R664">
        <f t="shared" si="75"/>
        <v>2356</v>
      </c>
      <c r="S664" t="s">
        <v>1799</v>
      </c>
      <c r="T664">
        <f t="shared" si="76"/>
        <v>16492</v>
      </c>
      <c r="U664">
        <f>YEAR(Sales_Table[[#This Row],[Date_clean]])</f>
        <v>2024</v>
      </c>
      <c r="V664" t="str">
        <f>TEXT(Sales_Table[[#This Row],[Date_clean]],"mmmm")</f>
        <v>January</v>
      </c>
      <c r="W664">
        <f>WEEKNUM(Sales_Table[[#This Row],[Date_clean]],2)</f>
        <v>4</v>
      </c>
      <c r="X664" t="str" cm="1">
        <f t="array" ref="X664">_xlfn.IFS(Sales_Table[[#This Row],[Revenue]]&gt;=50000,"High",Sales_Table[[#This Row],[Revenue]]&gt;=20000,"Medium",Sales_Table[[#This Row],[Revenue]]&lt;20000,"Low")</f>
        <v>Low</v>
      </c>
      <c r="Y664" t="str">
        <f>IF(Sales_Table[[#This Row],[Payment Method_clean]]="cash","Offline","Online")</f>
        <v>Online</v>
      </c>
      <c r="Z664">
        <f>IFERROR(Sales_Table[[#This Row],[Revenue]],0)</f>
        <v>16492</v>
      </c>
    </row>
    <row r="665" spans="1:26" x14ac:dyDescent="0.3">
      <c r="A665">
        <v>664</v>
      </c>
      <c r="B665" s="2">
        <f t="shared" si="70"/>
        <v>45319.625</v>
      </c>
      <c r="C665" t="s">
        <v>1800</v>
      </c>
      <c r="D665" t="s">
        <v>84</v>
      </c>
      <c r="E665" t="str">
        <f>PROPER(TRIM(CLEAN(Sales_Table[[#This Row],[Region]])))</f>
        <v>South</v>
      </c>
      <c r="F665" t="s">
        <v>28</v>
      </c>
      <c r="G665" t="str">
        <f t="shared" si="71"/>
        <v>Clothing</v>
      </c>
      <c r="H665" t="str">
        <f>PROPER(TRIM(CLEAN(Sales_Table[[#This Row],[Product Name]])))</f>
        <v>Men T-Shirt</v>
      </c>
      <c r="I665" t="s">
        <v>38</v>
      </c>
      <c r="J665" t="str">
        <f t="shared" si="72"/>
        <v>CUST0687</v>
      </c>
      <c r="K665" t="s">
        <v>1801</v>
      </c>
      <c r="L665" t="str">
        <f>PROPER(TRIM(CLEAN(Sales_Table[[#This Row],[Salesperson]])))</f>
        <v>Anita</v>
      </c>
      <c r="M665" t="s">
        <v>64</v>
      </c>
      <c r="N665" t="str">
        <f t="shared" si="73"/>
        <v>Cash</v>
      </c>
      <c r="O665" t="s">
        <v>32</v>
      </c>
      <c r="P665">
        <f t="shared" si="74"/>
        <v>6</v>
      </c>
      <c r="Q665" t="s">
        <v>75</v>
      </c>
      <c r="R665">
        <f t="shared" si="75"/>
        <v>4142</v>
      </c>
      <c r="S665" t="s">
        <v>1802</v>
      </c>
      <c r="T665">
        <f t="shared" si="76"/>
        <v>24852</v>
      </c>
      <c r="U665">
        <f>YEAR(Sales_Table[[#This Row],[Date_clean]])</f>
        <v>2024</v>
      </c>
      <c r="V665" t="str">
        <f>TEXT(Sales_Table[[#This Row],[Date_clean]],"mmmm")</f>
        <v>January</v>
      </c>
      <c r="W665">
        <f>WEEKNUM(Sales_Table[[#This Row],[Date_clean]],2)</f>
        <v>4</v>
      </c>
      <c r="X665" t="str" cm="1">
        <f t="array" ref="X665">_xlfn.IFS(Sales_Table[[#This Row],[Revenue]]&gt;=50000,"High",Sales_Table[[#This Row],[Revenue]]&gt;=20000,"Medium",Sales_Table[[#This Row],[Revenue]]&lt;20000,"Low")</f>
        <v>Medium</v>
      </c>
      <c r="Y665" t="str">
        <f>IF(Sales_Table[[#This Row],[Payment Method_clean]]="cash","Offline","Online")</f>
        <v>Offline</v>
      </c>
      <c r="Z665">
        <f>IFERROR(Sales_Table[[#This Row],[Revenue]],0)</f>
        <v>24852</v>
      </c>
    </row>
    <row r="666" spans="1:26" x14ac:dyDescent="0.3">
      <c r="A666">
        <v>665</v>
      </c>
      <c r="B666" s="2">
        <f t="shared" si="70"/>
        <v>45319.666666666664</v>
      </c>
      <c r="C666" t="s">
        <v>1803</v>
      </c>
      <c r="D666" t="s">
        <v>45</v>
      </c>
      <c r="E666" t="str">
        <f>PROPER(TRIM(CLEAN(Sales_Table[[#This Row],[Region]])))</f>
        <v>North</v>
      </c>
      <c r="F666" t="s">
        <v>46</v>
      </c>
      <c r="G666" t="str">
        <f t="shared" si="71"/>
        <v>Electronics</v>
      </c>
      <c r="H666" t="str">
        <f>PROPER(TRIM(CLEAN(Sales_Table[[#This Row],[Product Name]])))</f>
        <v>Laptop</v>
      </c>
      <c r="I666" t="s">
        <v>52</v>
      </c>
      <c r="J666" t="str">
        <f t="shared" si="72"/>
        <v>CUST0162</v>
      </c>
      <c r="K666" t="s">
        <v>1804</v>
      </c>
      <c r="L666" t="str">
        <f>PROPER(TRIM(CLEAN(Sales_Table[[#This Row],[Salesperson]])))</f>
        <v>Karthik</v>
      </c>
      <c r="M666" t="s">
        <v>70</v>
      </c>
      <c r="N666" t="str">
        <f t="shared" si="73"/>
        <v>Net Banking</v>
      </c>
      <c r="O666" t="s">
        <v>60</v>
      </c>
      <c r="P666">
        <f t="shared" si="74"/>
        <v>7</v>
      </c>
      <c r="Q666" t="s">
        <v>49</v>
      </c>
      <c r="R666">
        <f t="shared" si="75"/>
        <v>3767</v>
      </c>
      <c r="S666" t="s">
        <v>1805</v>
      </c>
      <c r="T666">
        <f t="shared" si="76"/>
        <v>26369</v>
      </c>
      <c r="U666">
        <f>YEAR(Sales_Table[[#This Row],[Date_clean]])</f>
        <v>2024</v>
      </c>
      <c r="V666" t="str">
        <f>TEXT(Sales_Table[[#This Row],[Date_clean]],"mmmm")</f>
        <v>January</v>
      </c>
      <c r="W666">
        <f>WEEKNUM(Sales_Table[[#This Row],[Date_clean]],2)</f>
        <v>4</v>
      </c>
      <c r="X666" t="str" cm="1">
        <f t="array" ref="X666">_xlfn.IFS(Sales_Table[[#This Row],[Revenue]]&gt;=50000,"High",Sales_Table[[#This Row],[Revenue]]&gt;=20000,"Medium",Sales_Table[[#This Row],[Revenue]]&lt;20000,"Low")</f>
        <v>Medium</v>
      </c>
      <c r="Y666" t="str">
        <f>IF(Sales_Table[[#This Row],[Payment Method_clean]]="cash","Offline","Online")</f>
        <v>Online</v>
      </c>
      <c r="Z666">
        <f>IFERROR(Sales_Table[[#This Row],[Revenue]],0)</f>
        <v>26369</v>
      </c>
    </row>
    <row r="667" spans="1:26" x14ac:dyDescent="0.3">
      <c r="A667">
        <v>666</v>
      </c>
      <c r="B667" s="2">
        <f t="shared" si="70"/>
        <v>45319.708333333336</v>
      </c>
      <c r="C667" t="s">
        <v>1806</v>
      </c>
      <c r="D667" t="s">
        <v>45</v>
      </c>
      <c r="E667" t="str">
        <f>PROPER(TRIM(CLEAN(Sales_Table[[#This Row],[Region]])))</f>
        <v>North</v>
      </c>
      <c r="F667" t="s">
        <v>78</v>
      </c>
      <c r="G667" t="str">
        <f t="shared" si="71"/>
        <v>Grocery</v>
      </c>
      <c r="H667" t="str">
        <f>PROPER(TRIM(CLEAN(Sales_Table[[#This Row],[Product Name]])))</f>
        <v>Mixer Grinder</v>
      </c>
      <c r="I667" t="s">
        <v>29</v>
      </c>
      <c r="J667" t="str">
        <f t="shared" si="72"/>
        <v>CUST0351</v>
      </c>
      <c r="K667" t="s">
        <v>501</v>
      </c>
      <c r="L667" t="str">
        <f>PROPER(TRIM(CLEAN(Sales_Table[[#This Row],[Salesperson]])))</f>
        <v>Rahul</v>
      </c>
      <c r="M667" t="s">
        <v>31</v>
      </c>
      <c r="N667" t="str">
        <f t="shared" si="73"/>
        <v>Credit Card</v>
      </c>
      <c r="O667" t="s">
        <v>65</v>
      </c>
      <c r="P667">
        <f t="shared" si="74"/>
        <v>3</v>
      </c>
      <c r="Q667" t="s">
        <v>66</v>
      </c>
      <c r="R667">
        <f t="shared" si="75"/>
        <v>621</v>
      </c>
      <c r="S667" t="s">
        <v>878</v>
      </c>
      <c r="T667">
        <f t="shared" si="76"/>
        <v>1863</v>
      </c>
      <c r="U667">
        <f>YEAR(Sales_Table[[#This Row],[Date_clean]])</f>
        <v>2024</v>
      </c>
      <c r="V667" t="str">
        <f>TEXT(Sales_Table[[#This Row],[Date_clean]],"mmmm")</f>
        <v>January</v>
      </c>
      <c r="W667">
        <f>WEEKNUM(Sales_Table[[#This Row],[Date_clean]],2)</f>
        <v>4</v>
      </c>
      <c r="X667" t="str" cm="1">
        <f t="array" ref="X667">_xlfn.IFS(Sales_Table[[#This Row],[Revenue]]&gt;=50000,"High",Sales_Table[[#This Row],[Revenue]]&gt;=20000,"Medium",Sales_Table[[#This Row],[Revenue]]&lt;20000,"Low")</f>
        <v>Low</v>
      </c>
      <c r="Y667" t="str">
        <f>IF(Sales_Table[[#This Row],[Payment Method_clean]]="cash","Offline","Online")</f>
        <v>Online</v>
      </c>
      <c r="Z667">
        <f>IFERROR(Sales_Table[[#This Row],[Revenue]],0)</f>
        <v>1863</v>
      </c>
    </row>
    <row r="668" spans="1:26" x14ac:dyDescent="0.3">
      <c r="A668">
        <v>667</v>
      </c>
      <c r="B668" s="2">
        <f t="shared" si="70"/>
        <v>45319.75</v>
      </c>
      <c r="C668" t="s">
        <v>1807</v>
      </c>
      <c r="D668" t="s">
        <v>84</v>
      </c>
      <c r="E668" t="str">
        <f>PROPER(TRIM(CLEAN(Sales_Table[[#This Row],[Region]])))</f>
        <v>South</v>
      </c>
      <c r="F668" t="s">
        <v>37</v>
      </c>
      <c r="G668" t="str">
        <f t="shared" si="71"/>
        <v>Home Appliances</v>
      </c>
      <c r="H668" t="str">
        <f>PROPER(TRIM(CLEAN(Sales_Table[[#This Row],[Product Name]])))</f>
        <v>Rice 5Kg</v>
      </c>
      <c r="I668" t="s">
        <v>73</v>
      </c>
      <c r="J668" t="str">
        <f t="shared" si="72"/>
        <v>CUST0434</v>
      </c>
      <c r="K668" t="s">
        <v>740</v>
      </c>
      <c r="L668" t="str">
        <f>PROPER(TRIM(CLEAN(Sales_Table[[#This Row],[Salesperson]])))</f>
        <v>Rahul</v>
      </c>
      <c r="M668" t="s">
        <v>31</v>
      </c>
      <c r="N668" t="str">
        <f t="shared" si="73"/>
        <v>Net Banking</v>
      </c>
      <c r="O668" t="s">
        <v>60</v>
      </c>
      <c r="P668">
        <f t="shared" si="74"/>
        <v>14</v>
      </c>
      <c r="Q668" t="s">
        <v>55</v>
      </c>
      <c r="R668">
        <f t="shared" si="75"/>
        <v>1625</v>
      </c>
      <c r="S668" t="s">
        <v>1808</v>
      </c>
      <c r="T668">
        <f t="shared" si="76"/>
        <v>22750</v>
      </c>
      <c r="U668">
        <f>YEAR(Sales_Table[[#This Row],[Date_clean]])</f>
        <v>2024</v>
      </c>
      <c r="V668" t="str">
        <f>TEXT(Sales_Table[[#This Row],[Date_clean]],"mmmm")</f>
        <v>January</v>
      </c>
      <c r="W668">
        <f>WEEKNUM(Sales_Table[[#This Row],[Date_clean]],2)</f>
        <v>4</v>
      </c>
      <c r="X668" t="str" cm="1">
        <f t="array" ref="X668">_xlfn.IFS(Sales_Table[[#This Row],[Revenue]]&gt;=50000,"High",Sales_Table[[#This Row],[Revenue]]&gt;=20000,"Medium",Sales_Table[[#This Row],[Revenue]]&lt;20000,"Low")</f>
        <v>Medium</v>
      </c>
      <c r="Y668" t="str">
        <f>IF(Sales_Table[[#This Row],[Payment Method_clean]]="cash","Offline","Online")</f>
        <v>Online</v>
      </c>
      <c r="Z668">
        <f>IFERROR(Sales_Table[[#This Row],[Revenue]],0)</f>
        <v>22750</v>
      </c>
    </row>
    <row r="669" spans="1:26" x14ac:dyDescent="0.3">
      <c r="A669">
        <v>668</v>
      </c>
      <c r="B669" s="2">
        <f t="shared" si="70"/>
        <v>45319.791666666664</v>
      </c>
      <c r="C669" t="s">
        <v>1809</v>
      </c>
      <c r="D669" t="s">
        <v>36</v>
      </c>
      <c r="E669" t="str">
        <f>PROPER(TRIM(CLEAN(Sales_Table[[#This Row],[Region]])))</f>
        <v>West</v>
      </c>
      <c r="F669" t="s">
        <v>37</v>
      </c>
      <c r="G669" t="str">
        <f t="shared" si="71"/>
        <v>Home Appliances</v>
      </c>
      <c r="H669" t="str">
        <f>PROPER(TRIM(CLEAN(Sales_Table[[#This Row],[Product Name]])))</f>
        <v>Washing Machine</v>
      </c>
      <c r="I669" t="s">
        <v>79</v>
      </c>
      <c r="J669" t="str">
        <f t="shared" si="72"/>
        <v>CUST0140</v>
      </c>
      <c r="K669" t="s">
        <v>1530</v>
      </c>
      <c r="L669" t="str">
        <f>PROPER(TRIM(CLEAN(Sales_Table[[#This Row],[Salesperson]])))</f>
        <v>Meena</v>
      </c>
      <c r="M669" t="s">
        <v>40</v>
      </c>
      <c r="N669" t="str">
        <f t="shared" si="73"/>
        <v>Debit Card</v>
      </c>
      <c r="O669" t="s">
        <v>41</v>
      </c>
      <c r="P669">
        <f t="shared" si="74"/>
        <v>3</v>
      </c>
      <c r="Q669" t="s">
        <v>66</v>
      </c>
      <c r="R669">
        <f t="shared" si="75"/>
        <v>1569</v>
      </c>
      <c r="S669" t="s">
        <v>729</v>
      </c>
      <c r="T669">
        <f t="shared" si="76"/>
        <v>4707</v>
      </c>
      <c r="U669">
        <f>YEAR(Sales_Table[[#This Row],[Date_clean]])</f>
        <v>2024</v>
      </c>
      <c r="V669" t="str">
        <f>TEXT(Sales_Table[[#This Row],[Date_clean]],"mmmm")</f>
        <v>January</v>
      </c>
      <c r="W669">
        <f>WEEKNUM(Sales_Table[[#This Row],[Date_clean]],2)</f>
        <v>4</v>
      </c>
      <c r="X669" t="str" cm="1">
        <f t="array" ref="X669">_xlfn.IFS(Sales_Table[[#This Row],[Revenue]]&gt;=50000,"High",Sales_Table[[#This Row],[Revenue]]&gt;=20000,"Medium",Sales_Table[[#This Row],[Revenue]]&lt;20000,"Low")</f>
        <v>Low</v>
      </c>
      <c r="Y669" t="str">
        <f>IF(Sales_Table[[#This Row],[Payment Method_clean]]="cash","Offline","Online")</f>
        <v>Online</v>
      </c>
      <c r="Z669">
        <f>IFERROR(Sales_Table[[#This Row],[Revenue]],0)</f>
        <v>4707</v>
      </c>
    </row>
    <row r="670" spans="1:26" x14ac:dyDescent="0.3">
      <c r="A670">
        <v>669</v>
      </c>
      <c r="B670" s="2">
        <f t="shared" si="70"/>
        <v>45319.833333333336</v>
      </c>
      <c r="C670" t="s">
        <v>1810</v>
      </c>
      <c r="D670" t="s">
        <v>45</v>
      </c>
      <c r="E670" t="str">
        <f>PROPER(TRIM(CLEAN(Sales_Table[[#This Row],[Region]])))</f>
        <v>North</v>
      </c>
      <c r="F670" t="s">
        <v>78</v>
      </c>
      <c r="G670" t="str">
        <f t="shared" si="71"/>
        <v>Grocery</v>
      </c>
      <c r="H670" t="str">
        <f>PROPER(TRIM(CLEAN(Sales_Table[[#This Row],[Product Name]])))</f>
        <v>Laptop</v>
      </c>
      <c r="I670" t="s">
        <v>52</v>
      </c>
      <c r="J670" t="str">
        <f t="shared" si="72"/>
        <v>CUST0471</v>
      </c>
      <c r="K670" t="s">
        <v>680</v>
      </c>
      <c r="L670" t="str">
        <f>PROPER(TRIM(CLEAN(Sales_Table[[#This Row],[Salesperson]])))</f>
        <v>Suresh</v>
      </c>
      <c r="M670" t="s">
        <v>54</v>
      </c>
      <c r="N670" t="str">
        <f t="shared" si="73"/>
        <v>Credit Card</v>
      </c>
      <c r="O670" t="s">
        <v>65</v>
      </c>
      <c r="P670">
        <f t="shared" si="74"/>
        <v>13</v>
      </c>
      <c r="Q670" t="s">
        <v>81</v>
      </c>
      <c r="R670">
        <f t="shared" si="75"/>
        <v>2775</v>
      </c>
      <c r="S670" t="s">
        <v>1811</v>
      </c>
      <c r="T670">
        <f t="shared" si="76"/>
        <v>36075</v>
      </c>
      <c r="U670">
        <f>YEAR(Sales_Table[[#This Row],[Date_clean]])</f>
        <v>2024</v>
      </c>
      <c r="V670" t="str">
        <f>TEXT(Sales_Table[[#This Row],[Date_clean]],"mmmm")</f>
        <v>January</v>
      </c>
      <c r="W670">
        <f>WEEKNUM(Sales_Table[[#This Row],[Date_clean]],2)</f>
        <v>4</v>
      </c>
      <c r="X670" t="str" cm="1">
        <f t="array" ref="X670">_xlfn.IFS(Sales_Table[[#This Row],[Revenue]]&gt;=50000,"High",Sales_Table[[#This Row],[Revenue]]&gt;=20000,"Medium",Sales_Table[[#This Row],[Revenue]]&lt;20000,"Low")</f>
        <v>Medium</v>
      </c>
      <c r="Y670" t="str">
        <f>IF(Sales_Table[[#This Row],[Payment Method_clean]]="cash","Offline","Online")</f>
        <v>Online</v>
      </c>
      <c r="Z670">
        <f>IFERROR(Sales_Table[[#This Row],[Revenue]],0)</f>
        <v>36075</v>
      </c>
    </row>
    <row r="671" spans="1:26" x14ac:dyDescent="0.3">
      <c r="A671">
        <v>670</v>
      </c>
      <c r="B671" s="2">
        <f t="shared" si="70"/>
        <v>45319.875</v>
      </c>
      <c r="C671" t="s">
        <v>1812</v>
      </c>
      <c r="D671" t="s">
        <v>27</v>
      </c>
      <c r="E671" t="str">
        <f>PROPER(TRIM(CLEAN(Sales_Table[[#This Row],[Region]])))</f>
        <v>East</v>
      </c>
      <c r="F671" t="s">
        <v>28</v>
      </c>
      <c r="G671" t="str">
        <f t="shared" si="71"/>
        <v>Clothing</v>
      </c>
      <c r="H671" t="str">
        <f>PROPER(TRIM(CLEAN(Sales_Table[[#This Row],[Product Name]])))</f>
        <v>Mixer Grinder</v>
      </c>
      <c r="I671" t="s">
        <v>29</v>
      </c>
      <c r="J671" t="str">
        <f t="shared" si="72"/>
        <v>CUST0132</v>
      </c>
      <c r="K671" t="s">
        <v>1228</v>
      </c>
      <c r="L671" t="str">
        <f>PROPER(TRIM(CLEAN(Sales_Table[[#This Row],[Salesperson]])))</f>
        <v>Meena</v>
      </c>
      <c r="M671" t="s">
        <v>40</v>
      </c>
      <c r="N671" t="str">
        <f t="shared" si="73"/>
        <v>Cash</v>
      </c>
      <c r="O671" t="s">
        <v>32</v>
      </c>
      <c r="P671">
        <f t="shared" si="74"/>
        <v>11</v>
      </c>
      <c r="Q671" t="s">
        <v>97</v>
      </c>
      <c r="R671">
        <f t="shared" si="75"/>
        <v>1613</v>
      </c>
      <c r="S671" t="s">
        <v>1813</v>
      </c>
      <c r="T671">
        <f t="shared" si="76"/>
        <v>17743</v>
      </c>
      <c r="U671">
        <f>YEAR(Sales_Table[[#This Row],[Date_clean]])</f>
        <v>2024</v>
      </c>
      <c r="V671" t="str">
        <f>TEXT(Sales_Table[[#This Row],[Date_clean]],"mmmm")</f>
        <v>January</v>
      </c>
      <c r="W671">
        <f>WEEKNUM(Sales_Table[[#This Row],[Date_clean]],2)</f>
        <v>4</v>
      </c>
      <c r="X671" t="str" cm="1">
        <f t="array" ref="X671">_xlfn.IFS(Sales_Table[[#This Row],[Revenue]]&gt;=50000,"High",Sales_Table[[#This Row],[Revenue]]&gt;=20000,"Medium",Sales_Table[[#This Row],[Revenue]]&lt;20000,"Low")</f>
        <v>Low</v>
      </c>
      <c r="Y671" t="str">
        <f>IF(Sales_Table[[#This Row],[Payment Method_clean]]="cash","Offline","Online")</f>
        <v>Offline</v>
      </c>
      <c r="Z671">
        <f>IFERROR(Sales_Table[[#This Row],[Revenue]],0)</f>
        <v>17743</v>
      </c>
    </row>
    <row r="672" spans="1:26" x14ac:dyDescent="0.3">
      <c r="A672">
        <v>671</v>
      </c>
      <c r="B672" s="2">
        <f t="shared" si="70"/>
        <v>45319.916666666664</v>
      </c>
      <c r="C672" t="s">
        <v>1814</v>
      </c>
      <c r="D672" t="s">
        <v>45</v>
      </c>
      <c r="E672" t="str">
        <f>PROPER(TRIM(CLEAN(Sales_Table[[#This Row],[Region]])))</f>
        <v>North</v>
      </c>
      <c r="F672" t="s">
        <v>28</v>
      </c>
      <c r="G672" t="str">
        <f t="shared" si="71"/>
        <v>Clothing</v>
      </c>
      <c r="H672" t="str">
        <f>PROPER(TRIM(CLEAN(Sales_Table[[#This Row],[Product Name]])))</f>
        <v>Washing Machine</v>
      </c>
      <c r="I672" t="s">
        <v>79</v>
      </c>
      <c r="J672" t="str">
        <f t="shared" si="72"/>
        <v>CUST0087</v>
      </c>
      <c r="K672" t="s">
        <v>1815</v>
      </c>
      <c r="L672" t="str">
        <f>PROPER(TRIM(CLEAN(Sales_Table[[#This Row],[Salesperson]])))</f>
        <v>Karthik</v>
      </c>
      <c r="M672" t="s">
        <v>70</v>
      </c>
      <c r="N672" t="str">
        <f t="shared" si="73"/>
        <v>Credit Card</v>
      </c>
      <c r="O672" t="s">
        <v>65</v>
      </c>
      <c r="P672">
        <f t="shared" si="74"/>
        <v>1</v>
      </c>
      <c r="Q672" t="s">
        <v>93</v>
      </c>
      <c r="R672">
        <f t="shared" si="75"/>
        <v>4976</v>
      </c>
      <c r="S672" t="s">
        <v>1816</v>
      </c>
      <c r="T672">
        <f t="shared" si="76"/>
        <v>4976</v>
      </c>
      <c r="U672">
        <f>YEAR(Sales_Table[[#This Row],[Date_clean]])</f>
        <v>2024</v>
      </c>
      <c r="V672" t="str">
        <f>TEXT(Sales_Table[[#This Row],[Date_clean]],"mmmm")</f>
        <v>January</v>
      </c>
      <c r="W672">
        <f>WEEKNUM(Sales_Table[[#This Row],[Date_clean]],2)</f>
        <v>4</v>
      </c>
      <c r="X672" t="str" cm="1">
        <f t="array" ref="X672">_xlfn.IFS(Sales_Table[[#This Row],[Revenue]]&gt;=50000,"High",Sales_Table[[#This Row],[Revenue]]&gt;=20000,"Medium",Sales_Table[[#This Row],[Revenue]]&lt;20000,"Low")</f>
        <v>Low</v>
      </c>
      <c r="Y672" t="str">
        <f>IF(Sales_Table[[#This Row],[Payment Method_clean]]="cash","Offline","Online")</f>
        <v>Online</v>
      </c>
      <c r="Z672">
        <f>IFERROR(Sales_Table[[#This Row],[Revenue]],0)</f>
        <v>4976</v>
      </c>
    </row>
    <row r="673" spans="1:26" x14ac:dyDescent="0.3">
      <c r="A673">
        <v>672</v>
      </c>
      <c r="B673" s="2">
        <f t="shared" si="70"/>
        <v>45319.958333333336</v>
      </c>
      <c r="C673" t="s">
        <v>1817</v>
      </c>
      <c r="D673" t="s">
        <v>84</v>
      </c>
      <c r="E673" t="str">
        <f>PROPER(TRIM(CLEAN(Sales_Table[[#This Row],[Region]])))</f>
        <v>South</v>
      </c>
      <c r="F673" t="s">
        <v>37</v>
      </c>
      <c r="G673" t="str">
        <f t="shared" si="71"/>
        <v>Home Appliances</v>
      </c>
      <c r="H673" t="str">
        <f>PROPER(TRIM(CLEAN(Sales_Table[[#This Row],[Product Name]])))</f>
        <v>Washing Machine</v>
      </c>
      <c r="I673" t="s">
        <v>79</v>
      </c>
      <c r="J673" t="str">
        <f t="shared" si="72"/>
        <v>CUST0688</v>
      </c>
      <c r="K673" t="s">
        <v>414</v>
      </c>
      <c r="L673" t="str">
        <f>PROPER(TRIM(CLEAN(Sales_Table[[#This Row],[Salesperson]])))</f>
        <v>Anita</v>
      </c>
      <c r="M673" t="s">
        <v>64</v>
      </c>
      <c r="N673" t="str">
        <f t="shared" si="73"/>
        <v>Debit Card</v>
      </c>
      <c r="O673" t="s">
        <v>41</v>
      </c>
      <c r="P673">
        <f t="shared" si="74"/>
        <v>4</v>
      </c>
      <c r="Q673" t="s">
        <v>113</v>
      </c>
      <c r="R673">
        <f t="shared" si="75"/>
        <v>1551</v>
      </c>
      <c r="S673" t="s">
        <v>1818</v>
      </c>
      <c r="T673">
        <f t="shared" si="76"/>
        <v>6204</v>
      </c>
      <c r="U673">
        <f>YEAR(Sales_Table[[#This Row],[Date_clean]])</f>
        <v>2024</v>
      </c>
      <c r="V673" t="str">
        <f>TEXT(Sales_Table[[#This Row],[Date_clean]],"mmmm")</f>
        <v>January</v>
      </c>
      <c r="W673">
        <f>WEEKNUM(Sales_Table[[#This Row],[Date_clean]],2)</f>
        <v>4</v>
      </c>
      <c r="X673" t="str" cm="1">
        <f t="array" ref="X673">_xlfn.IFS(Sales_Table[[#This Row],[Revenue]]&gt;=50000,"High",Sales_Table[[#This Row],[Revenue]]&gt;=20000,"Medium",Sales_Table[[#This Row],[Revenue]]&lt;20000,"Low")</f>
        <v>Low</v>
      </c>
      <c r="Y673" t="str">
        <f>IF(Sales_Table[[#This Row],[Payment Method_clean]]="cash","Offline","Online")</f>
        <v>Online</v>
      </c>
      <c r="Z673">
        <f>IFERROR(Sales_Table[[#This Row],[Revenue]],0)</f>
        <v>6204</v>
      </c>
    </row>
    <row r="674" spans="1:26" x14ac:dyDescent="0.3">
      <c r="A674">
        <v>673</v>
      </c>
      <c r="B674" s="2">
        <f t="shared" si="70"/>
        <v>45320</v>
      </c>
      <c r="C674" t="s">
        <v>1819</v>
      </c>
      <c r="D674" t="s">
        <v>84</v>
      </c>
      <c r="E674" t="str">
        <f>PROPER(TRIM(CLEAN(Sales_Table[[#This Row],[Region]])))</f>
        <v>South</v>
      </c>
      <c r="F674" t="s">
        <v>46</v>
      </c>
      <c r="G674" t="str">
        <f t="shared" si="71"/>
        <v>Electronics</v>
      </c>
      <c r="H674" t="str">
        <f>PROPER(TRIM(CLEAN(Sales_Table[[#This Row],[Product Name]])))</f>
        <v>Rice 5Kg</v>
      </c>
      <c r="I674" t="s">
        <v>73</v>
      </c>
      <c r="J674" t="str">
        <f t="shared" si="72"/>
        <v>CUST0183</v>
      </c>
      <c r="K674" t="s">
        <v>1820</v>
      </c>
      <c r="L674" t="str">
        <f>PROPER(TRIM(CLEAN(Sales_Table[[#This Row],[Salesperson]])))</f>
        <v>Meena</v>
      </c>
      <c r="M674" t="s">
        <v>40</v>
      </c>
      <c r="N674" t="str">
        <f t="shared" si="73"/>
        <v>Cash</v>
      </c>
      <c r="O674" t="s">
        <v>32</v>
      </c>
      <c r="P674">
        <f t="shared" si="74"/>
        <v>12</v>
      </c>
      <c r="Q674" t="s">
        <v>33</v>
      </c>
      <c r="R674">
        <f t="shared" si="75"/>
        <v>4754</v>
      </c>
      <c r="S674" t="s">
        <v>761</v>
      </c>
      <c r="T674">
        <f t="shared" si="76"/>
        <v>57048</v>
      </c>
      <c r="U674">
        <f>YEAR(Sales_Table[[#This Row],[Date_clean]])</f>
        <v>2024</v>
      </c>
      <c r="V674" t="str">
        <f>TEXT(Sales_Table[[#This Row],[Date_clean]],"mmmm")</f>
        <v>January</v>
      </c>
      <c r="W674">
        <f>WEEKNUM(Sales_Table[[#This Row],[Date_clean]],2)</f>
        <v>5</v>
      </c>
      <c r="X674" t="str" cm="1">
        <f t="array" ref="X674">_xlfn.IFS(Sales_Table[[#This Row],[Revenue]]&gt;=50000,"High",Sales_Table[[#This Row],[Revenue]]&gt;=20000,"Medium",Sales_Table[[#This Row],[Revenue]]&lt;20000,"Low")</f>
        <v>High</v>
      </c>
      <c r="Y674" t="str">
        <f>IF(Sales_Table[[#This Row],[Payment Method_clean]]="cash","Offline","Online")</f>
        <v>Offline</v>
      </c>
      <c r="Z674">
        <f>IFERROR(Sales_Table[[#This Row],[Revenue]],0)</f>
        <v>57048</v>
      </c>
    </row>
    <row r="675" spans="1:26" x14ac:dyDescent="0.3">
      <c r="A675">
        <v>674</v>
      </c>
      <c r="B675" s="2">
        <f t="shared" si="70"/>
        <v>45320.041666666664</v>
      </c>
      <c r="C675" t="s">
        <v>1821</v>
      </c>
      <c r="D675" t="s">
        <v>84</v>
      </c>
      <c r="E675" t="str">
        <f>PROPER(TRIM(CLEAN(Sales_Table[[#This Row],[Region]])))</f>
        <v>South</v>
      </c>
      <c r="F675" t="s">
        <v>28</v>
      </c>
      <c r="G675" t="str">
        <f t="shared" si="71"/>
        <v>Clothing</v>
      </c>
      <c r="H675" t="str">
        <f>PROPER(TRIM(CLEAN(Sales_Table[[#This Row],[Product Name]])))</f>
        <v>Rice 5Kg</v>
      </c>
      <c r="I675" t="s">
        <v>73</v>
      </c>
      <c r="J675" t="str">
        <f t="shared" si="72"/>
        <v>CUST0368</v>
      </c>
      <c r="K675" t="s">
        <v>126</v>
      </c>
      <c r="L675" t="str">
        <f>PROPER(TRIM(CLEAN(Sales_Table[[#This Row],[Salesperson]])))</f>
        <v>Suresh</v>
      </c>
      <c r="M675" t="s">
        <v>54</v>
      </c>
      <c r="N675" t="str">
        <f t="shared" si="73"/>
        <v>Upi</v>
      </c>
      <c r="O675" t="s">
        <v>48</v>
      </c>
      <c r="P675">
        <f t="shared" si="74"/>
        <v>2</v>
      </c>
      <c r="Q675" t="s">
        <v>196</v>
      </c>
      <c r="R675">
        <f t="shared" si="75"/>
        <v>3530</v>
      </c>
      <c r="S675" t="s">
        <v>1822</v>
      </c>
      <c r="T675">
        <f t="shared" si="76"/>
        <v>7060</v>
      </c>
      <c r="U675">
        <f>YEAR(Sales_Table[[#This Row],[Date_clean]])</f>
        <v>2024</v>
      </c>
      <c r="V675" t="str">
        <f>TEXT(Sales_Table[[#This Row],[Date_clean]],"mmmm")</f>
        <v>January</v>
      </c>
      <c r="W675">
        <f>WEEKNUM(Sales_Table[[#This Row],[Date_clean]],2)</f>
        <v>5</v>
      </c>
      <c r="X675" t="str" cm="1">
        <f t="array" ref="X675">_xlfn.IFS(Sales_Table[[#This Row],[Revenue]]&gt;=50000,"High",Sales_Table[[#This Row],[Revenue]]&gt;=20000,"Medium",Sales_Table[[#This Row],[Revenue]]&lt;20000,"Low")</f>
        <v>Low</v>
      </c>
      <c r="Y675" t="str">
        <f>IF(Sales_Table[[#This Row],[Payment Method_clean]]="cash","Offline","Online")</f>
        <v>Online</v>
      </c>
      <c r="Z675">
        <f>IFERROR(Sales_Table[[#This Row],[Revenue]],0)</f>
        <v>7060</v>
      </c>
    </row>
    <row r="676" spans="1:26" x14ac:dyDescent="0.3">
      <c r="A676">
        <v>675</v>
      </c>
      <c r="B676" s="2">
        <f t="shared" si="70"/>
        <v>45320.083333333336</v>
      </c>
      <c r="C676" t="s">
        <v>1823</v>
      </c>
      <c r="D676" t="s">
        <v>36</v>
      </c>
      <c r="E676" t="str">
        <f>PROPER(TRIM(CLEAN(Sales_Table[[#This Row],[Region]])))</f>
        <v>West</v>
      </c>
      <c r="F676" t="s">
        <v>28</v>
      </c>
      <c r="G676" t="str">
        <f t="shared" si="71"/>
        <v>Clothing</v>
      </c>
      <c r="H676" t="str">
        <f>PROPER(TRIM(CLEAN(Sales_Table[[#This Row],[Product Name]])))</f>
        <v>Washing Machine</v>
      </c>
      <c r="I676" t="s">
        <v>79</v>
      </c>
      <c r="J676" t="str">
        <f t="shared" si="72"/>
        <v>CUST0129</v>
      </c>
      <c r="K676" t="s">
        <v>326</v>
      </c>
      <c r="L676" t="str">
        <f>PROPER(TRIM(CLEAN(Sales_Table[[#This Row],[Salesperson]])))</f>
        <v>Meena</v>
      </c>
      <c r="M676" t="s">
        <v>40</v>
      </c>
      <c r="N676" t="str">
        <f t="shared" si="73"/>
        <v>Debit Card</v>
      </c>
      <c r="O676" t="s">
        <v>41</v>
      </c>
      <c r="P676">
        <f t="shared" si="74"/>
        <v>10</v>
      </c>
      <c r="Q676" t="s">
        <v>117</v>
      </c>
      <c r="R676">
        <f t="shared" si="75"/>
        <v>3107</v>
      </c>
      <c r="S676" t="s">
        <v>1824</v>
      </c>
      <c r="T676">
        <f t="shared" si="76"/>
        <v>31070</v>
      </c>
      <c r="U676">
        <f>YEAR(Sales_Table[[#This Row],[Date_clean]])</f>
        <v>2024</v>
      </c>
      <c r="V676" t="str">
        <f>TEXT(Sales_Table[[#This Row],[Date_clean]],"mmmm")</f>
        <v>January</v>
      </c>
      <c r="W676">
        <f>WEEKNUM(Sales_Table[[#This Row],[Date_clean]],2)</f>
        <v>5</v>
      </c>
      <c r="X676" t="str" cm="1">
        <f t="array" ref="X676">_xlfn.IFS(Sales_Table[[#This Row],[Revenue]]&gt;=50000,"High",Sales_Table[[#This Row],[Revenue]]&gt;=20000,"Medium",Sales_Table[[#This Row],[Revenue]]&lt;20000,"Low")</f>
        <v>Medium</v>
      </c>
      <c r="Y676" t="str">
        <f>IF(Sales_Table[[#This Row],[Payment Method_clean]]="cash","Offline","Online")</f>
        <v>Online</v>
      </c>
      <c r="Z676">
        <f>IFERROR(Sales_Table[[#This Row],[Revenue]],0)</f>
        <v>31070</v>
      </c>
    </row>
    <row r="677" spans="1:26" x14ac:dyDescent="0.3">
      <c r="A677">
        <v>676</v>
      </c>
      <c r="B677" s="2">
        <f t="shared" si="70"/>
        <v>45320.125</v>
      </c>
      <c r="C677" t="s">
        <v>1825</v>
      </c>
      <c r="D677" t="s">
        <v>45</v>
      </c>
      <c r="E677" t="str">
        <f>PROPER(TRIM(CLEAN(Sales_Table[[#This Row],[Region]])))</f>
        <v>North</v>
      </c>
      <c r="F677" t="s">
        <v>78</v>
      </c>
      <c r="G677" t="str">
        <f t="shared" si="71"/>
        <v>Grocery</v>
      </c>
      <c r="H677" t="str">
        <f>PROPER(TRIM(CLEAN(Sales_Table[[#This Row],[Product Name]])))</f>
        <v>Led Tv 42Inch</v>
      </c>
      <c r="I677" t="s">
        <v>58</v>
      </c>
      <c r="J677" t="str">
        <f t="shared" si="72"/>
        <v>CUST0246</v>
      </c>
      <c r="K677" t="s">
        <v>1826</v>
      </c>
      <c r="L677" t="str">
        <f>PROPER(TRIM(CLEAN(Sales_Table[[#This Row],[Salesperson]])))</f>
        <v>Rahul</v>
      </c>
      <c r="M677" t="s">
        <v>31</v>
      </c>
      <c r="N677" t="str">
        <f t="shared" si="73"/>
        <v>Cash</v>
      </c>
      <c r="O677" t="s">
        <v>32</v>
      </c>
      <c r="P677">
        <f t="shared" si="74"/>
        <v>8</v>
      </c>
      <c r="Q677" t="s">
        <v>42</v>
      </c>
      <c r="R677">
        <f t="shared" si="75"/>
        <v>3224</v>
      </c>
      <c r="S677" t="s">
        <v>1827</v>
      </c>
      <c r="T677">
        <f t="shared" si="76"/>
        <v>25792</v>
      </c>
      <c r="U677">
        <f>YEAR(Sales_Table[[#This Row],[Date_clean]])</f>
        <v>2024</v>
      </c>
      <c r="V677" t="str">
        <f>TEXT(Sales_Table[[#This Row],[Date_clean]],"mmmm")</f>
        <v>January</v>
      </c>
      <c r="W677">
        <f>WEEKNUM(Sales_Table[[#This Row],[Date_clean]],2)</f>
        <v>5</v>
      </c>
      <c r="X677" t="str" cm="1">
        <f t="array" ref="X677">_xlfn.IFS(Sales_Table[[#This Row],[Revenue]]&gt;=50000,"High",Sales_Table[[#This Row],[Revenue]]&gt;=20000,"Medium",Sales_Table[[#This Row],[Revenue]]&lt;20000,"Low")</f>
        <v>Medium</v>
      </c>
      <c r="Y677" t="str">
        <f>IF(Sales_Table[[#This Row],[Payment Method_clean]]="cash","Offline","Online")</f>
        <v>Offline</v>
      </c>
      <c r="Z677">
        <f>IFERROR(Sales_Table[[#This Row],[Revenue]],0)</f>
        <v>25792</v>
      </c>
    </row>
    <row r="678" spans="1:26" x14ac:dyDescent="0.3">
      <c r="A678">
        <v>677</v>
      </c>
      <c r="B678" s="2">
        <f t="shared" si="70"/>
        <v>45320.166666666664</v>
      </c>
      <c r="C678" t="s">
        <v>1828</v>
      </c>
      <c r="D678" t="s">
        <v>36</v>
      </c>
      <c r="E678" t="str">
        <f>PROPER(TRIM(CLEAN(Sales_Table[[#This Row],[Region]])))</f>
        <v>West</v>
      </c>
      <c r="F678" t="s">
        <v>78</v>
      </c>
      <c r="G678" t="str">
        <f t="shared" si="71"/>
        <v>Grocery</v>
      </c>
      <c r="H678" t="str">
        <f>PROPER(TRIM(CLEAN(Sales_Table[[#This Row],[Product Name]])))</f>
        <v>Washing Machine</v>
      </c>
      <c r="I678" t="s">
        <v>79</v>
      </c>
      <c r="J678" t="str">
        <f t="shared" si="72"/>
        <v>CUST0601</v>
      </c>
      <c r="K678" t="s">
        <v>1829</v>
      </c>
      <c r="L678" t="str">
        <f>PROPER(TRIM(CLEAN(Sales_Table[[#This Row],[Salesperson]])))</f>
        <v>Karthik</v>
      </c>
      <c r="M678" t="s">
        <v>70</v>
      </c>
      <c r="N678" t="str">
        <f t="shared" si="73"/>
        <v>Net Banking</v>
      </c>
      <c r="O678" t="s">
        <v>60</v>
      </c>
      <c r="P678">
        <f t="shared" si="74"/>
        <v>3</v>
      </c>
      <c r="Q678" t="s">
        <v>66</v>
      </c>
      <c r="R678">
        <f t="shared" si="75"/>
        <v>1853</v>
      </c>
      <c r="S678" t="s">
        <v>821</v>
      </c>
      <c r="T678">
        <f t="shared" si="76"/>
        <v>5559</v>
      </c>
      <c r="U678">
        <f>YEAR(Sales_Table[[#This Row],[Date_clean]])</f>
        <v>2024</v>
      </c>
      <c r="V678" t="str">
        <f>TEXT(Sales_Table[[#This Row],[Date_clean]],"mmmm")</f>
        <v>January</v>
      </c>
      <c r="W678">
        <f>WEEKNUM(Sales_Table[[#This Row],[Date_clean]],2)</f>
        <v>5</v>
      </c>
      <c r="X678" t="str" cm="1">
        <f t="array" ref="X678">_xlfn.IFS(Sales_Table[[#This Row],[Revenue]]&gt;=50000,"High",Sales_Table[[#This Row],[Revenue]]&gt;=20000,"Medium",Sales_Table[[#This Row],[Revenue]]&lt;20000,"Low")</f>
        <v>Low</v>
      </c>
      <c r="Y678" t="str">
        <f>IF(Sales_Table[[#This Row],[Payment Method_clean]]="cash","Offline","Online")</f>
        <v>Online</v>
      </c>
      <c r="Z678">
        <f>IFERROR(Sales_Table[[#This Row],[Revenue]],0)</f>
        <v>5559</v>
      </c>
    </row>
    <row r="679" spans="1:26" x14ac:dyDescent="0.3">
      <c r="A679">
        <v>678</v>
      </c>
      <c r="B679" s="2">
        <f t="shared" si="70"/>
        <v>45320.208333333336</v>
      </c>
      <c r="C679" t="s">
        <v>1830</v>
      </c>
      <c r="D679" t="s">
        <v>36</v>
      </c>
      <c r="E679" t="str">
        <f>PROPER(TRIM(CLEAN(Sales_Table[[#This Row],[Region]])))</f>
        <v>West</v>
      </c>
      <c r="F679" t="s">
        <v>46</v>
      </c>
      <c r="G679" t="str">
        <f t="shared" si="71"/>
        <v>Electronics</v>
      </c>
      <c r="H679" t="str">
        <f>PROPER(TRIM(CLEAN(Sales_Table[[#This Row],[Product Name]])))</f>
        <v>Laptop</v>
      </c>
      <c r="I679" t="s">
        <v>52</v>
      </c>
      <c r="J679" t="str">
        <f t="shared" si="72"/>
        <v>CUST0578</v>
      </c>
      <c r="K679" t="s">
        <v>1831</v>
      </c>
      <c r="L679" t="str">
        <f>PROPER(TRIM(CLEAN(Sales_Table[[#This Row],[Salesperson]])))</f>
        <v>Karthik</v>
      </c>
      <c r="M679" t="s">
        <v>70</v>
      </c>
      <c r="N679" t="str">
        <f t="shared" si="73"/>
        <v>Credit Card</v>
      </c>
      <c r="O679" t="s">
        <v>65</v>
      </c>
      <c r="P679">
        <f t="shared" si="74"/>
        <v>7</v>
      </c>
      <c r="Q679" t="s">
        <v>49</v>
      </c>
      <c r="R679">
        <f t="shared" si="75"/>
        <v>1712</v>
      </c>
      <c r="S679" t="s">
        <v>1832</v>
      </c>
      <c r="T679">
        <f t="shared" si="76"/>
        <v>11984</v>
      </c>
      <c r="U679">
        <f>YEAR(Sales_Table[[#This Row],[Date_clean]])</f>
        <v>2024</v>
      </c>
      <c r="V679" t="str">
        <f>TEXT(Sales_Table[[#This Row],[Date_clean]],"mmmm")</f>
        <v>January</v>
      </c>
      <c r="W679">
        <f>WEEKNUM(Sales_Table[[#This Row],[Date_clean]],2)</f>
        <v>5</v>
      </c>
      <c r="X679" t="str" cm="1">
        <f t="array" ref="X679">_xlfn.IFS(Sales_Table[[#This Row],[Revenue]]&gt;=50000,"High",Sales_Table[[#This Row],[Revenue]]&gt;=20000,"Medium",Sales_Table[[#This Row],[Revenue]]&lt;20000,"Low")</f>
        <v>Low</v>
      </c>
      <c r="Y679" t="str">
        <f>IF(Sales_Table[[#This Row],[Payment Method_clean]]="cash","Offline","Online")</f>
        <v>Online</v>
      </c>
      <c r="Z679">
        <f>IFERROR(Sales_Table[[#This Row],[Revenue]],0)</f>
        <v>11984</v>
      </c>
    </row>
    <row r="680" spans="1:26" x14ac:dyDescent="0.3">
      <c r="A680">
        <v>679</v>
      </c>
      <c r="B680" s="2">
        <f t="shared" si="70"/>
        <v>45320.25</v>
      </c>
      <c r="C680" t="s">
        <v>1833</v>
      </c>
      <c r="D680" t="s">
        <v>84</v>
      </c>
      <c r="E680" t="str">
        <f>PROPER(TRIM(CLEAN(Sales_Table[[#This Row],[Region]])))</f>
        <v>South</v>
      </c>
      <c r="F680" t="s">
        <v>28</v>
      </c>
      <c r="G680" t="str">
        <f t="shared" si="71"/>
        <v>Clothing</v>
      </c>
      <c r="H680" t="str">
        <f>PROPER(TRIM(CLEAN(Sales_Table[[#This Row],[Product Name]])))</f>
        <v>Washing Machine</v>
      </c>
      <c r="I680" t="s">
        <v>79</v>
      </c>
      <c r="J680" t="str">
        <f t="shared" si="72"/>
        <v>CUST0670</v>
      </c>
      <c r="K680" t="s">
        <v>1834</v>
      </c>
      <c r="L680" t="str">
        <f>PROPER(TRIM(CLEAN(Sales_Table[[#This Row],[Salesperson]])))</f>
        <v>Karthik</v>
      </c>
      <c r="M680" t="s">
        <v>70</v>
      </c>
      <c r="N680" t="str">
        <f t="shared" si="73"/>
        <v>Cash</v>
      </c>
      <c r="O680" t="s">
        <v>32</v>
      </c>
      <c r="P680">
        <f t="shared" si="74"/>
        <v>7</v>
      </c>
      <c r="Q680" t="s">
        <v>49</v>
      </c>
      <c r="R680">
        <f t="shared" si="75"/>
        <v>3375</v>
      </c>
      <c r="S680" t="s">
        <v>1835</v>
      </c>
      <c r="T680">
        <f t="shared" si="76"/>
        <v>23625</v>
      </c>
      <c r="U680">
        <f>YEAR(Sales_Table[[#This Row],[Date_clean]])</f>
        <v>2024</v>
      </c>
      <c r="V680" t="str">
        <f>TEXT(Sales_Table[[#This Row],[Date_clean]],"mmmm")</f>
        <v>January</v>
      </c>
      <c r="W680">
        <f>WEEKNUM(Sales_Table[[#This Row],[Date_clean]],2)</f>
        <v>5</v>
      </c>
      <c r="X680" t="str" cm="1">
        <f t="array" ref="X680">_xlfn.IFS(Sales_Table[[#This Row],[Revenue]]&gt;=50000,"High",Sales_Table[[#This Row],[Revenue]]&gt;=20000,"Medium",Sales_Table[[#This Row],[Revenue]]&lt;20000,"Low")</f>
        <v>Medium</v>
      </c>
      <c r="Y680" t="str">
        <f>IF(Sales_Table[[#This Row],[Payment Method_clean]]="cash","Offline","Online")</f>
        <v>Offline</v>
      </c>
      <c r="Z680">
        <f>IFERROR(Sales_Table[[#This Row],[Revenue]],0)</f>
        <v>23625</v>
      </c>
    </row>
    <row r="681" spans="1:26" x14ac:dyDescent="0.3">
      <c r="A681">
        <v>680</v>
      </c>
      <c r="B681" s="2">
        <f t="shared" si="70"/>
        <v>45320.291666666664</v>
      </c>
      <c r="C681" t="s">
        <v>1836</v>
      </c>
      <c r="D681" t="s">
        <v>84</v>
      </c>
      <c r="E681" t="str">
        <f>PROPER(TRIM(CLEAN(Sales_Table[[#This Row],[Region]])))</f>
        <v>South</v>
      </c>
      <c r="F681" t="s">
        <v>28</v>
      </c>
      <c r="G681" t="str">
        <f t="shared" si="71"/>
        <v>Clothing</v>
      </c>
      <c r="H681" t="str">
        <f>PROPER(TRIM(CLEAN(Sales_Table[[#This Row],[Product Name]])))</f>
        <v>Men T-Shirt</v>
      </c>
      <c r="I681" t="s">
        <v>38</v>
      </c>
      <c r="J681" t="str">
        <f t="shared" si="72"/>
        <v>CUST0378</v>
      </c>
      <c r="K681" t="s">
        <v>335</v>
      </c>
      <c r="L681" t="str">
        <f>PROPER(TRIM(CLEAN(Sales_Table[[#This Row],[Salesperson]])))</f>
        <v>Karthik</v>
      </c>
      <c r="M681" t="s">
        <v>70</v>
      </c>
      <c r="N681" t="str">
        <f t="shared" si="73"/>
        <v>Credit Card</v>
      </c>
      <c r="O681" t="s">
        <v>65</v>
      </c>
      <c r="P681">
        <f t="shared" si="74"/>
        <v>12</v>
      </c>
      <c r="Q681" t="s">
        <v>33</v>
      </c>
      <c r="R681">
        <f t="shared" si="75"/>
        <v>655</v>
      </c>
      <c r="S681" t="s">
        <v>1837</v>
      </c>
      <c r="T681">
        <f t="shared" si="76"/>
        <v>7860</v>
      </c>
      <c r="U681">
        <f>YEAR(Sales_Table[[#This Row],[Date_clean]])</f>
        <v>2024</v>
      </c>
      <c r="V681" t="str">
        <f>TEXT(Sales_Table[[#This Row],[Date_clean]],"mmmm")</f>
        <v>January</v>
      </c>
      <c r="W681">
        <f>WEEKNUM(Sales_Table[[#This Row],[Date_clean]],2)</f>
        <v>5</v>
      </c>
      <c r="X681" t="str" cm="1">
        <f t="array" ref="X681">_xlfn.IFS(Sales_Table[[#This Row],[Revenue]]&gt;=50000,"High",Sales_Table[[#This Row],[Revenue]]&gt;=20000,"Medium",Sales_Table[[#This Row],[Revenue]]&lt;20000,"Low")</f>
        <v>Low</v>
      </c>
      <c r="Y681" t="str">
        <f>IF(Sales_Table[[#This Row],[Payment Method_clean]]="cash","Offline","Online")</f>
        <v>Online</v>
      </c>
      <c r="Z681">
        <f>IFERROR(Sales_Table[[#This Row],[Revenue]],0)</f>
        <v>7860</v>
      </c>
    </row>
    <row r="682" spans="1:26" x14ac:dyDescent="0.3">
      <c r="A682">
        <v>681</v>
      </c>
      <c r="B682" s="2">
        <f t="shared" si="70"/>
        <v>45320.333333333336</v>
      </c>
      <c r="C682" t="s">
        <v>1838</v>
      </c>
      <c r="D682" t="s">
        <v>36</v>
      </c>
      <c r="E682" t="str">
        <f>PROPER(TRIM(CLEAN(Sales_Table[[#This Row],[Region]])))</f>
        <v>West</v>
      </c>
      <c r="F682" t="s">
        <v>78</v>
      </c>
      <c r="G682" t="str">
        <f t="shared" si="71"/>
        <v>Grocery</v>
      </c>
      <c r="H682" t="str">
        <f>PROPER(TRIM(CLEAN(Sales_Table[[#This Row],[Product Name]])))</f>
        <v>Men T-Shirt</v>
      </c>
      <c r="I682" t="s">
        <v>38</v>
      </c>
      <c r="J682" t="str">
        <f t="shared" si="72"/>
        <v>CUST0149</v>
      </c>
      <c r="K682" t="s">
        <v>1611</v>
      </c>
      <c r="L682" t="str">
        <f>PROPER(TRIM(CLEAN(Sales_Table[[#This Row],[Salesperson]])))</f>
        <v>Karthik</v>
      </c>
      <c r="M682" t="s">
        <v>70</v>
      </c>
      <c r="N682" t="str">
        <f t="shared" si="73"/>
        <v>Net Banking</v>
      </c>
      <c r="O682" t="s">
        <v>60</v>
      </c>
      <c r="P682">
        <f t="shared" si="74"/>
        <v>9</v>
      </c>
      <c r="Q682" t="s">
        <v>130</v>
      </c>
      <c r="R682">
        <f t="shared" si="75"/>
        <v>4351</v>
      </c>
      <c r="S682" t="s">
        <v>1839</v>
      </c>
      <c r="T682">
        <f t="shared" si="76"/>
        <v>39159</v>
      </c>
      <c r="U682">
        <f>YEAR(Sales_Table[[#This Row],[Date_clean]])</f>
        <v>2024</v>
      </c>
      <c r="V682" t="str">
        <f>TEXT(Sales_Table[[#This Row],[Date_clean]],"mmmm")</f>
        <v>January</v>
      </c>
      <c r="W682">
        <f>WEEKNUM(Sales_Table[[#This Row],[Date_clean]],2)</f>
        <v>5</v>
      </c>
      <c r="X682" t="str" cm="1">
        <f t="array" ref="X682">_xlfn.IFS(Sales_Table[[#This Row],[Revenue]]&gt;=50000,"High",Sales_Table[[#This Row],[Revenue]]&gt;=20000,"Medium",Sales_Table[[#This Row],[Revenue]]&lt;20000,"Low")</f>
        <v>Medium</v>
      </c>
      <c r="Y682" t="str">
        <f>IF(Sales_Table[[#This Row],[Payment Method_clean]]="cash","Offline","Online")</f>
        <v>Online</v>
      </c>
      <c r="Z682">
        <f>IFERROR(Sales_Table[[#This Row],[Revenue]],0)</f>
        <v>39159</v>
      </c>
    </row>
    <row r="683" spans="1:26" x14ac:dyDescent="0.3">
      <c r="A683">
        <v>682</v>
      </c>
      <c r="B683" s="2">
        <f t="shared" si="70"/>
        <v>45320.375</v>
      </c>
      <c r="C683" t="s">
        <v>1840</v>
      </c>
      <c r="D683" t="s">
        <v>45</v>
      </c>
      <c r="E683" t="str">
        <f>PROPER(TRIM(CLEAN(Sales_Table[[#This Row],[Region]])))</f>
        <v>North</v>
      </c>
      <c r="F683" t="s">
        <v>28</v>
      </c>
      <c r="G683" t="str">
        <f t="shared" si="71"/>
        <v>Clothing</v>
      </c>
      <c r="H683" t="str">
        <f>PROPER(TRIM(CLEAN(Sales_Table[[#This Row],[Product Name]])))</f>
        <v>Men T-Shirt</v>
      </c>
      <c r="I683" t="s">
        <v>38</v>
      </c>
      <c r="J683" t="str">
        <f t="shared" si="72"/>
        <v>CUST0433</v>
      </c>
      <c r="K683" t="s">
        <v>545</v>
      </c>
      <c r="L683" t="str">
        <f>PROPER(TRIM(CLEAN(Sales_Table[[#This Row],[Salesperson]])))</f>
        <v>Karthik</v>
      </c>
      <c r="M683" t="s">
        <v>70</v>
      </c>
      <c r="N683" t="str">
        <f t="shared" si="73"/>
        <v>Cash</v>
      </c>
      <c r="O683" t="s">
        <v>32</v>
      </c>
      <c r="P683">
        <f t="shared" si="74"/>
        <v>6</v>
      </c>
      <c r="Q683" t="s">
        <v>75</v>
      </c>
      <c r="R683">
        <f t="shared" si="75"/>
        <v>2149</v>
      </c>
      <c r="S683" t="s">
        <v>1841</v>
      </c>
      <c r="T683">
        <f t="shared" si="76"/>
        <v>12894</v>
      </c>
      <c r="U683">
        <f>YEAR(Sales_Table[[#This Row],[Date_clean]])</f>
        <v>2024</v>
      </c>
      <c r="V683" t="str">
        <f>TEXT(Sales_Table[[#This Row],[Date_clean]],"mmmm")</f>
        <v>January</v>
      </c>
      <c r="W683">
        <f>WEEKNUM(Sales_Table[[#This Row],[Date_clean]],2)</f>
        <v>5</v>
      </c>
      <c r="X683" t="str" cm="1">
        <f t="array" ref="X683">_xlfn.IFS(Sales_Table[[#This Row],[Revenue]]&gt;=50000,"High",Sales_Table[[#This Row],[Revenue]]&gt;=20000,"Medium",Sales_Table[[#This Row],[Revenue]]&lt;20000,"Low")</f>
        <v>Low</v>
      </c>
      <c r="Y683" t="str">
        <f>IF(Sales_Table[[#This Row],[Payment Method_clean]]="cash","Offline","Online")</f>
        <v>Offline</v>
      </c>
      <c r="Z683">
        <f>IFERROR(Sales_Table[[#This Row],[Revenue]],0)</f>
        <v>12894</v>
      </c>
    </row>
    <row r="684" spans="1:26" x14ac:dyDescent="0.3">
      <c r="A684">
        <v>683</v>
      </c>
      <c r="B684" s="2">
        <f t="shared" si="70"/>
        <v>45320.416666666664</v>
      </c>
      <c r="C684" t="s">
        <v>1842</v>
      </c>
      <c r="D684" t="s">
        <v>27</v>
      </c>
      <c r="E684" t="str">
        <f>PROPER(TRIM(CLEAN(Sales_Table[[#This Row],[Region]])))</f>
        <v>East</v>
      </c>
      <c r="F684" t="s">
        <v>37</v>
      </c>
      <c r="G684" t="str">
        <f t="shared" si="71"/>
        <v>Home Appliances</v>
      </c>
      <c r="H684" t="str">
        <f>PROPER(TRIM(CLEAN(Sales_Table[[#This Row],[Product Name]])))</f>
        <v>Led Tv 42Inch</v>
      </c>
      <c r="I684" t="s">
        <v>58</v>
      </c>
      <c r="J684" t="str">
        <f t="shared" si="72"/>
        <v>CUST0628</v>
      </c>
      <c r="K684" t="s">
        <v>825</v>
      </c>
      <c r="L684" t="str">
        <f>PROPER(TRIM(CLEAN(Sales_Table[[#This Row],[Salesperson]])))</f>
        <v>Anita</v>
      </c>
      <c r="M684" t="s">
        <v>64</v>
      </c>
      <c r="N684" t="str">
        <f t="shared" si="73"/>
        <v>Upi</v>
      </c>
      <c r="O684" t="s">
        <v>48</v>
      </c>
      <c r="P684">
        <f t="shared" si="74"/>
        <v>1</v>
      </c>
      <c r="Q684" t="s">
        <v>93</v>
      </c>
      <c r="R684">
        <f t="shared" si="75"/>
        <v>924</v>
      </c>
      <c r="S684" t="s">
        <v>1843</v>
      </c>
      <c r="T684">
        <f t="shared" si="76"/>
        <v>924</v>
      </c>
      <c r="U684">
        <f>YEAR(Sales_Table[[#This Row],[Date_clean]])</f>
        <v>2024</v>
      </c>
      <c r="V684" t="str">
        <f>TEXT(Sales_Table[[#This Row],[Date_clean]],"mmmm")</f>
        <v>January</v>
      </c>
      <c r="W684">
        <f>WEEKNUM(Sales_Table[[#This Row],[Date_clean]],2)</f>
        <v>5</v>
      </c>
      <c r="X684" t="str" cm="1">
        <f t="array" ref="X684">_xlfn.IFS(Sales_Table[[#This Row],[Revenue]]&gt;=50000,"High",Sales_Table[[#This Row],[Revenue]]&gt;=20000,"Medium",Sales_Table[[#This Row],[Revenue]]&lt;20000,"Low")</f>
        <v>Low</v>
      </c>
      <c r="Y684" t="str">
        <f>IF(Sales_Table[[#This Row],[Payment Method_clean]]="cash","Offline","Online")</f>
        <v>Online</v>
      </c>
      <c r="Z684">
        <f>IFERROR(Sales_Table[[#This Row],[Revenue]],0)</f>
        <v>924</v>
      </c>
    </row>
    <row r="685" spans="1:26" x14ac:dyDescent="0.3">
      <c r="A685">
        <v>684</v>
      </c>
      <c r="B685" s="2">
        <f t="shared" si="70"/>
        <v>45320.458333333336</v>
      </c>
      <c r="C685" t="s">
        <v>1844</v>
      </c>
      <c r="D685" t="s">
        <v>36</v>
      </c>
      <c r="E685" t="str">
        <f>PROPER(TRIM(CLEAN(Sales_Table[[#This Row],[Region]])))</f>
        <v>West</v>
      </c>
      <c r="F685" t="s">
        <v>78</v>
      </c>
      <c r="G685" t="str">
        <f t="shared" si="71"/>
        <v>Grocery</v>
      </c>
      <c r="H685" t="str">
        <f>PROPER(TRIM(CLEAN(Sales_Table[[#This Row],[Product Name]])))</f>
        <v>Led Tv 42Inch</v>
      </c>
      <c r="I685" t="s">
        <v>58</v>
      </c>
      <c r="J685" t="str">
        <f t="shared" si="72"/>
        <v>CUST0726</v>
      </c>
      <c r="K685" t="s">
        <v>723</v>
      </c>
      <c r="L685" t="str">
        <f>PROPER(TRIM(CLEAN(Sales_Table[[#This Row],[Salesperson]])))</f>
        <v>Suresh</v>
      </c>
      <c r="M685" t="s">
        <v>54</v>
      </c>
      <c r="N685" t="str">
        <f t="shared" si="73"/>
        <v>Debit Card</v>
      </c>
      <c r="O685" t="s">
        <v>41</v>
      </c>
      <c r="P685">
        <f t="shared" si="74"/>
        <v>8</v>
      </c>
      <c r="Q685" t="s">
        <v>42</v>
      </c>
      <c r="R685">
        <f t="shared" si="75"/>
        <v>2949</v>
      </c>
      <c r="S685" t="s">
        <v>1845</v>
      </c>
      <c r="T685">
        <f t="shared" si="76"/>
        <v>23592</v>
      </c>
      <c r="U685">
        <f>YEAR(Sales_Table[[#This Row],[Date_clean]])</f>
        <v>2024</v>
      </c>
      <c r="V685" t="str">
        <f>TEXT(Sales_Table[[#This Row],[Date_clean]],"mmmm")</f>
        <v>January</v>
      </c>
      <c r="W685">
        <f>WEEKNUM(Sales_Table[[#This Row],[Date_clean]],2)</f>
        <v>5</v>
      </c>
      <c r="X685" t="str" cm="1">
        <f t="array" ref="X685">_xlfn.IFS(Sales_Table[[#This Row],[Revenue]]&gt;=50000,"High",Sales_Table[[#This Row],[Revenue]]&gt;=20000,"Medium",Sales_Table[[#This Row],[Revenue]]&lt;20000,"Low")</f>
        <v>Medium</v>
      </c>
      <c r="Y685" t="str">
        <f>IF(Sales_Table[[#This Row],[Payment Method_clean]]="cash","Offline","Online")</f>
        <v>Online</v>
      </c>
      <c r="Z685">
        <f>IFERROR(Sales_Table[[#This Row],[Revenue]],0)</f>
        <v>23592</v>
      </c>
    </row>
    <row r="686" spans="1:26" x14ac:dyDescent="0.3">
      <c r="A686">
        <v>685</v>
      </c>
      <c r="B686" s="2">
        <f t="shared" si="70"/>
        <v>45320.5</v>
      </c>
      <c r="C686" t="s">
        <v>1846</v>
      </c>
      <c r="D686" t="s">
        <v>45</v>
      </c>
      <c r="E686" t="str">
        <f>PROPER(TRIM(CLEAN(Sales_Table[[#This Row],[Region]])))</f>
        <v>North</v>
      </c>
      <c r="F686" t="s">
        <v>46</v>
      </c>
      <c r="G686" t="str">
        <f t="shared" si="71"/>
        <v>Electronics</v>
      </c>
      <c r="H686" t="str">
        <f>PROPER(TRIM(CLEAN(Sales_Table[[#This Row],[Product Name]])))</f>
        <v>Washing Machine</v>
      </c>
      <c r="I686" t="s">
        <v>79</v>
      </c>
      <c r="J686" t="str">
        <f t="shared" si="72"/>
        <v>CUST0469</v>
      </c>
      <c r="K686" t="s">
        <v>1847</v>
      </c>
      <c r="L686" t="str">
        <f>PROPER(TRIM(CLEAN(Sales_Table[[#This Row],[Salesperson]])))</f>
        <v>Karthik</v>
      </c>
      <c r="M686" t="s">
        <v>70</v>
      </c>
      <c r="N686" t="str">
        <f t="shared" si="73"/>
        <v>Cash</v>
      </c>
      <c r="O686" t="s">
        <v>32</v>
      </c>
      <c r="P686">
        <f t="shared" si="74"/>
        <v>1</v>
      </c>
      <c r="Q686" t="s">
        <v>93</v>
      </c>
      <c r="R686">
        <f t="shared" si="75"/>
        <v>3130</v>
      </c>
      <c r="S686" t="s">
        <v>1848</v>
      </c>
      <c r="T686">
        <f t="shared" si="76"/>
        <v>3130</v>
      </c>
      <c r="U686">
        <f>YEAR(Sales_Table[[#This Row],[Date_clean]])</f>
        <v>2024</v>
      </c>
      <c r="V686" t="str">
        <f>TEXT(Sales_Table[[#This Row],[Date_clean]],"mmmm")</f>
        <v>January</v>
      </c>
      <c r="W686">
        <f>WEEKNUM(Sales_Table[[#This Row],[Date_clean]],2)</f>
        <v>5</v>
      </c>
      <c r="X686" t="str" cm="1">
        <f t="array" ref="X686">_xlfn.IFS(Sales_Table[[#This Row],[Revenue]]&gt;=50000,"High",Sales_Table[[#This Row],[Revenue]]&gt;=20000,"Medium",Sales_Table[[#This Row],[Revenue]]&lt;20000,"Low")</f>
        <v>Low</v>
      </c>
      <c r="Y686" t="str">
        <f>IF(Sales_Table[[#This Row],[Payment Method_clean]]="cash","Offline","Online")</f>
        <v>Offline</v>
      </c>
      <c r="Z686">
        <f>IFERROR(Sales_Table[[#This Row],[Revenue]],0)</f>
        <v>3130</v>
      </c>
    </row>
    <row r="687" spans="1:26" x14ac:dyDescent="0.3">
      <c r="A687">
        <v>686</v>
      </c>
      <c r="B687" s="2">
        <f t="shared" si="70"/>
        <v>45320.541666666664</v>
      </c>
      <c r="C687" t="s">
        <v>1849</v>
      </c>
      <c r="D687" t="s">
        <v>84</v>
      </c>
      <c r="E687" t="str">
        <f>PROPER(TRIM(CLEAN(Sales_Table[[#This Row],[Region]])))</f>
        <v>South</v>
      </c>
      <c r="F687" t="s">
        <v>78</v>
      </c>
      <c r="G687" t="str">
        <f t="shared" si="71"/>
        <v>Grocery</v>
      </c>
      <c r="H687" t="str">
        <f>PROPER(TRIM(CLEAN(Sales_Table[[#This Row],[Product Name]])))</f>
        <v>Men T-Shirt</v>
      </c>
      <c r="I687" t="s">
        <v>38</v>
      </c>
      <c r="J687" t="str">
        <f t="shared" si="72"/>
        <v>CUST0446</v>
      </c>
      <c r="K687" t="s">
        <v>1078</v>
      </c>
      <c r="L687" t="str">
        <f>PROPER(TRIM(CLEAN(Sales_Table[[#This Row],[Salesperson]])))</f>
        <v>Suresh</v>
      </c>
      <c r="M687" t="s">
        <v>54</v>
      </c>
      <c r="N687" t="str">
        <f t="shared" si="73"/>
        <v>Net Banking</v>
      </c>
      <c r="O687" t="s">
        <v>60</v>
      </c>
      <c r="P687">
        <f t="shared" si="74"/>
        <v>3</v>
      </c>
      <c r="Q687" t="s">
        <v>66</v>
      </c>
      <c r="R687">
        <f t="shared" si="75"/>
        <v>1181</v>
      </c>
      <c r="S687" t="s">
        <v>259</v>
      </c>
      <c r="T687">
        <f t="shared" si="76"/>
        <v>3543</v>
      </c>
      <c r="U687">
        <f>YEAR(Sales_Table[[#This Row],[Date_clean]])</f>
        <v>2024</v>
      </c>
      <c r="V687" t="str">
        <f>TEXT(Sales_Table[[#This Row],[Date_clean]],"mmmm")</f>
        <v>January</v>
      </c>
      <c r="W687">
        <f>WEEKNUM(Sales_Table[[#This Row],[Date_clean]],2)</f>
        <v>5</v>
      </c>
      <c r="X687" t="str" cm="1">
        <f t="array" ref="X687">_xlfn.IFS(Sales_Table[[#This Row],[Revenue]]&gt;=50000,"High",Sales_Table[[#This Row],[Revenue]]&gt;=20000,"Medium",Sales_Table[[#This Row],[Revenue]]&lt;20000,"Low")</f>
        <v>Low</v>
      </c>
      <c r="Y687" t="str">
        <f>IF(Sales_Table[[#This Row],[Payment Method_clean]]="cash","Offline","Online")</f>
        <v>Online</v>
      </c>
      <c r="Z687">
        <f>IFERROR(Sales_Table[[#This Row],[Revenue]],0)</f>
        <v>3543</v>
      </c>
    </row>
    <row r="688" spans="1:26" x14ac:dyDescent="0.3">
      <c r="A688">
        <v>687</v>
      </c>
      <c r="B688" s="2">
        <f t="shared" si="70"/>
        <v>45320.583333333336</v>
      </c>
      <c r="C688" t="s">
        <v>1850</v>
      </c>
      <c r="D688" t="s">
        <v>84</v>
      </c>
      <c r="E688" t="str">
        <f>PROPER(TRIM(CLEAN(Sales_Table[[#This Row],[Region]])))</f>
        <v>South</v>
      </c>
      <c r="F688" t="s">
        <v>28</v>
      </c>
      <c r="G688" t="str">
        <f t="shared" si="71"/>
        <v>Clothing</v>
      </c>
      <c r="H688" t="str">
        <f>PROPER(TRIM(CLEAN(Sales_Table[[#This Row],[Product Name]])))</f>
        <v>Led Tv 42Inch</v>
      </c>
      <c r="I688" t="s">
        <v>58</v>
      </c>
      <c r="J688" t="str">
        <f t="shared" si="72"/>
        <v>CUST0481</v>
      </c>
      <c r="K688" t="s">
        <v>1375</v>
      </c>
      <c r="L688" t="str">
        <f>PROPER(TRIM(CLEAN(Sales_Table[[#This Row],[Salesperson]])))</f>
        <v>Karthik</v>
      </c>
      <c r="M688" t="s">
        <v>70</v>
      </c>
      <c r="N688" t="str">
        <f t="shared" si="73"/>
        <v>Cash</v>
      </c>
      <c r="O688" t="s">
        <v>32</v>
      </c>
      <c r="P688">
        <f t="shared" si="74"/>
        <v>11</v>
      </c>
      <c r="Q688" t="s">
        <v>97</v>
      </c>
      <c r="R688">
        <f t="shared" si="75"/>
        <v>3425</v>
      </c>
      <c r="S688" t="s">
        <v>1851</v>
      </c>
      <c r="T688">
        <f t="shared" si="76"/>
        <v>37675</v>
      </c>
      <c r="U688">
        <f>YEAR(Sales_Table[[#This Row],[Date_clean]])</f>
        <v>2024</v>
      </c>
      <c r="V688" t="str">
        <f>TEXT(Sales_Table[[#This Row],[Date_clean]],"mmmm")</f>
        <v>January</v>
      </c>
      <c r="W688">
        <f>WEEKNUM(Sales_Table[[#This Row],[Date_clean]],2)</f>
        <v>5</v>
      </c>
      <c r="X688" t="str" cm="1">
        <f t="array" ref="X688">_xlfn.IFS(Sales_Table[[#This Row],[Revenue]]&gt;=50000,"High",Sales_Table[[#This Row],[Revenue]]&gt;=20000,"Medium",Sales_Table[[#This Row],[Revenue]]&lt;20000,"Low")</f>
        <v>Medium</v>
      </c>
      <c r="Y688" t="str">
        <f>IF(Sales_Table[[#This Row],[Payment Method_clean]]="cash","Offline","Online")</f>
        <v>Offline</v>
      </c>
      <c r="Z688">
        <f>IFERROR(Sales_Table[[#This Row],[Revenue]],0)</f>
        <v>37675</v>
      </c>
    </row>
    <row r="689" spans="1:26" x14ac:dyDescent="0.3">
      <c r="A689">
        <v>688</v>
      </c>
      <c r="B689" s="2">
        <f t="shared" si="70"/>
        <v>45320.625</v>
      </c>
      <c r="C689" t="s">
        <v>1852</v>
      </c>
      <c r="D689" t="s">
        <v>45</v>
      </c>
      <c r="E689" t="str">
        <f>PROPER(TRIM(CLEAN(Sales_Table[[#This Row],[Region]])))</f>
        <v>North</v>
      </c>
      <c r="F689" t="s">
        <v>46</v>
      </c>
      <c r="G689" t="str">
        <f t="shared" si="71"/>
        <v>Electronics</v>
      </c>
      <c r="H689" t="str">
        <f>PROPER(TRIM(CLEAN(Sales_Table[[#This Row],[Product Name]])))</f>
        <v>Rice 5Kg</v>
      </c>
      <c r="I689" t="s">
        <v>73</v>
      </c>
      <c r="J689" t="str">
        <f t="shared" si="72"/>
        <v>CUST0294</v>
      </c>
      <c r="K689" t="s">
        <v>1853</v>
      </c>
      <c r="L689" t="str">
        <f>PROPER(TRIM(CLEAN(Sales_Table[[#This Row],[Salesperson]])))</f>
        <v>Meena</v>
      </c>
      <c r="M689" t="s">
        <v>40</v>
      </c>
      <c r="N689" t="str">
        <f t="shared" si="73"/>
        <v>Credit Card</v>
      </c>
      <c r="O689" t="s">
        <v>65</v>
      </c>
      <c r="P689">
        <f t="shared" si="74"/>
        <v>5</v>
      </c>
      <c r="Q689" t="s">
        <v>89</v>
      </c>
      <c r="R689">
        <f t="shared" si="75"/>
        <v>592</v>
      </c>
      <c r="S689" t="s">
        <v>1854</v>
      </c>
      <c r="T689">
        <f t="shared" si="76"/>
        <v>2960</v>
      </c>
      <c r="U689">
        <f>YEAR(Sales_Table[[#This Row],[Date_clean]])</f>
        <v>2024</v>
      </c>
      <c r="V689" t="str">
        <f>TEXT(Sales_Table[[#This Row],[Date_clean]],"mmmm")</f>
        <v>January</v>
      </c>
      <c r="W689">
        <f>WEEKNUM(Sales_Table[[#This Row],[Date_clean]],2)</f>
        <v>5</v>
      </c>
      <c r="X689" t="str" cm="1">
        <f t="array" ref="X689">_xlfn.IFS(Sales_Table[[#This Row],[Revenue]]&gt;=50000,"High",Sales_Table[[#This Row],[Revenue]]&gt;=20000,"Medium",Sales_Table[[#This Row],[Revenue]]&lt;20000,"Low")</f>
        <v>Low</v>
      </c>
      <c r="Y689" t="str">
        <f>IF(Sales_Table[[#This Row],[Payment Method_clean]]="cash","Offline","Online")</f>
        <v>Online</v>
      </c>
      <c r="Z689">
        <f>IFERROR(Sales_Table[[#This Row],[Revenue]],0)</f>
        <v>2960</v>
      </c>
    </row>
    <row r="690" spans="1:26" x14ac:dyDescent="0.3">
      <c r="A690">
        <v>689</v>
      </c>
      <c r="B690" s="2">
        <f t="shared" si="70"/>
        <v>45320.666666666664</v>
      </c>
      <c r="C690" t="s">
        <v>1855</v>
      </c>
      <c r="D690" t="s">
        <v>27</v>
      </c>
      <c r="E690" t="str">
        <f>PROPER(TRIM(CLEAN(Sales_Table[[#This Row],[Region]])))</f>
        <v>East</v>
      </c>
      <c r="F690" t="s">
        <v>78</v>
      </c>
      <c r="G690" t="str">
        <f t="shared" si="71"/>
        <v>Grocery</v>
      </c>
      <c r="H690" t="str">
        <f>PROPER(TRIM(CLEAN(Sales_Table[[#This Row],[Product Name]])))</f>
        <v>Washing Machine</v>
      </c>
      <c r="I690" t="s">
        <v>79</v>
      </c>
      <c r="J690" t="str">
        <f t="shared" si="72"/>
        <v>CUST0765</v>
      </c>
      <c r="K690" t="s">
        <v>1856</v>
      </c>
      <c r="L690" t="str">
        <f>PROPER(TRIM(CLEAN(Sales_Table[[#This Row],[Salesperson]])))</f>
        <v>Karthik</v>
      </c>
      <c r="M690" t="s">
        <v>70</v>
      </c>
      <c r="N690" t="str">
        <f t="shared" si="73"/>
        <v>Cash</v>
      </c>
      <c r="O690" t="s">
        <v>32</v>
      </c>
      <c r="P690">
        <f t="shared" si="74"/>
        <v>8</v>
      </c>
      <c r="Q690" t="s">
        <v>42</v>
      </c>
      <c r="R690">
        <f t="shared" si="75"/>
        <v>4864</v>
      </c>
      <c r="S690" t="s">
        <v>1857</v>
      </c>
      <c r="T690">
        <f t="shared" si="76"/>
        <v>38912</v>
      </c>
      <c r="U690">
        <f>YEAR(Sales_Table[[#This Row],[Date_clean]])</f>
        <v>2024</v>
      </c>
      <c r="V690" t="str">
        <f>TEXT(Sales_Table[[#This Row],[Date_clean]],"mmmm")</f>
        <v>January</v>
      </c>
      <c r="W690">
        <f>WEEKNUM(Sales_Table[[#This Row],[Date_clean]],2)</f>
        <v>5</v>
      </c>
      <c r="X690" t="str" cm="1">
        <f t="array" ref="X690">_xlfn.IFS(Sales_Table[[#This Row],[Revenue]]&gt;=50000,"High",Sales_Table[[#This Row],[Revenue]]&gt;=20000,"Medium",Sales_Table[[#This Row],[Revenue]]&lt;20000,"Low")</f>
        <v>Medium</v>
      </c>
      <c r="Y690" t="str">
        <f>IF(Sales_Table[[#This Row],[Payment Method_clean]]="cash","Offline","Online")</f>
        <v>Offline</v>
      </c>
      <c r="Z690">
        <f>IFERROR(Sales_Table[[#This Row],[Revenue]],0)</f>
        <v>38912</v>
      </c>
    </row>
    <row r="691" spans="1:26" x14ac:dyDescent="0.3">
      <c r="A691">
        <v>690</v>
      </c>
      <c r="B691" s="2">
        <f t="shared" si="70"/>
        <v>45320.708333333336</v>
      </c>
      <c r="C691" t="s">
        <v>1858</v>
      </c>
      <c r="D691" t="s">
        <v>84</v>
      </c>
      <c r="E691" t="str">
        <f>PROPER(TRIM(CLEAN(Sales_Table[[#This Row],[Region]])))</f>
        <v>South</v>
      </c>
      <c r="F691" t="s">
        <v>37</v>
      </c>
      <c r="G691" t="str">
        <f t="shared" si="71"/>
        <v>Home Appliances</v>
      </c>
      <c r="H691" t="str">
        <f>PROPER(TRIM(CLEAN(Sales_Table[[#This Row],[Product Name]])))</f>
        <v>Laptop</v>
      </c>
      <c r="I691" t="s">
        <v>52</v>
      </c>
      <c r="J691" t="str">
        <f t="shared" si="72"/>
        <v>CUST0143</v>
      </c>
      <c r="K691" t="s">
        <v>1476</v>
      </c>
      <c r="L691" t="str">
        <f>PROPER(TRIM(CLEAN(Sales_Table[[#This Row],[Salesperson]])))</f>
        <v>Rahul</v>
      </c>
      <c r="M691" t="s">
        <v>31</v>
      </c>
      <c r="N691" t="str">
        <f t="shared" si="73"/>
        <v>Upi</v>
      </c>
      <c r="O691" t="s">
        <v>48</v>
      </c>
      <c r="P691">
        <f t="shared" si="74"/>
        <v>9</v>
      </c>
      <c r="Q691" t="s">
        <v>130</v>
      </c>
      <c r="R691">
        <f t="shared" si="75"/>
        <v>174</v>
      </c>
      <c r="S691" t="s">
        <v>1859</v>
      </c>
      <c r="T691">
        <f t="shared" si="76"/>
        <v>1566</v>
      </c>
      <c r="U691">
        <f>YEAR(Sales_Table[[#This Row],[Date_clean]])</f>
        <v>2024</v>
      </c>
      <c r="V691" t="str">
        <f>TEXT(Sales_Table[[#This Row],[Date_clean]],"mmmm")</f>
        <v>January</v>
      </c>
      <c r="W691">
        <f>WEEKNUM(Sales_Table[[#This Row],[Date_clean]],2)</f>
        <v>5</v>
      </c>
      <c r="X691" t="str" cm="1">
        <f t="array" ref="X691">_xlfn.IFS(Sales_Table[[#This Row],[Revenue]]&gt;=50000,"High",Sales_Table[[#This Row],[Revenue]]&gt;=20000,"Medium",Sales_Table[[#This Row],[Revenue]]&lt;20000,"Low")</f>
        <v>Low</v>
      </c>
      <c r="Y691" t="str">
        <f>IF(Sales_Table[[#This Row],[Payment Method_clean]]="cash","Offline","Online")</f>
        <v>Online</v>
      </c>
      <c r="Z691">
        <f>IFERROR(Sales_Table[[#This Row],[Revenue]],0)</f>
        <v>1566</v>
      </c>
    </row>
    <row r="692" spans="1:26" x14ac:dyDescent="0.3">
      <c r="A692">
        <v>691</v>
      </c>
      <c r="B692" s="2">
        <f t="shared" si="70"/>
        <v>45320.75</v>
      </c>
      <c r="C692" t="s">
        <v>1860</v>
      </c>
      <c r="D692" t="s">
        <v>84</v>
      </c>
      <c r="E692" t="str">
        <f>PROPER(TRIM(CLEAN(Sales_Table[[#This Row],[Region]])))</f>
        <v>South</v>
      </c>
      <c r="F692" t="s">
        <v>37</v>
      </c>
      <c r="G692" t="str">
        <f t="shared" si="71"/>
        <v>Home Appliances</v>
      </c>
      <c r="H692" t="str">
        <f>PROPER(TRIM(CLEAN(Sales_Table[[#This Row],[Product Name]])))</f>
        <v>Mixer Grinder</v>
      </c>
      <c r="I692" t="s">
        <v>29</v>
      </c>
      <c r="J692" t="str">
        <f t="shared" si="72"/>
        <v>CUST0250</v>
      </c>
      <c r="K692" t="s">
        <v>120</v>
      </c>
      <c r="L692" t="str">
        <f>PROPER(TRIM(CLEAN(Sales_Table[[#This Row],[Salesperson]])))</f>
        <v>Anita</v>
      </c>
      <c r="M692" t="s">
        <v>64</v>
      </c>
      <c r="N692" t="str">
        <f t="shared" si="73"/>
        <v>Cash</v>
      </c>
      <c r="O692" t="s">
        <v>32</v>
      </c>
      <c r="P692">
        <f t="shared" si="74"/>
        <v>7</v>
      </c>
      <c r="Q692" t="s">
        <v>49</v>
      </c>
      <c r="R692">
        <f t="shared" si="75"/>
        <v>3091</v>
      </c>
      <c r="S692" t="s">
        <v>1861</v>
      </c>
      <c r="T692">
        <f t="shared" si="76"/>
        <v>21637</v>
      </c>
      <c r="U692">
        <f>YEAR(Sales_Table[[#This Row],[Date_clean]])</f>
        <v>2024</v>
      </c>
      <c r="V692" t="str">
        <f>TEXT(Sales_Table[[#This Row],[Date_clean]],"mmmm")</f>
        <v>January</v>
      </c>
      <c r="W692">
        <f>WEEKNUM(Sales_Table[[#This Row],[Date_clean]],2)</f>
        <v>5</v>
      </c>
      <c r="X692" t="str" cm="1">
        <f t="array" ref="X692">_xlfn.IFS(Sales_Table[[#This Row],[Revenue]]&gt;=50000,"High",Sales_Table[[#This Row],[Revenue]]&gt;=20000,"Medium",Sales_Table[[#This Row],[Revenue]]&lt;20000,"Low")</f>
        <v>Medium</v>
      </c>
      <c r="Y692" t="str">
        <f>IF(Sales_Table[[#This Row],[Payment Method_clean]]="cash","Offline","Online")</f>
        <v>Offline</v>
      </c>
      <c r="Z692">
        <f>IFERROR(Sales_Table[[#This Row],[Revenue]],0)</f>
        <v>21637</v>
      </c>
    </row>
    <row r="693" spans="1:26" x14ac:dyDescent="0.3">
      <c r="A693">
        <v>692</v>
      </c>
      <c r="B693" s="2">
        <f t="shared" si="70"/>
        <v>45320.791666666664</v>
      </c>
      <c r="C693" t="s">
        <v>1862</v>
      </c>
      <c r="D693" t="s">
        <v>84</v>
      </c>
      <c r="E693" t="str">
        <f>PROPER(TRIM(CLEAN(Sales_Table[[#This Row],[Region]])))</f>
        <v>South</v>
      </c>
      <c r="F693" t="s">
        <v>78</v>
      </c>
      <c r="G693" t="str">
        <f t="shared" si="71"/>
        <v>Grocery</v>
      </c>
      <c r="H693" t="str">
        <f>PROPER(TRIM(CLEAN(Sales_Table[[#This Row],[Product Name]])))</f>
        <v>Washing Machine</v>
      </c>
      <c r="I693" t="s">
        <v>79</v>
      </c>
      <c r="J693" t="str">
        <f t="shared" si="72"/>
        <v>CUST0302</v>
      </c>
      <c r="K693" t="s">
        <v>1046</v>
      </c>
      <c r="L693" t="str">
        <f>PROPER(TRIM(CLEAN(Sales_Table[[#This Row],[Salesperson]])))</f>
        <v>Meena</v>
      </c>
      <c r="M693" t="s">
        <v>40</v>
      </c>
      <c r="N693" t="str">
        <f t="shared" si="73"/>
        <v>Debit Card</v>
      </c>
      <c r="O693" t="s">
        <v>41</v>
      </c>
      <c r="P693">
        <f t="shared" si="74"/>
        <v>9</v>
      </c>
      <c r="Q693" t="s">
        <v>130</v>
      </c>
      <c r="R693">
        <f t="shared" si="75"/>
        <v>3460</v>
      </c>
      <c r="S693" t="s">
        <v>187</v>
      </c>
      <c r="T693">
        <f t="shared" si="76"/>
        <v>31140</v>
      </c>
      <c r="U693">
        <f>YEAR(Sales_Table[[#This Row],[Date_clean]])</f>
        <v>2024</v>
      </c>
      <c r="V693" t="str">
        <f>TEXT(Sales_Table[[#This Row],[Date_clean]],"mmmm")</f>
        <v>January</v>
      </c>
      <c r="W693">
        <f>WEEKNUM(Sales_Table[[#This Row],[Date_clean]],2)</f>
        <v>5</v>
      </c>
      <c r="X693" t="str" cm="1">
        <f t="array" ref="X693">_xlfn.IFS(Sales_Table[[#This Row],[Revenue]]&gt;=50000,"High",Sales_Table[[#This Row],[Revenue]]&gt;=20000,"Medium",Sales_Table[[#This Row],[Revenue]]&lt;20000,"Low")</f>
        <v>Medium</v>
      </c>
      <c r="Y693" t="str">
        <f>IF(Sales_Table[[#This Row],[Payment Method_clean]]="cash","Offline","Online")</f>
        <v>Online</v>
      </c>
      <c r="Z693">
        <f>IFERROR(Sales_Table[[#This Row],[Revenue]],0)</f>
        <v>31140</v>
      </c>
    </row>
    <row r="694" spans="1:26" x14ac:dyDescent="0.3">
      <c r="A694">
        <v>693</v>
      </c>
      <c r="B694" s="2">
        <f t="shared" si="70"/>
        <v>45320.833333333336</v>
      </c>
      <c r="C694" t="s">
        <v>1863</v>
      </c>
      <c r="D694" t="s">
        <v>45</v>
      </c>
      <c r="E694" t="str">
        <f>PROPER(TRIM(CLEAN(Sales_Table[[#This Row],[Region]])))</f>
        <v>North</v>
      </c>
      <c r="F694" t="s">
        <v>37</v>
      </c>
      <c r="G694" t="str">
        <f t="shared" si="71"/>
        <v>Home Appliances</v>
      </c>
      <c r="H694" t="str">
        <f>PROPER(TRIM(CLEAN(Sales_Table[[#This Row],[Product Name]])))</f>
        <v>Mixer Grinder</v>
      </c>
      <c r="I694" t="s">
        <v>29</v>
      </c>
      <c r="J694" t="str">
        <f t="shared" si="72"/>
        <v>CUST0025</v>
      </c>
      <c r="K694" t="s">
        <v>1864</v>
      </c>
      <c r="L694" t="str">
        <f>PROPER(TRIM(CLEAN(Sales_Table[[#This Row],[Salesperson]])))</f>
        <v>Meena</v>
      </c>
      <c r="M694" t="s">
        <v>40</v>
      </c>
      <c r="N694" t="str">
        <f t="shared" si="73"/>
        <v>Cash</v>
      </c>
      <c r="O694" t="s">
        <v>32</v>
      </c>
      <c r="P694">
        <f t="shared" si="74"/>
        <v>11</v>
      </c>
      <c r="Q694" t="s">
        <v>97</v>
      </c>
      <c r="R694">
        <f t="shared" si="75"/>
        <v>470</v>
      </c>
      <c r="S694" t="s">
        <v>1865</v>
      </c>
      <c r="T694">
        <f t="shared" si="76"/>
        <v>5170</v>
      </c>
      <c r="U694">
        <f>YEAR(Sales_Table[[#This Row],[Date_clean]])</f>
        <v>2024</v>
      </c>
      <c r="V694" t="str">
        <f>TEXT(Sales_Table[[#This Row],[Date_clean]],"mmmm")</f>
        <v>January</v>
      </c>
      <c r="W694">
        <f>WEEKNUM(Sales_Table[[#This Row],[Date_clean]],2)</f>
        <v>5</v>
      </c>
      <c r="X694" t="str" cm="1">
        <f t="array" ref="X694">_xlfn.IFS(Sales_Table[[#This Row],[Revenue]]&gt;=50000,"High",Sales_Table[[#This Row],[Revenue]]&gt;=20000,"Medium",Sales_Table[[#This Row],[Revenue]]&lt;20000,"Low")</f>
        <v>Low</v>
      </c>
      <c r="Y694" t="str">
        <f>IF(Sales_Table[[#This Row],[Payment Method_clean]]="cash","Offline","Online")</f>
        <v>Offline</v>
      </c>
      <c r="Z694">
        <f>IFERROR(Sales_Table[[#This Row],[Revenue]],0)</f>
        <v>5170</v>
      </c>
    </row>
    <row r="695" spans="1:26" x14ac:dyDescent="0.3">
      <c r="A695">
        <v>694</v>
      </c>
      <c r="B695" s="2">
        <f t="shared" si="70"/>
        <v>45320.875</v>
      </c>
      <c r="C695" t="s">
        <v>1866</v>
      </c>
      <c r="D695" t="s">
        <v>36</v>
      </c>
      <c r="E695" t="str">
        <f>PROPER(TRIM(CLEAN(Sales_Table[[#This Row],[Region]])))</f>
        <v>West</v>
      </c>
      <c r="F695" t="s">
        <v>37</v>
      </c>
      <c r="G695" t="str">
        <f t="shared" si="71"/>
        <v>Home Appliances</v>
      </c>
      <c r="H695" t="str">
        <f>PROPER(TRIM(CLEAN(Sales_Table[[#This Row],[Product Name]])))</f>
        <v>Men T-Shirt</v>
      </c>
      <c r="I695" t="s">
        <v>38</v>
      </c>
      <c r="J695" t="str">
        <f t="shared" si="72"/>
        <v>CUST0789</v>
      </c>
      <c r="K695" t="s">
        <v>189</v>
      </c>
      <c r="L695" t="str">
        <f>PROPER(TRIM(CLEAN(Sales_Table[[#This Row],[Salesperson]])))</f>
        <v>Rahul</v>
      </c>
      <c r="M695" t="s">
        <v>31</v>
      </c>
      <c r="N695" t="str">
        <f t="shared" si="73"/>
        <v>Credit Card</v>
      </c>
      <c r="O695" t="s">
        <v>65</v>
      </c>
      <c r="P695">
        <f t="shared" si="74"/>
        <v>3</v>
      </c>
      <c r="Q695" t="s">
        <v>66</v>
      </c>
      <c r="R695">
        <f t="shared" si="75"/>
        <v>4782</v>
      </c>
      <c r="S695" t="s">
        <v>1867</v>
      </c>
      <c r="T695">
        <f t="shared" si="76"/>
        <v>14346</v>
      </c>
      <c r="U695">
        <f>YEAR(Sales_Table[[#This Row],[Date_clean]])</f>
        <v>2024</v>
      </c>
      <c r="V695" t="str">
        <f>TEXT(Sales_Table[[#This Row],[Date_clean]],"mmmm")</f>
        <v>January</v>
      </c>
      <c r="W695">
        <f>WEEKNUM(Sales_Table[[#This Row],[Date_clean]],2)</f>
        <v>5</v>
      </c>
      <c r="X695" t="str" cm="1">
        <f t="array" ref="X695">_xlfn.IFS(Sales_Table[[#This Row],[Revenue]]&gt;=50000,"High",Sales_Table[[#This Row],[Revenue]]&gt;=20000,"Medium",Sales_Table[[#This Row],[Revenue]]&lt;20000,"Low")</f>
        <v>Low</v>
      </c>
      <c r="Y695" t="str">
        <f>IF(Sales_Table[[#This Row],[Payment Method_clean]]="cash","Offline","Online")</f>
        <v>Online</v>
      </c>
      <c r="Z695">
        <f>IFERROR(Sales_Table[[#This Row],[Revenue]],0)</f>
        <v>14346</v>
      </c>
    </row>
    <row r="696" spans="1:26" x14ac:dyDescent="0.3">
      <c r="A696">
        <v>695</v>
      </c>
      <c r="B696" s="2">
        <f t="shared" si="70"/>
        <v>45320.916666666664</v>
      </c>
      <c r="C696" t="s">
        <v>1868</v>
      </c>
      <c r="D696" t="s">
        <v>84</v>
      </c>
      <c r="E696" t="str">
        <f>PROPER(TRIM(CLEAN(Sales_Table[[#This Row],[Region]])))</f>
        <v>South</v>
      </c>
      <c r="F696" t="s">
        <v>37</v>
      </c>
      <c r="G696" t="str">
        <f t="shared" si="71"/>
        <v>Home Appliances</v>
      </c>
      <c r="H696" t="str">
        <f>PROPER(TRIM(CLEAN(Sales_Table[[#This Row],[Product Name]])))</f>
        <v>Mixer Grinder</v>
      </c>
      <c r="I696" t="s">
        <v>29</v>
      </c>
      <c r="J696" t="str">
        <f t="shared" si="72"/>
        <v>CUST0070</v>
      </c>
      <c r="K696" t="s">
        <v>390</v>
      </c>
      <c r="L696" t="str">
        <f>PROPER(TRIM(CLEAN(Sales_Table[[#This Row],[Salesperson]])))</f>
        <v>Karthik</v>
      </c>
      <c r="M696" t="s">
        <v>70</v>
      </c>
      <c r="N696" t="str">
        <f t="shared" si="73"/>
        <v>Cash</v>
      </c>
      <c r="O696" t="s">
        <v>32</v>
      </c>
      <c r="P696">
        <f t="shared" si="74"/>
        <v>13</v>
      </c>
      <c r="Q696" t="s">
        <v>81</v>
      </c>
      <c r="R696">
        <f t="shared" si="75"/>
        <v>428</v>
      </c>
      <c r="S696" t="s">
        <v>1723</v>
      </c>
      <c r="T696">
        <f t="shared" si="76"/>
        <v>5564</v>
      </c>
      <c r="U696">
        <f>YEAR(Sales_Table[[#This Row],[Date_clean]])</f>
        <v>2024</v>
      </c>
      <c r="V696" t="str">
        <f>TEXT(Sales_Table[[#This Row],[Date_clean]],"mmmm")</f>
        <v>January</v>
      </c>
      <c r="W696">
        <f>WEEKNUM(Sales_Table[[#This Row],[Date_clean]],2)</f>
        <v>5</v>
      </c>
      <c r="X696" t="str" cm="1">
        <f t="array" ref="X696">_xlfn.IFS(Sales_Table[[#This Row],[Revenue]]&gt;=50000,"High",Sales_Table[[#This Row],[Revenue]]&gt;=20000,"Medium",Sales_Table[[#This Row],[Revenue]]&lt;20000,"Low")</f>
        <v>Low</v>
      </c>
      <c r="Y696" t="str">
        <f>IF(Sales_Table[[#This Row],[Payment Method_clean]]="cash","Offline","Online")</f>
        <v>Offline</v>
      </c>
      <c r="Z696">
        <f>IFERROR(Sales_Table[[#This Row],[Revenue]],0)</f>
        <v>5564</v>
      </c>
    </row>
    <row r="697" spans="1:26" x14ac:dyDescent="0.3">
      <c r="A697">
        <v>696</v>
      </c>
      <c r="B697" s="2">
        <f t="shared" si="70"/>
        <v>45320.958333333336</v>
      </c>
      <c r="C697" t="s">
        <v>1869</v>
      </c>
      <c r="D697" t="s">
        <v>36</v>
      </c>
      <c r="E697" t="str">
        <f>PROPER(TRIM(CLEAN(Sales_Table[[#This Row],[Region]])))</f>
        <v>West</v>
      </c>
      <c r="F697" t="s">
        <v>46</v>
      </c>
      <c r="G697" t="str">
        <f t="shared" si="71"/>
        <v>Electronics</v>
      </c>
      <c r="H697" t="str">
        <f>PROPER(TRIM(CLEAN(Sales_Table[[#This Row],[Product Name]])))</f>
        <v>Men T-Shirt</v>
      </c>
      <c r="I697" t="s">
        <v>38</v>
      </c>
      <c r="J697" t="str">
        <f t="shared" si="72"/>
        <v>CUST0625</v>
      </c>
      <c r="K697" t="s">
        <v>1870</v>
      </c>
      <c r="L697" t="str">
        <f>PROPER(TRIM(CLEAN(Sales_Table[[#This Row],[Salesperson]])))</f>
        <v>Anita</v>
      </c>
      <c r="M697" t="s">
        <v>64</v>
      </c>
      <c r="N697" t="str">
        <f t="shared" si="73"/>
        <v>Upi</v>
      </c>
      <c r="O697" t="s">
        <v>48</v>
      </c>
      <c r="P697">
        <f t="shared" si="74"/>
        <v>5</v>
      </c>
      <c r="Q697" t="s">
        <v>89</v>
      </c>
      <c r="R697">
        <f t="shared" si="75"/>
        <v>4785</v>
      </c>
      <c r="S697" t="s">
        <v>1871</v>
      </c>
      <c r="T697">
        <f t="shared" si="76"/>
        <v>23925</v>
      </c>
      <c r="U697">
        <f>YEAR(Sales_Table[[#This Row],[Date_clean]])</f>
        <v>2024</v>
      </c>
      <c r="V697" t="str">
        <f>TEXT(Sales_Table[[#This Row],[Date_clean]],"mmmm")</f>
        <v>January</v>
      </c>
      <c r="W697">
        <f>WEEKNUM(Sales_Table[[#This Row],[Date_clean]],2)</f>
        <v>5</v>
      </c>
      <c r="X697" t="str" cm="1">
        <f t="array" ref="X697">_xlfn.IFS(Sales_Table[[#This Row],[Revenue]]&gt;=50000,"High",Sales_Table[[#This Row],[Revenue]]&gt;=20000,"Medium",Sales_Table[[#This Row],[Revenue]]&lt;20000,"Low")</f>
        <v>Medium</v>
      </c>
      <c r="Y697" t="str">
        <f>IF(Sales_Table[[#This Row],[Payment Method_clean]]="cash","Offline","Online")</f>
        <v>Online</v>
      </c>
      <c r="Z697">
        <f>IFERROR(Sales_Table[[#This Row],[Revenue]],0)</f>
        <v>23925</v>
      </c>
    </row>
    <row r="698" spans="1:26" x14ac:dyDescent="0.3">
      <c r="A698">
        <v>697</v>
      </c>
      <c r="B698" s="2">
        <f t="shared" si="70"/>
        <v>45321</v>
      </c>
      <c r="C698" t="s">
        <v>1872</v>
      </c>
      <c r="D698" t="s">
        <v>27</v>
      </c>
      <c r="E698" t="str">
        <f>PROPER(TRIM(CLEAN(Sales_Table[[#This Row],[Region]])))</f>
        <v>East</v>
      </c>
      <c r="F698" t="s">
        <v>37</v>
      </c>
      <c r="G698" t="str">
        <f t="shared" si="71"/>
        <v>Home Appliances</v>
      </c>
      <c r="H698" t="str">
        <f>PROPER(TRIM(CLEAN(Sales_Table[[#This Row],[Product Name]])))</f>
        <v>Rice 5Kg</v>
      </c>
      <c r="I698" t="s">
        <v>73</v>
      </c>
      <c r="J698" t="str">
        <f t="shared" si="72"/>
        <v>CUST0112</v>
      </c>
      <c r="K698" t="s">
        <v>748</v>
      </c>
      <c r="L698" t="str">
        <f>PROPER(TRIM(CLEAN(Sales_Table[[#This Row],[Salesperson]])))</f>
        <v>Meena</v>
      </c>
      <c r="M698" t="s">
        <v>40</v>
      </c>
      <c r="N698" t="str">
        <f t="shared" si="73"/>
        <v>Net Banking</v>
      </c>
      <c r="O698" t="s">
        <v>60</v>
      </c>
      <c r="P698">
        <f t="shared" si="74"/>
        <v>10</v>
      </c>
      <c r="Q698" t="s">
        <v>117</v>
      </c>
      <c r="R698">
        <f t="shared" si="75"/>
        <v>1890</v>
      </c>
      <c r="S698" t="s">
        <v>1873</v>
      </c>
      <c r="T698">
        <f t="shared" si="76"/>
        <v>18900</v>
      </c>
      <c r="U698">
        <f>YEAR(Sales_Table[[#This Row],[Date_clean]])</f>
        <v>2024</v>
      </c>
      <c r="V698" t="str">
        <f>TEXT(Sales_Table[[#This Row],[Date_clean]],"mmmm")</f>
        <v>January</v>
      </c>
      <c r="W698">
        <f>WEEKNUM(Sales_Table[[#This Row],[Date_clean]],2)</f>
        <v>5</v>
      </c>
      <c r="X698" t="str" cm="1">
        <f t="array" ref="X698">_xlfn.IFS(Sales_Table[[#This Row],[Revenue]]&gt;=50000,"High",Sales_Table[[#This Row],[Revenue]]&gt;=20000,"Medium",Sales_Table[[#This Row],[Revenue]]&lt;20000,"Low")</f>
        <v>Low</v>
      </c>
      <c r="Y698" t="str">
        <f>IF(Sales_Table[[#This Row],[Payment Method_clean]]="cash","Offline","Online")</f>
        <v>Online</v>
      </c>
      <c r="Z698">
        <f>IFERROR(Sales_Table[[#This Row],[Revenue]],0)</f>
        <v>18900</v>
      </c>
    </row>
    <row r="699" spans="1:26" x14ac:dyDescent="0.3">
      <c r="A699">
        <v>698</v>
      </c>
      <c r="B699" s="2">
        <f t="shared" si="70"/>
        <v>45321.041666666664</v>
      </c>
      <c r="C699" t="s">
        <v>1874</v>
      </c>
      <c r="D699" t="s">
        <v>84</v>
      </c>
      <c r="E699" t="str">
        <f>PROPER(TRIM(CLEAN(Sales_Table[[#This Row],[Region]])))</f>
        <v>South</v>
      </c>
      <c r="F699" t="s">
        <v>37</v>
      </c>
      <c r="G699" t="str">
        <f t="shared" si="71"/>
        <v>Home Appliances</v>
      </c>
      <c r="H699" t="str">
        <f>PROPER(TRIM(CLEAN(Sales_Table[[#This Row],[Product Name]])))</f>
        <v>Mixer Grinder</v>
      </c>
      <c r="I699" t="s">
        <v>29</v>
      </c>
      <c r="J699" t="str">
        <f t="shared" si="72"/>
        <v>CUST0364</v>
      </c>
      <c r="K699" t="s">
        <v>928</v>
      </c>
      <c r="L699" t="str">
        <f>PROPER(TRIM(CLEAN(Sales_Table[[#This Row],[Salesperson]])))</f>
        <v>Anita</v>
      </c>
      <c r="M699" t="s">
        <v>64</v>
      </c>
      <c r="N699" t="str">
        <f t="shared" si="73"/>
        <v>Cash</v>
      </c>
      <c r="O699" t="s">
        <v>32</v>
      </c>
      <c r="P699">
        <f t="shared" si="74"/>
        <v>8</v>
      </c>
      <c r="Q699" t="s">
        <v>42</v>
      </c>
      <c r="R699">
        <f t="shared" si="75"/>
        <v>876</v>
      </c>
      <c r="S699" t="s">
        <v>1875</v>
      </c>
      <c r="T699">
        <f t="shared" si="76"/>
        <v>7008</v>
      </c>
      <c r="U699">
        <f>YEAR(Sales_Table[[#This Row],[Date_clean]])</f>
        <v>2024</v>
      </c>
      <c r="V699" t="str">
        <f>TEXT(Sales_Table[[#This Row],[Date_clean]],"mmmm")</f>
        <v>January</v>
      </c>
      <c r="W699">
        <f>WEEKNUM(Sales_Table[[#This Row],[Date_clean]],2)</f>
        <v>5</v>
      </c>
      <c r="X699" t="str" cm="1">
        <f t="array" ref="X699">_xlfn.IFS(Sales_Table[[#This Row],[Revenue]]&gt;=50000,"High",Sales_Table[[#This Row],[Revenue]]&gt;=20000,"Medium",Sales_Table[[#This Row],[Revenue]]&lt;20000,"Low")</f>
        <v>Low</v>
      </c>
      <c r="Y699" t="str">
        <f>IF(Sales_Table[[#This Row],[Payment Method_clean]]="cash","Offline","Online")</f>
        <v>Offline</v>
      </c>
      <c r="Z699">
        <f>IFERROR(Sales_Table[[#This Row],[Revenue]],0)</f>
        <v>7008</v>
      </c>
    </row>
    <row r="700" spans="1:26" x14ac:dyDescent="0.3">
      <c r="A700">
        <v>699</v>
      </c>
      <c r="B700" s="2">
        <f t="shared" si="70"/>
        <v>45321.083333333336</v>
      </c>
      <c r="C700" t="s">
        <v>1876</v>
      </c>
      <c r="D700" t="s">
        <v>84</v>
      </c>
      <c r="E700" t="str">
        <f>PROPER(TRIM(CLEAN(Sales_Table[[#This Row],[Region]])))</f>
        <v>South</v>
      </c>
      <c r="F700" t="s">
        <v>37</v>
      </c>
      <c r="G700" t="str">
        <f t="shared" si="71"/>
        <v>Home Appliances</v>
      </c>
      <c r="H700" t="str">
        <f>PROPER(TRIM(CLEAN(Sales_Table[[#This Row],[Product Name]])))</f>
        <v>Washing Machine</v>
      </c>
      <c r="I700" t="s">
        <v>79</v>
      </c>
      <c r="J700" t="str">
        <f t="shared" si="72"/>
        <v>CUST0303</v>
      </c>
      <c r="K700" t="s">
        <v>1877</v>
      </c>
      <c r="L700" t="str">
        <f>PROPER(TRIM(CLEAN(Sales_Table[[#This Row],[Salesperson]])))</f>
        <v>Meena</v>
      </c>
      <c r="M700" t="s">
        <v>40</v>
      </c>
      <c r="N700" t="str">
        <f t="shared" si="73"/>
        <v>Cash</v>
      </c>
      <c r="O700" t="s">
        <v>32</v>
      </c>
      <c r="P700">
        <f t="shared" si="74"/>
        <v>12</v>
      </c>
      <c r="Q700" t="s">
        <v>33</v>
      </c>
      <c r="R700">
        <f t="shared" si="75"/>
        <v>2122</v>
      </c>
      <c r="S700" t="s">
        <v>1878</v>
      </c>
      <c r="T700">
        <f t="shared" si="76"/>
        <v>25464</v>
      </c>
      <c r="U700">
        <f>YEAR(Sales_Table[[#This Row],[Date_clean]])</f>
        <v>2024</v>
      </c>
      <c r="V700" t="str">
        <f>TEXT(Sales_Table[[#This Row],[Date_clean]],"mmmm")</f>
        <v>January</v>
      </c>
      <c r="W700">
        <f>WEEKNUM(Sales_Table[[#This Row],[Date_clean]],2)</f>
        <v>5</v>
      </c>
      <c r="X700" t="str" cm="1">
        <f t="array" ref="X700">_xlfn.IFS(Sales_Table[[#This Row],[Revenue]]&gt;=50000,"High",Sales_Table[[#This Row],[Revenue]]&gt;=20000,"Medium",Sales_Table[[#This Row],[Revenue]]&lt;20000,"Low")</f>
        <v>Medium</v>
      </c>
      <c r="Y700" t="str">
        <f>IF(Sales_Table[[#This Row],[Payment Method_clean]]="cash","Offline","Online")</f>
        <v>Offline</v>
      </c>
      <c r="Z700">
        <f>IFERROR(Sales_Table[[#This Row],[Revenue]],0)</f>
        <v>25464</v>
      </c>
    </row>
    <row r="701" spans="1:26" x14ac:dyDescent="0.3">
      <c r="A701">
        <v>700</v>
      </c>
      <c r="B701" s="2">
        <f t="shared" si="70"/>
        <v>45321.125</v>
      </c>
      <c r="C701" t="s">
        <v>1879</v>
      </c>
      <c r="D701" t="s">
        <v>27</v>
      </c>
      <c r="E701" t="str">
        <f>PROPER(TRIM(CLEAN(Sales_Table[[#This Row],[Region]])))</f>
        <v>East</v>
      </c>
      <c r="F701" t="s">
        <v>46</v>
      </c>
      <c r="G701" t="str">
        <f t="shared" si="71"/>
        <v>Electronics</v>
      </c>
      <c r="H701" t="str">
        <f>PROPER(TRIM(CLEAN(Sales_Table[[#This Row],[Product Name]])))</f>
        <v>Men T-Shirt</v>
      </c>
      <c r="I701" t="s">
        <v>38</v>
      </c>
      <c r="J701" t="str">
        <f t="shared" si="72"/>
        <v>CUST0471</v>
      </c>
      <c r="K701" t="s">
        <v>680</v>
      </c>
      <c r="L701" t="str">
        <f>PROPER(TRIM(CLEAN(Sales_Table[[#This Row],[Salesperson]])))</f>
        <v>Karthik</v>
      </c>
      <c r="M701" t="s">
        <v>70</v>
      </c>
      <c r="N701" t="str">
        <f t="shared" si="73"/>
        <v>Debit Card</v>
      </c>
      <c r="O701" t="s">
        <v>41</v>
      </c>
      <c r="P701">
        <f t="shared" si="74"/>
        <v>1</v>
      </c>
      <c r="Q701" t="s">
        <v>93</v>
      </c>
      <c r="R701">
        <f t="shared" si="75"/>
        <v>4774</v>
      </c>
      <c r="S701" t="s">
        <v>1880</v>
      </c>
      <c r="T701">
        <f t="shared" si="76"/>
        <v>4774</v>
      </c>
      <c r="U701">
        <f>YEAR(Sales_Table[[#This Row],[Date_clean]])</f>
        <v>2024</v>
      </c>
      <c r="V701" t="str">
        <f>TEXT(Sales_Table[[#This Row],[Date_clean]],"mmmm")</f>
        <v>January</v>
      </c>
      <c r="W701">
        <f>WEEKNUM(Sales_Table[[#This Row],[Date_clean]],2)</f>
        <v>5</v>
      </c>
      <c r="X701" t="str" cm="1">
        <f t="array" ref="X701">_xlfn.IFS(Sales_Table[[#This Row],[Revenue]]&gt;=50000,"High",Sales_Table[[#This Row],[Revenue]]&gt;=20000,"Medium",Sales_Table[[#This Row],[Revenue]]&lt;20000,"Low")</f>
        <v>Low</v>
      </c>
      <c r="Y701" t="str">
        <f>IF(Sales_Table[[#This Row],[Payment Method_clean]]="cash","Offline","Online")</f>
        <v>Online</v>
      </c>
      <c r="Z701">
        <f>IFERROR(Sales_Table[[#This Row],[Revenue]],0)</f>
        <v>4774</v>
      </c>
    </row>
    <row r="702" spans="1:26" x14ac:dyDescent="0.3">
      <c r="A702">
        <v>701</v>
      </c>
      <c r="B702" s="2">
        <f t="shared" si="70"/>
        <v>45321.166666666664</v>
      </c>
      <c r="C702" t="s">
        <v>1881</v>
      </c>
      <c r="D702" t="s">
        <v>84</v>
      </c>
      <c r="E702" t="str">
        <f>PROPER(TRIM(CLEAN(Sales_Table[[#This Row],[Region]])))</f>
        <v>South</v>
      </c>
      <c r="F702" t="s">
        <v>78</v>
      </c>
      <c r="G702" t="str">
        <f t="shared" si="71"/>
        <v>Grocery</v>
      </c>
      <c r="H702" t="str">
        <f>PROPER(TRIM(CLEAN(Sales_Table[[#This Row],[Product Name]])))</f>
        <v>Washing Machine</v>
      </c>
      <c r="I702" t="s">
        <v>79</v>
      </c>
      <c r="J702" t="str">
        <f t="shared" si="72"/>
        <v>CUST0091</v>
      </c>
      <c r="K702" t="s">
        <v>482</v>
      </c>
      <c r="L702" t="str">
        <f>PROPER(TRIM(CLEAN(Sales_Table[[#This Row],[Salesperson]])))</f>
        <v>Meena</v>
      </c>
      <c r="M702" t="s">
        <v>40</v>
      </c>
      <c r="N702" t="str">
        <f t="shared" si="73"/>
        <v>Upi</v>
      </c>
      <c r="O702" t="s">
        <v>48</v>
      </c>
      <c r="P702">
        <f t="shared" si="74"/>
        <v>8</v>
      </c>
      <c r="Q702" t="s">
        <v>42</v>
      </c>
      <c r="R702">
        <f t="shared" si="75"/>
        <v>4416</v>
      </c>
      <c r="S702" t="s">
        <v>1882</v>
      </c>
      <c r="T702">
        <f t="shared" si="76"/>
        <v>35328</v>
      </c>
      <c r="U702">
        <f>YEAR(Sales_Table[[#This Row],[Date_clean]])</f>
        <v>2024</v>
      </c>
      <c r="V702" t="str">
        <f>TEXT(Sales_Table[[#This Row],[Date_clean]],"mmmm")</f>
        <v>January</v>
      </c>
      <c r="W702">
        <f>WEEKNUM(Sales_Table[[#This Row],[Date_clean]],2)</f>
        <v>5</v>
      </c>
      <c r="X702" t="str" cm="1">
        <f t="array" ref="X702">_xlfn.IFS(Sales_Table[[#This Row],[Revenue]]&gt;=50000,"High",Sales_Table[[#This Row],[Revenue]]&gt;=20000,"Medium",Sales_Table[[#This Row],[Revenue]]&lt;20000,"Low")</f>
        <v>Medium</v>
      </c>
      <c r="Y702" t="str">
        <f>IF(Sales_Table[[#This Row],[Payment Method_clean]]="cash","Offline","Online")</f>
        <v>Online</v>
      </c>
      <c r="Z702">
        <f>IFERROR(Sales_Table[[#This Row],[Revenue]],0)</f>
        <v>35328</v>
      </c>
    </row>
    <row r="703" spans="1:26" x14ac:dyDescent="0.3">
      <c r="A703">
        <v>702</v>
      </c>
      <c r="B703" s="2">
        <f t="shared" si="70"/>
        <v>45321.208333333336</v>
      </c>
      <c r="C703" t="s">
        <v>1883</v>
      </c>
      <c r="D703" t="s">
        <v>36</v>
      </c>
      <c r="E703" t="str">
        <f>PROPER(TRIM(CLEAN(Sales_Table[[#This Row],[Region]])))</f>
        <v>West</v>
      </c>
      <c r="F703" t="s">
        <v>28</v>
      </c>
      <c r="G703" t="str">
        <f t="shared" si="71"/>
        <v>Clothing</v>
      </c>
      <c r="H703" t="str">
        <f>PROPER(TRIM(CLEAN(Sales_Table[[#This Row],[Product Name]])))</f>
        <v>Led Tv 42Inch</v>
      </c>
      <c r="I703" t="s">
        <v>58</v>
      </c>
      <c r="J703" t="str">
        <f t="shared" si="72"/>
        <v>CUST0530</v>
      </c>
      <c r="K703" t="s">
        <v>1119</v>
      </c>
      <c r="L703" t="str">
        <f>PROPER(TRIM(CLEAN(Sales_Table[[#This Row],[Salesperson]])))</f>
        <v>Meena</v>
      </c>
      <c r="M703" t="s">
        <v>40</v>
      </c>
      <c r="N703" t="str">
        <f t="shared" si="73"/>
        <v>Net Banking</v>
      </c>
      <c r="O703" t="s">
        <v>60</v>
      </c>
      <c r="P703">
        <f t="shared" si="74"/>
        <v>7</v>
      </c>
      <c r="Q703" t="s">
        <v>49</v>
      </c>
      <c r="R703">
        <f t="shared" si="75"/>
        <v>1287</v>
      </c>
      <c r="S703" t="s">
        <v>1884</v>
      </c>
      <c r="T703">
        <f t="shared" si="76"/>
        <v>9009</v>
      </c>
      <c r="U703">
        <f>YEAR(Sales_Table[[#This Row],[Date_clean]])</f>
        <v>2024</v>
      </c>
      <c r="V703" t="str">
        <f>TEXT(Sales_Table[[#This Row],[Date_clean]],"mmmm")</f>
        <v>January</v>
      </c>
      <c r="W703">
        <f>WEEKNUM(Sales_Table[[#This Row],[Date_clean]],2)</f>
        <v>5</v>
      </c>
      <c r="X703" t="str" cm="1">
        <f t="array" ref="X703">_xlfn.IFS(Sales_Table[[#This Row],[Revenue]]&gt;=50000,"High",Sales_Table[[#This Row],[Revenue]]&gt;=20000,"Medium",Sales_Table[[#This Row],[Revenue]]&lt;20000,"Low")</f>
        <v>Low</v>
      </c>
      <c r="Y703" t="str">
        <f>IF(Sales_Table[[#This Row],[Payment Method_clean]]="cash","Offline","Online")</f>
        <v>Online</v>
      </c>
      <c r="Z703">
        <f>IFERROR(Sales_Table[[#This Row],[Revenue]],0)</f>
        <v>9009</v>
      </c>
    </row>
    <row r="704" spans="1:26" x14ac:dyDescent="0.3">
      <c r="A704">
        <v>703</v>
      </c>
      <c r="B704" s="2">
        <f t="shared" si="70"/>
        <v>45321.25</v>
      </c>
      <c r="C704" t="s">
        <v>1885</v>
      </c>
      <c r="D704" t="s">
        <v>45</v>
      </c>
      <c r="E704" t="str">
        <f>PROPER(TRIM(CLEAN(Sales_Table[[#This Row],[Region]])))</f>
        <v>North</v>
      </c>
      <c r="F704" t="s">
        <v>37</v>
      </c>
      <c r="G704" t="str">
        <f t="shared" si="71"/>
        <v>Home Appliances</v>
      </c>
      <c r="H704" t="str">
        <f>PROPER(TRIM(CLEAN(Sales_Table[[#This Row],[Product Name]])))</f>
        <v>Men T-Shirt</v>
      </c>
      <c r="I704" t="s">
        <v>38</v>
      </c>
      <c r="J704" t="str">
        <f t="shared" si="72"/>
        <v>CUST0661</v>
      </c>
      <c r="K704" t="s">
        <v>634</v>
      </c>
      <c r="L704" t="str">
        <f>PROPER(TRIM(CLEAN(Sales_Table[[#This Row],[Salesperson]])))</f>
        <v>Suresh</v>
      </c>
      <c r="M704" t="s">
        <v>54</v>
      </c>
      <c r="N704" t="str">
        <f t="shared" si="73"/>
        <v>Credit Card</v>
      </c>
      <c r="O704" t="s">
        <v>65</v>
      </c>
      <c r="P704">
        <f t="shared" si="74"/>
        <v>1</v>
      </c>
      <c r="Q704" t="s">
        <v>93</v>
      </c>
      <c r="R704">
        <f t="shared" si="75"/>
        <v>1603</v>
      </c>
      <c r="S704" t="s">
        <v>1886</v>
      </c>
      <c r="T704">
        <f t="shared" si="76"/>
        <v>1603</v>
      </c>
      <c r="U704">
        <f>YEAR(Sales_Table[[#This Row],[Date_clean]])</f>
        <v>2024</v>
      </c>
      <c r="V704" t="str">
        <f>TEXT(Sales_Table[[#This Row],[Date_clean]],"mmmm")</f>
        <v>January</v>
      </c>
      <c r="W704">
        <f>WEEKNUM(Sales_Table[[#This Row],[Date_clean]],2)</f>
        <v>5</v>
      </c>
      <c r="X704" t="str" cm="1">
        <f t="array" ref="X704">_xlfn.IFS(Sales_Table[[#This Row],[Revenue]]&gt;=50000,"High",Sales_Table[[#This Row],[Revenue]]&gt;=20000,"Medium",Sales_Table[[#This Row],[Revenue]]&lt;20000,"Low")</f>
        <v>Low</v>
      </c>
      <c r="Y704" t="str">
        <f>IF(Sales_Table[[#This Row],[Payment Method_clean]]="cash","Offline","Online")</f>
        <v>Online</v>
      </c>
      <c r="Z704">
        <f>IFERROR(Sales_Table[[#This Row],[Revenue]],0)</f>
        <v>1603</v>
      </c>
    </row>
    <row r="705" spans="1:26" x14ac:dyDescent="0.3">
      <c r="A705">
        <v>704</v>
      </c>
      <c r="B705" s="2">
        <f t="shared" si="70"/>
        <v>45321.291666666664</v>
      </c>
      <c r="C705" t="s">
        <v>1887</v>
      </c>
      <c r="D705" t="s">
        <v>36</v>
      </c>
      <c r="E705" t="str">
        <f>PROPER(TRIM(CLEAN(Sales_Table[[#This Row],[Region]])))</f>
        <v>West</v>
      </c>
      <c r="F705" t="s">
        <v>78</v>
      </c>
      <c r="G705" t="str">
        <f t="shared" si="71"/>
        <v>Grocery</v>
      </c>
      <c r="H705" t="str">
        <f>PROPER(TRIM(CLEAN(Sales_Table[[#This Row],[Product Name]])))</f>
        <v>Mixer Grinder</v>
      </c>
      <c r="I705" t="s">
        <v>29</v>
      </c>
      <c r="J705" t="str">
        <f t="shared" si="72"/>
        <v>CUST0739</v>
      </c>
      <c r="K705" t="s">
        <v>1517</v>
      </c>
      <c r="L705" t="str">
        <f>PROPER(TRIM(CLEAN(Sales_Table[[#This Row],[Salesperson]])))</f>
        <v>Karthik</v>
      </c>
      <c r="M705" t="s">
        <v>70</v>
      </c>
      <c r="N705" t="str">
        <f t="shared" si="73"/>
        <v>Cash</v>
      </c>
      <c r="O705" t="s">
        <v>32</v>
      </c>
      <c r="P705">
        <f t="shared" si="74"/>
        <v>13</v>
      </c>
      <c r="Q705" t="s">
        <v>81</v>
      </c>
      <c r="R705">
        <f t="shared" si="75"/>
        <v>3391</v>
      </c>
      <c r="S705" t="s">
        <v>1749</v>
      </c>
      <c r="T705">
        <f t="shared" si="76"/>
        <v>44083</v>
      </c>
      <c r="U705">
        <f>YEAR(Sales_Table[[#This Row],[Date_clean]])</f>
        <v>2024</v>
      </c>
      <c r="V705" t="str">
        <f>TEXT(Sales_Table[[#This Row],[Date_clean]],"mmmm")</f>
        <v>January</v>
      </c>
      <c r="W705">
        <f>WEEKNUM(Sales_Table[[#This Row],[Date_clean]],2)</f>
        <v>5</v>
      </c>
      <c r="X705" t="str" cm="1">
        <f t="array" ref="X705">_xlfn.IFS(Sales_Table[[#This Row],[Revenue]]&gt;=50000,"High",Sales_Table[[#This Row],[Revenue]]&gt;=20000,"Medium",Sales_Table[[#This Row],[Revenue]]&lt;20000,"Low")</f>
        <v>Medium</v>
      </c>
      <c r="Y705" t="str">
        <f>IF(Sales_Table[[#This Row],[Payment Method_clean]]="cash","Offline","Online")</f>
        <v>Offline</v>
      </c>
      <c r="Z705">
        <f>IFERROR(Sales_Table[[#This Row],[Revenue]],0)</f>
        <v>44083</v>
      </c>
    </row>
    <row r="706" spans="1:26" x14ac:dyDescent="0.3">
      <c r="A706">
        <v>705</v>
      </c>
      <c r="B706" s="2">
        <f t="shared" si="70"/>
        <v>45321.333333333336</v>
      </c>
      <c r="C706" t="s">
        <v>1888</v>
      </c>
      <c r="D706" t="s">
        <v>45</v>
      </c>
      <c r="E706" t="str">
        <f>PROPER(TRIM(CLEAN(Sales_Table[[#This Row],[Region]])))</f>
        <v>North</v>
      </c>
      <c r="F706" t="s">
        <v>37</v>
      </c>
      <c r="G706" t="str">
        <f t="shared" si="71"/>
        <v>Home Appliances</v>
      </c>
      <c r="H706" t="str">
        <f>PROPER(TRIM(CLEAN(Sales_Table[[#This Row],[Product Name]])))</f>
        <v>Men T-Shirt</v>
      </c>
      <c r="I706" t="s">
        <v>38</v>
      </c>
      <c r="J706" t="str">
        <f t="shared" si="72"/>
        <v>CUST0726</v>
      </c>
      <c r="K706" t="s">
        <v>723</v>
      </c>
      <c r="L706" t="str">
        <f>PROPER(TRIM(CLEAN(Sales_Table[[#This Row],[Salesperson]])))</f>
        <v>Rahul</v>
      </c>
      <c r="M706" t="s">
        <v>31</v>
      </c>
      <c r="N706" t="str">
        <f t="shared" si="73"/>
        <v>Net Banking</v>
      </c>
      <c r="O706" t="s">
        <v>60</v>
      </c>
      <c r="P706">
        <f t="shared" si="74"/>
        <v>13</v>
      </c>
      <c r="Q706" t="s">
        <v>81</v>
      </c>
      <c r="R706">
        <f t="shared" si="75"/>
        <v>3425</v>
      </c>
      <c r="S706" t="s">
        <v>1851</v>
      </c>
      <c r="T706">
        <f t="shared" si="76"/>
        <v>44525</v>
      </c>
      <c r="U706">
        <f>YEAR(Sales_Table[[#This Row],[Date_clean]])</f>
        <v>2024</v>
      </c>
      <c r="V706" t="str">
        <f>TEXT(Sales_Table[[#This Row],[Date_clean]],"mmmm")</f>
        <v>January</v>
      </c>
      <c r="W706">
        <f>WEEKNUM(Sales_Table[[#This Row],[Date_clean]],2)</f>
        <v>5</v>
      </c>
      <c r="X706" t="str" cm="1">
        <f t="array" ref="X706">_xlfn.IFS(Sales_Table[[#This Row],[Revenue]]&gt;=50000,"High",Sales_Table[[#This Row],[Revenue]]&gt;=20000,"Medium",Sales_Table[[#This Row],[Revenue]]&lt;20000,"Low")</f>
        <v>Medium</v>
      </c>
      <c r="Y706" t="str">
        <f>IF(Sales_Table[[#This Row],[Payment Method_clean]]="cash","Offline","Online")</f>
        <v>Online</v>
      </c>
      <c r="Z706">
        <f>IFERROR(Sales_Table[[#This Row],[Revenue]],0)</f>
        <v>44525</v>
      </c>
    </row>
    <row r="707" spans="1:26" x14ac:dyDescent="0.3">
      <c r="A707">
        <v>706</v>
      </c>
      <c r="B707" s="2">
        <f t="shared" ref="B707:B770" si="77">DATEVALUE(LEFT(C707,10))+TIMEVALUE(MID(C707,12,8))</f>
        <v>45321.375</v>
      </c>
      <c r="C707" t="s">
        <v>1889</v>
      </c>
      <c r="D707" t="s">
        <v>45</v>
      </c>
      <c r="E707" t="str">
        <f>PROPER(TRIM(CLEAN(Sales_Table[[#This Row],[Region]])))</f>
        <v>North</v>
      </c>
      <c r="F707" t="s">
        <v>46</v>
      </c>
      <c r="G707" t="str">
        <f t="shared" ref="G707:G770" si="78">PROPER(TRIM(CLEAN(F707)))</f>
        <v>Electronics</v>
      </c>
      <c r="H707" t="str">
        <f>PROPER(TRIM(CLEAN(Sales_Table[[#This Row],[Product Name]])))</f>
        <v>Washing Machine</v>
      </c>
      <c r="I707" t="s">
        <v>79</v>
      </c>
      <c r="J707" t="str">
        <f t="shared" ref="J707:J770" si="79">TRIM(K707)</f>
        <v>CUST0663</v>
      </c>
      <c r="K707" t="s">
        <v>1890</v>
      </c>
      <c r="L707" t="str">
        <f>PROPER(TRIM(CLEAN(Sales_Table[[#This Row],[Salesperson]])))</f>
        <v>Rahul</v>
      </c>
      <c r="M707" t="s">
        <v>31</v>
      </c>
      <c r="N707" t="str">
        <f t="shared" ref="N707:N770" si="80">PROPER(TRIM(O707))</f>
        <v>Credit Card</v>
      </c>
      <c r="O707" t="s">
        <v>65</v>
      </c>
      <c r="P707">
        <f t="shared" ref="P707:P770" si="81">VALUE(Q707)</f>
        <v>10</v>
      </c>
      <c r="Q707" t="s">
        <v>117</v>
      </c>
      <c r="R707">
        <f t="shared" ref="R707:R770" si="82">VALUE(S707)</f>
        <v>287</v>
      </c>
      <c r="S707" t="s">
        <v>1891</v>
      </c>
      <c r="T707">
        <f t="shared" ref="T707:T770" si="83">P707*R707</f>
        <v>2870</v>
      </c>
      <c r="U707">
        <f>YEAR(Sales_Table[[#This Row],[Date_clean]])</f>
        <v>2024</v>
      </c>
      <c r="V707" t="str">
        <f>TEXT(Sales_Table[[#This Row],[Date_clean]],"mmmm")</f>
        <v>January</v>
      </c>
      <c r="W707">
        <f>WEEKNUM(Sales_Table[[#This Row],[Date_clean]],2)</f>
        <v>5</v>
      </c>
      <c r="X707" t="str" cm="1">
        <f t="array" ref="X707">_xlfn.IFS(Sales_Table[[#This Row],[Revenue]]&gt;=50000,"High",Sales_Table[[#This Row],[Revenue]]&gt;=20000,"Medium",Sales_Table[[#This Row],[Revenue]]&lt;20000,"Low")</f>
        <v>Low</v>
      </c>
      <c r="Y707" t="str">
        <f>IF(Sales_Table[[#This Row],[Payment Method_clean]]="cash","Offline","Online")</f>
        <v>Online</v>
      </c>
      <c r="Z707">
        <f>IFERROR(Sales_Table[[#This Row],[Revenue]],0)</f>
        <v>2870</v>
      </c>
    </row>
    <row r="708" spans="1:26" x14ac:dyDescent="0.3">
      <c r="A708">
        <v>707</v>
      </c>
      <c r="B708" s="2">
        <f t="shared" si="77"/>
        <v>45321.416666666664</v>
      </c>
      <c r="C708" t="s">
        <v>1892</v>
      </c>
      <c r="D708" t="s">
        <v>36</v>
      </c>
      <c r="E708" t="str">
        <f>PROPER(TRIM(CLEAN(Sales_Table[[#This Row],[Region]])))</f>
        <v>West</v>
      </c>
      <c r="F708" t="s">
        <v>78</v>
      </c>
      <c r="G708" t="str">
        <f t="shared" si="78"/>
        <v>Grocery</v>
      </c>
      <c r="H708" t="str">
        <f>PROPER(TRIM(CLEAN(Sales_Table[[#This Row],[Product Name]])))</f>
        <v>Rice 5Kg</v>
      </c>
      <c r="I708" t="s">
        <v>73</v>
      </c>
      <c r="J708" t="str">
        <f t="shared" si="79"/>
        <v>CUST0192</v>
      </c>
      <c r="K708" t="s">
        <v>977</v>
      </c>
      <c r="L708" t="str">
        <f>PROPER(TRIM(CLEAN(Sales_Table[[#This Row],[Salesperson]])))</f>
        <v>Karthik</v>
      </c>
      <c r="M708" t="s">
        <v>70</v>
      </c>
      <c r="N708" t="str">
        <f t="shared" si="80"/>
        <v>Upi</v>
      </c>
      <c r="O708" t="s">
        <v>48</v>
      </c>
      <c r="P708">
        <f t="shared" si="81"/>
        <v>12</v>
      </c>
      <c r="Q708" t="s">
        <v>33</v>
      </c>
      <c r="R708">
        <f t="shared" si="82"/>
        <v>1314</v>
      </c>
      <c r="S708" t="s">
        <v>1893</v>
      </c>
      <c r="T708">
        <f t="shared" si="83"/>
        <v>15768</v>
      </c>
      <c r="U708">
        <f>YEAR(Sales_Table[[#This Row],[Date_clean]])</f>
        <v>2024</v>
      </c>
      <c r="V708" t="str">
        <f>TEXT(Sales_Table[[#This Row],[Date_clean]],"mmmm")</f>
        <v>January</v>
      </c>
      <c r="W708">
        <f>WEEKNUM(Sales_Table[[#This Row],[Date_clean]],2)</f>
        <v>5</v>
      </c>
      <c r="X708" t="str" cm="1">
        <f t="array" ref="X708">_xlfn.IFS(Sales_Table[[#This Row],[Revenue]]&gt;=50000,"High",Sales_Table[[#This Row],[Revenue]]&gt;=20000,"Medium",Sales_Table[[#This Row],[Revenue]]&lt;20000,"Low")</f>
        <v>Low</v>
      </c>
      <c r="Y708" t="str">
        <f>IF(Sales_Table[[#This Row],[Payment Method_clean]]="cash","Offline","Online")</f>
        <v>Online</v>
      </c>
      <c r="Z708">
        <f>IFERROR(Sales_Table[[#This Row],[Revenue]],0)</f>
        <v>15768</v>
      </c>
    </row>
    <row r="709" spans="1:26" x14ac:dyDescent="0.3">
      <c r="A709">
        <v>708</v>
      </c>
      <c r="B709" s="2">
        <f t="shared" si="77"/>
        <v>45321.458333333336</v>
      </c>
      <c r="C709" t="s">
        <v>1894</v>
      </c>
      <c r="D709" t="s">
        <v>36</v>
      </c>
      <c r="E709" t="str">
        <f>PROPER(TRIM(CLEAN(Sales_Table[[#This Row],[Region]])))</f>
        <v>West</v>
      </c>
      <c r="F709" t="s">
        <v>46</v>
      </c>
      <c r="G709" t="str">
        <f t="shared" si="78"/>
        <v>Electronics</v>
      </c>
      <c r="H709" t="str">
        <f>PROPER(TRIM(CLEAN(Sales_Table[[#This Row],[Product Name]])))</f>
        <v>Men T-Shirt</v>
      </c>
      <c r="I709" t="s">
        <v>38</v>
      </c>
      <c r="J709" t="str">
        <f t="shared" si="79"/>
        <v>CUST0552</v>
      </c>
      <c r="K709" t="s">
        <v>1895</v>
      </c>
      <c r="L709" t="str">
        <f>PROPER(TRIM(CLEAN(Sales_Table[[#This Row],[Salesperson]])))</f>
        <v>Rahul</v>
      </c>
      <c r="M709" t="s">
        <v>31</v>
      </c>
      <c r="N709" t="str">
        <f t="shared" si="80"/>
        <v>Upi</v>
      </c>
      <c r="O709" t="s">
        <v>48</v>
      </c>
      <c r="P709">
        <f t="shared" si="81"/>
        <v>10</v>
      </c>
      <c r="Q709" t="s">
        <v>117</v>
      </c>
      <c r="R709">
        <f t="shared" si="82"/>
        <v>3386</v>
      </c>
      <c r="S709" t="s">
        <v>1896</v>
      </c>
      <c r="T709">
        <f t="shared" si="83"/>
        <v>33860</v>
      </c>
      <c r="U709">
        <f>YEAR(Sales_Table[[#This Row],[Date_clean]])</f>
        <v>2024</v>
      </c>
      <c r="V709" t="str">
        <f>TEXT(Sales_Table[[#This Row],[Date_clean]],"mmmm")</f>
        <v>January</v>
      </c>
      <c r="W709">
        <f>WEEKNUM(Sales_Table[[#This Row],[Date_clean]],2)</f>
        <v>5</v>
      </c>
      <c r="X709" t="str" cm="1">
        <f t="array" ref="X709">_xlfn.IFS(Sales_Table[[#This Row],[Revenue]]&gt;=50000,"High",Sales_Table[[#This Row],[Revenue]]&gt;=20000,"Medium",Sales_Table[[#This Row],[Revenue]]&lt;20000,"Low")</f>
        <v>Medium</v>
      </c>
      <c r="Y709" t="str">
        <f>IF(Sales_Table[[#This Row],[Payment Method_clean]]="cash","Offline","Online")</f>
        <v>Online</v>
      </c>
      <c r="Z709">
        <f>IFERROR(Sales_Table[[#This Row],[Revenue]],0)</f>
        <v>33860</v>
      </c>
    </row>
    <row r="710" spans="1:26" x14ac:dyDescent="0.3">
      <c r="A710">
        <v>709</v>
      </c>
      <c r="B710" s="2">
        <f t="shared" si="77"/>
        <v>45321.5</v>
      </c>
      <c r="C710" t="s">
        <v>1897</v>
      </c>
      <c r="D710" t="s">
        <v>36</v>
      </c>
      <c r="E710" t="str">
        <f>PROPER(TRIM(CLEAN(Sales_Table[[#This Row],[Region]])))</f>
        <v>West</v>
      </c>
      <c r="F710" t="s">
        <v>37</v>
      </c>
      <c r="G710" t="str">
        <f t="shared" si="78"/>
        <v>Home Appliances</v>
      </c>
      <c r="H710" t="str">
        <f>PROPER(TRIM(CLEAN(Sales_Table[[#This Row],[Product Name]])))</f>
        <v>Mixer Grinder</v>
      </c>
      <c r="I710" t="s">
        <v>29</v>
      </c>
      <c r="J710" t="str">
        <f t="shared" si="79"/>
        <v>CUST0242</v>
      </c>
      <c r="K710" t="s">
        <v>1898</v>
      </c>
      <c r="L710" t="str">
        <f>PROPER(TRIM(CLEAN(Sales_Table[[#This Row],[Salesperson]])))</f>
        <v>Karthik</v>
      </c>
      <c r="M710" t="s">
        <v>70</v>
      </c>
      <c r="N710" t="str">
        <f t="shared" si="80"/>
        <v>Net Banking</v>
      </c>
      <c r="O710" t="s">
        <v>60</v>
      </c>
      <c r="P710">
        <f t="shared" si="81"/>
        <v>12</v>
      </c>
      <c r="Q710" t="s">
        <v>33</v>
      </c>
      <c r="R710">
        <f t="shared" si="82"/>
        <v>3546</v>
      </c>
      <c r="S710" t="s">
        <v>1899</v>
      </c>
      <c r="T710">
        <f t="shared" si="83"/>
        <v>42552</v>
      </c>
      <c r="U710">
        <f>YEAR(Sales_Table[[#This Row],[Date_clean]])</f>
        <v>2024</v>
      </c>
      <c r="V710" t="str">
        <f>TEXT(Sales_Table[[#This Row],[Date_clean]],"mmmm")</f>
        <v>January</v>
      </c>
      <c r="W710">
        <f>WEEKNUM(Sales_Table[[#This Row],[Date_clean]],2)</f>
        <v>5</v>
      </c>
      <c r="X710" t="str" cm="1">
        <f t="array" ref="X710">_xlfn.IFS(Sales_Table[[#This Row],[Revenue]]&gt;=50000,"High",Sales_Table[[#This Row],[Revenue]]&gt;=20000,"Medium",Sales_Table[[#This Row],[Revenue]]&lt;20000,"Low")</f>
        <v>Medium</v>
      </c>
      <c r="Y710" t="str">
        <f>IF(Sales_Table[[#This Row],[Payment Method_clean]]="cash","Offline","Online")</f>
        <v>Online</v>
      </c>
      <c r="Z710">
        <f>IFERROR(Sales_Table[[#This Row],[Revenue]],0)</f>
        <v>42552</v>
      </c>
    </row>
    <row r="711" spans="1:26" x14ac:dyDescent="0.3">
      <c r="A711">
        <v>710</v>
      </c>
      <c r="B711" s="2">
        <f t="shared" si="77"/>
        <v>45321.541666666664</v>
      </c>
      <c r="C711" t="s">
        <v>1900</v>
      </c>
      <c r="D711" t="s">
        <v>36</v>
      </c>
      <c r="E711" t="str">
        <f>PROPER(TRIM(CLEAN(Sales_Table[[#This Row],[Region]])))</f>
        <v>West</v>
      </c>
      <c r="F711" t="s">
        <v>37</v>
      </c>
      <c r="G711" t="str">
        <f t="shared" si="78"/>
        <v>Home Appliances</v>
      </c>
      <c r="H711" t="str">
        <f>PROPER(TRIM(CLEAN(Sales_Table[[#This Row],[Product Name]])))</f>
        <v>Led Tv 42Inch</v>
      </c>
      <c r="I711" t="s">
        <v>58</v>
      </c>
      <c r="J711" t="str">
        <f t="shared" si="79"/>
        <v>CUST0138</v>
      </c>
      <c r="K711" t="s">
        <v>575</v>
      </c>
      <c r="L711" t="str">
        <f>PROPER(TRIM(CLEAN(Sales_Table[[#This Row],[Salesperson]])))</f>
        <v>Rahul</v>
      </c>
      <c r="M711" t="s">
        <v>31</v>
      </c>
      <c r="N711" t="str">
        <f t="shared" si="80"/>
        <v>Credit Card</v>
      </c>
      <c r="O711" t="s">
        <v>65</v>
      </c>
      <c r="P711">
        <f t="shared" si="81"/>
        <v>6</v>
      </c>
      <c r="Q711" t="s">
        <v>75</v>
      </c>
      <c r="R711">
        <f t="shared" si="82"/>
        <v>1209</v>
      </c>
      <c r="S711" t="s">
        <v>1901</v>
      </c>
      <c r="T711">
        <f t="shared" si="83"/>
        <v>7254</v>
      </c>
      <c r="U711">
        <f>YEAR(Sales_Table[[#This Row],[Date_clean]])</f>
        <v>2024</v>
      </c>
      <c r="V711" t="str">
        <f>TEXT(Sales_Table[[#This Row],[Date_clean]],"mmmm")</f>
        <v>January</v>
      </c>
      <c r="W711">
        <f>WEEKNUM(Sales_Table[[#This Row],[Date_clean]],2)</f>
        <v>5</v>
      </c>
      <c r="X711" t="str" cm="1">
        <f t="array" ref="X711">_xlfn.IFS(Sales_Table[[#This Row],[Revenue]]&gt;=50000,"High",Sales_Table[[#This Row],[Revenue]]&gt;=20000,"Medium",Sales_Table[[#This Row],[Revenue]]&lt;20000,"Low")</f>
        <v>Low</v>
      </c>
      <c r="Y711" t="str">
        <f>IF(Sales_Table[[#This Row],[Payment Method_clean]]="cash","Offline","Online")</f>
        <v>Online</v>
      </c>
      <c r="Z711">
        <f>IFERROR(Sales_Table[[#This Row],[Revenue]],0)</f>
        <v>7254</v>
      </c>
    </row>
    <row r="712" spans="1:26" x14ac:dyDescent="0.3">
      <c r="A712">
        <v>711</v>
      </c>
      <c r="B712" s="2">
        <f t="shared" si="77"/>
        <v>45321.583333333336</v>
      </c>
      <c r="C712" t="s">
        <v>1902</v>
      </c>
      <c r="D712" t="s">
        <v>27</v>
      </c>
      <c r="E712" t="str">
        <f>PROPER(TRIM(CLEAN(Sales_Table[[#This Row],[Region]])))</f>
        <v>East</v>
      </c>
      <c r="F712" t="s">
        <v>46</v>
      </c>
      <c r="G712" t="str">
        <f t="shared" si="78"/>
        <v>Electronics</v>
      </c>
      <c r="H712" t="str">
        <f>PROPER(TRIM(CLEAN(Sales_Table[[#This Row],[Product Name]])))</f>
        <v>Laptop</v>
      </c>
      <c r="I712" t="s">
        <v>52</v>
      </c>
      <c r="J712" t="str">
        <f t="shared" si="79"/>
        <v>CUST0345</v>
      </c>
      <c r="K712" t="s">
        <v>1199</v>
      </c>
      <c r="L712" t="str">
        <f>PROPER(TRIM(CLEAN(Sales_Table[[#This Row],[Salesperson]])))</f>
        <v>Suresh</v>
      </c>
      <c r="M712" t="s">
        <v>54</v>
      </c>
      <c r="N712" t="str">
        <f t="shared" si="80"/>
        <v>Upi</v>
      </c>
      <c r="O712" t="s">
        <v>48</v>
      </c>
      <c r="P712">
        <f t="shared" si="81"/>
        <v>1</v>
      </c>
      <c r="Q712" t="s">
        <v>93</v>
      </c>
      <c r="R712">
        <f t="shared" si="82"/>
        <v>2621</v>
      </c>
      <c r="S712" t="s">
        <v>1903</v>
      </c>
      <c r="T712">
        <f t="shared" si="83"/>
        <v>2621</v>
      </c>
      <c r="U712">
        <f>YEAR(Sales_Table[[#This Row],[Date_clean]])</f>
        <v>2024</v>
      </c>
      <c r="V712" t="str">
        <f>TEXT(Sales_Table[[#This Row],[Date_clean]],"mmmm")</f>
        <v>January</v>
      </c>
      <c r="W712">
        <f>WEEKNUM(Sales_Table[[#This Row],[Date_clean]],2)</f>
        <v>5</v>
      </c>
      <c r="X712" t="str" cm="1">
        <f t="array" ref="X712">_xlfn.IFS(Sales_Table[[#This Row],[Revenue]]&gt;=50000,"High",Sales_Table[[#This Row],[Revenue]]&gt;=20000,"Medium",Sales_Table[[#This Row],[Revenue]]&lt;20000,"Low")</f>
        <v>Low</v>
      </c>
      <c r="Y712" t="str">
        <f>IF(Sales_Table[[#This Row],[Payment Method_clean]]="cash","Offline","Online")</f>
        <v>Online</v>
      </c>
      <c r="Z712">
        <f>IFERROR(Sales_Table[[#This Row],[Revenue]],0)</f>
        <v>2621</v>
      </c>
    </row>
    <row r="713" spans="1:26" x14ac:dyDescent="0.3">
      <c r="A713">
        <v>712</v>
      </c>
      <c r="B713" s="2">
        <f t="shared" si="77"/>
        <v>45321.625</v>
      </c>
      <c r="C713" t="s">
        <v>1904</v>
      </c>
      <c r="D713" t="s">
        <v>84</v>
      </c>
      <c r="E713" t="str">
        <f>PROPER(TRIM(CLEAN(Sales_Table[[#This Row],[Region]])))</f>
        <v>South</v>
      </c>
      <c r="F713" t="s">
        <v>28</v>
      </c>
      <c r="G713" t="str">
        <f t="shared" si="78"/>
        <v>Clothing</v>
      </c>
      <c r="H713" t="str">
        <f>PROPER(TRIM(CLEAN(Sales_Table[[#This Row],[Product Name]])))</f>
        <v>Rice 5Kg</v>
      </c>
      <c r="I713" t="s">
        <v>73</v>
      </c>
      <c r="J713" t="str">
        <f t="shared" si="79"/>
        <v>CUST0180</v>
      </c>
      <c r="K713" t="s">
        <v>1480</v>
      </c>
      <c r="L713" t="str">
        <f>PROPER(TRIM(CLEAN(Sales_Table[[#This Row],[Salesperson]])))</f>
        <v>Rahul</v>
      </c>
      <c r="M713" t="s">
        <v>31</v>
      </c>
      <c r="N713" t="str">
        <f t="shared" si="80"/>
        <v>Net Banking</v>
      </c>
      <c r="O713" t="s">
        <v>60</v>
      </c>
      <c r="P713">
        <f t="shared" si="81"/>
        <v>2</v>
      </c>
      <c r="Q713" t="s">
        <v>196</v>
      </c>
      <c r="R713">
        <f t="shared" si="82"/>
        <v>3979</v>
      </c>
      <c r="S713" t="s">
        <v>1905</v>
      </c>
      <c r="T713">
        <f t="shared" si="83"/>
        <v>7958</v>
      </c>
      <c r="U713">
        <f>YEAR(Sales_Table[[#This Row],[Date_clean]])</f>
        <v>2024</v>
      </c>
      <c r="V713" t="str">
        <f>TEXT(Sales_Table[[#This Row],[Date_clean]],"mmmm")</f>
        <v>January</v>
      </c>
      <c r="W713">
        <f>WEEKNUM(Sales_Table[[#This Row],[Date_clean]],2)</f>
        <v>5</v>
      </c>
      <c r="X713" t="str" cm="1">
        <f t="array" ref="X713">_xlfn.IFS(Sales_Table[[#This Row],[Revenue]]&gt;=50000,"High",Sales_Table[[#This Row],[Revenue]]&gt;=20000,"Medium",Sales_Table[[#This Row],[Revenue]]&lt;20000,"Low")</f>
        <v>Low</v>
      </c>
      <c r="Y713" t="str">
        <f>IF(Sales_Table[[#This Row],[Payment Method_clean]]="cash","Offline","Online")</f>
        <v>Online</v>
      </c>
      <c r="Z713">
        <f>IFERROR(Sales_Table[[#This Row],[Revenue]],0)</f>
        <v>7958</v>
      </c>
    </row>
    <row r="714" spans="1:26" x14ac:dyDescent="0.3">
      <c r="A714">
        <v>713</v>
      </c>
      <c r="B714" s="2">
        <f t="shared" si="77"/>
        <v>45321.666666666664</v>
      </c>
      <c r="C714" t="s">
        <v>1906</v>
      </c>
      <c r="D714" t="s">
        <v>45</v>
      </c>
      <c r="E714" t="str">
        <f>PROPER(TRIM(CLEAN(Sales_Table[[#This Row],[Region]])))</f>
        <v>North</v>
      </c>
      <c r="F714" t="s">
        <v>46</v>
      </c>
      <c r="G714" t="str">
        <f t="shared" si="78"/>
        <v>Electronics</v>
      </c>
      <c r="H714" t="str">
        <f>PROPER(TRIM(CLEAN(Sales_Table[[#This Row],[Product Name]])))</f>
        <v>Led Tv 42Inch</v>
      </c>
      <c r="I714" t="s">
        <v>58</v>
      </c>
      <c r="J714" t="str">
        <f t="shared" si="79"/>
        <v>CUST0712</v>
      </c>
      <c r="K714" t="s">
        <v>1280</v>
      </c>
      <c r="L714" t="str">
        <f>PROPER(TRIM(CLEAN(Sales_Table[[#This Row],[Salesperson]])))</f>
        <v>Meena</v>
      </c>
      <c r="M714" t="s">
        <v>40</v>
      </c>
      <c r="N714" t="str">
        <f t="shared" si="80"/>
        <v>Upi</v>
      </c>
      <c r="O714" t="s">
        <v>48</v>
      </c>
      <c r="P714">
        <f t="shared" si="81"/>
        <v>5</v>
      </c>
      <c r="Q714" t="s">
        <v>89</v>
      </c>
      <c r="R714">
        <f t="shared" si="82"/>
        <v>630</v>
      </c>
      <c r="S714" t="s">
        <v>1907</v>
      </c>
      <c r="T714">
        <f t="shared" si="83"/>
        <v>3150</v>
      </c>
      <c r="U714">
        <f>YEAR(Sales_Table[[#This Row],[Date_clean]])</f>
        <v>2024</v>
      </c>
      <c r="V714" t="str">
        <f>TEXT(Sales_Table[[#This Row],[Date_clean]],"mmmm")</f>
        <v>January</v>
      </c>
      <c r="W714">
        <f>WEEKNUM(Sales_Table[[#This Row],[Date_clean]],2)</f>
        <v>5</v>
      </c>
      <c r="X714" t="str" cm="1">
        <f t="array" ref="X714">_xlfn.IFS(Sales_Table[[#This Row],[Revenue]]&gt;=50000,"High",Sales_Table[[#This Row],[Revenue]]&gt;=20000,"Medium",Sales_Table[[#This Row],[Revenue]]&lt;20000,"Low")</f>
        <v>Low</v>
      </c>
      <c r="Y714" t="str">
        <f>IF(Sales_Table[[#This Row],[Payment Method_clean]]="cash","Offline","Online")</f>
        <v>Online</v>
      </c>
      <c r="Z714">
        <f>IFERROR(Sales_Table[[#This Row],[Revenue]],0)</f>
        <v>3150</v>
      </c>
    </row>
    <row r="715" spans="1:26" x14ac:dyDescent="0.3">
      <c r="A715">
        <v>714</v>
      </c>
      <c r="B715" s="2">
        <f t="shared" si="77"/>
        <v>45321.708333333336</v>
      </c>
      <c r="C715" t="s">
        <v>1908</v>
      </c>
      <c r="D715" t="s">
        <v>36</v>
      </c>
      <c r="E715" t="str">
        <f>PROPER(TRIM(CLEAN(Sales_Table[[#This Row],[Region]])))</f>
        <v>West</v>
      </c>
      <c r="F715" t="s">
        <v>37</v>
      </c>
      <c r="G715" t="str">
        <f t="shared" si="78"/>
        <v>Home Appliances</v>
      </c>
      <c r="H715" t="str">
        <f>PROPER(TRIM(CLEAN(Sales_Table[[#This Row],[Product Name]])))</f>
        <v>Men T-Shirt</v>
      </c>
      <c r="I715" t="s">
        <v>38</v>
      </c>
      <c r="J715" t="str">
        <f t="shared" si="79"/>
        <v>CUST0503</v>
      </c>
      <c r="K715" t="s">
        <v>1131</v>
      </c>
      <c r="L715" t="str">
        <f>PROPER(TRIM(CLEAN(Sales_Table[[#This Row],[Salesperson]])))</f>
        <v>Karthik</v>
      </c>
      <c r="M715" t="s">
        <v>70</v>
      </c>
      <c r="N715" t="str">
        <f t="shared" si="80"/>
        <v>Upi</v>
      </c>
      <c r="O715" t="s">
        <v>48</v>
      </c>
      <c r="P715">
        <f t="shared" si="81"/>
        <v>2</v>
      </c>
      <c r="Q715" t="s">
        <v>196</v>
      </c>
      <c r="R715">
        <f t="shared" si="82"/>
        <v>1170</v>
      </c>
      <c r="S715" t="s">
        <v>1909</v>
      </c>
      <c r="T715">
        <f t="shared" si="83"/>
        <v>2340</v>
      </c>
      <c r="U715">
        <f>YEAR(Sales_Table[[#This Row],[Date_clean]])</f>
        <v>2024</v>
      </c>
      <c r="V715" t="str">
        <f>TEXT(Sales_Table[[#This Row],[Date_clean]],"mmmm")</f>
        <v>January</v>
      </c>
      <c r="W715">
        <f>WEEKNUM(Sales_Table[[#This Row],[Date_clean]],2)</f>
        <v>5</v>
      </c>
      <c r="X715" t="str" cm="1">
        <f t="array" ref="X715">_xlfn.IFS(Sales_Table[[#This Row],[Revenue]]&gt;=50000,"High",Sales_Table[[#This Row],[Revenue]]&gt;=20000,"Medium",Sales_Table[[#This Row],[Revenue]]&lt;20000,"Low")</f>
        <v>Low</v>
      </c>
      <c r="Y715" t="str">
        <f>IF(Sales_Table[[#This Row],[Payment Method_clean]]="cash","Offline","Online")</f>
        <v>Online</v>
      </c>
      <c r="Z715">
        <f>IFERROR(Sales_Table[[#This Row],[Revenue]],0)</f>
        <v>2340</v>
      </c>
    </row>
    <row r="716" spans="1:26" x14ac:dyDescent="0.3">
      <c r="A716">
        <v>715</v>
      </c>
      <c r="B716" s="2">
        <f t="shared" si="77"/>
        <v>45321.75</v>
      </c>
      <c r="C716" t="s">
        <v>1910</v>
      </c>
      <c r="D716" t="s">
        <v>36</v>
      </c>
      <c r="E716" t="str">
        <f>PROPER(TRIM(CLEAN(Sales_Table[[#This Row],[Region]])))</f>
        <v>West</v>
      </c>
      <c r="F716" t="s">
        <v>46</v>
      </c>
      <c r="G716" t="str">
        <f t="shared" si="78"/>
        <v>Electronics</v>
      </c>
      <c r="H716" t="str">
        <f>PROPER(TRIM(CLEAN(Sales_Table[[#This Row],[Product Name]])))</f>
        <v>Washing Machine</v>
      </c>
      <c r="I716" t="s">
        <v>79</v>
      </c>
      <c r="J716" t="str">
        <f t="shared" si="79"/>
        <v>CUST0203</v>
      </c>
      <c r="K716" t="s">
        <v>1911</v>
      </c>
      <c r="L716" t="str">
        <f>PROPER(TRIM(CLEAN(Sales_Table[[#This Row],[Salesperson]])))</f>
        <v>Anita</v>
      </c>
      <c r="M716" t="s">
        <v>64</v>
      </c>
      <c r="N716" t="str">
        <f t="shared" si="80"/>
        <v>Upi</v>
      </c>
      <c r="O716" t="s">
        <v>48</v>
      </c>
      <c r="P716">
        <f t="shared" si="81"/>
        <v>14</v>
      </c>
      <c r="Q716" t="s">
        <v>55</v>
      </c>
      <c r="R716">
        <f t="shared" si="82"/>
        <v>3236</v>
      </c>
      <c r="S716" t="s">
        <v>1912</v>
      </c>
      <c r="T716">
        <f t="shared" si="83"/>
        <v>45304</v>
      </c>
      <c r="U716">
        <f>YEAR(Sales_Table[[#This Row],[Date_clean]])</f>
        <v>2024</v>
      </c>
      <c r="V716" t="str">
        <f>TEXT(Sales_Table[[#This Row],[Date_clean]],"mmmm")</f>
        <v>January</v>
      </c>
      <c r="W716">
        <f>WEEKNUM(Sales_Table[[#This Row],[Date_clean]],2)</f>
        <v>5</v>
      </c>
      <c r="X716" t="str" cm="1">
        <f t="array" ref="X716">_xlfn.IFS(Sales_Table[[#This Row],[Revenue]]&gt;=50000,"High",Sales_Table[[#This Row],[Revenue]]&gt;=20000,"Medium",Sales_Table[[#This Row],[Revenue]]&lt;20000,"Low")</f>
        <v>Medium</v>
      </c>
      <c r="Y716" t="str">
        <f>IF(Sales_Table[[#This Row],[Payment Method_clean]]="cash","Offline","Online")</f>
        <v>Online</v>
      </c>
      <c r="Z716">
        <f>IFERROR(Sales_Table[[#This Row],[Revenue]],0)</f>
        <v>45304</v>
      </c>
    </row>
    <row r="717" spans="1:26" x14ac:dyDescent="0.3">
      <c r="A717">
        <v>716</v>
      </c>
      <c r="B717" s="2">
        <f t="shared" si="77"/>
        <v>45321.791666666664</v>
      </c>
      <c r="C717" t="s">
        <v>1913</v>
      </c>
      <c r="D717" t="s">
        <v>36</v>
      </c>
      <c r="E717" t="str">
        <f>PROPER(TRIM(CLEAN(Sales_Table[[#This Row],[Region]])))</f>
        <v>West</v>
      </c>
      <c r="F717" t="s">
        <v>28</v>
      </c>
      <c r="G717" t="str">
        <f t="shared" si="78"/>
        <v>Clothing</v>
      </c>
      <c r="H717" t="str">
        <f>PROPER(TRIM(CLEAN(Sales_Table[[#This Row],[Product Name]])))</f>
        <v>Washing Machine</v>
      </c>
      <c r="I717" t="s">
        <v>79</v>
      </c>
      <c r="J717" t="str">
        <f t="shared" si="79"/>
        <v>CUST0573</v>
      </c>
      <c r="K717" t="s">
        <v>487</v>
      </c>
      <c r="L717" t="str">
        <f>PROPER(TRIM(CLEAN(Sales_Table[[#This Row],[Salesperson]])))</f>
        <v>Anita</v>
      </c>
      <c r="M717" t="s">
        <v>64</v>
      </c>
      <c r="N717" t="str">
        <f t="shared" si="80"/>
        <v>Debit Card</v>
      </c>
      <c r="O717" t="s">
        <v>41</v>
      </c>
      <c r="P717">
        <f t="shared" si="81"/>
        <v>10</v>
      </c>
      <c r="Q717" t="s">
        <v>117</v>
      </c>
      <c r="R717">
        <f t="shared" si="82"/>
        <v>1062</v>
      </c>
      <c r="S717" t="s">
        <v>1914</v>
      </c>
      <c r="T717">
        <f t="shared" si="83"/>
        <v>10620</v>
      </c>
      <c r="U717">
        <f>YEAR(Sales_Table[[#This Row],[Date_clean]])</f>
        <v>2024</v>
      </c>
      <c r="V717" t="str">
        <f>TEXT(Sales_Table[[#This Row],[Date_clean]],"mmmm")</f>
        <v>January</v>
      </c>
      <c r="W717">
        <f>WEEKNUM(Sales_Table[[#This Row],[Date_clean]],2)</f>
        <v>5</v>
      </c>
      <c r="X717" t="str" cm="1">
        <f t="array" ref="X717">_xlfn.IFS(Sales_Table[[#This Row],[Revenue]]&gt;=50000,"High",Sales_Table[[#This Row],[Revenue]]&gt;=20000,"Medium",Sales_Table[[#This Row],[Revenue]]&lt;20000,"Low")</f>
        <v>Low</v>
      </c>
      <c r="Y717" t="str">
        <f>IF(Sales_Table[[#This Row],[Payment Method_clean]]="cash","Offline","Online")</f>
        <v>Online</v>
      </c>
      <c r="Z717">
        <f>IFERROR(Sales_Table[[#This Row],[Revenue]],0)</f>
        <v>10620</v>
      </c>
    </row>
    <row r="718" spans="1:26" x14ac:dyDescent="0.3">
      <c r="A718">
        <v>717</v>
      </c>
      <c r="B718" s="2">
        <f t="shared" si="77"/>
        <v>45321.833333333336</v>
      </c>
      <c r="C718" t="s">
        <v>1915</v>
      </c>
      <c r="D718" t="s">
        <v>27</v>
      </c>
      <c r="E718" t="str">
        <f>PROPER(TRIM(CLEAN(Sales_Table[[#This Row],[Region]])))</f>
        <v>East</v>
      </c>
      <c r="F718" t="s">
        <v>46</v>
      </c>
      <c r="G718" t="str">
        <f t="shared" si="78"/>
        <v>Electronics</v>
      </c>
      <c r="H718" t="str">
        <f>PROPER(TRIM(CLEAN(Sales_Table[[#This Row],[Product Name]])))</f>
        <v>Mixer Grinder</v>
      </c>
      <c r="I718" t="s">
        <v>29</v>
      </c>
      <c r="J718" t="str">
        <f t="shared" si="79"/>
        <v>CUST0192</v>
      </c>
      <c r="K718" t="s">
        <v>977</v>
      </c>
      <c r="L718" t="str">
        <f>PROPER(TRIM(CLEAN(Sales_Table[[#This Row],[Salesperson]])))</f>
        <v>Karthik</v>
      </c>
      <c r="M718" t="s">
        <v>70</v>
      </c>
      <c r="N718" t="str">
        <f t="shared" si="80"/>
        <v>Credit Card</v>
      </c>
      <c r="O718" t="s">
        <v>65</v>
      </c>
      <c r="P718">
        <f t="shared" si="81"/>
        <v>1</v>
      </c>
      <c r="Q718" t="s">
        <v>93</v>
      </c>
      <c r="R718">
        <f t="shared" si="82"/>
        <v>1505</v>
      </c>
      <c r="S718" t="s">
        <v>1916</v>
      </c>
      <c r="T718">
        <f t="shared" si="83"/>
        <v>1505</v>
      </c>
      <c r="U718">
        <f>YEAR(Sales_Table[[#This Row],[Date_clean]])</f>
        <v>2024</v>
      </c>
      <c r="V718" t="str">
        <f>TEXT(Sales_Table[[#This Row],[Date_clean]],"mmmm")</f>
        <v>January</v>
      </c>
      <c r="W718">
        <f>WEEKNUM(Sales_Table[[#This Row],[Date_clean]],2)</f>
        <v>5</v>
      </c>
      <c r="X718" t="str" cm="1">
        <f t="array" ref="X718">_xlfn.IFS(Sales_Table[[#This Row],[Revenue]]&gt;=50000,"High",Sales_Table[[#This Row],[Revenue]]&gt;=20000,"Medium",Sales_Table[[#This Row],[Revenue]]&lt;20000,"Low")</f>
        <v>Low</v>
      </c>
      <c r="Y718" t="str">
        <f>IF(Sales_Table[[#This Row],[Payment Method_clean]]="cash","Offline","Online")</f>
        <v>Online</v>
      </c>
      <c r="Z718">
        <f>IFERROR(Sales_Table[[#This Row],[Revenue]],0)</f>
        <v>1505</v>
      </c>
    </row>
    <row r="719" spans="1:26" x14ac:dyDescent="0.3">
      <c r="A719">
        <v>718</v>
      </c>
      <c r="B719" s="2">
        <f t="shared" si="77"/>
        <v>45321.875</v>
      </c>
      <c r="C719" t="s">
        <v>1917</v>
      </c>
      <c r="D719" t="s">
        <v>36</v>
      </c>
      <c r="E719" t="str">
        <f>PROPER(TRIM(CLEAN(Sales_Table[[#This Row],[Region]])))</f>
        <v>West</v>
      </c>
      <c r="F719" t="s">
        <v>28</v>
      </c>
      <c r="G719" t="str">
        <f t="shared" si="78"/>
        <v>Clothing</v>
      </c>
      <c r="H719" t="str">
        <f>PROPER(TRIM(CLEAN(Sales_Table[[#This Row],[Product Name]])))</f>
        <v>Washing Machine</v>
      </c>
      <c r="I719" t="s">
        <v>79</v>
      </c>
      <c r="J719" t="str">
        <f t="shared" si="79"/>
        <v>CUST0005</v>
      </c>
      <c r="K719" t="s">
        <v>1771</v>
      </c>
      <c r="L719" t="str">
        <f>PROPER(TRIM(CLEAN(Sales_Table[[#This Row],[Salesperson]])))</f>
        <v>Suresh</v>
      </c>
      <c r="M719" t="s">
        <v>54</v>
      </c>
      <c r="N719" t="str">
        <f t="shared" si="80"/>
        <v>Net Banking</v>
      </c>
      <c r="O719" t="s">
        <v>60</v>
      </c>
      <c r="P719">
        <f t="shared" si="81"/>
        <v>6</v>
      </c>
      <c r="Q719" t="s">
        <v>75</v>
      </c>
      <c r="R719">
        <f t="shared" si="82"/>
        <v>3237</v>
      </c>
      <c r="S719" t="s">
        <v>1918</v>
      </c>
      <c r="T719">
        <f t="shared" si="83"/>
        <v>19422</v>
      </c>
      <c r="U719">
        <f>YEAR(Sales_Table[[#This Row],[Date_clean]])</f>
        <v>2024</v>
      </c>
      <c r="V719" t="str">
        <f>TEXT(Sales_Table[[#This Row],[Date_clean]],"mmmm")</f>
        <v>January</v>
      </c>
      <c r="W719">
        <f>WEEKNUM(Sales_Table[[#This Row],[Date_clean]],2)</f>
        <v>5</v>
      </c>
      <c r="X719" t="str" cm="1">
        <f t="array" ref="X719">_xlfn.IFS(Sales_Table[[#This Row],[Revenue]]&gt;=50000,"High",Sales_Table[[#This Row],[Revenue]]&gt;=20000,"Medium",Sales_Table[[#This Row],[Revenue]]&lt;20000,"Low")</f>
        <v>Low</v>
      </c>
      <c r="Y719" t="str">
        <f>IF(Sales_Table[[#This Row],[Payment Method_clean]]="cash","Offline","Online")</f>
        <v>Online</v>
      </c>
      <c r="Z719">
        <f>IFERROR(Sales_Table[[#This Row],[Revenue]],0)</f>
        <v>19422</v>
      </c>
    </row>
    <row r="720" spans="1:26" x14ac:dyDescent="0.3">
      <c r="A720">
        <v>719</v>
      </c>
      <c r="B720" s="2">
        <f t="shared" si="77"/>
        <v>45321.916666666664</v>
      </c>
      <c r="C720" t="s">
        <v>1919</v>
      </c>
      <c r="D720" t="s">
        <v>36</v>
      </c>
      <c r="E720" t="str">
        <f>PROPER(TRIM(CLEAN(Sales_Table[[#This Row],[Region]])))</f>
        <v>West</v>
      </c>
      <c r="F720" t="s">
        <v>28</v>
      </c>
      <c r="G720" t="str">
        <f t="shared" si="78"/>
        <v>Clothing</v>
      </c>
      <c r="H720" t="str">
        <f>PROPER(TRIM(CLEAN(Sales_Table[[#This Row],[Product Name]])))</f>
        <v>Rice 5Kg</v>
      </c>
      <c r="I720" t="s">
        <v>73</v>
      </c>
      <c r="J720" t="str">
        <f t="shared" si="79"/>
        <v>CUST0237</v>
      </c>
      <c r="K720" t="s">
        <v>240</v>
      </c>
      <c r="L720" t="str">
        <f>PROPER(TRIM(CLEAN(Sales_Table[[#This Row],[Salesperson]])))</f>
        <v>Rahul</v>
      </c>
      <c r="M720" t="s">
        <v>31</v>
      </c>
      <c r="N720" t="str">
        <f t="shared" si="80"/>
        <v>Net Banking</v>
      </c>
      <c r="O720" t="s">
        <v>60</v>
      </c>
      <c r="P720">
        <f t="shared" si="81"/>
        <v>8</v>
      </c>
      <c r="Q720" t="s">
        <v>42</v>
      </c>
      <c r="R720">
        <f t="shared" si="82"/>
        <v>616</v>
      </c>
      <c r="S720" t="s">
        <v>1920</v>
      </c>
      <c r="T720">
        <f t="shared" si="83"/>
        <v>4928</v>
      </c>
      <c r="U720">
        <f>YEAR(Sales_Table[[#This Row],[Date_clean]])</f>
        <v>2024</v>
      </c>
      <c r="V720" t="str">
        <f>TEXT(Sales_Table[[#This Row],[Date_clean]],"mmmm")</f>
        <v>January</v>
      </c>
      <c r="W720">
        <f>WEEKNUM(Sales_Table[[#This Row],[Date_clean]],2)</f>
        <v>5</v>
      </c>
      <c r="X720" t="str" cm="1">
        <f t="array" ref="X720">_xlfn.IFS(Sales_Table[[#This Row],[Revenue]]&gt;=50000,"High",Sales_Table[[#This Row],[Revenue]]&gt;=20000,"Medium",Sales_Table[[#This Row],[Revenue]]&lt;20000,"Low")</f>
        <v>Low</v>
      </c>
      <c r="Y720" t="str">
        <f>IF(Sales_Table[[#This Row],[Payment Method_clean]]="cash","Offline","Online")</f>
        <v>Online</v>
      </c>
      <c r="Z720">
        <f>IFERROR(Sales_Table[[#This Row],[Revenue]],0)</f>
        <v>4928</v>
      </c>
    </row>
    <row r="721" spans="1:26" x14ac:dyDescent="0.3">
      <c r="A721">
        <v>720</v>
      </c>
      <c r="B721" s="2">
        <f t="shared" si="77"/>
        <v>45321.958333333336</v>
      </c>
      <c r="C721" t="s">
        <v>1921</v>
      </c>
      <c r="D721" t="s">
        <v>36</v>
      </c>
      <c r="E721" t="str">
        <f>PROPER(TRIM(CLEAN(Sales_Table[[#This Row],[Region]])))</f>
        <v>West</v>
      </c>
      <c r="F721" t="s">
        <v>46</v>
      </c>
      <c r="G721" t="str">
        <f t="shared" si="78"/>
        <v>Electronics</v>
      </c>
      <c r="H721" t="str">
        <f>PROPER(TRIM(CLEAN(Sales_Table[[#This Row],[Product Name]])))</f>
        <v>Washing Machine</v>
      </c>
      <c r="I721" t="s">
        <v>79</v>
      </c>
      <c r="J721" t="str">
        <f t="shared" si="79"/>
        <v>CUST0693</v>
      </c>
      <c r="K721" t="s">
        <v>1793</v>
      </c>
      <c r="L721" t="str">
        <f>PROPER(TRIM(CLEAN(Sales_Table[[#This Row],[Salesperson]])))</f>
        <v>Suresh</v>
      </c>
      <c r="M721" t="s">
        <v>54</v>
      </c>
      <c r="N721" t="str">
        <f t="shared" si="80"/>
        <v>Credit Card</v>
      </c>
      <c r="O721" t="s">
        <v>65</v>
      </c>
      <c r="P721">
        <f t="shared" si="81"/>
        <v>8</v>
      </c>
      <c r="Q721" t="s">
        <v>42</v>
      </c>
      <c r="R721">
        <f t="shared" si="82"/>
        <v>3264</v>
      </c>
      <c r="S721" t="s">
        <v>1922</v>
      </c>
      <c r="T721">
        <f t="shared" si="83"/>
        <v>26112</v>
      </c>
      <c r="U721">
        <f>YEAR(Sales_Table[[#This Row],[Date_clean]])</f>
        <v>2024</v>
      </c>
      <c r="V721" t="str">
        <f>TEXT(Sales_Table[[#This Row],[Date_clean]],"mmmm")</f>
        <v>January</v>
      </c>
      <c r="W721">
        <f>WEEKNUM(Sales_Table[[#This Row],[Date_clean]],2)</f>
        <v>5</v>
      </c>
      <c r="X721" t="str" cm="1">
        <f t="array" ref="X721">_xlfn.IFS(Sales_Table[[#This Row],[Revenue]]&gt;=50000,"High",Sales_Table[[#This Row],[Revenue]]&gt;=20000,"Medium",Sales_Table[[#This Row],[Revenue]]&lt;20000,"Low")</f>
        <v>Medium</v>
      </c>
      <c r="Y721" t="str">
        <f>IF(Sales_Table[[#This Row],[Payment Method_clean]]="cash","Offline","Online")</f>
        <v>Online</v>
      </c>
      <c r="Z721">
        <f>IFERROR(Sales_Table[[#This Row],[Revenue]],0)</f>
        <v>26112</v>
      </c>
    </row>
    <row r="722" spans="1:26" x14ac:dyDescent="0.3">
      <c r="A722">
        <v>721</v>
      </c>
      <c r="B722" s="2">
        <f t="shared" si="77"/>
        <v>45322</v>
      </c>
      <c r="C722" t="s">
        <v>1923</v>
      </c>
      <c r="D722" t="s">
        <v>84</v>
      </c>
      <c r="E722" t="str">
        <f>PROPER(TRIM(CLEAN(Sales_Table[[#This Row],[Region]])))</f>
        <v>South</v>
      </c>
      <c r="F722" t="s">
        <v>46</v>
      </c>
      <c r="G722" t="str">
        <f t="shared" si="78"/>
        <v>Electronics</v>
      </c>
      <c r="H722" t="str">
        <f>PROPER(TRIM(CLEAN(Sales_Table[[#This Row],[Product Name]])))</f>
        <v>Mixer Grinder</v>
      </c>
      <c r="I722" t="s">
        <v>29</v>
      </c>
      <c r="J722" t="str">
        <f t="shared" si="79"/>
        <v>CUST0311</v>
      </c>
      <c r="K722" t="s">
        <v>1924</v>
      </c>
      <c r="L722" t="str">
        <f>PROPER(TRIM(CLEAN(Sales_Table[[#This Row],[Salesperson]])))</f>
        <v>Anita</v>
      </c>
      <c r="M722" t="s">
        <v>64</v>
      </c>
      <c r="N722" t="str">
        <f t="shared" si="80"/>
        <v>Credit Card</v>
      </c>
      <c r="O722" t="s">
        <v>65</v>
      </c>
      <c r="P722">
        <f t="shared" si="81"/>
        <v>13</v>
      </c>
      <c r="Q722" t="s">
        <v>81</v>
      </c>
      <c r="R722">
        <f t="shared" si="82"/>
        <v>1591</v>
      </c>
      <c r="S722" t="s">
        <v>1925</v>
      </c>
      <c r="T722">
        <f t="shared" si="83"/>
        <v>20683</v>
      </c>
      <c r="U722">
        <f>YEAR(Sales_Table[[#This Row],[Date_clean]])</f>
        <v>2024</v>
      </c>
      <c r="V722" t="str">
        <f>TEXT(Sales_Table[[#This Row],[Date_clean]],"mmmm")</f>
        <v>January</v>
      </c>
      <c r="W722">
        <f>WEEKNUM(Sales_Table[[#This Row],[Date_clean]],2)</f>
        <v>5</v>
      </c>
      <c r="X722" t="str" cm="1">
        <f t="array" ref="X722">_xlfn.IFS(Sales_Table[[#This Row],[Revenue]]&gt;=50000,"High",Sales_Table[[#This Row],[Revenue]]&gt;=20000,"Medium",Sales_Table[[#This Row],[Revenue]]&lt;20000,"Low")</f>
        <v>Medium</v>
      </c>
      <c r="Y722" t="str">
        <f>IF(Sales_Table[[#This Row],[Payment Method_clean]]="cash","Offline","Online")</f>
        <v>Online</v>
      </c>
      <c r="Z722">
        <f>IFERROR(Sales_Table[[#This Row],[Revenue]],0)</f>
        <v>20683</v>
      </c>
    </row>
    <row r="723" spans="1:26" x14ac:dyDescent="0.3">
      <c r="A723">
        <v>722</v>
      </c>
      <c r="B723" s="2">
        <f t="shared" si="77"/>
        <v>45322.041666666664</v>
      </c>
      <c r="C723" t="s">
        <v>1926</v>
      </c>
      <c r="D723" t="s">
        <v>27</v>
      </c>
      <c r="E723" t="str">
        <f>PROPER(TRIM(CLEAN(Sales_Table[[#This Row],[Region]])))</f>
        <v>East</v>
      </c>
      <c r="F723" t="s">
        <v>78</v>
      </c>
      <c r="G723" t="str">
        <f t="shared" si="78"/>
        <v>Grocery</v>
      </c>
      <c r="H723" t="str">
        <f>PROPER(TRIM(CLEAN(Sales_Table[[#This Row],[Product Name]])))</f>
        <v>Laptop</v>
      </c>
      <c r="I723" t="s">
        <v>52</v>
      </c>
      <c r="J723" t="str">
        <f t="shared" si="79"/>
        <v>CUST0549</v>
      </c>
      <c r="K723" t="s">
        <v>1927</v>
      </c>
      <c r="L723" t="str">
        <f>PROPER(TRIM(CLEAN(Sales_Table[[#This Row],[Salesperson]])))</f>
        <v>Karthik</v>
      </c>
      <c r="M723" t="s">
        <v>70</v>
      </c>
      <c r="N723" t="str">
        <f t="shared" si="80"/>
        <v>Credit Card</v>
      </c>
      <c r="O723" t="s">
        <v>65</v>
      </c>
      <c r="P723">
        <f t="shared" si="81"/>
        <v>13</v>
      </c>
      <c r="Q723" t="s">
        <v>81</v>
      </c>
      <c r="R723">
        <f t="shared" si="82"/>
        <v>3789</v>
      </c>
      <c r="S723" t="s">
        <v>1928</v>
      </c>
      <c r="T723">
        <f t="shared" si="83"/>
        <v>49257</v>
      </c>
      <c r="U723">
        <f>YEAR(Sales_Table[[#This Row],[Date_clean]])</f>
        <v>2024</v>
      </c>
      <c r="V723" t="str">
        <f>TEXT(Sales_Table[[#This Row],[Date_clean]],"mmmm")</f>
        <v>January</v>
      </c>
      <c r="W723">
        <f>WEEKNUM(Sales_Table[[#This Row],[Date_clean]],2)</f>
        <v>5</v>
      </c>
      <c r="X723" t="str" cm="1">
        <f t="array" ref="X723">_xlfn.IFS(Sales_Table[[#This Row],[Revenue]]&gt;=50000,"High",Sales_Table[[#This Row],[Revenue]]&gt;=20000,"Medium",Sales_Table[[#This Row],[Revenue]]&lt;20000,"Low")</f>
        <v>Medium</v>
      </c>
      <c r="Y723" t="str">
        <f>IF(Sales_Table[[#This Row],[Payment Method_clean]]="cash","Offline","Online")</f>
        <v>Online</v>
      </c>
      <c r="Z723">
        <f>IFERROR(Sales_Table[[#This Row],[Revenue]],0)</f>
        <v>49257</v>
      </c>
    </row>
    <row r="724" spans="1:26" x14ac:dyDescent="0.3">
      <c r="A724">
        <v>723</v>
      </c>
      <c r="B724" s="2">
        <f t="shared" si="77"/>
        <v>45322.083333333336</v>
      </c>
      <c r="C724" t="s">
        <v>1929</v>
      </c>
      <c r="D724" t="s">
        <v>36</v>
      </c>
      <c r="E724" t="str">
        <f>PROPER(TRIM(CLEAN(Sales_Table[[#This Row],[Region]])))</f>
        <v>West</v>
      </c>
      <c r="F724" t="s">
        <v>37</v>
      </c>
      <c r="G724" t="str">
        <f t="shared" si="78"/>
        <v>Home Appliances</v>
      </c>
      <c r="H724" t="str">
        <f>PROPER(TRIM(CLEAN(Sales_Table[[#This Row],[Product Name]])))</f>
        <v>Men T-Shirt</v>
      </c>
      <c r="I724" t="s">
        <v>38</v>
      </c>
      <c r="J724" t="str">
        <f t="shared" si="79"/>
        <v>CUST0056</v>
      </c>
      <c r="K724" t="s">
        <v>419</v>
      </c>
      <c r="L724" t="str">
        <f>PROPER(TRIM(CLEAN(Sales_Table[[#This Row],[Salesperson]])))</f>
        <v>Karthik</v>
      </c>
      <c r="M724" t="s">
        <v>70</v>
      </c>
      <c r="N724" t="str">
        <f t="shared" si="80"/>
        <v>Credit Card</v>
      </c>
      <c r="O724" t="s">
        <v>65</v>
      </c>
      <c r="P724">
        <f t="shared" si="81"/>
        <v>8</v>
      </c>
      <c r="Q724" t="s">
        <v>42</v>
      </c>
      <c r="R724">
        <f t="shared" si="82"/>
        <v>4328</v>
      </c>
      <c r="S724" t="s">
        <v>673</v>
      </c>
      <c r="T724">
        <f t="shared" si="83"/>
        <v>34624</v>
      </c>
      <c r="U724">
        <f>YEAR(Sales_Table[[#This Row],[Date_clean]])</f>
        <v>2024</v>
      </c>
      <c r="V724" t="str">
        <f>TEXT(Sales_Table[[#This Row],[Date_clean]],"mmmm")</f>
        <v>January</v>
      </c>
      <c r="W724">
        <f>WEEKNUM(Sales_Table[[#This Row],[Date_clean]],2)</f>
        <v>5</v>
      </c>
      <c r="X724" t="str" cm="1">
        <f t="array" ref="X724">_xlfn.IFS(Sales_Table[[#This Row],[Revenue]]&gt;=50000,"High",Sales_Table[[#This Row],[Revenue]]&gt;=20000,"Medium",Sales_Table[[#This Row],[Revenue]]&lt;20000,"Low")</f>
        <v>Medium</v>
      </c>
      <c r="Y724" t="str">
        <f>IF(Sales_Table[[#This Row],[Payment Method_clean]]="cash","Offline","Online")</f>
        <v>Online</v>
      </c>
      <c r="Z724">
        <f>IFERROR(Sales_Table[[#This Row],[Revenue]],0)</f>
        <v>34624</v>
      </c>
    </row>
    <row r="725" spans="1:26" x14ac:dyDescent="0.3">
      <c r="A725">
        <v>724</v>
      </c>
      <c r="B725" s="2">
        <f t="shared" si="77"/>
        <v>45322.125</v>
      </c>
      <c r="C725" t="s">
        <v>1930</v>
      </c>
      <c r="D725" t="s">
        <v>45</v>
      </c>
      <c r="E725" t="str">
        <f>PROPER(TRIM(CLEAN(Sales_Table[[#This Row],[Region]])))</f>
        <v>North</v>
      </c>
      <c r="F725" t="s">
        <v>28</v>
      </c>
      <c r="G725" t="str">
        <f t="shared" si="78"/>
        <v>Clothing</v>
      </c>
      <c r="H725" t="str">
        <f>PROPER(TRIM(CLEAN(Sales_Table[[#This Row],[Product Name]])))</f>
        <v>Men T-Shirt</v>
      </c>
      <c r="I725" t="s">
        <v>38</v>
      </c>
      <c r="J725" t="str">
        <f t="shared" si="79"/>
        <v>CUST0443</v>
      </c>
      <c r="K725" t="s">
        <v>1931</v>
      </c>
      <c r="L725" t="str">
        <f>PROPER(TRIM(CLEAN(Sales_Table[[#This Row],[Salesperson]])))</f>
        <v>Suresh</v>
      </c>
      <c r="M725" t="s">
        <v>54</v>
      </c>
      <c r="N725" t="str">
        <f t="shared" si="80"/>
        <v>Cash</v>
      </c>
      <c r="O725" t="s">
        <v>32</v>
      </c>
      <c r="P725">
        <f t="shared" si="81"/>
        <v>11</v>
      </c>
      <c r="Q725" t="s">
        <v>97</v>
      </c>
      <c r="R725">
        <f t="shared" si="82"/>
        <v>4509</v>
      </c>
      <c r="S725" t="s">
        <v>1932</v>
      </c>
      <c r="T725">
        <f t="shared" si="83"/>
        <v>49599</v>
      </c>
      <c r="U725">
        <f>YEAR(Sales_Table[[#This Row],[Date_clean]])</f>
        <v>2024</v>
      </c>
      <c r="V725" t="str">
        <f>TEXT(Sales_Table[[#This Row],[Date_clean]],"mmmm")</f>
        <v>January</v>
      </c>
      <c r="W725">
        <f>WEEKNUM(Sales_Table[[#This Row],[Date_clean]],2)</f>
        <v>5</v>
      </c>
      <c r="X725" t="str" cm="1">
        <f t="array" ref="X725">_xlfn.IFS(Sales_Table[[#This Row],[Revenue]]&gt;=50000,"High",Sales_Table[[#This Row],[Revenue]]&gt;=20000,"Medium",Sales_Table[[#This Row],[Revenue]]&lt;20000,"Low")</f>
        <v>Medium</v>
      </c>
      <c r="Y725" t="str">
        <f>IF(Sales_Table[[#This Row],[Payment Method_clean]]="cash","Offline","Online")</f>
        <v>Offline</v>
      </c>
      <c r="Z725">
        <f>IFERROR(Sales_Table[[#This Row],[Revenue]],0)</f>
        <v>49599</v>
      </c>
    </row>
    <row r="726" spans="1:26" x14ac:dyDescent="0.3">
      <c r="A726">
        <v>725</v>
      </c>
      <c r="B726" s="2">
        <f t="shared" si="77"/>
        <v>45322.166666666664</v>
      </c>
      <c r="C726" t="s">
        <v>1933</v>
      </c>
      <c r="D726" t="s">
        <v>45</v>
      </c>
      <c r="E726" t="str">
        <f>PROPER(TRIM(CLEAN(Sales_Table[[#This Row],[Region]])))</f>
        <v>North</v>
      </c>
      <c r="F726" t="s">
        <v>78</v>
      </c>
      <c r="G726" t="str">
        <f t="shared" si="78"/>
        <v>Grocery</v>
      </c>
      <c r="H726" t="str">
        <f>PROPER(TRIM(CLEAN(Sales_Table[[#This Row],[Product Name]])))</f>
        <v>Washing Machine</v>
      </c>
      <c r="I726" t="s">
        <v>79</v>
      </c>
      <c r="J726" t="str">
        <f t="shared" si="79"/>
        <v>CUST0237</v>
      </c>
      <c r="K726" t="s">
        <v>240</v>
      </c>
      <c r="L726" t="str">
        <f>PROPER(TRIM(CLEAN(Sales_Table[[#This Row],[Salesperson]])))</f>
        <v>Suresh</v>
      </c>
      <c r="M726" t="s">
        <v>54</v>
      </c>
      <c r="N726" t="str">
        <f t="shared" si="80"/>
        <v>Net Banking</v>
      </c>
      <c r="O726" t="s">
        <v>60</v>
      </c>
      <c r="P726">
        <f t="shared" si="81"/>
        <v>6</v>
      </c>
      <c r="Q726" t="s">
        <v>75</v>
      </c>
      <c r="R726">
        <f t="shared" si="82"/>
        <v>690</v>
      </c>
      <c r="S726" t="s">
        <v>1934</v>
      </c>
      <c r="T726">
        <f t="shared" si="83"/>
        <v>4140</v>
      </c>
      <c r="U726">
        <f>YEAR(Sales_Table[[#This Row],[Date_clean]])</f>
        <v>2024</v>
      </c>
      <c r="V726" t="str">
        <f>TEXT(Sales_Table[[#This Row],[Date_clean]],"mmmm")</f>
        <v>January</v>
      </c>
      <c r="W726">
        <f>WEEKNUM(Sales_Table[[#This Row],[Date_clean]],2)</f>
        <v>5</v>
      </c>
      <c r="X726" t="str" cm="1">
        <f t="array" ref="X726">_xlfn.IFS(Sales_Table[[#This Row],[Revenue]]&gt;=50000,"High",Sales_Table[[#This Row],[Revenue]]&gt;=20000,"Medium",Sales_Table[[#This Row],[Revenue]]&lt;20000,"Low")</f>
        <v>Low</v>
      </c>
      <c r="Y726" t="str">
        <f>IF(Sales_Table[[#This Row],[Payment Method_clean]]="cash","Offline","Online")</f>
        <v>Online</v>
      </c>
      <c r="Z726">
        <f>IFERROR(Sales_Table[[#This Row],[Revenue]],0)</f>
        <v>4140</v>
      </c>
    </row>
    <row r="727" spans="1:26" x14ac:dyDescent="0.3">
      <c r="A727">
        <v>726</v>
      </c>
      <c r="B727" s="2">
        <f t="shared" si="77"/>
        <v>45322.208333333336</v>
      </c>
      <c r="C727" t="s">
        <v>1935</v>
      </c>
      <c r="D727" t="s">
        <v>45</v>
      </c>
      <c r="E727" t="str">
        <f>PROPER(TRIM(CLEAN(Sales_Table[[#This Row],[Region]])))</f>
        <v>North</v>
      </c>
      <c r="F727" t="s">
        <v>46</v>
      </c>
      <c r="G727" t="str">
        <f t="shared" si="78"/>
        <v>Electronics</v>
      </c>
      <c r="H727" t="str">
        <f>PROPER(TRIM(CLEAN(Sales_Table[[#This Row],[Product Name]])))</f>
        <v>Led Tv 42Inch</v>
      </c>
      <c r="I727" t="s">
        <v>58</v>
      </c>
      <c r="J727" t="str">
        <f t="shared" si="79"/>
        <v>CUST0197</v>
      </c>
      <c r="K727" t="s">
        <v>1936</v>
      </c>
      <c r="L727" t="str">
        <f>PROPER(TRIM(CLEAN(Sales_Table[[#This Row],[Salesperson]])))</f>
        <v>Rahul</v>
      </c>
      <c r="M727" t="s">
        <v>31</v>
      </c>
      <c r="N727" t="str">
        <f t="shared" si="80"/>
        <v>Cash</v>
      </c>
      <c r="O727" t="s">
        <v>32</v>
      </c>
      <c r="P727">
        <f t="shared" si="81"/>
        <v>11</v>
      </c>
      <c r="Q727" t="s">
        <v>97</v>
      </c>
      <c r="R727">
        <f t="shared" si="82"/>
        <v>1643</v>
      </c>
      <c r="S727" t="s">
        <v>1937</v>
      </c>
      <c r="T727">
        <f t="shared" si="83"/>
        <v>18073</v>
      </c>
      <c r="U727">
        <f>YEAR(Sales_Table[[#This Row],[Date_clean]])</f>
        <v>2024</v>
      </c>
      <c r="V727" t="str">
        <f>TEXT(Sales_Table[[#This Row],[Date_clean]],"mmmm")</f>
        <v>January</v>
      </c>
      <c r="W727">
        <f>WEEKNUM(Sales_Table[[#This Row],[Date_clean]],2)</f>
        <v>5</v>
      </c>
      <c r="X727" t="str" cm="1">
        <f t="array" ref="X727">_xlfn.IFS(Sales_Table[[#This Row],[Revenue]]&gt;=50000,"High",Sales_Table[[#This Row],[Revenue]]&gt;=20000,"Medium",Sales_Table[[#This Row],[Revenue]]&lt;20000,"Low")</f>
        <v>Low</v>
      </c>
      <c r="Y727" t="str">
        <f>IF(Sales_Table[[#This Row],[Payment Method_clean]]="cash","Offline","Online")</f>
        <v>Offline</v>
      </c>
      <c r="Z727">
        <f>IFERROR(Sales_Table[[#This Row],[Revenue]],0)</f>
        <v>18073</v>
      </c>
    </row>
    <row r="728" spans="1:26" x14ac:dyDescent="0.3">
      <c r="A728">
        <v>727</v>
      </c>
      <c r="B728" s="2">
        <f t="shared" si="77"/>
        <v>45322.25</v>
      </c>
      <c r="C728" t="s">
        <v>1938</v>
      </c>
      <c r="D728" t="s">
        <v>27</v>
      </c>
      <c r="E728" t="str">
        <f>PROPER(TRIM(CLEAN(Sales_Table[[#This Row],[Region]])))</f>
        <v>East</v>
      </c>
      <c r="F728" t="s">
        <v>37</v>
      </c>
      <c r="G728" t="str">
        <f t="shared" si="78"/>
        <v>Home Appliances</v>
      </c>
      <c r="H728" t="str">
        <f>PROPER(TRIM(CLEAN(Sales_Table[[#This Row],[Product Name]])))</f>
        <v>Men T-Shirt</v>
      </c>
      <c r="I728" t="s">
        <v>38</v>
      </c>
      <c r="J728" t="str">
        <f t="shared" si="79"/>
        <v>CUST0585</v>
      </c>
      <c r="K728" t="s">
        <v>1939</v>
      </c>
      <c r="L728" t="str">
        <f>PROPER(TRIM(CLEAN(Sales_Table[[#This Row],[Salesperson]])))</f>
        <v>Meena</v>
      </c>
      <c r="M728" t="s">
        <v>40</v>
      </c>
      <c r="N728" t="str">
        <f t="shared" si="80"/>
        <v>Upi</v>
      </c>
      <c r="O728" t="s">
        <v>48</v>
      </c>
      <c r="P728">
        <f t="shared" si="81"/>
        <v>3</v>
      </c>
      <c r="Q728" t="s">
        <v>66</v>
      </c>
      <c r="R728">
        <f t="shared" si="82"/>
        <v>3156</v>
      </c>
      <c r="S728" t="s">
        <v>1940</v>
      </c>
      <c r="T728">
        <f t="shared" si="83"/>
        <v>9468</v>
      </c>
      <c r="U728">
        <f>YEAR(Sales_Table[[#This Row],[Date_clean]])</f>
        <v>2024</v>
      </c>
      <c r="V728" t="str">
        <f>TEXT(Sales_Table[[#This Row],[Date_clean]],"mmmm")</f>
        <v>January</v>
      </c>
      <c r="W728">
        <f>WEEKNUM(Sales_Table[[#This Row],[Date_clean]],2)</f>
        <v>5</v>
      </c>
      <c r="X728" t="str" cm="1">
        <f t="array" ref="X728">_xlfn.IFS(Sales_Table[[#This Row],[Revenue]]&gt;=50000,"High",Sales_Table[[#This Row],[Revenue]]&gt;=20000,"Medium",Sales_Table[[#This Row],[Revenue]]&lt;20000,"Low")</f>
        <v>Low</v>
      </c>
      <c r="Y728" t="str">
        <f>IF(Sales_Table[[#This Row],[Payment Method_clean]]="cash","Offline","Online")</f>
        <v>Online</v>
      </c>
      <c r="Z728">
        <f>IFERROR(Sales_Table[[#This Row],[Revenue]],0)</f>
        <v>9468</v>
      </c>
    </row>
    <row r="729" spans="1:26" x14ac:dyDescent="0.3">
      <c r="A729">
        <v>728</v>
      </c>
      <c r="B729" s="2">
        <f t="shared" si="77"/>
        <v>45322.291666666664</v>
      </c>
      <c r="C729" t="s">
        <v>1941</v>
      </c>
      <c r="D729" t="s">
        <v>27</v>
      </c>
      <c r="E729" t="str">
        <f>PROPER(TRIM(CLEAN(Sales_Table[[#This Row],[Region]])))</f>
        <v>East</v>
      </c>
      <c r="F729" t="s">
        <v>78</v>
      </c>
      <c r="G729" t="str">
        <f t="shared" si="78"/>
        <v>Grocery</v>
      </c>
      <c r="H729" t="str">
        <f>PROPER(TRIM(CLEAN(Sales_Table[[#This Row],[Product Name]])))</f>
        <v>Laptop</v>
      </c>
      <c r="I729" t="s">
        <v>52</v>
      </c>
      <c r="J729" t="str">
        <f t="shared" si="79"/>
        <v>CUST0571</v>
      </c>
      <c r="K729" t="s">
        <v>162</v>
      </c>
      <c r="L729" t="str">
        <f>PROPER(TRIM(CLEAN(Sales_Table[[#This Row],[Salesperson]])))</f>
        <v>Meena</v>
      </c>
      <c r="M729" t="s">
        <v>40</v>
      </c>
      <c r="N729" t="str">
        <f t="shared" si="80"/>
        <v>Upi</v>
      </c>
      <c r="O729" t="s">
        <v>48</v>
      </c>
      <c r="P729">
        <f t="shared" si="81"/>
        <v>1</v>
      </c>
      <c r="Q729" t="s">
        <v>93</v>
      </c>
      <c r="R729">
        <f t="shared" si="82"/>
        <v>2306</v>
      </c>
      <c r="S729" t="s">
        <v>1942</v>
      </c>
      <c r="T729">
        <f t="shared" si="83"/>
        <v>2306</v>
      </c>
      <c r="U729">
        <f>YEAR(Sales_Table[[#This Row],[Date_clean]])</f>
        <v>2024</v>
      </c>
      <c r="V729" t="str">
        <f>TEXT(Sales_Table[[#This Row],[Date_clean]],"mmmm")</f>
        <v>January</v>
      </c>
      <c r="W729">
        <f>WEEKNUM(Sales_Table[[#This Row],[Date_clean]],2)</f>
        <v>5</v>
      </c>
      <c r="X729" t="str" cm="1">
        <f t="array" ref="X729">_xlfn.IFS(Sales_Table[[#This Row],[Revenue]]&gt;=50000,"High",Sales_Table[[#This Row],[Revenue]]&gt;=20000,"Medium",Sales_Table[[#This Row],[Revenue]]&lt;20000,"Low")</f>
        <v>Low</v>
      </c>
      <c r="Y729" t="str">
        <f>IF(Sales_Table[[#This Row],[Payment Method_clean]]="cash","Offline","Online")</f>
        <v>Online</v>
      </c>
      <c r="Z729">
        <f>IFERROR(Sales_Table[[#This Row],[Revenue]],0)</f>
        <v>2306</v>
      </c>
    </row>
    <row r="730" spans="1:26" x14ac:dyDescent="0.3">
      <c r="A730">
        <v>729</v>
      </c>
      <c r="B730" s="2">
        <f t="shared" si="77"/>
        <v>45322.333333333336</v>
      </c>
      <c r="C730" t="s">
        <v>1943</v>
      </c>
      <c r="D730" t="s">
        <v>45</v>
      </c>
      <c r="E730" t="str">
        <f>PROPER(TRIM(CLEAN(Sales_Table[[#This Row],[Region]])))</f>
        <v>North</v>
      </c>
      <c r="F730" t="s">
        <v>28</v>
      </c>
      <c r="G730" t="str">
        <f t="shared" si="78"/>
        <v>Clothing</v>
      </c>
      <c r="H730" t="str">
        <f>PROPER(TRIM(CLEAN(Sales_Table[[#This Row],[Product Name]])))</f>
        <v>Washing Machine</v>
      </c>
      <c r="I730" t="s">
        <v>79</v>
      </c>
      <c r="J730" t="str">
        <f t="shared" si="79"/>
        <v>CUST0752</v>
      </c>
      <c r="K730" t="s">
        <v>1944</v>
      </c>
      <c r="L730" t="str">
        <f>PROPER(TRIM(CLEAN(Sales_Table[[#This Row],[Salesperson]])))</f>
        <v>Rahul</v>
      </c>
      <c r="M730" t="s">
        <v>31</v>
      </c>
      <c r="N730" t="str">
        <f t="shared" si="80"/>
        <v>Net Banking</v>
      </c>
      <c r="O730" t="s">
        <v>60</v>
      </c>
      <c r="P730">
        <f t="shared" si="81"/>
        <v>2</v>
      </c>
      <c r="Q730" t="s">
        <v>196</v>
      </c>
      <c r="R730">
        <f t="shared" si="82"/>
        <v>3439</v>
      </c>
      <c r="S730" t="s">
        <v>611</v>
      </c>
      <c r="T730">
        <f t="shared" si="83"/>
        <v>6878</v>
      </c>
      <c r="U730">
        <f>YEAR(Sales_Table[[#This Row],[Date_clean]])</f>
        <v>2024</v>
      </c>
      <c r="V730" t="str">
        <f>TEXT(Sales_Table[[#This Row],[Date_clean]],"mmmm")</f>
        <v>January</v>
      </c>
      <c r="W730">
        <f>WEEKNUM(Sales_Table[[#This Row],[Date_clean]],2)</f>
        <v>5</v>
      </c>
      <c r="X730" t="str" cm="1">
        <f t="array" ref="X730">_xlfn.IFS(Sales_Table[[#This Row],[Revenue]]&gt;=50000,"High",Sales_Table[[#This Row],[Revenue]]&gt;=20000,"Medium",Sales_Table[[#This Row],[Revenue]]&lt;20000,"Low")</f>
        <v>Low</v>
      </c>
      <c r="Y730" t="str">
        <f>IF(Sales_Table[[#This Row],[Payment Method_clean]]="cash","Offline","Online")</f>
        <v>Online</v>
      </c>
      <c r="Z730">
        <f>IFERROR(Sales_Table[[#This Row],[Revenue]],0)</f>
        <v>6878</v>
      </c>
    </row>
    <row r="731" spans="1:26" x14ac:dyDescent="0.3">
      <c r="A731">
        <v>730</v>
      </c>
      <c r="B731" s="2">
        <f t="shared" si="77"/>
        <v>45322.375</v>
      </c>
      <c r="C731" t="s">
        <v>1945</v>
      </c>
      <c r="D731" t="s">
        <v>36</v>
      </c>
      <c r="E731" t="str">
        <f>PROPER(TRIM(CLEAN(Sales_Table[[#This Row],[Region]])))</f>
        <v>West</v>
      </c>
      <c r="F731" t="s">
        <v>78</v>
      </c>
      <c r="G731" t="str">
        <f t="shared" si="78"/>
        <v>Grocery</v>
      </c>
      <c r="H731" t="str">
        <f>PROPER(TRIM(CLEAN(Sales_Table[[#This Row],[Product Name]])))</f>
        <v>Mixer Grinder</v>
      </c>
      <c r="I731" t="s">
        <v>29</v>
      </c>
      <c r="J731" t="str">
        <f t="shared" si="79"/>
        <v>CUST0514</v>
      </c>
      <c r="K731" t="s">
        <v>276</v>
      </c>
      <c r="L731" t="str">
        <f>PROPER(TRIM(CLEAN(Sales_Table[[#This Row],[Salesperson]])))</f>
        <v>Meena</v>
      </c>
      <c r="M731" t="s">
        <v>40</v>
      </c>
      <c r="N731" t="str">
        <f t="shared" si="80"/>
        <v>Upi</v>
      </c>
      <c r="O731" t="s">
        <v>48</v>
      </c>
      <c r="P731">
        <f t="shared" si="81"/>
        <v>5</v>
      </c>
      <c r="Q731" t="s">
        <v>89</v>
      </c>
      <c r="R731">
        <f t="shared" si="82"/>
        <v>2808</v>
      </c>
      <c r="S731" t="s">
        <v>1946</v>
      </c>
      <c r="T731">
        <f t="shared" si="83"/>
        <v>14040</v>
      </c>
      <c r="U731">
        <f>YEAR(Sales_Table[[#This Row],[Date_clean]])</f>
        <v>2024</v>
      </c>
      <c r="V731" t="str">
        <f>TEXT(Sales_Table[[#This Row],[Date_clean]],"mmmm")</f>
        <v>January</v>
      </c>
      <c r="W731">
        <f>WEEKNUM(Sales_Table[[#This Row],[Date_clean]],2)</f>
        <v>5</v>
      </c>
      <c r="X731" t="str" cm="1">
        <f t="array" ref="X731">_xlfn.IFS(Sales_Table[[#This Row],[Revenue]]&gt;=50000,"High",Sales_Table[[#This Row],[Revenue]]&gt;=20000,"Medium",Sales_Table[[#This Row],[Revenue]]&lt;20000,"Low")</f>
        <v>Low</v>
      </c>
      <c r="Y731" t="str">
        <f>IF(Sales_Table[[#This Row],[Payment Method_clean]]="cash","Offline","Online")</f>
        <v>Online</v>
      </c>
      <c r="Z731">
        <f>IFERROR(Sales_Table[[#This Row],[Revenue]],0)</f>
        <v>14040</v>
      </c>
    </row>
    <row r="732" spans="1:26" x14ac:dyDescent="0.3">
      <c r="A732">
        <v>731</v>
      </c>
      <c r="B732" s="2">
        <f t="shared" si="77"/>
        <v>45322.416666666664</v>
      </c>
      <c r="C732" t="s">
        <v>1947</v>
      </c>
      <c r="D732" t="s">
        <v>27</v>
      </c>
      <c r="E732" t="str">
        <f>PROPER(TRIM(CLEAN(Sales_Table[[#This Row],[Region]])))</f>
        <v>East</v>
      </c>
      <c r="F732" t="s">
        <v>28</v>
      </c>
      <c r="G732" t="str">
        <f t="shared" si="78"/>
        <v>Clothing</v>
      </c>
      <c r="H732" t="str">
        <f>PROPER(TRIM(CLEAN(Sales_Table[[#This Row],[Product Name]])))</f>
        <v>Laptop</v>
      </c>
      <c r="I732" t="s">
        <v>52</v>
      </c>
      <c r="J732" t="str">
        <f t="shared" si="79"/>
        <v>CUST0449</v>
      </c>
      <c r="K732" t="s">
        <v>1948</v>
      </c>
      <c r="L732" t="str">
        <f>PROPER(TRIM(CLEAN(Sales_Table[[#This Row],[Salesperson]])))</f>
        <v>Anita</v>
      </c>
      <c r="M732" t="s">
        <v>64</v>
      </c>
      <c r="N732" t="str">
        <f t="shared" si="80"/>
        <v>Credit Card</v>
      </c>
      <c r="O732" t="s">
        <v>65</v>
      </c>
      <c r="P732">
        <f t="shared" si="81"/>
        <v>13</v>
      </c>
      <c r="Q732" t="s">
        <v>81</v>
      </c>
      <c r="R732">
        <f t="shared" si="82"/>
        <v>4129</v>
      </c>
      <c r="S732" t="s">
        <v>1949</v>
      </c>
      <c r="T732">
        <f t="shared" si="83"/>
        <v>53677</v>
      </c>
      <c r="U732">
        <f>YEAR(Sales_Table[[#This Row],[Date_clean]])</f>
        <v>2024</v>
      </c>
      <c r="V732" t="str">
        <f>TEXT(Sales_Table[[#This Row],[Date_clean]],"mmmm")</f>
        <v>January</v>
      </c>
      <c r="W732">
        <f>WEEKNUM(Sales_Table[[#This Row],[Date_clean]],2)</f>
        <v>5</v>
      </c>
      <c r="X732" t="str" cm="1">
        <f t="array" ref="X732">_xlfn.IFS(Sales_Table[[#This Row],[Revenue]]&gt;=50000,"High",Sales_Table[[#This Row],[Revenue]]&gt;=20000,"Medium",Sales_Table[[#This Row],[Revenue]]&lt;20000,"Low")</f>
        <v>High</v>
      </c>
      <c r="Y732" t="str">
        <f>IF(Sales_Table[[#This Row],[Payment Method_clean]]="cash","Offline","Online")</f>
        <v>Online</v>
      </c>
      <c r="Z732">
        <f>IFERROR(Sales_Table[[#This Row],[Revenue]],0)</f>
        <v>53677</v>
      </c>
    </row>
    <row r="733" spans="1:26" x14ac:dyDescent="0.3">
      <c r="A733">
        <v>732</v>
      </c>
      <c r="B733" s="2">
        <f t="shared" si="77"/>
        <v>45322.458333333336</v>
      </c>
      <c r="C733" t="s">
        <v>1950</v>
      </c>
      <c r="D733" t="s">
        <v>45</v>
      </c>
      <c r="E733" t="str">
        <f>PROPER(TRIM(CLEAN(Sales_Table[[#This Row],[Region]])))</f>
        <v>North</v>
      </c>
      <c r="F733" t="s">
        <v>46</v>
      </c>
      <c r="G733" t="str">
        <f t="shared" si="78"/>
        <v>Electronics</v>
      </c>
      <c r="H733" t="str">
        <f>PROPER(TRIM(CLEAN(Sales_Table[[#This Row],[Product Name]])))</f>
        <v>Washing Machine</v>
      </c>
      <c r="I733" t="s">
        <v>79</v>
      </c>
      <c r="J733" t="str">
        <f t="shared" si="79"/>
        <v>CUST0360</v>
      </c>
      <c r="K733" t="s">
        <v>971</v>
      </c>
      <c r="L733" t="str">
        <f>PROPER(TRIM(CLEAN(Sales_Table[[#This Row],[Salesperson]])))</f>
        <v>Meena</v>
      </c>
      <c r="M733" t="s">
        <v>40</v>
      </c>
      <c r="N733" t="str">
        <f t="shared" si="80"/>
        <v>Cash</v>
      </c>
      <c r="O733" t="s">
        <v>32</v>
      </c>
      <c r="P733">
        <f t="shared" si="81"/>
        <v>10</v>
      </c>
      <c r="Q733" t="s">
        <v>117</v>
      </c>
      <c r="R733">
        <f t="shared" si="82"/>
        <v>847</v>
      </c>
      <c r="S733" t="s">
        <v>1951</v>
      </c>
      <c r="T733">
        <f t="shared" si="83"/>
        <v>8470</v>
      </c>
      <c r="U733">
        <f>YEAR(Sales_Table[[#This Row],[Date_clean]])</f>
        <v>2024</v>
      </c>
      <c r="V733" t="str">
        <f>TEXT(Sales_Table[[#This Row],[Date_clean]],"mmmm")</f>
        <v>January</v>
      </c>
      <c r="W733">
        <f>WEEKNUM(Sales_Table[[#This Row],[Date_clean]],2)</f>
        <v>5</v>
      </c>
      <c r="X733" t="str" cm="1">
        <f t="array" ref="X733">_xlfn.IFS(Sales_Table[[#This Row],[Revenue]]&gt;=50000,"High",Sales_Table[[#This Row],[Revenue]]&gt;=20000,"Medium",Sales_Table[[#This Row],[Revenue]]&lt;20000,"Low")</f>
        <v>Low</v>
      </c>
      <c r="Y733" t="str">
        <f>IF(Sales_Table[[#This Row],[Payment Method_clean]]="cash","Offline","Online")</f>
        <v>Offline</v>
      </c>
      <c r="Z733">
        <f>IFERROR(Sales_Table[[#This Row],[Revenue]],0)</f>
        <v>8470</v>
      </c>
    </row>
    <row r="734" spans="1:26" x14ac:dyDescent="0.3">
      <c r="A734">
        <v>733</v>
      </c>
      <c r="B734" s="2">
        <f t="shared" si="77"/>
        <v>45322.5</v>
      </c>
      <c r="C734" t="s">
        <v>1952</v>
      </c>
      <c r="D734" t="s">
        <v>45</v>
      </c>
      <c r="E734" t="str">
        <f>PROPER(TRIM(CLEAN(Sales_Table[[#This Row],[Region]])))</f>
        <v>North</v>
      </c>
      <c r="F734" t="s">
        <v>37</v>
      </c>
      <c r="G734" t="str">
        <f t="shared" si="78"/>
        <v>Home Appliances</v>
      </c>
      <c r="H734" t="str">
        <f>PROPER(TRIM(CLEAN(Sales_Table[[#This Row],[Product Name]])))</f>
        <v>Laptop</v>
      </c>
      <c r="I734" t="s">
        <v>52</v>
      </c>
      <c r="J734" t="str">
        <f t="shared" si="79"/>
        <v>CUST0700</v>
      </c>
      <c r="K734" t="s">
        <v>1680</v>
      </c>
      <c r="L734" t="str">
        <f>PROPER(TRIM(CLEAN(Sales_Table[[#This Row],[Salesperson]])))</f>
        <v>Rahul</v>
      </c>
      <c r="M734" t="s">
        <v>31</v>
      </c>
      <c r="N734" t="str">
        <f t="shared" si="80"/>
        <v>Credit Card</v>
      </c>
      <c r="O734" t="s">
        <v>65</v>
      </c>
      <c r="P734">
        <f t="shared" si="81"/>
        <v>5</v>
      </c>
      <c r="Q734" t="s">
        <v>89</v>
      </c>
      <c r="R734">
        <f t="shared" si="82"/>
        <v>900</v>
      </c>
      <c r="S734" t="s">
        <v>1953</v>
      </c>
      <c r="T734">
        <f t="shared" si="83"/>
        <v>4500</v>
      </c>
      <c r="U734">
        <f>YEAR(Sales_Table[[#This Row],[Date_clean]])</f>
        <v>2024</v>
      </c>
      <c r="V734" t="str">
        <f>TEXT(Sales_Table[[#This Row],[Date_clean]],"mmmm")</f>
        <v>January</v>
      </c>
      <c r="W734">
        <f>WEEKNUM(Sales_Table[[#This Row],[Date_clean]],2)</f>
        <v>5</v>
      </c>
      <c r="X734" t="str" cm="1">
        <f t="array" ref="X734">_xlfn.IFS(Sales_Table[[#This Row],[Revenue]]&gt;=50000,"High",Sales_Table[[#This Row],[Revenue]]&gt;=20000,"Medium",Sales_Table[[#This Row],[Revenue]]&lt;20000,"Low")</f>
        <v>Low</v>
      </c>
      <c r="Y734" t="str">
        <f>IF(Sales_Table[[#This Row],[Payment Method_clean]]="cash","Offline","Online")</f>
        <v>Online</v>
      </c>
      <c r="Z734">
        <f>IFERROR(Sales_Table[[#This Row],[Revenue]],0)</f>
        <v>4500</v>
      </c>
    </row>
    <row r="735" spans="1:26" x14ac:dyDescent="0.3">
      <c r="A735">
        <v>734</v>
      </c>
      <c r="B735" s="2">
        <f t="shared" si="77"/>
        <v>45322.541666666664</v>
      </c>
      <c r="C735" t="s">
        <v>1954</v>
      </c>
      <c r="D735" t="s">
        <v>36</v>
      </c>
      <c r="E735" t="str">
        <f>PROPER(TRIM(CLEAN(Sales_Table[[#This Row],[Region]])))</f>
        <v>West</v>
      </c>
      <c r="F735" t="s">
        <v>37</v>
      </c>
      <c r="G735" t="str">
        <f t="shared" si="78"/>
        <v>Home Appliances</v>
      </c>
      <c r="H735" t="str">
        <f>PROPER(TRIM(CLEAN(Sales_Table[[#This Row],[Product Name]])))</f>
        <v>Men T-Shirt</v>
      </c>
      <c r="I735" t="s">
        <v>38</v>
      </c>
      <c r="J735" t="str">
        <f t="shared" si="79"/>
        <v>CUST0030</v>
      </c>
      <c r="K735" t="s">
        <v>1955</v>
      </c>
      <c r="L735" t="str">
        <f>PROPER(TRIM(CLEAN(Sales_Table[[#This Row],[Salesperson]])))</f>
        <v>Meena</v>
      </c>
      <c r="M735" t="s">
        <v>40</v>
      </c>
      <c r="N735" t="str">
        <f t="shared" si="80"/>
        <v>Upi</v>
      </c>
      <c r="O735" t="s">
        <v>48</v>
      </c>
      <c r="P735">
        <f t="shared" si="81"/>
        <v>10</v>
      </c>
      <c r="Q735" t="s">
        <v>117</v>
      </c>
      <c r="R735">
        <f t="shared" si="82"/>
        <v>1597</v>
      </c>
      <c r="S735" t="s">
        <v>1956</v>
      </c>
      <c r="T735">
        <f t="shared" si="83"/>
        <v>15970</v>
      </c>
      <c r="U735">
        <f>YEAR(Sales_Table[[#This Row],[Date_clean]])</f>
        <v>2024</v>
      </c>
      <c r="V735" t="str">
        <f>TEXT(Sales_Table[[#This Row],[Date_clean]],"mmmm")</f>
        <v>January</v>
      </c>
      <c r="W735">
        <f>WEEKNUM(Sales_Table[[#This Row],[Date_clean]],2)</f>
        <v>5</v>
      </c>
      <c r="X735" t="str" cm="1">
        <f t="array" ref="X735">_xlfn.IFS(Sales_Table[[#This Row],[Revenue]]&gt;=50000,"High",Sales_Table[[#This Row],[Revenue]]&gt;=20000,"Medium",Sales_Table[[#This Row],[Revenue]]&lt;20000,"Low")</f>
        <v>Low</v>
      </c>
      <c r="Y735" t="str">
        <f>IF(Sales_Table[[#This Row],[Payment Method_clean]]="cash","Offline","Online")</f>
        <v>Online</v>
      </c>
      <c r="Z735">
        <f>IFERROR(Sales_Table[[#This Row],[Revenue]],0)</f>
        <v>15970</v>
      </c>
    </row>
    <row r="736" spans="1:26" x14ac:dyDescent="0.3">
      <c r="A736">
        <v>735</v>
      </c>
      <c r="B736" s="2">
        <f t="shared" si="77"/>
        <v>45322.583333333336</v>
      </c>
      <c r="C736" t="s">
        <v>1957</v>
      </c>
      <c r="D736" t="s">
        <v>84</v>
      </c>
      <c r="E736" t="str">
        <f>PROPER(TRIM(CLEAN(Sales_Table[[#This Row],[Region]])))</f>
        <v>South</v>
      </c>
      <c r="F736" t="s">
        <v>37</v>
      </c>
      <c r="G736" t="str">
        <f t="shared" si="78"/>
        <v>Home Appliances</v>
      </c>
      <c r="H736" t="str">
        <f>PROPER(TRIM(CLEAN(Sales_Table[[#This Row],[Product Name]])))</f>
        <v>Mixer Grinder</v>
      </c>
      <c r="I736" t="s">
        <v>29</v>
      </c>
      <c r="J736" t="str">
        <f t="shared" si="79"/>
        <v>CUST0779</v>
      </c>
      <c r="K736" t="s">
        <v>1958</v>
      </c>
      <c r="L736" t="str">
        <f>PROPER(TRIM(CLEAN(Sales_Table[[#This Row],[Salesperson]])))</f>
        <v>Karthik</v>
      </c>
      <c r="M736" t="s">
        <v>70</v>
      </c>
      <c r="N736" t="str">
        <f t="shared" si="80"/>
        <v>Cash</v>
      </c>
      <c r="O736" t="s">
        <v>32</v>
      </c>
      <c r="P736">
        <f t="shared" si="81"/>
        <v>14</v>
      </c>
      <c r="Q736" t="s">
        <v>55</v>
      </c>
      <c r="R736">
        <f t="shared" si="82"/>
        <v>1479</v>
      </c>
      <c r="S736" t="s">
        <v>1959</v>
      </c>
      <c r="T736">
        <f t="shared" si="83"/>
        <v>20706</v>
      </c>
      <c r="U736">
        <f>YEAR(Sales_Table[[#This Row],[Date_clean]])</f>
        <v>2024</v>
      </c>
      <c r="V736" t="str">
        <f>TEXT(Sales_Table[[#This Row],[Date_clean]],"mmmm")</f>
        <v>January</v>
      </c>
      <c r="W736">
        <f>WEEKNUM(Sales_Table[[#This Row],[Date_clean]],2)</f>
        <v>5</v>
      </c>
      <c r="X736" t="str" cm="1">
        <f t="array" ref="X736">_xlfn.IFS(Sales_Table[[#This Row],[Revenue]]&gt;=50000,"High",Sales_Table[[#This Row],[Revenue]]&gt;=20000,"Medium",Sales_Table[[#This Row],[Revenue]]&lt;20000,"Low")</f>
        <v>Medium</v>
      </c>
      <c r="Y736" t="str">
        <f>IF(Sales_Table[[#This Row],[Payment Method_clean]]="cash","Offline","Online")</f>
        <v>Offline</v>
      </c>
      <c r="Z736">
        <f>IFERROR(Sales_Table[[#This Row],[Revenue]],0)</f>
        <v>20706</v>
      </c>
    </row>
    <row r="737" spans="1:26" x14ac:dyDescent="0.3">
      <c r="A737">
        <v>736</v>
      </c>
      <c r="B737" s="2">
        <f t="shared" si="77"/>
        <v>45322.625</v>
      </c>
      <c r="C737" t="s">
        <v>1960</v>
      </c>
      <c r="D737" t="s">
        <v>27</v>
      </c>
      <c r="E737" t="str">
        <f>PROPER(TRIM(CLEAN(Sales_Table[[#This Row],[Region]])))</f>
        <v>East</v>
      </c>
      <c r="F737" t="s">
        <v>46</v>
      </c>
      <c r="G737" t="str">
        <f t="shared" si="78"/>
        <v>Electronics</v>
      </c>
      <c r="H737" t="str">
        <f>PROPER(TRIM(CLEAN(Sales_Table[[#This Row],[Product Name]])))</f>
        <v>Washing Machine</v>
      </c>
      <c r="I737" t="s">
        <v>79</v>
      </c>
      <c r="J737" t="str">
        <f t="shared" si="79"/>
        <v>CUST0108</v>
      </c>
      <c r="K737" t="s">
        <v>1961</v>
      </c>
      <c r="L737" t="str">
        <f>PROPER(TRIM(CLEAN(Sales_Table[[#This Row],[Salesperson]])))</f>
        <v>Suresh</v>
      </c>
      <c r="M737" t="s">
        <v>54</v>
      </c>
      <c r="N737" t="str">
        <f t="shared" si="80"/>
        <v>Credit Card</v>
      </c>
      <c r="O737" t="s">
        <v>65</v>
      </c>
      <c r="P737">
        <f t="shared" si="81"/>
        <v>1</v>
      </c>
      <c r="Q737" t="s">
        <v>93</v>
      </c>
      <c r="R737">
        <f t="shared" si="82"/>
        <v>779</v>
      </c>
      <c r="S737" t="s">
        <v>1962</v>
      </c>
      <c r="T737">
        <f t="shared" si="83"/>
        <v>779</v>
      </c>
      <c r="U737">
        <f>YEAR(Sales_Table[[#This Row],[Date_clean]])</f>
        <v>2024</v>
      </c>
      <c r="V737" t="str">
        <f>TEXT(Sales_Table[[#This Row],[Date_clean]],"mmmm")</f>
        <v>January</v>
      </c>
      <c r="W737">
        <f>WEEKNUM(Sales_Table[[#This Row],[Date_clean]],2)</f>
        <v>5</v>
      </c>
      <c r="X737" t="str" cm="1">
        <f t="array" ref="X737">_xlfn.IFS(Sales_Table[[#This Row],[Revenue]]&gt;=50000,"High",Sales_Table[[#This Row],[Revenue]]&gt;=20000,"Medium",Sales_Table[[#This Row],[Revenue]]&lt;20000,"Low")</f>
        <v>Low</v>
      </c>
      <c r="Y737" t="str">
        <f>IF(Sales_Table[[#This Row],[Payment Method_clean]]="cash","Offline","Online")</f>
        <v>Online</v>
      </c>
      <c r="Z737">
        <f>IFERROR(Sales_Table[[#This Row],[Revenue]],0)</f>
        <v>779</v>
      </c>
    </row>
    <row r="738" spans="1:26" x14ac:dyDescent="0.3">
      <c r="A738">
        <v>737</v>
      </c>
      <c r="B738" s="2">
        <f t="shared" si="77"/>
        <v>45322.666666666664</v>
      </c>
      <c r="C738" t="s">
        <v>1963</v>
      </c>
      <c r="D738" t="s">
        <v>36</v>
      </c>
      <c r="E738" t="str">
        <f>PROPER(TRIM(CLEAN(Sales_Table[[#This Row],[Region]])))</f>
        <v>West</v>
      </c>
      <c r="F738" t="s">
        <v>28</v>
      </c>
      <c r="G738" t="str">
        <f t="shared" si="78"/>
        <v>Clothing</v>
      </c>
      <c r="H738" t="str">
        <f>PROPER(TRIM(CLEAN(Sales_Table[[#This Row],[Product Name]])))</f>
        <v>Rice 5Kg</v>
      </c>
      <c r="I738" t="s">
        <v>73</v>
      </c>
      <c r="J738" t="str">
        <f t="shared" si="79"/>
        <v>CUST0602</v>
      </c>
      <c r="K738" t="s">
        <v>1964</v>
      </c>
      <c r="L738" t="str">
        <f>PROPER(TRIM(CLEAN(Sales_Table[[#This Row],[Salesperson]])))</f>
        <v>Anita</v>
      </c>
      <c r="M738" t="s">
        <v>64</v>
      </c>
      <c r="N738" t="str">
        <f t="shared" si="80"/>
        <v>Net Banking</v>
      </c>
      <c r="O738" t="s">
        <v>60</v>
      </c>
      <c r="P738">
        <f t="shared" si="81"/>
        <v>1</v>
      </c>
      <c r="Q738" t="s">
        <v>93</v>
      </c>
      <c r="R738">
        <f t="shared" si="82"/>
        <v>3870</v>
      </c>
      <c r="S738" t="s">
        <v>1965</v>
      </c>
      <c r="T738">
        <f t="shared" si="83"/>
        <v>3870</v>
      </c>
      <c r="U738">
        <f>YEAR(Sales_Table[[#This Row],[Date_clean]])</f>
        <v>2024</v>
      </c>
      <c r="V738" t="str">
        <f>TEXT(Sales_Table[[#This Row],[Date_clean]],"mmmm")</f>
        <v>January</v>
      </c>
      <c r="W738">
        <f>WEEKNUM(Sales_Table[[#This Row],[Date_clean]],2)</f>
        <v>5</v>
      </c>
      <c r="X738" t="str" cm="1">
        <f t="array" ref="X738">_xlfn.IFS(Sales_Table[[#This Row],[Revenue]]&gt;=50000,"High",Sales_Table[[#This Row],[Revenue]]&gt;=20000,"Medium",Sales_Table[[#This Row],[Revenue]]&lt;20000,"Low")</f>
        <v>Low</v>
      </c>
      <c r="Y738" t="str">
        <f>IF(Sales_Table[[#This Row],[Payment Method_clean]]="cash","Offline","Online")</f>
        <v>Online</v>
      </c>
      <c r="Z738">
        <f>IFERROR(Sales_Table[[#This Row],[Revenue]],0)</f>
        <v>3870</v>
      </c>
    </row>
    <row r="739" spans="1:26" x14ac:dyDescent="0.3">
      <c r="A739">
        <v>738</v>
      </c>
      <c r="B739" s="2">
        <f t="shared" si="77"/>
        <v>45322.708333333336</v>
      </c>
      <c r="C739" t="s">
        <v>1966</v>
      </c>
      <c r="D739" t="s">
        <v>45</v>
      </c>
      <c r="E739" t="str">
        <f>PROPER(TRIM(CLEAN(Sales_Table[[#This Row],[Region]])))</f>
        <v>North</v>
      </c>
      <c r="F739" t="s">
        <v>46</v>
      </c>
      <c r="G739" t="str">
        <f t="shared" si="78"/>
        <v>Electronics</v>
      </c>
      <c r="H739" t="str">
        <f>PROPER(TRIM(CLEAN(Sales_Table[[#This Row],[Product Name]])))</f>
        <v>Mixer Grinder</v>
      </c>
      <c r="I739" t="s">
        <v>29</v>
      </c>
      <c r="J739" t="str">
        <f t="shared" si="79"/>
        <v>CUST0717</v>
      </c>
      <c r="K739" t="s">
        <v>1370</v>
      </c>
      <c r="L739" t="str">
        <f>PROPER(TRIM(CLEAN(Sales_Table[[#This Row],[Salesperson]])))</f>
        <v>Karthik</v>
      </c>
      <c r="M739" t="s">
        <v>70</v>
      </c>
      <c r="N739" t="str">
        <f t="shared" si="80"/>
        <v>Credit Card</v>
      </c>
      <c r="O739" t="s">
        <v>65</v>
      </c>
      <c r="P739">
        <f t="shared" si="81"/>
        <v>9</v>
      </c>
      <c r="Q739" t="s">
        <v>130</v>
      </c>
      <c r="R739">
        <f t="shared" si="82"/>
        <v>3442</v>
      </c>
      <c r="S739" t="s">
        <v>1967</v>
      </c>
      <c r="T739">
        <f t="shared" si="83"/>
        <v>30978</v>
      </c>
      <c r="U739">
        <f>YEAR(Sales_Table[[#This Row],[Date_clean]])</f>
        <v>2024</v>
      </c>
      <c r="V739" t="str">
        <f>TEXT(Sales_Table[[#This Row],[Date_clean]],"mmmm")</f>
        <v>January</v>
      </c>
      <c r="W739">
        <f>WEEKNUM(Sales_Table[[#This Row],[Date_clean]],2)</f>
        <v>5</v>
      </c>
      <c r="X739" t="str" cm="1">
        <f t="array" ref="X739">_xlfn.IFS(Sales_Table[[#This Row],[Revenue]]&gt;=50000,"High",Sales_Table[[#This Row],[Revenue]]&gt;=20000,"Medium",Sales_Table[[#This Row],[Revenue]]&lt;20000,"Low")</f>
        <v>Medium</v>
      </c>
      <c r="Y739" t="str">
        <f>IF(Sales_Table[[#This Row],[Payment Method_clean]]="cash","Offline","Online")</f>
        <v>Online</v>
      </c>
      <c r="Z739">
        <f>IFERROR(Sales_Table[[#This Row],[Revenue]],0)</f>
        <v>30978</v>
      </c>
    </row>
    <row r="740" spans="1:26" x14ac:dyDescent="0.3">
      <c r="A740">
        <v>739</v>
      </c>
      <c r="B740" s="2">
        <f t="shared" si="77"/>
        <v>45322.75</v>
      </c>
      <c r="C740" t="s">
        <v>1968</v>
      </c>
      <c r="D740" t="s">
        <v>45</v>
      </c>
      <c r="E740" t="str">
        <f>PROPER(TRIM(CLEAN(Sales_Table[[#This Row],[Region]])))</f>
        <v>North</v>
      </c>
      <c r="F740" t="s">
        <v>37</v>
      </c>
      <c r="G740" t="str">
        <f t="shared" si="78"/>
        <v>Home Appliances</v>
      </c>
      <c r="H740" t="str">
        <f>PROPER(TRIM(CLEAN(Sales_Table[[#This Row],[Product Name]])))</f>
        <v>Rice 5Kg</v>
      </c>
      <c r="I740" t="s">
        <v>73</v>
      </c>
      <c r="J740" t="str">
        <f t="shared" si="79"/>
        <v>CUST0445</v>
      </c>
      <c r="K740" t="s">
        <v>213</v>
      </c>
      <c r="L740" t="str">
        <f>PROPER(TRIM(CLEAN(Sales_Table[[#This Row],[Salesperson]])))</f>
        <v>Karthik</v>
      </c>
      <c r="M740" t="s">
        <v>70</v>
      </c>
      <c r="N740" t="str">
        <f t="shared" si="80"/>
        <v>Upi</v>
      </c>
      <c r="O740" t="s">
        <v>48</v>
      </c>
      <c r="P740">
        <f t="shared" si="81"/>
        <v>2</v>
      </c>
      <c r="Q740" t="s">
        <v>196</v>
      </c>
      <c r="R740">
        <f t="shared" si="82"/>
        <v>996</v>
      </c>
      <c r="S740" t="s">
        <v>1969</v>
      </c>
      <c r="T740">
        <f t="shared" si="83"/>
        <v>1992</v>
      </c>
      <c r="U740">
        <f>YEAR(Sales_Table[[#This Row],[Date_clean]])</f>
        <v>2024</v>
      </c>
      <c r="V740" t="str">
        <f>TEXT(Sales_Table[[#This Row],[Date_clean]],"mmmm")</f>
        <v>January</v>
      </c>
      <c r="W740">
        <f>WEEKNUM(Sales_Table[[#This Row],[Date_clean]],2)</f>
        <v>5</v>
      </c>
      <c r="X740" t="str" cm="1">
        <f t="array" ref="X740">_xlfn.IFS(Sales_Table[[#This Row],[Revenue]]&gt;=50000,"High",Sales_Table[[#This Row],[Revenue]]&gt;=20000,"Medium",Sales_Table[[#This Row],[Revenue]]&lt;20000,"Low")</f>
        <v>Low</v>
      </c>
      <c r="Y740" t="str">
        <f>IF(Sales_Table[[#This Row],[Payment Method_clean]]="cash","Offline","Online")</f>
        <v>Online</v>
      </c>
      <c r="Z740">
        <f>IFERROR(Sales_Table[[#This Row],[Revenue]],0)</f>
        <v>1992</v>
      </c>
    </row>
    <row r="741" spans="1:26" x14ac:dyDescent="0.3">
      <c r="A741">
        <v>740</v>
      </c>
      <c r="B741" s="2">
        <f t="shared" si="77"/>
        <v>45322.791666666664</v>
      </c>
      <c r="C741" t="s">
        <v>1970</v>
      </c>
      <c r="D741" t="s">
        <v>36</v>
      </c>
      <c r="E741" t="str">
        <f>PROPER(TRIM(CLEAN(Sales_Table[[#This Row],[Region]])))</f>
        <v>West</v>
      </c>
      <c r="F741" t="s">
        <v>46</v>
      </c>
      <c r="G741" t="str">
        <f t="shared" si="78"/>
        <v>Electronics</v>
      </c>
      <c r="H741" t="str">
        <f>PROPER(TRIM(CLEAN(Sales_Table[[#This Row],[Product Name]])))</f>
        <v>Laptop</v>
      </c>
      <c r="I741" t="s">
        <v>52</v>
      </c>
      <c r="J741" t="str">
        <f t="shared" si="79"/>
        <v>CUST0438</v>
      </c>
      <c r="K741" t="s">
        <v>796</v>
      </c>
      <c r="L741" t="str">
        <f>PROPER(TRIM(CLEAN(Sales_Table[[#This Row],[Salesperson]])))</f>
        <v>Rahul</v>
      </c>
      <c r="M741" t="s">
        <v>31</v>
      </c>
      <c r="N741" t="str">
        <f t="shared" si="80"/>
        <v>Cash</v>
      </c>
      <c r="O741" t="s">
        <v>32</v>
      </c>
      <c r="P741">
        <f t="shared" si="81"/>
        <v>7</v>
      </c>
      <c r="Q741" t="s">
        <v>49</v>
      </c>
      <c r="R741">
        <f t="shared" si="82"/>
        <v>1646</v>
      </c>
      <c r="S741" t="s">
        <v>1971</v>
      </c>
      <c r="T741">
        <f t="shared" si="83"/>
        <v>11522</v>
      </c>
      <c r="U741">
        <f>YEAR(Sales_Table[[#This Row],[Date_clean]])</f>
        <v>2024</v>
      </c>
      <c r="V741" t="str">
        <f>TEXT(Sales_Table[[#This Row],[Date_clean]],"mmmm")</f>
        <v>January</v>
      </c>
      <c r="W741">
        <f>WEEKNUM(Sales_Table[[#This Row],[Date_clean]],2)</f>
        <v>5</v>
      </c>
      <c r="X741" t="str" cm="1">
        <f t="array" ref="X741">_xlfn.IFS(Sales_Table[[#This Row],[Revenue]]&gt;=50000,"High",Sales_Table[[#This Row],[Revenue]]&gt;=20000,"Medium",Sales_Table[[#This Row],[Revenue]]&lt;20000,"Low")</f>
        <v>Low</v>
      </c>
      <c r="Y741" t="str">
        <f>IF(Sales_Table[[#This Row],[Payment Method_clean]]="cash","Offline","Online")</f>
        <v>Offline</v>
      </c>
      <c r="Z741">
        <f>IFERROR(Sales_Table[[#This Row],[Revenue]],0)</f>
        <v>11522</v>
      </c>
    </row>
    <row r="742" spans="1:26" x14ac:dyDescent="0.3">
      <c r="A742">
        <v>741</v>
      </c>
      <c r="B742" s="2">
        <f t="shared" si="77"/>
        <v>45322.833333333336</v>
      </c>
      <c r="C742" t="s">
        <v>1972</v>
      </c>
      <c r="D742" t="s">
        <v>27</v>
      </c>
      <c r="E742" t="str">
        <f>PROPER(TRIM(CLEAN(Sales_Table[[#This Row],[Region]])))</f>
        <v>East</v>
      </c>
      <c r="F742" t="s">
        <v>46</v>
      </c>
      <c r="G742" t="str">
        <f t="shared" si="78"/>
        <v>Electronics</v>
      </c>
      <c r="H742" t="str">
        <f>PROPER(TRIM(CLEAN(Sales_Table[[#This Row],[Product Name]])))</f>
        <v>Led Tv 42Inch</v>
      </c>
      <c r="I742" t="s">
        <v>58</v>
      </c>
      <c r="J742" t="str">
        <f t="shared" si="79"/>
        <v>CUST0732</v>
      </c>
      <c r="K742" t="s">
        <v>1973</v>
      </c>
      <c r="L742" t="str">
        <f>PROPER(TRIM(CLEAN(Sales_Table[[#This Row],[Salesperson]])))</f>
        <v>Suresh</v>
      </c>
      <c r="M742" t="s">
        <v>54</v>
      </c>
      <c r="N742" t="str">
        <f t="shared" si="80"/>
        <v>Net Banking</v>
      </c>
      <c r="O742" t="s">
        <v>60</v>
      </c>
      <c r="P742">
        <f t="shared" si="81"/>
        <v>10</v>
      </c>
      <c r="Q742" t="s">
        <v>117</v>
      </c>
      <c r="R742">
        <f t="shared" si="82"/>
        <v>3226</v>
      </c>
      <c r="S742" t="s">
        <v>1974</v>
      </c>
      <c r="T742">
        <f t="shared" si="83"/>
        <v>32260</v>
      </c>
      <c r="U742">
        <f>YEAR(Sales_Table[[#This Row],[Date_clean]])</f>
        <v>2024</v>
      </c>
      <c r="V742" t="str">
        <f>TEXT(Sales_Table[[#This Row],[Date_clean]],"mmmm")</f>
        <v>January</v>
      </c>
      <c r="W742">
        <f>WEEKNUM(Sales_Table[[#This Row],[Date_clean]],2)</f>
        <v>5</v>
      </c>
      <c r="X742" t="str" cm="1">
        <f t="array" ref="X742">_xlfn.IFS(Sales_Table[[#This Row],[Revenue]]&gt;=50000,"High",Sales_Table[[#This Row],[Revenue]]&gt;=20000,"Medium",Sales_Table[[#This Row],[Revenue]]&lt;20000,"Low")</f>
        <v>Medium</v>
      </c>
      <c r="Y742" t="str">
        <f>IF(Sales_Table[[#This Row],[Payment Method_clean]]="cash","Offline","Online")</f>
        <v>Online</v>
      </c>
      <c r="Z742">
        <f>IFERROR(Sales_Table[[#This Row],[Revenue]],0)</f>
        <v>32260</v>
      </c>
    </row>
    <row r="743" spans="1:26" x14ac:dyDescent="0.3">
      <c r="A743">
        <v>742</v>
      </c>
      <c r="B743" s="2">
        <f t="shared" si="77"/>
        <v>45322.875</v>
      </c>
      <c r="C743" t="s">
        <v>1975</v>
      </c>
      <c r="D743" t="s">
        <v>84</v>
      </c>
      <c r="E743" t="str">
        <f>PROPER(TRIM(CLEAN(Sales_Table[[#This Row],[Region]])))</f>
        <v>South</v>
      </c>
      <c r="F743" t="s">
        <v>46</v>
      </c>
      <c r="G743" t="str">
        <f t="shared" si="78"/>
        <v>Electronics</v>
      </c>
      <c r="H743" t="str">
        <f>PROPER(TRIM(CLEAN(Sales_Table[[#This Row],[Product Name]])))</f>
        <v>Mixer Grinder</v>
      </c>
      <c r="I743" t="s">
        <v>29</v>
      </c>
      <c r="J743" t="str">
        <f t="shared" si="79"/>
        <v>CUST0606</v>
      </c>
      <c r="K743" t="s">
        <v>246</v>
      </c>
      <c r="L743" t="str">
        <f>PROPER(TRIM(CLEAN(Sales_Table[[#This Row],[Salesperson]])))</f>
        <v>Suresh</v>
      </c>
      <c r="M743" t="s">
        <v>54</v>
      </c>
      <c r="N743" t="str">
        <f t="shared" si="80"/>
        <v>Cash</v>
      </c>
      <c r="O743" t="s">
        <v>32</v>
      </c>
      <c r="P743">
        <f t="shared" si="81"/>
        <v>4</v>
      </c>
      <c r="Q743" t="s">
        <v>113</v>
      </c>
      <c r="R743">
        <f t="shared" si="82"/>
        <v>783</v>
      </c>
      <c r="S743" t="s">
        <v>1976</v>
      </c>
      <c r="T743">
        <f t="shared" si="83"/>
        <v>3132</v>
      </c>
      <c r="U743">
        <f>YEAR(Sales_Table[[#This Row],[Date_clean]])</f>
        <v>2024</v>
      </c>
      <c r="V743" t="str">
        <f>TEXT(Sales_Table[[#This Row],[Date_clean]],"mmmm")</f>
        <v>January</v>
      </c>
      <c r="W743">
        <f>WEEKNUM(Sales_Table[[#This Row],[Date_clean]],2)</f>
        <v>5</v>
      </c>
      <c r="X743" t="str" cm="1">
        <f t="array" ref="X743">_xlfn.IFS(Sales_Table[[#This Row],[Revenue]]&gt;=50000,"High",Sales_Table[[#This Row],[Revenue]]&gt;=20000,"Medium",Sales_Table[[#This Row],[Revenue]]&lt;20000,"Low")</f>
        <v>Low</v>
      </c>
      <c r="Y743" t="str">
        <f>IF(Sales_Table[[#This Row],[Payment Method_clean]]="cash","Offline","Online")</f>
        <v>Offline</v>
      </c>
      <c r="Z743">
        <f>IFERROR(Sales_Table[[#This Row],[Revenue]],0)</f>
        <v>3132</v>
      </c>
    </row>
    <row r="744" spans="1:26" x14ac:dyDescent="0.3">
      <c r="A744">
        <v>743</v>
      </c>
      <c r="B744" s="2">
        <f t="shared" si="77"/>
        <v>45322.916666666664</v>
      </c>
      <c r="C744" t="s">
        <v>1977</v>
      </c>
      <c r="D744" t="s">
        <v>84</v>
      </c>
      <c r="E744" t="str">
        <f>PROPER(TRIM(CLEAN(Sales_Table[[#This Row],[Region]])))</f>
        <v>South</v>
      </c>
      <c r="F744" t="s">
        <v>28</v>
      </c>
      <c r="G744" t="str">
        <f t="shared" si="78"/>
        <v>Clothing</v>
      </c>
      <c r="H744" t="str">
        <f>PROPER(TRIM(CLEAN(Sales_Table[[#This Row],[Product Name]])))</f>
        <v>Laptop</v>
      </c>
      <c r="I744" t="s">
        <v>52</v>
      </c>
      <c r="J744" t="str">
        <f t="shared" si="79"/>
        <v>CUST0457</v>
      </c>
      <c r="K744" t="s">
        <v>1978</v>
      </c>
      <c r="L744" t="str">
        <f>PROPER(TRIM(CLEAN(Sales_Table[[#This Row],[Salesperson]])))</f>
        <v>Anita</v>
      </c>
      <c r="M744" t="s">
        <v>64</v>
      </c>
      <c r="N744" t="str">
        <f t="shared" si="80"/>
        <v>Net Banking</v>
      </c>
      <c r="O744" t="s">
        <v>60</v>
      </c>
      <c r="P744">
        <f t="shared" si="81"/>
        <v>7</v>
      </c>
      <c r="Q744" t="s">
        <v>49</v>
      </c>
      <c r="R744">
        <f t="shared" si="82"/>
        <v>1395</v>
      </c>
      <c r="S744" t="s">
        <v>1979</v>
      </c>
      <c r="T744">
        <f t="shared" si="83"/>
        <v>9765</v>
      </c>
      <c r="U744">
        <f>YEAR(Sales_Table[[#This Row],[Date_clean]])</f>
        <v>2024</v>
      </c>
      <c r="V744" t="str">
        <f>TEXT(Sales_Table[[#This Row],[Date_clean]],"mmmm")</f>
        <v>January</v>
      </c>
      <c r="W744">
        <f>WEEKNUM(Sales_Table[[#This Row],[Date_clean]],2)</f>
        <v>5</v>
      </c>
      <c r="X744" t="str" cm="1">
        <f t="array" ref="X744">_xlfn.IFS(Sales_Table[[#This Row],[Revenue]]&gt;=50000,"High",Sales_Table[[#This Row],[Revenue]]&gt;=20000,"Medium",Sales_Table[[#This Row],[Revenue]]&lt;20000,"Low")</f>
        <v>Low</v>
      </c>
      <c r="Y744" t="str">
        <f>IF(Sales_Table[[#This Row],[Payment Method_clean]]="cash","Offline","Online")</f>
        <v>Online</v>
      </c>
      <c r="Z744">
        <f>IFERROR(Sales_Table[[#This Row],[Revenue]],0)</f>
        <v>9765</v>
      </c>
    </row>
    <row r="745" spans="1:26" x14ac:dyDescent="0.3">
      <c r="A745">
        <v>744</v>
      </c>
      <c r="B745" s="2">
        <f t="shared" si="77"/>
        <v>45322.958333333336</v>
      </c>
      <c r="C745" t="s">
        <v>1980</v>
      </c>
      <c r="D745" t="s">
        <v>45</v>
      </c>
      <c r="E745" t="str">
        <f>PROPER(TRIM(CLEAN(Sales_Table[[#This Row],[Region]])))</f>
        <v>North</v>
      </c>
      <c r="F745" t="s">
        <v>78</v>
      </c>
      <c r="G745" t="str">
        <f t="shared" si="78"/>
        <v>Grocery</v>
      </c>
      <c r="H745" t="str">
        <f>PROPER(TRIM(CLEAN(Sales_Table[[#This Row],[Product Name]])))</f>
        <v>Rice 5Kg</v>
      </c>
      <c r="I745" t="s">
        <v>73</v>
      </c>
      <c r="J745" t="str">
        <f t="shared" si="79"/>
        <v>CUST0615</v>
      </c>
      <c r="K745" t="s">
        <v>1563</v>
      </c>
      <c r="L745" t="str">
        <f>PROPER(TRIM(CLEAN(Sales_Table[[#This Row],[Salesperson]])))</f>
        <v>Rahul</v>
      </c>
      <c r="M745" t="s">
        <v>31</v>
      </c>
      <c r="N745" t="str">
        <f t="shared" si="80"/>
        <v>Cash</v>
      </c>
      <c r="O745" t="s">
        <v>32</v>
      </c>
      <c r="P745">
        <f t="shared" si="81"/>
        <v>8</v>
      </c>
      <c r="Q745" t="s">
        <v>42</v>
      </c>
      <c r="R745">
        <f t="shared" si="82"/>
        <v>1485</v>
      </c>
      <c r="S745" t="s">
        <v>1981</v>
      </c>
      <c r="T745">
        <f t="shared" si="83"/>
        <v>11880</v>
      </c>
      <c r="U745">
        <f>YEAR(Sales_Table[[#This Row],[Date_clean]])</f>
        <v>2024</v>
      </c>
      <c r="V745" t="str">
        <f>TEXT(Sales_Table[[#This Row],[Date_clean]],"mmmm")</f>
        <v>January</v>
      </c>
      <c r="W745">
        <f>WEEKNUM(Sales_Table[[#This Row],[Date_clean]],2)</f>
        <v>5</v>
      </c>
      <c r="X745" t="str" cm="1">
        <f t="array" ref="X745">_xlfn.IFS(Sales_Table[[#This Row],[Revenue]]&gt;=50000,"High",Sales_Table[[#This Row],[Revenue]]&gt;=20000,"Medium",Sales_Table[[#This Row],[Revenue]]&lt;20000,"Low")</f>
        <v>Low</v>
      </c>
      <c r="Y745" t="str">
        <f>IF(Sales_Table[[#This Row],[Payment Method_clean]]="cash","Offline","Online")</f>
        <v>Offline</v>
      </c>
      <c r="Z745">
        <f>IFERROR(Sales_Table[[#This Row],[Revenue]],0)</f>
        <v>11880</v>
      </c>
    </row>
    <row r="746" spans="1:26" x14ac:dyDescent="0.3">
      <c r="A746">
        <v>745</v>
      </c>
      <c r="B746" s="2">
        <f t="shared" si="77"/>
        <v>45323</v>
      </c>
      <c r="C746" t="s">
        <v>1982</v>
      </c>
      <c r="D746" t="s">
        <v>27</v>
      </c>
      <c r="E746" t="str">
        <f>PROPER(TRIM(CLEAN(Sales_Table[[#This Row],[Region]])))</f>
        <v>East</v>
      </c>
      <c r="F746" t="s">
        <v>78</v>
      </c>
      <c r="G746" t="str">
        <f t="shared" si="78"/>
        <v>Grocery</v>
      </c>
      <c r="H746" t="str">
        <f>PROPER(TRIM(CLEAN(Sales_Table[[#This Row],[Product Name]])))</f>
        <v>Men T-Shirt</v>
      </c>
      <c r="I746" t="s">
        <v>38</v>
      </c>
      <c r="J746" t="str">
        <f t="shared" si="79"/>
        <v>CUST0735</v>
      </c>
      <c r="K746" t="s">
        <v>1092</v>
      </c>
      <c r="L746" t="str">
        <f>PROPER(TRIM(CLEAN(Sales_Table[[#This Row],[Salesperson]])))</f>
        <v>Anita</v>
      </c>
      <c r="M746" t="s">
        <v>64</v>
      </c>
      <c r="N746" t="str">
        <f t="shared" si="80"/>
        <v>Upi</v>
      </c>
      <c r="O746" t="s">
        <v>48</v>
      </c>
      <c r="P746">
        <f t="shared" si="81"/>
        <v>5</v>
      </c>
      <c r="Q746" t="s">
        <v>89</v>
      </c>
      <c r="R746">
        <f t="shared" si="82"/>
        <v>1042</v>
      </c>
      <c r="S746" t="s">
        <v>1983</v>
      </c>
      <c r="T746">
        <f t="shared" si="83"/>
        <v>5210</v>
      </c>
      <c r="U746">
        <f>YEAR(Sales_Table[[#This Row],[Date_clean]])</f>
        <v>2024</v>
      </c>
      <c r="V746" t="str">
        <f>TEXT(Sales_Table[[#This Row],[Date_clean]],"mmmm")</f>
        <v>February</v>
      </c>
      <c r="W746">
        <f>WEEKNUM(Sales_Table[[#This Row],[Date_clean]],2)</f>
        <v>5</v>
      </c>
      <c r="X746" t="str" cm="1">
        <f t="array" ref="X746">_xlfn.IFS(Sales_Table[[#This Row],[Revenue]]&gt;=50000,"High",Sales_Table[[#This Row],[Revenue]]&gt;=20000,"Medium",Sales_Table[[#This Row],[Revenue]]&lt;20000,"Low")</f>
        <v>Low</v>
      </c>
      <c r="Y746" t="str">
        <f>IF(Sales_Table[[#This Row],[Payment Method_clean]]="cash","Offline","Online")</f>
        <v>Online</v>
      </c>
      <c r="Z746">
        <f>IFERROR(Sales_Table[[#This Row],[Revenue]],0)</f>
        <v>5210</v>
      </c>
    </row>
    <row r="747" spans="1:26" x14ac:dyDescent="0.3">
      <c r="A747">
        <v>746</v>
      </c>
      <c r="B747" s="2">
        <f t="shared" si="77"/>
        <v>45323.041666666664</v>
      </c>
      <c r="C747" t="s">
        <v>1984</v>
      </c>
      <c r="D747" t="s">
        <v>84</v>
      </c>
      <c r="E747" t="str">
        <f>PROPER(TRIM(CLEAN(Sales_Table[[#This Row],[Region]])))</f>
        <v>South</v>
      </c>
      <c r="F747" t="s">
        <v>46</v>
      </c>
      <c r="G747" t="str">
        <f t="shared" si="78"/>
        <v>Electronics</v>
      </c>
      <c r="H747" t="str">
        <f>PROPER(TRIM(CLEAN(Sales_Table[[#This Row],[Product Name]])))</f>
        <v>Men T-Shirt</v>
      </c>
      <c r="I747" t="s">
        <v>38</v>
      </c>
      <c r="J747" t="str">
        <f t="shared" si="79"/>
        <v>CUST0698</v>
      </c>
      <c r="K747" t="s">
        <v>1985</v>
      </c>
      <c r="L747" t="str">
        <f>PROPER(TRIM(CLEAN(Sales_Table[[#This Row],[Salesperson]])))</f>
        <v>Meena</v>
      </c>
      <c r="M747" t="s">
        <v>40</v>
      </c>
      <c r="N747" t="str">
        <f t="shared" si="80"/>
        <v>Net Banking</v>
      </c>
      <c r="O747" t="s">
        <v>60</v>
      </c>
      <c r="P747">
        <f t="shared" si="81"/>
        <v>13</v>
      </c>
      <c r="Q747" t="s">
        <v>81</v>
      </c>
      <c r="R747">
        <f t="shared" si="82"/>
        <v>3380</v>
      </c>
      <c r="S747" t="s">
        <v>1774</v>
      </c>
      <c r="T747">
        <f t="shared" si="83"/>
        <v>43940</v>
      </c>
      <c r="U747">
        <f>YEAR(Sales_Table[[#This Row],[Date_clean]])</f>
        <v>2024</v>
      </c>
      <c r="V747" t="str">
        <f>TEXT(Sales_Table[[#This Row],[Date_clean]],"mmmm")</f>
        <v>February</v>
      </c>
      <c r="W747">
        <f>WEEKNUM(Sales_Table[[#This Row],[Date_clean]],2)</f>
        <v>5</v>
      </c>
      <c r="X747" t="str" cm="1">
        <f t="array" ref="X747">_xlfn.IFS(Sales_Table[[#This Row],[Revenue]]&gt;=50000,"High",Sales_Table[[#This Row],[Revenue]]&gt;=20000,"Medium",Sales_Table[[#This Row],[Revenue]]&lt;20000,"Low")</f>
        <v>Medium</v>
      </c>
      <c r="Y747" t="str">
        <f>IF(Sales_Table[[#This Row],[Payment Method_clean]]="cash","Offline","Online")</f>
        <v>Online</v>
      </c>
      <c r="Z747">
        <f>IFERROR(Sales_Table[[#This Row],[Revenue]],0)</f>
        <v>43940</v>
      </c>
    </row>
    <row r="748" spans="1:26" x14ac:dyDescent="0.3">
      <c r="A748">
        <v>747</v>
      </c>
      <c r="B748" s="2">
        <f t="shared" si="77"/>
        <v>45323.083333333336</v>
      </c>
      <c r="C748" t="s">
        <v>1986</v>
      </c>
      <c r="D748" t="s">
        <v>27</v>
      </c>
      <c r="E748" t="str">
        <f>PROPER(TRIM(CLEAN(Sales_Table[[#This Row],[Region]])))</f>
        <v>East</v>
      </c>
      <c r="F748" t="s">
        <v>78</v>
      </c>
      <c r="G748" t="str">
        <f t="shared" si="78"/>
        <v>Grocery</v>
      </c>
      <c r="H748" t="str">
        <f>PROPER(TRIM(CLEAN(Sales_Table[[#This Row],[Product Name]])))</f>
        <v>Led Tv 42Inch</v>
      </c>
      <c r="I748" t="s">
        <v>58</v>
      </c>
      <c r="J748" t="str">
        <f t="shared" si="79"/>
        <v>CUST0696</v>
      </c>
      <c r="K748" t="s">
        <v>1698</v>
      </c>
      <c r="L748" t="str">
        <f>PROPER(TRIM(CLEAN(Sales_Table[[#This Row],[Salesperson]])))</f>
        <v>Karthik</v>
      </c>
      <c r="M748" t="s">
        <v>70</v>
      </c>
      <c r="N748" t="str">
        <f t="shared" si="80"/>
        <v>Debit Card</v>
      </c>
      <c r="O748" t="s">
        <v>41</v>
      </c>
      <c r="P748">
        <f t="shared" si="81"/>
        <v>12</v>
      </c>
      <c r="Q748" t="s">
        <v>33</v>
      </c>
      <c r="R748">
        <f t="shared" si="82"/>
        <v>1133</v>
      </c>
      <c r="S748" t="s">
        <v>1987</v>
      </c>
      <c r="T748">
        <f t="shared" si="83"/>
        <v>13596</v>
      </c>
      <c r="U748">
        <f>YEAR(Sales_Table[[#This Row],[Date_clean]])</f>
        <v>2024</v>
      </c>
      <c r="V748" t="str">
        <f>TEXT(Sales_Table[[#This Row],[Date_clean]],"mmmm")</f>
        <v>February</v>
      </c>
      <c r="W748">
        <f>WEEKNUM(Sales_Table[[#This Row],[Date_clean]],2)</f>
        <v>5</v>
      </c>
      <c r="X748" t="str" cm="1">
        <f t="array" ref="X748">_xlfn.IFS(Sales_Table[[#This Row],[Revenue]]&gt;=50000,"High",Sales_Table[[#This Row],[Revenue]]&gt;=20000,"Medium",Sales_Table[[#This Row],[Revenue]]&lt;20000,"Low")</f>
        <v>Low</v>
      </c>
      <c r="Y748" t="str">
        <f>IF(Sales_Table[[#This Row],[Payment Method_clean]]="cash","Offline","Online")</f>
        <v>Online</v>
      </c>
      <c r="Z748">
        <f>IFERROR(Sales_Table[[#This Row],[Revenue]],0)</f>
        <v>13596</v>
      </c>
    </row>
    <row r="749" spans="1:26" x14ac:dyDescent="0.3">
      <c r="A749">
        <v>748</v>
      </c>
      <c r="B749" s="2">
        <f t="shared" si="77"/>
        <v>45323.125</v>
      </c>
      <c r="C749" t="s">
        <v>1988</v>
      </c>
      <c r="D749" t="s">
        <v>27</v>
      </c>
      <c r="E749" t="str">
        <f>PROPER(TRIM(CLEAN(Sales_Table[[#This Row],[Region]])))</f>
        <v>East</v>
      </c>
      <c r="F749" t="s">
        <v>78</v>
      </c>
      <c r="G749" t="str">
        <f t="shared" si="78"/>
        <v>Grocery</v>
      </c>
      <c r="H749" t="str">
        <f>PROPER(TRIM(CLEAN(Sales_Table[[#This Row],[Product Name]])))</f>
        <v>Mixer Grinder</v>
      </c>
      <c r="I749" t="s">
        <v>29</v>
      </c>
      <c r="J749" t="str">
        <f t="shared" si="79"/>
        <v>CUST0495</v>
      </c>
      <c r="K749" t="s">
        <v>1989</v>
      </c>
      <c r="L749" t="str">
        <f>PROPER(TRIM(CLEAN(Sales_Table[[#This Row],[Salesperson]])))</f>
        <v>Anita</v>
      </c>
      <c r="M749" t="s">
        <v>64</v>
      </c>
      <c r="N749" t="str">
        <f t="shared" si="80"/>
        <v>Cash</v>
      </c>
      <c r="O749" t="s">
        <v>32</v>
      </c>
      <c r="P749">
        <f t="shared" si="81"/>
        <v>12</v>
      </c>
      <c r="Q749" t="s">
        <v>33</v>
      </c>
      <c r="R749">
        <f t="shared" si="82"/>
        <v>2886</v>
      </c>
      <c r="S749" t="s">
        <v>1990</v>
      </c>
      <c r="T749">
        <f t="shared" si="83"/>
        <v>34632</v>
      </c>
      <c r="U749">
        <f>YEAR(Sales_Table[[#This Row],[Date_clean]])</f>
        <v>2024</v>
      </c>
      <c r="V749" t="str">
        <f>TEXT(Sales_Table[[#This Row],[Date_clean]],"mmmm")</f>
        <v>February</v>
      </c>
      <c r="W749">
        <f>WEEKNUM(Sales_Table[[#This Row],[Date_clean]],2)</f>
        <v>5</v>
      </c>
      <c r="X749" t="str" cm="1">
        <f t="array" ref="X749">_xlfn.IFS(Sales_Table[[#This Row],[Revenue]]&gt;=50000,"High",Sales_Table[[#This Row],[Revenue]]&gt;=20000,"Medium",Sales_Table[[#This Row],[Revenue]]&lt;20000,"Low")</f>
        <v>Medium</v>
      </c>
      <c r="Y749" t="str">
        <f>IF(Sales_Table[[#This Row],[Payment Method_clean]]="cash","Offline","Online")</f>
        <v>Offline</v>
      </c>
      <c r="Z749">
        <f>IFERROR(Sales_Table[[#This Row],[Revenue]],0)</f>
        <v>34632</v>
      </c>
    </row>
    <row r="750" spans="1:26" x14ac:dyDescent="0.3">
      <c r="A750">
        <v>749</v>
      </c>
      <c r="B750" s="2">
        <f t="shared" si="77"/>
        <v>45323.166666666664</v>
      </c>
      <c r="C750" t="s">
        <v>1991</v>
      </c>
      <c r="D750" t="s">
        <v>45</v>
      </c>
      <c r="E750" t="str">
        <f>PROPER(TRIM(CLEAN(Sales_Table[[#This Row],[Region]])))</f>
        <v>North</v>
      </c>
      <c r="F750" t="s">
        <v>46</v>
      </c>
      <c r="G750" t="str">
        <f t="shared" si="78"/>
        <v>Electronics</v>
      </c>
      <c r="H750" t="str">
        <f>PROPER(TRIM(CLEAN(Sales_Table[[#This Row],[Product Name]])))</f>
        <v>Mixer Grinder</v>
      </c>
      <c r="I750" t="s">
        <v>29</v>
      </c>
      <c r="J750" t="str">
        <f t="shared" si="79"/>
        <v>CUST0674</v>
      </c>
      <c r="K750" t="s">
        <v>1992</v>
      </c>
      <c r="L750" t="str">
        <f>PROPER(TRIM(CLEAN(Sales_Table[[#This Row],[Salesperson]])))</f>
        <v>Karthik</v>
      </c>
      <c r="M750" t="s">
        <v>70</v>
      </c>
      <c r="N750" t="str">
        <f t="shared" si="80"/>
        <v>Cash</v>
      </c>
      <c r="O750" t="s">
        <v>32</v>
      </c>
      <c r="P750">
        <f t="shared" si="81"/>
        <v>1</v>
      </c>
      <c r="Q750" t="s">
        <v>93</v>
      </c>
      <c r="R750">
        <f t="shared" si="82"/>
        <v>2333</v>
      </c>
      <c r="S750" t="s">
        <v>1993</v>
      </c>
      <c r="T750">
        <f t="shared" si="83"/>
        <v>2333</v>
      </c>
      <c r="U750">
        <f>YEAR(Sales_Table[[#This Row],[Date_clean]])</f>
        <v>2024</v>
      </c>
      <c r="V750" t="str">
        <f>TEXT(Sales_Table[[#This Row],[Date_clean]],"mmmm")</f>
        <v>February</v>
      </c>
      <c r="W750">
        <f>WEEKNUM(Sales_Table[[#This Row],[Date_clean]],2)</f>
        <v>5</v>
      </c>
      <c r="X750" t="str" cm="1">
        <f t="array" ref="X750">_xlfn.IFS(Sales_Table[[#This Row],[Revenue]]&gt;=50000,"High",Sales_Table[[#This Row],[Revenue]]&gt;=20000,"Medium",Sales_Table[[#This Row],[Revenue]]&lt;20000,"Low")</f>
        <v>Low</v>
      </c>
      <c r="Y750" t="str">
        <f>IF(Sales_Table[[#This Row],[Payment Method_clean]]="cash","Offline","Online")</f>
        <v>Offline</v>
      </c>
      <c r="Z750">
        <f>IFERROR(Sales_Table[[#This Row],[Revenue]],0)</f>
        <v>2333</v>
      </c>
    </row>
    <row r="751" spans="1:26" x14ac:dyDescent="0.3">
      <c r="A751">
        <v>750</v>
      </c>
      <c r="B751" s="2">
        <f t="shared" si="77"/>
        <v>45323.208333333336</v>
      </c>
      <c r="C751" t="s">
        <v>1994</v>
      </c>
      <c r="D751" t="s">
        <v>84</v>
      </c>
      <c r="E751" t="str">
        <f>PROPER(TRIM(CLEAN(Sales_Table[[#This Row],[Region]])))</f>
        <v>South</v>
      </c>
      <c r="F751" t="s">
        <v>46</v>
      </c>
      <c r="G751" t="str">
        <f t="shared" si="78"/>
        <v>Electronics</v>
      </c>
      <c r="H751" t="str">
        <f>PROPER(TRIM(CLEAN(Sales_Table[[#This Row],[Product Name]])))</f>
        <v>Mixer Grinder</v>
      </c>
      <c r="I751" t="s">
        <v>29</v>
      </c>
      <c r="J751" t="str">
        <f t="shared" si="79"/>
        <v>CUST0247</v>
      </c>
      <c r="K751" t="s">
        <v>1089</v>
      </c>
      <c r="L751" t="str">
        <f>PROPER(TRIM(CLEAN(Sales_Table[[#This Row],[Salesperson]])))</f>
        <v>Rahul</v>
      </c>
      <c r="M751" t="s">
        <v>31</v>
      </c>
      <c r="N751" t="str">
        <f t="shared" si="80"/>
        <v>Credit Card</v>
      </c>
      <c r="O751" t="s">
        <v>65</v>
      </c>
      <c r="P751">
        <f t="shared" si="81"/>
        <v>4</v>
      </c>
      <c r="Q751" t="s">
        <v>113</v>
      </c>
      <c r="R751">
        <f t="shared" si="82"/>
        <v>3745</v>
      </c>
      <c r="S751" t="s">
        <v>1995</v>
      </c>
      <c r="T751">
        <f t="shared" si="83"/>
        <v>14980</v>
      </c>
      <c r="U751">
        <f>YEAR(Sales_Table[[#This Row],[Date_clean]])</f>
        <v>2024</v>
      </c>
      <c r="V751" t="str">
        <f>TEXT(Sales_Table[[#This Row],[Date_clean]],"mmmm")</f>
        <v>February</v>
      </c>
      <c r="W751">
        <f>WEEKNUM(Sales_Table[[#This Row],[Date_clean]],2)</f>
        <v>5</v>
      </c>
      <c r="X751" t="str" cm="1">
        <f t="array" ref="X751">_xlfn.IFS(Sales_Table[[#This Row],[Revenue]]&gt;=50000,"High",Sales_Table[[#This Row],[Revenue]]&gt;=20000,"Medium",Sales_Table[[#This Row],[Revenue]]&lt;20000,"Low")</f>
        <v>Low</v>
      </c>
      <c r="Y751" t="str">
        <f>IF(Sales_Table[[#This Row],[Payment Method_clean]]="cash","Offline","Online")</f>
        <v>Online</v>
      </c>
      <c r="Z751">
        <f>IFERROR(Sales_Table[[#This Row],[Revenue]],0)</f>
        <v>14980</v>
      </c>
    </row>
    <row r="752" spans="1:26" x14ac:dyDescent="0.3">
      <c r="A752">
        <v>751</v>
      </c>
      <c r="B752" s="2">
        <f t="shared" si="77"/>
        <v>45323.25</v>
      </c>
      <c r="C752" t="s">
        <v>1996</v>
      </c>
      <c r="D752" t="s">
        <v>36</v>
      </c>
      <c r="E752" t="str">
        <f>PROPER(TRIM(CLEAN(Sales_Table[[#This Row],[Region]])))</f>
        <v>West</v>
      </c>
      <c r="F752" t="s">
        <v>37</v>
      </c>
      <c r="G752" t="str">
        <f t="shared" si="78"/>
        <v>Home Appliances</v>
      </c>
      <c r="H752" t="str">
        <f>PROPER(TRIM(CLEAN(Sales_Table[[#This Row],[Product Name]])))</f>
        <v>Laptop</v>
      </c>
      <c r="I752" t="s">
        <v>52</v>
      </c>
      <c r="J752" t="str">
        <f t="shared" si="79"/>
        <v>CUST0543</v>
      </c>
      <c r="K752" t="s">
        <v>1997</v>
      </c>
      <c r="L752" t="str">
        <f>PROPER(TRIM(CLEAN(Sales_Table[[#This Row],[Salesperson]])))</f>
        <v>Meena</v>
      </c>
      <c r="M752" t="s">
        <v>40</v>
      </c>
      <c r="N752" t="str">
        <f t="shared" si="80"/>
        <v>Net Banking</v>
      </c>
      <c r="O752" t="s">
        <v>60</v>
      </c>
      <c r="P752">
        <f t="shared" si="81"/>
        <v>10</v>
      </c>
      <c r="Q752" t="s">
        <v>117</v>
      </c>
      <c r="R752">
        <f t="shared" si="82"/>
        <v>1720</v>
      </c>
      <c r="S752" t="s">
        <v>1998</v>
      </c>
      <c r="T752">
        <f t="shared" si="83"/>
        <v>17200</v>
      </c>
      <c r="U752">
        <f>YEAR(Sales_Table[[#This Row],[Date_clean]])</f>
        <v>2024</v>
      </c>
      <c r="V752" t="str">
        <f>TEXT(Sales_Table[[#This Row],[Date_clean]],"mmmm")</f>
        <v>February</v>
      </c>
      <c r="W752">
        <f>WEEKNUM(Sales_Table[[#This Row],[Date_clean]],2)</f>
        <v>5</v>
      </c>
      <c r="X752" t="str" cm="1">
        <f t="array" ref="X752">_xlfn.IFS(Sales_Table[[#This Row],[Revenue]]&gt;=50000,"High",Sales_Table[[#This Row],[Revenue]]&gt;=20000,"Medium",Sales_Table[[#This Row],[Revenue]]&lt;20000,"Low")</f>
        <v>Low</v>
      </c>
      <c r="Y752" t="str">
        <f>IF(Sales_Table[[#This Row],[Payment Method_clean]]="cash","Offline","Online")</f>
        <v>Online</v>
      </c>
      <c r="Z752">
        <f>IFERROR(Sales_Table[[#This Row],[Revenue]],0)</f>
        <v>17200</v>
      </c>
    </row>
    <row r="753" spans="1:26" x14ac:dyDescent="0.3">
      <c r="A753">
        <v>752</v>
      </c>
      <c r="B753" s="2">
        <f t="shared" si="77"/>
        <v>45323.291666666664</v>
      </c>
      <c r="C753" t="s">
        <v>1999</v>
      </c>
      <c r="D753" t="s">
        <v>45</v>
      </c>
      <c r="E753" t="str">
        <f>PROPER(TRIM(CLEAN(Sales_Table[[#This Row],[Region]])))</f>
        <v>North</v>
      </c>
      <c r="F753" t="s">
        <v>78</v>
      </c>
      <c r="G753" t="str">
        <f t="shared" si="78"/>
        <v>Grocery</v>
      </c>
      <c r="H753" t="str">
        <f>PROPER(TRIM(CLEAN(Sales_Table[[#This Row],[Product Name]])))</f>
        <v>Led Tv 42Inch</v>
      </c>
      <c r="I753" t="s">
        <v>58</v>
      </c>
      <c r="J753" t="str">
        <f t="shared" si="79"/>
        <v>CUST0564</v>
      </c>
      <c r="K753" t="s">
        <v>947</v>
      </c>
      <c r="L753" t="str">
        <f>PROPER(TRIM(CLEAN(Sales_Table[[#This Row],[Salesperson]])))</f>
        <v>Rahul</v>
      </c>
      <c r="M753" t="s">
        <v>31</v>
      </c>
      <c r="N753" t="str">
        <f t="shared" si="80"/>
        <v>Debit Card</v>
      </c>
      <c r="O753" t="s">
        <v>41</v>
      </c>
      <c r="P753">
        <f t="shared" si="81"/>
        <v>3</v>
      </c>
      <c r="Q753" t="s">
        <v>66</v>
      </c>
      <c r="R753">
        <f t="shared" si="82"/>
        <v>3635</v>
      </c>
      <c r="S753" t="s">
        <v>98</v>
      </c>
      <c r="T753">
        <f t="shared" si="83"/>
        <v>10905</v>
      </c>
      <c r="U753">
        <f>YEAR(Sales_Table[[#This Row],[Date_clean]])</f>
        <v>2024</v>
      </c>
      <c r="V753" t="str">
        <f>TEXT(Sales_Table[[#This Row],[Date_clean]],"mmmm")</f>
        <v>February</v>
      </c>
      <c r="W753">
        <f>WEEKNUM(Sales_Table[[#This Row],[Date_clean]],2)</f>
        <v>5</v>
      </c>
      <c r="X753" t="str" cm="1">
        <f t="array" ref="X753">_xlfn.IFS(Sales_Table[[#This Row],[Revenue]]&gt;=50000,"High",Sales_Table[[#This Row],[Revenue]]&gt;=20000,"Medium",Sales_Table[[#This Row],[Revenue]]&lt;20000,"Low")</f>
        <v>Low</v>
      </c>
      <c r="Y753" t="str">
        <f>IF(Sales_Table[[#This Row],[Payment Method_clean]]="cash","Offline","Online")</f>
        <v>Online</v>
      </c>
      <c r="Z753">
        <f>IFERROR(Sales_Table[[#This Row],[Revenue]],0)</f>
        <v>10905</v>
      </c>
    </row>
    <row r="754" spans="1:26" x14ac:dyDescent="0.3">
      <c r="A754">
        <v>753</v>
      </c>
      <c r="B754" s="2">
        <f t="shared" si="77"/>
        <v>45323.333333333336</v>
      </c>
      <c r="C754" t="s">
        <v>2000</v>
      </c>
      <c r="D754" t="s">
        <v>84</v>
      </c>
      <c r="E754" t="str">
        <f>PROPER(TRIM(CLEAN(Sales_Table[[#This Row],[Region]])))</f>
        <v>South</v>
      </c>
      <c r="F754" t="s">
        <v>28</v>
      </c>
      <c r="G754" t="str">
        <f t="shared" si="78"/>
        <v>Clothing</v>
      </c>
      <c r="H754" t="str">
        <f>PROPER(TRIM(CLEAN(Sales_Table[[#This Row],[Product Name]])))</f>
        <v>Mixer Grinder</v>
      </c>
      <c r="I754" t="s">
        <v>29</v>
      </c>
      <c r="J754" t="str">
        <f t="shared" si="79"/>
        <v>CUST0588</v>
      </c>
      <c r="K754" t="s">
        <v>1731</v>
      </c>
      <c r="L754" t="str">
        <f>PROPER(TRIM(CLEAN(Sales_Table[[#This Row],[Salesperson]])))</f>
        <v>Meena</v>
      </c>
      <c r="M754" t="s">
        <v>40</v>
      </c>
      <c r="N754" t="str">
        <f t="shared" si="80"/>
        <v>Upi</v>
      </c>
      <c r="O754" t="s">
        <v>48</v>
      </c>
      <c r="P754">
        <f t="shared" si="81"/>
        <v>10</v>
      </c>
      <c r="Q754" t="s">
        <v>117</v>
      </c>
      <c r="R754">
        <f t="shared" si="82"/>
        <v>3305</v>
      </c>
      <c r="S754" t="s">
        <v>2001</v>
      </c>
      <c r="T754">
        <f t="shared" si="83"/>
        <v>33050</v>
      </c>
      <c r="U754">
        <f>YEAR(Sales_Table[[#This Row],[Date_clean]])</f>
        <v>2024</v>
      </c>
      <c r="V754" t="str">
        <f>TEXT(Sales_Table[[#This Row],[Date_clean]],"mmmm")</f>
        <v>February</v>
      </c>
      <c r="W754">
        <f>WEEKNUM(Sales_Table[[#This Row],[Date_clean]],2)</f>
        <v>5</v>
      </c>
      <c r="X754" t="str" cm="1">
        <f t="array" ref="X754">_xlfn.IFS(Sales_Table[[#This Row],[Revenue]]&gt;=50000,"High",Sales_Table[[#This Row],[Revenue]]&gt;=20000,"Medium",Sales_Table[[#This Row],[Revenue]]&lt;20000,"Low")</f>
        <v>Medium</v>
      </c>
      <c r="Y754" t="str">
        <f>IF(Sales_Table[[#This Row],[Payment Method_clean]]="cash","Offline","Online")</f>
        <v>Online</v>
      </c>
      <c r="Z754">
        <f>IFERROR(Sales_Table[[#This Row],[Revenue]],0)</f>
        <v>33050</v>
      </c>
    </row>
    <row r="755" spans="1:26" x14ac:dyDescent="0.3">
      <c r="A755">
        <v>754</v>
      </c>
      <c r="B755" s="2">
        <f t="shared" si="77"/>
        <v>45323.375</v>
      </c>
      <c r="C755" t="s">
        <v>2002</v>
      </c>
      <c r="D755" t="s">
        <v>84</v>
      </c>
      <c r="E755" t="str">
        <f>PROPER(TRIM(CLEAN(Sales_Table[[#This Row],[Region]])))</f>
        <v>South</v>
      </c>
      <c r="F755" t="s">
        <v>46</v>
      </c>
      <c r="G755" t="str">
        <f t="shared" si="78"/>
        <v>Electronics</v>
      </c>
      <c r="H755" t="str">
        <f>PROPER(TRIM(CLEAN(Sales_Table[[#This Row],[Product Name]])))</f>
        <v>Laptop</v>
      </c>
      <c r="I755" t="s">
        <v>52</v>
      </c>
      <c r="J755" t="str">
        <f t="shared" si="79"/>
        <v>CUST0439</v>
      </c>
      <c r="K755" t="s">
        <v>828</v>
      </c>
      <c r="L755" t="str">
        <f>PROPER(TRIM(CLEAN(Sales_Table[[#This Row],[Salesperson]])))</f>
        <v>Meena</v>
      </c>
      <c r="M755" t="s">
        <v>40</v>
      </c>
      <c r="N755" t="str">
        <f t="shared" si="80"/>
        <v>Credit Card</v>
      </c>
      <c r="O755" t="s">
        <v>65</v>
      </c>
      <c r="P755">
        <f t="shared" si="81"/>
        <v>12</v>
      </c>
      <c r="Q755" t="s">
        <v>33</v>
      </c>
      <c r="R755">
        <f t="shared" si="82"/>
        <v>2982</v>
      </c>
      <c r="S755" t="s">
        <v>2003</v>
      </c>
      <c r="T755">
        <f t="shared" si="83"/>
        <v>35784</v>
      </c>
      <c r="U755">
        <f>YEAR(Sales_Table[[#This Row],[Date_clean]])</f>
        <v>2024</v>
      </c>
      <c r="V755" t="str">
        <f>TEXT(Sales_Table[[#This Row],[Date_clean]],"mmmm")</f>
        <v>February</v>
      </c>
      <c r="W755">
        <f>WEEKNUM(Sales_Table[[#This Row],[Date_clean]],2)</f>
        <v>5</v>
      </c>
      <c r="X755" t="str" cm="1">
        <f t="array" ref="X755">_xlfn.IFS(Sales_Table[[#This Row],[Revenue]]&gt;=50000,"High",Sales_Table[[#This Row],[Revenue]]&gt;=20000,"Medium",Sales_Table[[#This Row],[Revenue]]&lt;20000,"Low")</f>
        <v>Medium</v>
      </c>
      <c r="Y755" t="str">
        <f>IF(Sales_Table[[#This Row],[Payment Method_clean]]="cash","Offline","Online")</f>
        <v>Online</v>
      </c>
      <c r="Z755">
        <f>IFERROR(Sales_Table[[#This Row],[Revenue]],0)</f>
        <v>35784</v>
      </c>
    </row>
    <row r="756" spans="1:26" x14ac:dyDescent="0.3">
      <c r="A756">
        <v>755</v>
      </c>
      <c r="B756" s="2">
        <f t="shared" si="77"/>
        <v>45323.416666666664</v>
      </c>
      <c r="C756" t="s">
        <v>2004</v>
      </c>
      <c r="D756" t="s">
        <v>84</v>
      </c>
      <c r="E756" t="str">
        <f>PROPER(TRIM(CLEAN(Sales_Table[[#This Row],[Region]])))</f>
        <v>South</v>
      </c>
      <c r="F756" t="s">
        <v>37</v>
      </c>
      <c r="G756" t="str">
        <f t="shared" si="78"/>
        <v>Home Appliances</v>
      </c>
      <c r="H756" t="str">
        <f>PROPER(TRIM(CLEAN(Sales_Table[[#This Row],[Product Name]])))</f>
        <v>Men T-Shirt</v>
      </c>
      <c r="I756" t="s">
        <v>38</v>
      </c>
      <c r="J756" t="str">
        <f t="shared" si="79"/>
        <v>CUST0278</v>
      </c>
      <c r="K756" t="s">
        <v>2005</v>
      </c>
      <c r="L756" t="str">
        <f>PROPER(TRIM(CLEAN(Sales_Table[[#This Row],[Salesperson]])))</f>
        <v>Karthik</v>
      </c>
      <c r="M756" t="s">
        <v>70</v>
      </c>
      <c r="N756" t="str">
        <f t="shared" si="80"/>
        <v>Debit Card</v>
      </c>
      <c r="O756" t="s">
        <v>41</v>
      </c>
      <c r="P756">
        <f t="shared" si="81"/>
        <v>5</v>
      </c>
      <c r="Q756" t="s">
        <v>89</v>
      </c>
      <c r="R756">
        <f t="shared" si="82"/>
        <v>270</v>
      </c>
      <c r="S756" t="s">
        <v>2006</v>
      </c>
      <c r="T756">
        <f t="shared" si="83"/>
        <v>1350</v>
      </c>
      <c r="U756">
        <f>YEAR(Sales_Table[[#This Row],[Date_clean]])</f>
        <v>2024</v>
      </c>
      <c r="V756" t="str">
        <f>TEXT(Sales_Table[[#This Row],[Date_clean]],"mmmm")</f>
        <v>February</v>
      </c>
      <c r="W756">
        <f>WEEKNUM(Sales_Table[[#This Row],[Date_clean]],2)</f>
        <v>5</v>
      </c>
      <c r="X756" t="str" cm="1">
        <f t="array" ref="X756">_xlfn.IFS(Sales_Table[[#This Row],[Revenue]]&gt;=50000,"High",Sales_Table[[#This Row],[Revenue]]&gt;=20000,"Medium",Sales_Table[[#This Row],[Revenue]]&lt;20000,"Low")</f>
        <v>Low</v>
      </c>
      <c r="Y756" t="str">
        <f>IF(Sales_Table[[#This Row],[Payment Method_clean]]="cash","Offline","Online")</f>
        <v>Online</v>
      </c>
      <c r="Z756">
        <f>IFERROR(Sales_Table[[#This Row],[Revenue]],0)</f>
        <v>1350</v>
      </c>
    </row>
    <row r="757" spans="1:26" x14ac:dyDescent="0.3">
      <c r="A757">
        <v>756</v>
      </c>
      <c r="B757" s="2">
        <f t="shared" si="77"/>
        <v>45323.458333333336</v>
      </c>
      <c r="C757" t="s">
        <v>2007</v>
      </c>
      <c r="D757" t="s">
        <v>84</v>
      </c>
      <c r="E757" t="str">
        <f>PROPER(TRIM(CLEAN(Sales_Table[[#This Row],[Region]])))</f>
        <v>South</v>
      </c>
      <c r="F757" t="s">
        <v>28</v>
      </c>
      <c r="G757" t="str">
        <f t="shared" si="78"/>
        <v>Clothing</v>
      </c>
      <c r="H757" t="str">
        <f>PROPER(TRIM(CLEAN(Sales_Table[[#This Row],[Product Name]])))</f>
        <v>Rice 5Kg</v>
      </c>
      <c r="I757" t="s">
        <v>73</v>
      </c>
      <c r="J757" t="str">
        <f t="shared" si="79"/>
        <v>CUST0552</v>
      </c>
      <c r="K757" t="s">
        <v>1895</v>
      </c>
      <c r="L757" t="str">
        <f>PROPER(TRIM(CLEAN(Sales_Table[[#This Row],[Salesperson]])))</f>
        <v>Rahul</v>
      </c>
      <c r="M757" t="s">
        <v>31</v>
      </c>
      <c r="N757" t="str">
        <f t="shared" si="80"/>
        <v>Net Banking</v>
      </c>
      <c r="O757" t="s">
        <v>60</v>
      </c>
      <c r="P757">
        <f t="shared" si="81"/>
        <v>10</v>
      </c>
      <c r="Q757" t="s">
        <v>117</v>
      </c>
      <c r="R757">
        <f t="shared" si="82"/>
        <v>1653</v>
      </c>
      <c r="S757" t="s">
        <v>2008</v>
      </c>
      <c r="T757">
        <f t="shared" si="83"/>
        <v>16530</v>
      </c>
      <c r="U757">
        <f>YEAR(Sales_Table[[#This Row],[Date_clean]])</f>
        <v>2024</v>
      </c>
      <c r="V757" t="str">
        <f>TEXT(Sales_Table[[#This Row],[Date_clean]],"mmmm")</f>
        <v>February</v>
      </c>
      <c r="W757">
        <f>WEEKNUM(Sales_Table[[#This Row],[Date_clean]],2)</f>
        <v>5</v>
      </c>
      <c r="X757" t="str" cm="1">
        <f t="array" ref="X757">_xlfn.IFS(Sales_Table[[#This Row],[Revenue]]&gt;=50000,"High",Sales_Table[[#This Row],[Revenue]]&gt;=20000,"Medium",Sales_Table[[#This Row],[Revenue]]&lt;20000,"Low")</f>
        <v>Low</v>
      </c>
      <c r="Y757" t="str">
        <f>IF(Sales_Table[[#This Row],[Payment Method_clean]]="cash","Offline","Online")</f>
        <v>Online</v>
      </c>
      <c r="Z757">
        <f>IFERROR(Sales_Table[[#This Row],[Revenue]],0)</f>
        <v>16530</v>
      </c>
    </row>
    <row r="758" spans="1:26" x14ac:dyDescent="0.3">
      <c r="A758">
        <v>757</v>
      </c>
      <c r="B758" s="2">
        <f t="shared" si="77"/>
        <v>45323.5</v>
      </c>
      <c r="C758" t="s">
        <v>2009</v>
      </c>
      <c r="D758" t="s">
        <v>84</v>
      </c>
      <c r="E758" t="str">
        <f>PROPER(TRIM(CLEAN(Sales_Table[[#This Row],[Region]])))</f>
        <v>South</v>
      </c>
      <c r="F758" t="s">
        <v>78</v>
      </c>
      <c r="G758" t="str">
        <f t="shared" si="78"/>
        <v>Grocery</v>
      </c>
      <c r="H758" t="str">
        <f>PROPER(TRIM(CLEAN(Sales_Table[[#This Row],[Product Name]])))</f>
        <v>Laptop</v>
      </c>
      <c r="I758" t="s">
        <v>52</v>
      </c>
      <c r="J758" t="str">
        <f t="shared" si="79"/>
        <v>CUST0613</v>
      </c>
      <c r="K758" t="s">
        <v>2010</v>
      </c>
      <c r="L758" t="str">
        <f>PROPER(TRIM(CLEAN(Sales_Table[[#This Row],[Salesperson]])))</f>
        <v>Rahul</v>
      </c>
      <c r="M758" t="s">
        <v>31</v>
      </c>
      <c r="N758" t="str">
        <f t="shared" si="80"/>
        <v>Debit Card</v>
      </c>
      <c r="O758" t="s">
        <v>41</v>
      </c>
      <c r="P758">
        <f t="shared" si="81"/>
        <v>13</v>
      </c>
      <c r="Q758" t="s">
        <v>81</v>
      </c>
      <c r="R758">
        <f t="shared" si="82"/>
        <v>3997</v>
      </c>
      <c r="S758" t="s">
        <v>2011</v>
      </c>
      <c r="T758">
        <f t="shared" si="83"/>
        <v>51961</v>
      </c>
      <c r="U758">
        <f>YEAR(Sales_Table[[#This Row],[Date_clean]])</f>
        <v>2024</v>
      </c>
      <c r="V758" t="str">
        <f>TEXT(Sales_Table[[#This Row],[Date_clean]],"mmmm")</f>
        <v>February</v>
      </c>
      <c r="W758">
        <f>WEEKNUM(Sales_Table[[#This Row],[Date_clean]],2)</f>
        <v>5</v>
      </c>
      <c r="X758" t="str" cm="1">
        <f t="array" ref="X758">_xlfn.IFS(Sales_Table[[#This Row],[Revenue]]&gt;=50000,"High",Sales_Table[[#This Row],[Revenue]]&gt;=20000,"Medium",Sales_Table[[#This Row],[Revenue]]&lt;20000,"Low")</f>
        <v>High</v>
      </c>
      <c r="Y758" t="str">
        <f>IF(Sales_Table[[#This Row],[Payment Method_clean]]="cash","Offline","Online")</f>
        <v>Online</v>
      </c>
      <c r="Z758">
        <f>IFERROR(Sales_Table[[#This Row],[Revenue]],0)</f>
        <v>51961</v>
      </c>
    </row>
    <row r="759" spans="1:26" x14ac:dyDescent="0.3">
      <c r="A759">
        <v>758</v>
      </c>
      <c r="B759" s="2">
        <f t="shared" si="77"/>
        <v>45323.541666666664</v>
      </c>
      <c r="C759" t="s">
        <v>2012</v>
      </c>
      <c r="D759" t="s">
        <v>27</v>
      </c>
      <c r="E759" t="str">
        <f>PROPER(TRIM(CLEAN(Sales_Table[[#This Row],[Region]])))</f>
        <v>East</v>
      </c>
      <c r="F759" t="s">
        <v>37</v>
      </c>
      <c r="G759" t="str">
        <f t="shared" si="78"/>
        <v>Home Appliances</v>
      </c>
      <c r="H759" t="str">
        <f>PROPER(TRIM(CLEAN(Sales_Table[[#This Row],[Product Name]])))</f>
        <v>Men T-Shirt</v>
      </c>
      <c r="I759" t="s">
        <v>38</v>
      </c>
      <c r="J759" t="str">
        <f t="shared" si="79"/>
        <v>CUST0111</v>
      </c>
      <c r="K759" t="s">
        <v>1408</v>
      </c>
      <c r="L759" t="str">
        <f>PROPER(TRIM(CLEAN(Sales_Table[[#This Row],[Salesperson]])))</f>
        <v>Anita</v>
      </c>
      <c r="M759" t="s">
        <v>64</v>
      </c>
      <c r="N759" t="str">
        <f t="shared" si="80"/>
        <v>Cash</v>
      </c>
      <c r="O759" t="s">
        <v>32</v>
      </c>
      <c r="P759">
        <f t="shared" si="81"/>
        <v>10</v>
      </c>
      <c r="Q759" t="s">
        <v>117</v>
      </c>
      <c r="R759">
        <f t="shared" si="82"/>
        <v>1695</v>
      </c>
      <c r="S759" t="s">
        <v>2013</v>
      </c>
      <c r="T759">
        <f t="shared" si="83"/>
        <v>16950</v>
      </c>
      <c r="U759">
        <f>YEAR(Sales_Table[[#This Row],[Date_clean]])</f>
        <v>2024</v>
      </c>
      <c r="V759" t="str">
        <f>TEXT(Sales_Table[[#This Row],[Date_clean]],"mmmm")</f>
        <v>February</v>
      </c>
      <c r="W759">
        <f>WEEKNUM(Sales_Table[[#This Row],[Date_clean]],2)</f>
        <v>5</v>
      </c>
      <c r="X759" t="str" cm="1">
        <f t="array" ref="X759">_xlfn.IFS(Sales_Table[[#This Row],[Revenue]]&gt;=50000,"High",Sales_Table[[#This Row],[Revenue]]&gt;=20000,"Medium",Sales_Table[[#This Row],[Revenue]]&lt;20000,"Low")</f>
        <v>Low</v>
      </c>
      <c r="Y759" t="str">
        <f>IF(Sales_Table[[#This Row],[Payment Method_clean]]="cash","Offline","Online")</f>
        <v>Offline</v>
      </c>
      <c r="Z759">
        <f>IFERROR(Sales_Table[[#This Row],[Revenue]],0)</f>
        <v>16950</v>
      </c>
    </row>
    <row r="760" spans="1:26" x14ac:dyDescent="0.3">
      <c r="A760">
        <v>759</v>
      </c>
      <c r="B760" s="2">
        <f t="shared" si="77"/>
        <v>45323.583333333336</v>
      </c>
      <c r="C760" t="s">
        <v>2014</v>
      </c>
      <c r="D760" t="s">
        <v>45</v>
      </c>
      <c r="E760" t="str">
        <f>PROPER(TRIM(CLEAN(Sales_Table[[#This Row],[Region]])))</f>
        <v>North</v>
      </c>
      <c r="F760" t="s">
        <v>46</v>
      </c>
      <c r="G760" t="str">
        <f t="shared" si="78"/>
        <v>Electronics</v>
      </c>
      <c r="H760" t="str">
        <f>PROPER(TRIM(CLEAN(Sales_Table[[#This Row],[Product Name]])))</f>
        <v>Men T-Shirt</v>
      </c>
      <c r="I760" t="s">
        <v>38</v>
      </c>
      <c r="J760" t="str">
        <f t="shared" si="79"/>
        <v>CUST0385</v>
      </c>
      <c r="K760" t="s">
        <v>2015</v>
      </c>
      <c r="L760" t="str">
        <f>PROPER(TRIM(CLEAN(Sales_Table[[#This Row],[Salesperson]])))</f>
        <v>Rahul</v>
      </c>
      <c r="M760" t="s">
        <v>31</v>
      </c>
      <c r="N760" t="str">
        <f t="shared" si="80"/>
        <v>Cash</v>
      </c>
      <c r="O760" t="s">
        <v>32</v>
      </c>
      <c r="P760">
        <f t="shared" si="81"/>
        <v>13</v>
      </c>
      <c r="Q760" t="s">
        <v>81</v>
      </c>
      <c r="R760">
        <f t="shared" si="82"/>
        <v>1723</v>
      </c>
      <c r="S760" t="s">
        <v>2016</v>
      </c>
      <c r="T760">
        <f t="shared" si="83"/>
        <v>22399</v>
      </c>
      <c r="U760">
        <f>YEAR(Sales_Table[[#This Row],[Date_clean]])</f>
        <v>2024</v>
      </c>
      <c r="V760" t="str">
        <f>TEXT(Sales_Table[[#This Row],[Date_clean]],"mmmm")</f>
        <v>February</v>
      </c>
      <c r="W760">
        <f>WEEKNUM(Sales_Table[[#This Row],[Date_clean]],2)</f>
        <v>5</v>
      </c>
      <c r="X760" t="str" cm="1">
        <f t="array" ref="X760">_xlfn.IFS(Sales_Table[[#This Row],[Revenue]]&gt;=50000,"High",Sales_Table[[#This Row],[Revenue]]&gt;=20000,"Medium",Sales_Table[[#This Row],[Revenue]]&lt;20000,"Low")</f>
        <v>Medium</v>
      </c>
      <c r="Y760" t="str">
        <f>IF(Sales_Table[[#This Row],[Payment Method_clean]]="cash","Offline","Online")</f>
        <v>Offline</v>
      </c>
      <c r="Z760">
        <f>IFERROR(Sales_Table[[#This Row],[Revenue]],0)</f>
        <v>22399</v>
      </c>
    </row>
    <row r="761" spans="1:26" x14ac:dyDescent="0.3">
      <c r="A761">
        <v>760</v>
      </c>
      <c r="B761" s="2">
        <f t="shared" si="77"/>
        <v>45323.625</v>
      </c>
      <c r="C761" t="s">
        <v>2017</v>
      </c>
      <c r="D761" t="s">
        <v>27</v>
      </c>
      <c r="E761" t="str">
        <f>PROPER(TRIM(CLEAN(Sales_Table[[#This Row],[Region]])))</f>
        <v>East</v>
      </c>
      <c r="F761" t="s">
        <v>28</v>
      </c>
      <c r="G761" t="str">
        <f t="shared" si="78"/>
        <v>Clothing</v>
      </c>
      <c r="H761" t="str">
        <f>PROPER(TRIM(CLEAN(Sales_Table[[#This Row],[Product Name]])))</f>
        <v>Rice 5Kg</v>
      </c>
      <c r="I761" t="s">
        <v>73</v>
      </c>
      <c r="J761" t="str">
        <f t="shared" si="79"/>
        <v>CUST0761</v>
      </c>
      <c r="K761" t="s">
        <v>1180</v>
      </c>
      <c r="L761" t="str">
        <f>PROPER(TRIM(CLEAN(Sales_Table[[#This Row],[Salesperson]])))</f>
        <v>Anita</v>
      </c>
      <c r="M761" t="s">
        <v>64</v>
      </c>
      <c r="N761" t="str">
        <f t="shared" si="80"/>
        <v>Credit Card</v>
      </c>
      <c r="O761" t="s">
        <v>65</v>
      </c>
      <c r="P761">
        <f t="shared" si="81"/>
        <v>6</v>
      </c>
      <c r="Q761" t="s">
        <v>75</v>
      </c>
      <c r="R761">
        <f t="shared" si="82"/>
        <v>4222</v>
      </c>
      <c r="S761" t="s">
        <v>2018</v>
      </c>
      <c r="T761">
        <f t="shared" si="83"/>
        <v>25332</v>
      </c>
      <c r="U761">
        <f>YEAR(Sales_Table[[#This Row],[Date_clean]])</f>
        <v>2024</v>
      </c>
      <c r="V761" t="str">
        <f>TEXT(Sales_Table[[#This Row],[Date_clean]],"mmmm")</f>
        <v>February</v>
      </c>
      <c r="W761">
        <f>WEEKNUM(Sales_Table[[#This Row],[Date_clean]],2)</f>
        <v>5</v>
      </c>
      <c r="X761" t="str" cm="1">
        <f t="array" ref="X761">_xlfn.IFS(Sales_Table[[#This Row],[Revenue]]&gt;=50000,"High",Sales_Table[[#This Row],[Revenue]]&gt;=20000,"Medium",Sales_Table[[#This Row],[Revenue]]&lt;20000,"Low")</f>
        <v>Medium</v>
      </c>
      <c r="Y761" t="str">
        <f>IF(Sales_Table[[#This Row],[Payment Method_clean]]="cash","Offline","Online")</f>
        <v>Online</v>
      </c>
      <c r="Z761">
        <f>IFERROR(Sales_Table[[#This Row],[Revenue]],0)</f>
        <v>25332</v>
      </c>
    </row>
    <row r="762" spans="1:26" x14ac:dyDescent="0.3">
      <c r="A762">
        <v>761</v>
      </c>
      <c r="B762" s="2">
        <f t="shared" si="77"/>
        <v>45323.666666666664</v>
      </c>
      <c r="C762" t="s">
        <v>2019</v>
      </c>
      <c r="D762" t="s">
        <v>36</v>
      </c>
      <c r="E762" t="str">
        <f>PROPER(TRIM(CLEAN(Sales_Table[[#This Row],[Region]])))</f>
        <v>West</v>
      </c>
      <c r="F762" t="s">
        <v>46</v>
      </c>
      <c r="G762" t="str">
        <f t="shared" si="78"/>
        <v>Electronics</v>
      </c>
      <c r="H762" t="str">
        <f>PROPER(TRIM(CLEAN(Sales_Table[[#This Row],[Product Name]])))</f>
        <v>Men T-Shirt</v>
      </c>
      <c r="I762" t="s">
        <v>38</v>
      </c>
      <c r="J762" t="str">
        <f t="shared" si="79"/>
        <v>CUST0191</v>
      </c>
      <c r="K762" t="s">
        <v>625</v>
      </c>
      <c r="L762" t="str">
        <f>PROPER(TRIM(CLEAN(Sales_Table[[#This Row],[Salesperson]])))</f>
        <v>Suresh</v>
      </c>
      <c r="M762" t="s">
        <v>54</v>
      </c>
      <c r="N762" t="str">
        <f t="shared" si="80"/>
        <v>Net Banking</v>
      </c>
      <c r="O762" t="s">
        <v>60</v>
      </c>
      <c r="P762">
        <f t="shared" si="81"/>
        <v>2</v>
      </c>
      <c r="Q762" t="s">
        <v>196</v>
      </c>
      <c r="R762">
        <f t="shared" si="82"/>
        <v>1191</v>
      </c>
      <c r="S762" t="s">
        <v>752</v>
      </c>
      <c r="T762">
        <f t="shared" si="83"/>
        <v>2382</v>
      </c>
      <c r="U762">
        <f>YEAR(Sales_Table[[#This Row],[Date_clean]])</f>
        <v>2024</v>
      </c>
      <c r="V762" t="str">
        <f>TEXT(Sales_Table[[#This Row],[Date_clean]],"mmmm")</f>
        <v>February</v>
      </c>
      <c r="W762">
        <f>WEEKNUM(Sales_Table[[#This Row],[Date_clean]],2)</f>
        <v>5</v>
      </c>
      <c r="X762" t="str" cm="1">
        <f t="array" ref="X762">_xlfn.IFS(Sales_Table[[#This Row],[Revenue]]&gt;=50000,"High",Sales_Table[[#This Row],[Revenue]]&gt;=20000,"Medium",Sales_Table[[#This Row],[Revenue]]&lt;20000,"Low")</f>
        <v>Low</v>
      </c>
      <c r="Y762" t="str">
        <f>IF(Sales_Table[[#This Row],[Payment Method_clean]]="cash","Offline","Online")</f>
        <v>Online</v>
      </c>
      <c r="Z762">
        <f>IFERROR(Sales_Table[[#This Row],[Revenue]],0)</f>
        <v>2382</v>
      </c>
    </row>
    <row r="763" spans="1:26" x14ac:dyDescent="0.3">
      <c r="A763">
        <v>762</v>
      </c>
      <c r="B763" s="2">
        <f t="shared" si="77"/>
        <v>45323.708333333336</v>
      </c>
      <c r="C763" t="s">
        <v>2020</v>
      </c>
      <c r="D763" t="s">
        <v>84</v>
      </c>
      <c r="E763" t="str">
        <f>PROPER(TRIM(CLEAN(Sales_Table[[#This Row],[Region]])))</f>
        <v>South</v>
      </c>
      <c r="F763" t="s">
        <v>78</v>
      </c>
      <c r="G763" t="str">
        <f t="shared" si="78"/>
        <v>Grocery</v>
      </c>
      <c r="H763" t="str">
        <f>PROPER(TRIM(CLEAN(Sales_Table[[#This Row],[Product Name]])))</f>
        <v>Led Tv 42Inch</v>
      </c>
      <c r="I763" t="s">
        <v>58</v>
      </c>
      <c r="J763" t="str">
        <f t="shared" si="79"/>
        <v>CUST0490</v>
      </c>
      <c r="K763" t="s">
        <v>195</v>
      </c>
      <c r="L763" t="str">
        <f>PROPER(TRIM(CLEAN(Sales_Table[[#This Row],[Salesperson]])))</f>
        <v>Suresh</v>
      </c>
      <c r="M763" t="s">
        <v>54</v>
      </c>
      <c r="N763" t="str">
        <f t="shared" si="80"/>
        <v>Net Banking</v>
      </c>
      <c r="O763" t="s">
        <v>60</v>
      </c>
      <c r="P763">
        <f t="shared" si="81"/>
        <v>7</v>
      </c>
      <c r="Q763" t="s">
        <v>49</v>
      </c>
      <c r="R763">
        <f t="shared" si="82"/>
        <v>2937</v>
      </c>
      <c r="S763" t="s">
        <v>2021</v>
      </c>
      <c r="T763">
        <f t="shared" si="83"/>
        <v>20559</v>
      </c>
      <c r="U763">
        <f>YEAR(Sales_Table[[#This Row],[Date_clean]])</f>
        <v>2024</v>
      </c>
      <c r="V763" t="str">
        <f>TEXT(Sales_Table[[#This Row],[Date_clean]],"mmmm")</f>
        <v>February</v>
      </c>
      <c r="W763">
        <f>WEEKNUM(Sales_Table[[#This Row],[Date_clean]],2)</f>
        <v>5</v>
      </c>
      <c r="X763" t="str" cm="1">
        <f t="array" ref="X763">_xlfn.IFS(Sales_Table[[#This Row],[Revenue]]&gt;=50000,"High",Sales_Table[[#This Row],[Revenue]]&gt;=20000,"Medium",Sales_Table[[#This Row],[Revenue]]&lt;20000,"Low")</f>
        <v>Medium</v>
      </c>
      <c r="Y763" t="str">
        <f>IF(Sales_Table[[#This Row],[Payment Method_clean]]="cash","Offline","Online")</f>
        <v>Online</v>
      </c>
      <c r="Z763">
        <f>IFERROR(Sales_Table[[#This Row],[Revenue]],0)</f>
        <v>20559</v>
      </c>
    </row>
    <row r="764" spans="1:26" x14ac:dyDescent="0.3">
      <c r="A764">
        <v>763</v>
      </c>
      <c r="B764" s="2">
        <f t="shared" si="77"/>
        <v>45323.75</v>
      </c>
      <c r="C764" t="s">
        <v>2022</v>
      </c>
      <c r="D764" t="s">
        <v>45</v>
      </c>
      <c r="E764" t="str">
        <f>PROPER(TRIM(CLEAN(Sales_Table[[#This Row],[Region]])))</f>
        <v>North</v>
      </c>
      <c r="F764" t="s">
        <v>28</v>
      </c>
      <c r="G764" t="str">
        <f t="shared" si="78"/>
        <v>Clothing</v>
      </c>
      <c r="H764" t="str">
        <f>PROPER(TRIM(CLEAN(Sales_Table[[#This Row],[Product Name]])))</f>
        <v>Rice 5Kg</v>
      </c>
      <c r="I764" t="s">
        <v>73</v>
      </c>
      <c r="J764" t="str">
        <f t="shared" si="79"/>
        <v>CUST0694</v>
      </c>
      <c r="K764" t="s">
        <v>675</v>
      </c>
      <c r="L764" t="str">
        <f>PROPER(TRIM(CLEAN(Sales_Table[[#This Row],[Salesperson]])))</f>
        <v>Suresh</v>
      </c>
      <c r="M764" t="s">
        <v>54</v>
      </c>
      <c r="N764" t="str">
        <f t="shared" si="80"/>
        <v>Debit Card</v>
      </c>
      <c r="O764" t="s">
        <v>41</v>
      </c>
      <c r="P764">
        <f t="shared" si="81"/>
        <v>13</v>
      </c>
      <c r="Q764" t="s">
        <v>81</v>
      </c>
      <c r="R764">
        <f t="shared" si="82"/>
        <v>507</v>
      </c>
      <c r="S764" t="s">
        <v>2023</v>
      </c>
      <c r="T764">
        <f t="shared" si="83"/>
        <v>6591</v>
      </c>
      <c r="U764">
        <f>YEAR(Sales_Table[[#This Row],[Date_clean]])</f>
        <v>2024</v>
      </c>
      <c r="V764" t="str">
        <f>TEXT(Sales_Table[[#This Row],[Date_clean]],"mmmm")</f>
        <v>February</v>
      </c>
      <c r="W764">
        <f>WEEKNUM(Sales_Table[[#This Row],[Date_clean]],2)</f>
        <v>5</v>
      </c>
      <c r="X764" t="str" cm="1">
        <f t="array" ref="X764">_xlfn.IFS(Sales_Table[[#This Row],[Revenue]]&gt;=50000,"High",Sales_Table[[#This Row],[Revenue]]&gt;=20000,"Medium",Sales_Table[[#This Row],[Revenue]]&lt;20000,"Low")</f>
        <v>Low</v>
      </c>
      <c r="Y764" t="str">
        <f>IF(Sales_Table[[#This Row],[Payment Method_clean]]="cash","Offline","Online")</f>
        <v>Online</v>
      </c>
      <c r="Z764">
        <f>IFERROR(Sales_Table[[#This Row],[Revenue]],0)</f>
        <v>6591</v>
      </c>
    </row>
    <row r="765" spans="1:26" x14ac:dyDescent="0.3">
      <c r="A765">
        <v>764</v>
      </c>
      <c r="B765" s="2">
        <f t="shared" si="77"/>
        <v>45323.791666666664</v>
      </c>
      <c r="C765" t="s">
        <v>2024</v>
      </c>
      <c r="D765" t="s">
        <v>84</v>
      </c>
      <c r="E765" t="str">
        <f>PROPER(TRIM(CLEAN(Sales_Table[[#This Row],[Region]])))</f>
        <v>South</v>
      </c>
      <c r="F765" t="s">
        <v>78</v>
      </c>
      <c r="G765" t="str">
        <f t="shared" si="78"/>
        <v>Grocery</v>
      </c>
      <c r="H765" t="str">
        <f>PROPER(TRIM(CLEAN(Sales_Table[[#This Row],[Product Name]])))</f>
        <v>Men T-Shirt</v>
      </c>
      <c r="I765" t="s">
        <v>38</v>
      </c>
      <c r="J765" t="str">
        <f t="shared" si="79"/>
        <v>CUST0426</v>
      </c>
      <c r="K765" t="s">
        <v>2025</v>
      </c>
      <c r="L765" t="str">
        <f>PROPER(TRIM(CLEAN(Sales_Table[[#This Row],[Salesperson]])))</f>
        <v>Rahul</v>
      </c>
      <c r="M765" t="s">
        <v>31</v>
      </c>
      <c r="N765" t="str">
        <f t="shared" si="80"/>
        <v>Credit Card</v>
      </c>
      <c r="O765" t="s">
        <v>65</v>
      </c>
      <c r="P765">
        <f t="shared" si="81"/>
        <v>3</v>
      </c>
      <c r="Q765" t="s">
        <v>66</v>
      </c>
      <c r="R765">
        <f t="shared" si="82"/>
        <v>4269</v>
      </c>
      <c r="S765" t="s">
        <v>2026</v>
      </c>
      <c r="T765">
        <f t="shared" si="83"/>
        <v>12807</v>
      </c>
      <c r="U765">
        <f>YEAR(Sales_Table[[#This Row],[Date_clean]])</f>
        <v>2024</v>
      </c>
      <c r="V765" t="str">
        <f>TEXT(Sales_Table[[#This Row],[Date_clean]],"mmmm")</f>
        <v>February</v>
      </c>
      <c r="W765">
        <f>WEEKNUM(Sales_Table[[#This Row],[Date_clean]],2)</f>
        <v>5</v>
      </c>
      <c r="X765" t="str" cm="1">
        <f t="array" ref="X765">_xlfn.IFS(Sales_Table[[#This Row],[Revenue]]&gt;=50000,"High",Sales_Table[[#This Row],[Revenue]]&gt;=20000,"Medium",Sales_Table[[#This Row],[Revenue]]&lt;20000,"Low")</f>
        <v>Low</v>
      </c>
      <c r="Y765" t="str">
        <f>IF(Sales_Table[[#This Row],[Payment Method_clean]]="cash","Offline","Online")</f>
        <v>Online</v>
      </c>
      <c r="Z765">
        <f>IFERROR(Sales_Table[[#This Row],[Revenue]],0)</f>
        <v>12807</v>
      </c>
    </row>
    <row r="766" spans="1:26" x14ac:dyDescent="0.3">
      <c r="A766">
        <v>765</v>
      </c>
      <c r="B766" s="2">
        <f t="shared" si="77"/>
        <v>45323.833333333336</v>
      </c>
      <c r="C766" t="s">
        <v>2027</v>
      </c>
      <c r="D766" t="s">
        <v>45</v>
      </c>
      <c r="E766" t="str">
        <f>PROPER(TRIM(CLEAN(Sales_Table[[#This Row],[Region]])))</f>
        <v>North</v>
      </c>
      <c r="F766" t="s">
        <v>78</v>
      </c>
      <c r="G766" t="str">
        <f t="shared" si="78"/>
        <v>Grocery</v>
      </c>
      <c r="H766" t="str">
        <f>PROPER(TRIM(CLEAN(Sales_Table[[#This Row],[Product Name]])))</f>
        <v>Washing Machine</v>
      </c>
      <c r="I766" t="s">
        <v>79</v>
      </c>
      <c r="J766" t="str">
        <f t="shared" si="79"/>
        <v>CUST0405</v>
      </c>
      <c r="K766" t="s">
        <v>393</v>
      </c>
      <c r="L766" t="str">
        <f>PROPER(TRIM(CLEAN(Sales_Table[[#This Row],[Salesperson]])))</f>
        <v>Rahul</v>
      </c>
      <c r="M766" t="s">
        <v>31</v>
      </c>
      <c r="N766" t="str">
        <f t="shared" si="80"/>
        <v>Net Banking</v>
      </c>
      <c r="O766" t="s">
        <v>60</v>
      </c>
      <c r="P766">
        <f t="shared" si="81"/>
        <v>1</v>
      </c>
      <c r="Q766" t="s">
        <v>93</v>
      </c>
      <c r="R766">
        <f t="shared" si="82"/>
        <v>779</v>
      </c>
      <c r="S766" t="s">
        <v>1962</v>
      </c>
      <c r="T766">
        <f t="shared" si="83"/>
        <v>779</v>
      </c>
      <c r="U766">
        <f>YEAR(Sales_Table[[#This Row],[Date_clean]])</f>
        <v>2024</v>
      </c>
      <c r="V766" t="str">
        <f>TEXT(Sales_Table[[#This Row],[Date_clean]],"mmmm")</f>
        <v>February</v>
      </c>
      <c r="W766">
        <f>WEEKNUM(Sales_Table[[#This Row],[Date_clean]],2)</f>
        <v>5</v>
      </c>
      <c r="X766" t="str" cm="1">
        <f t="array" ref="X766">_xlfn.IFS(Sales_Table[[#This Row],[Revenue]]&gt;=50000,"High",Sales_Table[[#This Row],[Revenue]]&gt;=20000,"Medium",Sales_Table[[#This Row],[Revenue]]&lt;20000,"Low")</f>
        <v>Low</v>
      </c>
      <c r="Y766" t="str">
        <f>IF(Sales_Table[[#This Row],[Payment Method_clean]]="cash","Offline","Online")</f>
        <v>Online</v>
      </c>
      <c r="Z766">
        <f>IFERROR(Sales_Table[[#This Row],[Revenue]],0)</f>
        <v>779</v>
      </c>
    </row>
    <row r="767" spans="1:26" x14ac:dyDescent="0.3">
      <c r="A767">
        <v>766</v>
      </c>
      <c r="B767" s="2">
        <f t="shared" si="77"/>
        <v>45323.875</v>
      </c>
      <c r="C767" t="s">
        <v>2028</v>
      </c>
      <c r="D767" t="s">
        <v>27</v>
      </c>
      <c r="E767" t="str">
        <f>PROPER(TRIM(CLEAN(Sales_Table[[#This Row],[Region]])))</f>
        <v>East</v>
      </c>
      <c r="F767" t="s">
        <v>37</v>
      </c>
      <c r="G767" t="str">
        <f t="shared" si="78"/>
        <v>Home Appliances</v>
      </c>
      <c r="H767" t="str">
        <f>PROPER(TRIM(CLEAN(Sales_Table[[#This Row],[Product Name]])))</f>
        <v>Laptop</v>
      </c>
      <c r="I767" t="s">
        <v>52</v>
      </c>
      <c r="J767" t="str">
        <f t="shared" si="79"/>
        <v>CUST0335</v>
      </c>
      <c r="K767" t="s">
        <v>2029</v>
      </c>
      <c r="L767" t="str">
        <f>PROPER(TRIM(CLEAN(Sales_Table[[#This Row],[Salesperson]])))</f>
        <v>Anita</v>
      </c>
      <c r="M767" t="s">
        <v>64</v>
      </c>
      <c r="N767" t="str">
        <f t="shared" si="80"/>
        <v>Cash</v>
      </c>
      <c r="O767" t="s">
        <v>32</v>
      </c>
      <c r="P767">
        <f t="shared" si="81"/>
        <v>10</v>
      </c>
      <c r="Q767" t="s">
        <v>117</v>
      </c>
      <c r="R767">
        <f t="shared" si="82"/>
        <v>336</v>
      </c>
      <c r="S767" t="s">
        <v>2030</v>
      </c>
      <c r="T767">
        <f t="shared" si="83"/>
        <v>3360</v>
      </c>
      <c r="U767">
        <f>YEAR(Sales_Table[[#This Row],[Date_clean]])</f>
        <v>2024</v>
      </c>
      <c r="V767" t="str">
        <f>TEXT(Sales_Table[[#This Row],[Date_clean]],"mmmm")</f>
        <v>February</v>
      </c>
      <c r="W767">
        <f>WEEKNUM(Sales_Table[[#This Row],[Date_clean]],2)</f>
        <v>5</v>
      </c>
      <c r="X767" t="str" cm="1">
        <f t="array" ref="X767">_xlfn.IFS(Sales_Table[[#This Row],[Revenue]]&gt;=50000,"High",Sales_Table[[#This Row],[Revenue]]&gt;=20000,"Medium",Sales_Table[[#This Row],[Revenue]]&lt;20000,"Low")</f>
        <v>Low</v>
      </c>
      <c r="Y767" t="str">
        <f>IF(Sales_Table[[#This Row],[Payment Method_clean]]="cash","Offline","Online")</f>
        <v>Offline</v>
      </c>
      <c r="Z767">
        <f>IFERROR(Sales_Table[[#This Row],[Revenue]],0)</f>
        <v>3360</v>
      </c>
    </row>
    <row r="768" spans="1:26" x14ac:dyDescent="0.3">
      <c r="A768">
        <v>767</v>
      </c>
      <c r="B768" s="2">
        <f t="shared" si="77"/>
        <v>45323.916666666664</v>
      </c>
      <c r="C768" t="s">
        <v>2031</v>
      </c>
      <c r="D768" t="s">
        <v>45</v>
      </c>
      <c r="E768" t="str">
        <f>PROPER(TRIM(CLEAN(Sales_Table[[#This Row],[Region]])))</f>
        <v>North</v>
      </c>
      <c r="F768" t="s">
        <v>46</v>
      </c>
      <c r="G768" t="str">
        <f t="shared" si="78"/>
        <v>Electronics</v>
      </c>
      <c r="H768" t="str">
        <f>PROPER(TRIM(CLEAN(Sales_Table[[#This Row],[Product Name]])))</f>
        <v>Men T-Shirt</v>
      </c>
      <c r="I768" t="s">
        <v>38</v>
      </c>
      <c r="J768" t="str">
        <f t="shared" si="79"/>
        <v>CUST0209</v>
      </c>
      <c r="K768" t="s">
        <v>2032</v>
      </c>
      <c r="L768" t="str">
        <f>PROPER(TRIM(CLEAN(Sales_Table[[#This Row],[Salesperson]])))</f>
        <v>Meena</v>
      </c>
      <c r="M768" t="s">
        <v>40</v>
      </c>
      <c r="N768" t="str">
        <f t="shared" si="80"/>
        <v>Debit Card</v>
      </c>
      <c r="O768" t="s">
        <v>41</v>
      </c>
      <c r="P768">
        <f t="shared" si="81"/>
        <v>3</v>
      </c>
      <c r="Q768" t="s">
        <v>66</v>
      </c>
      <c r="R768">
        <f t="shared" si="82"/>
        <v>2874</v>
      </c>
      <c r="S768" t="s">
        <v>2033</v>
      </c>
      <c r="T768">
        <f t="shared" si="83"/>
        <v>8622</v>
      </c>
      <c r="U768">
        <f>YEAR(Sales_Table[[#This Row],[Date_clean]])</f>
        <v>2024</v>
      </c>
      <c r="V768" t="str">
        <f>TEXT(Sales_Table[[#This Row],[Date_clean]],"mmmm")</f>
        <v>February</v>
      </c>
      <c r="W768">
        <f>WEEKNUM(Sales_Table[[#This Row],[Date_clean]],2)</f>
        <v>5</v>
      </c>
      <c r="X768" t="str" cm="1">
        <f t="array" ref="X768">_xlfn.IFS(Sales_Table[[#This Row],[Revenue]]&gt;=50000,"High",Sales_Table[[#This Row],[Revenue]]&gt;=20000,"Medium",Sales_Table[[#This Row],[Revenue]]&lt;20000,"Low")</f>
        <v>Low</v>
      </c>
      <c r="Y768" t="str">
        <f>IF(Sales_Table[[#This Row],[Payment Method_clean]]="cash","Offline","Online")</f>
        <v>Online</v>
      </c>
      <c r="Z768">
        <f>IFERROR(Sales_Table[[#This Row],[Revenue]],0)</f>
        <v>8622</v>
      </c>
    </row>
    <row r="769" spans="1:26" x14ac:dyDescent="0.3">
      <c r="A769">
        <v>768</v>
      </c>
      <c r="B769" s="2">
        <f t="shared" si="77"/>
        <v>45323.958333333336</v>
      </c>
      <c r="C769" t="s">
        <v>2034</v>
      </c>
      <c r="D769" t="s">
        <v>36</v>
      </c>
      <c r="E769" t="str">
        <f>PROPER(TRIM(CLEAN(Sales_Table[[#This Row],[Region]])))</f>
        <v>West</v>
      </c>
      <c r="F769" t="s">
        <v>28</v>
      </c>
      <c r="G769" t="str">
        <f t="shared" si="78"/>
        <v>Clothing</v>
      </c>
      <c r="H769" t="str">
        <f>PROPER(TRIM(CLEAN(Sales_Table[[#This Row],[Product Name]])))</f>
        <v>Led Tv 42Inch</v>
      </c>
      <c r="I769" t="s">
        <v>58</v>
      </c>
      <c r="J769" t="str">
        <f t="shared" si="79"/>
        <v>CUST0022</v>
      </c>
      <c r="K769" t="s">
        <v>2035</v>
      </c>
      <c r="L769" t="str">
        <f>PROPER(TRIM(CLEAN(Sales_Table[[#This Row],[Salesperson]])))</f>
        <v>Anita</v>
      </c>
      <c r="M769" t="s">
        <v>64</v>
      </c>
      <c r="N769" t="str">
        <f t="shared" si="80"/>
        <v>Upi</v>
      </c>
      <c r="O769" t="s">
        <v>48</v>
      </c>
      <c r="P769">
        <f t="shared" si="81"/>
        <v>9</v>
      </c>
      <c r="Q769" t="s">
        <v>130</v>
      </c>
      <c r="R769">
        <f t="shared" si="82"/>
        <v>3537</v>
      </c>
      <c r="S769" t="s">
        <v>2036</v>
      </c>
      <c r="T769">
        <f t="shared" si="83"/>
        <v>31833</v>
      </c>
      <c r="U769">
        <f>YEAR(Sales_Table[[#This Row],[Date_clean]])</f>
        <v>2024</v>
      </c>
      <c r="V769" t="str">
        <f>TEXT(Sales_Table[[#This Row],[Date_clean]],"mmmm")</f>
        <v>February</v>
      </c>
      <c r="W769">
        <f>WEEKNUM(Sales_Table[[#This Row],[Date_clean]],2)</f>
        <v>5</v>
      </c>
      <c r="X769" t="str" cm="1">
        <f t="array" ref="X769">_xlfn.IFS(Sales_Table[[#This Row],[Revenue]]&gt;=50000,"High",Sales_Table[[#This Row],[Revenue]]&gt;=20000,"Medium",Sales_Table[[#This Row],[Revenue]]&lt;20000,"Low")</f>
        <v>Medium</v>
      </c>
      <c r="Y769" t="str">
        <f>IF(Sales_Table[[#This Row],[Payment Method_clean]]="cash","Offline","Online")</f>
        <v>Online</v>
      </c>
      <c r="Z769">
        <f>IFERROR(Sales_Table[[#This Row],[Revenue]],0)</f>
        <v>31833</v>
      </c>
    </row>
    <row r="770" spans="1:26" x14ac:dyDescent="0.3">
      <c r="A770">
        <v>769</v>
      </c>
      <c r="B770" s="2">
        <f t="shared" si="77"/>
        <v>45324</v>
      </c>
      <c r="C770" t="s">
        <v>2037</v>
      </c>
      <c r="D770" t="s">
        <v>36</v>
      </c>
      <c r="E770" t="str">
        <f>PROPER(TRIM(CLEAN(Sales_Table[[#This Row],[Region]])))</f>
        <v>West</v>
      </c>
      <c r="F770" t="s">
        <v>78</v>
      </c>
      <c r="G770" t="str">
        <f t="shared" si="78"/>
        <v>Grocery</v>
      </c>
      <c r="H770" t="str">
        <f>PROPER(TRIM(CLEAN(Sales_Table[[#This Row],[Product Name]])))</f>
        <v>Mixer Grinder</v>
      </c>
      <c r="I770" t="s">
        <v>29</v>
      </c>
      <c r="J770" t="str">
        <f t="shared" si="79"/>
        <v>CUST0678</v>
      </c>
      <c r="K770" t="s">
        <v>317</v>
      </c>
      <c r="L770" t="str">
        <f>PROPER(TRIM(CLEAN(Sales_Table[[#This Row],[Salesperson]])))</f>
        <v>Suresh</v>
      </c>
      <c r="M770" t="s">
        <v>54</v>
      </c>
      <c r="N770" t="str">
        <f t="shared" si="80"/>
        <v>Cash</v>
      </c>
      <c r="O770" t="s">
        <v>32</v>
      </c>
      <c r="P770">
        <f t="shared" si="81"/>
        <v>10</v>
      </c>
      <c r="Q770" t="s">
        <v>117</v>
      </c>
      <c r="R770">
        <f t="shared" si="82"/>
        <v>3457</v>
      </c>
      <c r="S770" t="s">
        <v>2038</v>
      </c>
      <c r="T770">
        <f t="shared" si="83"/>
        <v>34570</v>
      </c>
      <c r="U770">
        <f>YEAR(Sales_Table[[#This Row],[Date_clean]])</f>
        <v>2024</v>
      </c>
      <c r="V770" t="str">
        <f>TEXT(Sales_Table[[#This Row],[Date_clean]],"mmmm")</f>
        <v>February</v>
      </c>
      <c r="W770">
        <f>WEEKNUM(Sales_Table[[#This Row],[Date_clean]],2)</f>
        <v>5</v>
      </c>
      <c r="X770" t="str" cm="1">
        <f t="array" ref="X770">_xlfn.IFS(Sales_Table[[#This Row],[Revenue]]&gt;=50000,"High",Sales_Table[[#This Row],[Revenue]]&gt;=20000,"Medium",Sales_Table[[#This Row],[Revenue]]&lt;20000,"Low")</f>
        <v>Medium</v>
      </c>
      <c r="Y770" t="str">
        <f>IF(Sales_Table[[#This Row],[Payment Method_clean]]="cash","Offline","Online")</f>
        <v>Offline</v>
      </c>
      <c r="Z770">
        <f>IFERROR(Sales_Table[[#This Row],[Revenue]],0)</f>
        <v>34570</v>
      </c>
    </row>
    <row r="771" spans="1:26" x14ac:dyDescent="0.3">
      <c r="A771">
        <v>770</v>
      </c>
      <c r="B771" s="2">
        <f t="shared" ref="B771:B834" si="84">DATEVALUE(LEFT(C771,10))+TIMEVALUE(MID(C771,12,8))</f>
        <v>45324.041666666664</v>
      </c>
      <c r="C771" t="s">
        <v>2039</v>
      </c>
      <c r="D771" t="s">
        <v>45</v>
      </c>
      <c r="E771" t="str">
        <f>PROPER(TRIM(CLEAN(Sales_Table[[#This Row],[Region]])))</f>
        <v>North</v>
      </c>
      <c r="F771" t="s">
        <v>78</v>
      </c>
      <c r="G771" t="str">
        <f t="shared" ref="G771:G834" si="85">PROPER(TRIM(CLEAN(F771)))</f>
        <v>Grocery</v>
      </c>
      <c r="H771" t="str">
        <f>PROPER(TRIM(CLEAN(Sales_Table[[#This Row],[Product Name]])))</f>
        <v>Men T-Shirt</v>
      </c>
      <c r="I771" t="s">
        <v>38</v>
      </c>
      <c r="J771" t="str">
        <f t="shared" ref="J771:J834" si="86">TRIM(K771)</f>
        <v>CUST0611</v>
      </c>
      <c r="K771" t="s">
        <v>1299</v>
      </c>
      <c r="L771" t="str">
        <f>PROPER(TRIM(CLEAN(Sales_Table[[#This Row],[Salesperson]])))</f>
        <v>Anita</v>
      </c>
      <c r="M771" t="s">
        <v>64</v>
      </c>
      <c r="N771" t="str">
        <f t="shared" ref="N771:N834" si="87">PROPER(TRIM(O771))</f>
        <v>Credit Card</v>
      </c>
      <c r="O771" t="s">
        <v>65</v>
      </c>
      <c r="P771">
        <f t="shared" ref="P771:P834" si="88">VALUE(Q771)</f>
        <v>11</v>
      </c>
      <c r="Q771" t="s">
        <v>97</v>
      </c>
      <c r="R771">
        <f t="shared" ref="R771:R834" si="89">VALUE(S771)</f>
        <v>2977</v>
      </c>
      <c r="S771" t="s">
        <v>101</v>
      </c>
      <c r="T771">
        <f t="shared" ref="T771:T834" si="90">P771*R771</f>
        <v>32747</v>
      </c>
      <c r="U771">
        <f>YEAR(Sales_Table[[#This Row],[Date_clean]])</f>
        <v>2024</v>
      </c>
      <c r="V771" t="str">
        <f>TEXT(Sales_Table[[#This Row],[Date_clean]],"mmmm")</f>
        <v>February</v>
      </c>
      <c r="W771">
        <f>WEEKNUM(Sales_Table[[#This Row],[Date_clean]],2)</f>
        <v>5</v>
      </c>
      <c r="X771" t="str" cm="1">
        <f t="array" ref="X771">_xlfn.IFS(Sales_Table[[#This Row],[Revenue]]&gt;=50000,"High",Sales_Table[[#This Row],[Revenue]]&gt;=20000,"Medium",Sales_Table[[#This Row],[Revenue]]&lt;20000,"Low")</f>
        <v>Medium</v>
      </c>
      <c r="Y771" t="str">
        <f>IF(Sales_Table[[#This Row],[Payment Method_clean]]="cash","Offline","Online")</f>
        <v>Online</v>
      </c>
      <c r="Z771">
        <f>IFERROR(Sales_Table[[#This Row],[Revenue]],0)</f>
        <v>32747</v>
      </c>
    </row>
    <row r="772" spans="1:26" x14ac:dyDescent="0.3">
      <c r="A772">
        <v>771</v>
      </c>
      <c r="B772" s="2">
        <f t="shared" si="84"/>
        <v>45324.083333333336</v>
      </c>
      <c r="C772" t="s">
        <v>2040</v>
      </c>
      <c r="D772" t="s">
        <v>45</v>
      </c>
      <c r="E772" t="str">
        <f>PROPER(TRIM(CLEAN(Sales_Table[[#This Row],[Region]])))</f>
        <v>North</v>
      </c>
      <c r="F772" t="s">
        <v>28</v>
      </c>
      <c r="G772" t="str">
        <f t="shared" si="85"/>
        <v>Clothing</v>
      </c>
      <c r="H772" t="str">
        <f>PROPER(TRIM(CLEAN(Sales_Table[[#This Row],[Product Name]])))</f>
        <v>Mixer Grinder</v>
      </c>
      <c r="I772" t="s">
        <v>29</v>
      </c>
      <c r="J772" t="str">
        <f t="shared" si="86"/>
        <v>CUST0208</v>
      </c>
      <c r="K772" t="s">
        <v>566</v>
      </c>
      <c r="L772" t="str">
        <f>PROPER(TRIM(CLEAN(Sales_Table[[#This Row],[Salesperson]])))</f>
        <v>Meena</v>
      </c>
      <c r="M772" t="s">
        <v>40</v>
      </c>
      <c r="N772" t="str">
        <f t="shared" si="87"/>
        <v>Net Banking</v>
      </c>
      <c r="O772" t="s">
        <v>60</v>
      </c>
      <c r="P772">
        <f t="shared" si="88"/>
        <v>11</v>
      </c>
      <c r="Q772" t="s">
        <v>97</v>
      </c>
      <c r="R772">
        <f t="shared" si="89"/>
        <v>2523</v>
      </c>
      <c r="S772" t="s">
        <v>2041</v>
      </c>
      <c r="T772">
        <f t="shared" si="90"/>
        <v>27753</v>
      </c>
      <c r="U772">
        <f>YEAR(Sales_Table[[#This Row],[Date_clean]])</f>
        <v>2024</v>
      </c>
      <c r="V772" t="str">
        <f>TEXT(Sales_Table[[#This Row],[Date_clean]],"mmmm")</f>
        <v>February</v>
      </c>
      <c r="W772">
        <f>WEEKNUM(Sales_Table[[#This Row],[Date_clean]],2)</f>
        <v>5</v>
      </c>
      <c r="X772" t="str" cm="1">
        <f t="array" ref="X772">_xlfn.IFS(Sales_Table[[#This Row],[Revenue]]&gt;=50000,"High",Sales_Table[[#This Row],[Revenue]]&gt;=20000,"Medium",Sales_Table[[#This Row],[Revenue]]&lt;20000,"Low")</f>
        <v>Medium</v>
      </c>
      <c r="Y772" t="str">
        <f>IF(Sales_Table[[#This Row],[Payment Method_clean]]="cash","Offline","Online")</f>
        <v>Online</v>
      </c>
      <c r="Z772">
        <f>IFERROR(Sales_Table[[#This Row],[Revenue]],0)</f>
        <v>27753</v>
      </c>
    </row>
    <row r="773" spans="1:26" x14ac:dyDescent="0.3">
      <c r="A773">
        <v>772</v>
      </c>
      <c r="B773" s="2">
        <f t="shared" si="84"/>
        <v>45324.125</v>
      </c>
      <c r="C773" t="s">
        <v>2042</v>
      </c>
      <c r="D773" t="s">
        <v>45</v>
      </c>
      <c r="E773" t="str">
        <f>PROPER(TRIM(CLEAN(Sales_Table[[#This Row],[Region]])))</f>
        <v>North</v>
      </c>
      <c r="F773" t="s">
        <v>78</v>
      </c>
      <c r="G773" t="str">
        <f t="shared" si="85"/>
        <v>Grocery</v>
      </c>
      <c r="H773" t="str">
        <f>PROPER(TRIM(CLEAN(Sales_Table[[#This Row],[Product Name]])))</f>
        <v>Washing Machine</v>
      </c>
      <c r="I773" t="s">
        <v>79</v>
      </c>
      <c r="J773" t="str">
        <f t="shared" si="86"/>
        <v>CUST0008</v>
      </c>
      <c r="K773" t="s">
        <v>811</v>
      </c>
      <c r="L773" t="str">
        <f>PROPER(TRIM(CLEAN(Sales_Table[[#This Row],[Salesperson]])))</f>
        <v>Rahul</v>
      </c>
      <c r="M773" t="s">
        <v>31</v>
      </c>
      <c r="N773" t="str">
        <f t="shared" si="87"/>
        <v>Cash</v>
      </c>
      <c r="O773" t="s">
        <v>32</v>
      </c>
      <c r="P773">
        <f t="shared" si="88"/>
        <v>6</v>
      </c>
      <c r="Q773" t="s">
        <v>75</v>
      </c>
      <c r="R773">
        <f t="shared" si="89"/>
        <v>4814</v>
      </c>
      <c r="S773" t="s">
        <v>2043</v>
      </c>
      <c r="T773">
        <f t="shared" si="90"/>
        <v>28884</v>
      </c>
      <c r="U773">
        <f>YEAR(Sales_Table[[#This Row],[Date_clean]])</f>
        <v>2024</v>
      </c>
      <c r="V773" t="str">
        <f>TEXT(Sales_Table[[#This Row],[Date_clean]],"mmmm")</f>
        <v>February</v>
      </c>
      <c r="W773">
        <f>WEEKNUM(Sales_Table[[#This Row],[Date_clean]],2)</f>
        <v>5</v>
      </c>
      <c r="X773" t="str" cm="1">
        <f t="array" ref="X773">_xlfn.IFS(Sales_Table[[#This Row],[Revenue]]&gt;=50000,"High",Sales_Table[[#This Row],[Revenue]]&gt;=20000,"Medium",Sales_Table[[#This Row],[Revenue]]&lt;20000,"Low")</f>
        <v>Medium</v>
      </c>
      <c r="Y773" t="str">
        <f>IF(Sales_Table[[#This Row],[Payment Method_clean]]="cash","Offline","Online")</f>
        <v>Offline</v>
      </c>
      <c r="Z773">
        <f>IFERROR(Sales_Table[[#This Row],[Revenue]],0)</f>
        <v>28884</v>
      </c>
    </row>
    <row r="774" spans="1:26" x14ac:dyDescent="0.3">
      <c r="A774">
        <v>773</v>
      </c>
      <c r="B774" s="2">
        <f t="shared" si="84"/>
        <v>45324.166666666664</v>
      </c>
      <c r="C774" t="s">
        <v>2044</v>
      </c>
      <c r="D774" t="s">
        <v>45</v>
      </c>
      <c r="E774" t="str">
        <f>PROPER(TRIM(CLEAN(Sales_Table[[#This Row],[Region]])))</f>
        <v>North</v>
      </c>
      <c r="F774" t="s">
        <v>37</v>
      </c>
      <c r="G774" t="str">
        <f t="shared" si="85"/>
        <v>Home Appliances</v>
      </c>
      <c r="H774" t="str">
        <f>PROPER(TRIM(CLEAN(Sales_Table[[#This Row],[Product Name]])))</f>
        <v>Men T-Shirt</v>
      </c>
      <c r="I774" t="s">
        <v>38</v>
      </c>
      <c r="J774" t="str">
        <f t="shared" si="86"/>
        <v>CUST0702</v>
      </c>
      <c r="K774" t="s">
        <v>1323</v>
      </c>
      <c r="L774" t="str">
        <f>PROPER(TRIM(CLEAN(Sales_Table[[#This Row],[Salesperson]])))</f>
        <v>Anita</v>
      </c>
      <c r="M774" t="s">
        <v>64</v>
      </c>
      <c r="N774" t="str">
        <f t="shared" si="87"/>
        <v>Upi</v>
      </c>
      <c r="O774" t="s">
        <v>48</v>
      </c>
      <c r="P774">
        <f t="shared" si="88"/>
        <v>11</v>
      </c>
      <c r="Q774" t="s">
        <v>97</v>
      </c>
      <c r="R774">
        <f t="shared" si="89"/>
        <v>3247</v>
      </c>
      <c r="S774" t="s">
        <v>2045</v>
      </c>
      <c r="T774">
        <f t="shared" si="90"/>
        <v>35717</v>
      </c>
      <c r="U774">
        <f>YEAR(Sales_Table[[#This Row],[Date_clean]])</f>
        <v>2024</v>
      </c>
      <c r="V774" t="str">
        <f>TEXT(Sales_Table[[#This Row],[Date_clean]],"mmmm")</f>
        <v>February</v>
      </c>
      <c r="W774">
        <f>WEEKNUM(Sales_Table[[#This Row],[Date_clean]],2)</f>
        <v>5</v>
      </c>
      <c r="X774" t="str" cm="1">
        <f t="array" ref="X774">_xlfn.IFS(Sales_Table[[#This Row],[Revenue]]&gt;=50000,"High",Sales_Table[[#This Row],[Revenue]]&gt;=20000,"Medium",Sales_Table[[#This Row],[Revenue]]&lt;20000,"Low")</f>
        <v>Medium</v>
      </c>
      <c r="Y774" t="str">
        <f>IF(Sales_Table[[#This Row],[Payment Method_clean]]="cash","Offline","Online")</f>
        <v>Online</v>
      </c>
      <c r="Z774">
        <f>IFERROR(Sales_Table[[#This Row],[Revenue]],0)</f>
        <v>35717</v>
      </c>
    </row>
    <row r="775" spans="1:26" x14ac:dyDescent="0.3">
      <c r="A775">
        <v>774</v>
      </c>
      <c r="B775" s="2">
        <f t="shared" si="84"/>
        <v>45324.208333333336</v>
      </c>
      <c r="C775" t="s">
        <v>2046</v>
      </c>
      <c r="D775" t="s">
        <v>36</v>
      </c>
      <c r="E775" t="str">
        <f>PROPER(TRIM(CLEAN(Sales_Table[[#This Row],[Region]])))</f>
        <v>West</v>
      </c>
      <c r="F775" t="s">
        <v>37</v>
      </c>
      <c r="G775" t="str">
        <f t="shared" si="85"/>
        <v>Home Appliances</v>
      </c>
      <c r="H775" t="str">
        <f>PROPER(TRIM(CLEAN(Sales_Table[[#This Row],[Product Name]])))</f>
        <v>Rice 5Kg</v>
      </c>
      <c r="I775" t="s">
        <v>73</v>
      </c>
      <c r="J775" t="str">
        <f t="shared" si="86"/>
        <v>CUST0687</v>
      </c>
      <c r="K775" t="s">
        <v>1801</v>
      </c>
      <c r="L775" t="str">
        <f>PROPER(TRIM(CLEAN(Sales_Table[[#This Row],[Salesperson]])))</f>
        <v>Suresh</v>
      </c>
      <c r="M775" t="s">
        <v>54</v>
      </c>
      <c r="N775" t="str">
        <f t="shared" si="87"/>
        <v>Upi</v>
      </c>
      <c r="O775" t="s">
        <v>48</v>
      </c>
      <c r="P775">
        <f t="shared" si="88"/>
        <v>6</v>
      </c>
      <c r="Q775" t="s">
        <v>75</v>
      </c>
      <c r="R775">
        <f t="shared" si="89"/>
        <v>1132</v>
      </c>
      <c r="S775" t="s">
        <v>2047</v>
      </c>
      <c r="T775">
        <f t="shared" si="90"/>
        <v>6792</v>
      </c>
      <c r="U775">
        <f>YEAR(Sales_Table[[#This Row],[Date_clean]])</f>
        <v>2024</v>
      </c>
      <c r="V775" t="str">
        <f>TEXT(Sales_Table[[#This Row],[Date_clean]],"mmmm")</f>
        <v>February</v>
      </c>
      <c r="W775">
        <f>WEEKNUM(Sales_Table[[#This Row],[Date_clean]],2)</f>
        <v>5</v>
      </c>
      <c r="X775" t="str" cm="1">
        <f t="array" ref="X775">_xlfn.IFS(Sales_Table[[#This Row],[Revenue]]&gt;=50000,"High",Sales_Table[[#This Row],[Revenue]]&gt;=20000,"Medium",Sales_Table[[#This Row],[Revenue]]&lt;20000,"Low")</f>
        <v>Low</v>
      </c>
      <c r="Y775" t="str">
        <f>IF(Sales_Table[[#This Row],[Payment Method_clean]]="cash","Offline","Online")</f>
        <v>Online</v>
      </c>
      <c r="Z775">
        <f>IFERROR(Sales_Table[[#This Row],[Revenue]],0)</f>
        <v>6792</v>
      </c>
    </row>
    <row r="776" spans="1:26" x14ac:dyDescent="0.3">
      <c r="A776">
        <v>775</v>
      </c>
      <c r="B776" s="2">
        <f t="shared" si="84"/>
        <v>45324.25</v>
      </c>
      <c r="C776" t="s">
        <v>2048</v>
      </c>
      <c r="D776" t="s">
        <v>84</v>
      </c>
      <c r="E776" t="str">
        <f>PROPER(TRIM(CLEAN(Sales_Table[[#This Row],[Region]])))</f>
        <v>South</v>
      </c>
      <c r="F776" t="s">
        <v>37</v>
      </c>
      <c r="G776" t="str">
        <f t="shared" si="85"/>
        <v>Home Appliances</v>
      </c>
      <c r="H776" t="str">
        <f>PROPER(TRIM(CLEAN(Sales_Table[[#This Row],[Product Name]])))</f>
        <v>Mixer Grinder</v>
      </c>
      <c r="I776" t="s">
        <v>29</v>
      </c>
      <c r="J776" t="str">
        <f t="shared" si="86"/>
        <v>CUST0785</v>
      </c>
      <c r="K776" t="s">
        <v>908</v>
      </c>
      <c r="L776" t="str">
        <f>PROPER(TRIM(CLEAN(Sales_Table[[#This Row],[Salesperson]])))</f>
        <v>Suresh</v>
      </c>
      <c r="M776" t="s">
        <v>54</v>
      </c>
      <c r="N776" t="str">
        <f t="shared" si="87"/>
        <v>Credit Card</v>
      </c>
      <c r="O776" t="s">
        <v>65</v>
      </c>
      <c r="P776">
        <f t="shared" si="88"/>
        <v>4</v>
      </c>
      <c r="Q776" t="s">
        <v>113</v>
      </c>
      <c r="R776">
        <f t="shared" si="89"/>
        <v>2954</v>
      </c>
      <c r="S776" t="s">
        <v>2049</v>
      </c>
      <c r="T776">
        <f t="shared" si="90"/>
        <v>11816</v>
      </c>
      <c r="U776">
        <f>YEAR(Sales_Table[[#This Row],[Date_clean]])</f>
        <v>2024</v>
      </c>
      <c r="V776" t="str">
        <f>TEXT(Sales_Table[[#This Row],[Date_clean]],"mmmm")</f>
        <v>February</v>
      </c>
      <c r="W776">
        <f>WEEKNUM(Sales_Table[[#This Row],[Date_clean]],2)</f>
        <v>5</v>
      </c>
      <c r="X776" t="str" cm="1">
        <f t="array" ref="X776">_xlfn.IFS(Sales_Table[[#This Row],[Revenue]]&gt;=50000,"High",Sales_Table[[#This Row],[Revenue]]&gt;=20000,"Medium",Sales_Table[[#This Row],[Revenue]]&lt;20000,"Low")</f>
        <v>Low</v>
      </c>
      <c r="Y776" t="str">
        <f>IF(Sales_Table[[#This Row],[Payment Method_clean]]="cash","Offline","Online")</f>
        <v>Online</v>
      </c>
      <c r="Z776">
        <f>IFERROR(Sales_Table[[#This Row],[Revenue]],0)</f>
        <v>11816</v>
      </c>
    </row>
    <row r="777" spans="1:26" x14ac:dyDescent="0.3">
      <c r="A777">
        <v>776</v>
      </c>
      <c r="B777" s="2">
        <f t="shared" si="84"/>
        <v>45324.291666666664</v>
      </c>
      <c r="C777" t="s">
        <v>2050</v>
      </c>
      <c r="D777" t="s">
        <v>45</v>
      </c>
      <c r="E777" t="str">
        <f>PROPER(TRIM(CLEAN(Sales_Table[[#This Row],[Region]])))</f>
        <v>North</v>
      </c>
      <c r="F777" t="s">
        <v>37</v>
      </c>
      <c r="G777" t="str">
        <f t="shared" si="85"/>
        <v>Home Appliances</v>
      </c>
      <c r="H777" t="str">
        <f>PROPER(TRIM(CLEAN(Sales_Table[[#This Row],[Product Name]])))</f>
        <v>Washing Machine</v>
      </c>
      <c r="I777" t="s">
        <v>79</v>
      </c>
      <c r="J777" t="str">
        <f t="shared" si="86"/>
        <v>CUST0529</v>
      </c>
      <c r="K777" t="s">
        <v>2051</v>
      </c>
      <c r="L777" t="str">
        <f>PROPER(TRIM(CLEAN(Sales_Table[[#This Row],[Salesperson]])))</f>
        <v>Rahul</v>
      </c>
      <c r="M777" t="s">
        <v>31</v>
      </c>
      <c r="N777" t="str">
        <f t="shared" si="87"/>
        <v>Cash</v>
      </c>
      <c r="O777" t="s">
        <v>32</v>
      </c>
      <c r="P777">
        <f t="shared" si="88"/>
        <v>8</v>
      </c>
      <c r="Q777" t="s">
        <v>42</v>
      </c>
      <c r="R777">
        <f t="shared" si="89"/>
        <v>3040</v>
      </c>
      <c r="S777" t="s">
        <v>2052</v>
      </c>
      <c r="T777">
        <f t="shared" si="90"/>
        <v>24320</v>
      </c>
      <c r="U777">
        <f>YEAR(Sales_Table[[#This Row],[Date_clean]])</f>
        <v>2024</v>
      </c>
      <c r="V777" t="str">
        <f>TEXT(Sales_Table[[#This Row],[Date_clean]],"mmmm")</f>
        <v>February</v>
      </c>
      <c r="W777">
        <f>WEEKNUM(Sales_Table[[#This Row],[Date_clean]],2)</f>
        <v>5</v>
      </c>
      <c r="X777" t="str" cm="1">
        <f t="array" ref="X777">_xlfn.IFS(Sales_Table[[#This Row],[Revenue]]&gt;=50000,"High",Sales_Table[[#This Row],[Revenue]]&gt;=20000,"Medium",Sales_Table[[#This Row],[Revenue]]&lt;20000,"Low")</f>
        <v>Medium</v>
      </c>
      <c r="Y777" t="str">
        <f>IF(Sales_Table[[#This Row],[Payment Method_clean]]="cash","Offline","Online")</f>
        <v>Offline</v>
      </c>
      <c r="Z777">
        <f>IFERROR(Sales_Table[[#This Row],[Revenue]],0)</f>
        <v>24320</v>
      </c>
    </row>
    <row r="778" spans="1:26" x14ac:dyDescent="0.3">
      <c r="A778">
        <v>777</v>
      </c>
      <c r="B778" s="2">
        <f t="shared" si="84"/>
        <v>45324.333333333336</v>
      </c>
      <c r="C778" t="s">
        <v>2053</v>
      </c>
      <c r="D778" t="s">
        <v>45</v>
      </c>
      <c r="E778" t="str">
        <f>PROPER(TRIM(CLEAN(Sales_Table[[#This Row],[Region]])))</f>
        <v>North</v>
      </c>
      <c r="F778" t="s">
        <v>78</v>
      </c>
      <c r="G778" t="str">
        <f t="shared" si="85"/>
        <v>Grocery</v>
      </c>
      <c r="H778" t="str">
        <f>PROPER(TRIM(CLEAN(Sales_Table[[#This Row],[Product Name]])))</f>
        <v>Rice 5Kg</v>
      </c>
      <c r="I778" t="s">
        <v>73</v>
      </c>
      <c r="J778" t="str">
        <f t="shared" si="86"/>
        <v>CUST0602</v>
      </c>
      <c r="K778" t="s">
        <v>1964</v>
      </c>
      <c r="L778" t="str">
        <f>PROPER(TRIM(CLEAN(Sales_Table[[#This Row],[Salesperson]])))</f>
        <v>Anita</v>
      </c>
      <c r="M778" t="s">
        <v>64</v>
      </c>
      <c r="N778" t="str">
        <f t="shared" si="87"/>
        <v>Debit Card</v>
      </c>
      <c r="O778" t="s">
        <v>41</v>
      </c>
      <c r="P778">
        <f t="shared" si="88"/>
        <v>5</v>
      </c>
      <c r="Q778" t="s">
        <v>89</v>
      </c>
      <c r="R778">
        <f t="shared" si="89"/>
        <v>3801</v>
      </c>
      <c r="S778" t="s">
        <v>2054</v>
      </c>
      <c r="T778">
        <f t="shared" si="90"/>
        <v>19005</v>
      </c>
      <c r="U778">
        <f>YEAR(Sales_Table[[#This Row],[Date_clean]])</f>
        <v>2024</v>
      </c>
      <c r="V778" t="str">
        <f>TEXT(Sales_Table[[#This Row],[Date_clean]],"mmmm")</f>
        <v>February</v>
      </c>
      <c r="W778">
        <f>WEEKNUM(Sales_Table[[#This Row],[Date_clean]],2)</f>
        <v>5</v>
      </c>
      <c r="X778" t="str" cm="1">
        <f t="array" ref="X778">_xlfn.IFS(Sales_Table[[#This Row],[Revenue]]&gt;=50000,"High",Sales_Table[[#This Row],[Revenue]]&gt;=20000,"Medium",Sales_Table[[#This Row],[Revenue]]&lt;20000,"Low")</f>
        <v>Low</v>
      </c>
      <c r="Y778" t="str">
        <f>IF(Sales_Table[[#This Row],[Payment Method_clean]]="cash","Offline","Online")</f>
        <v>Online</v>
      </c>
      <c r="Z778">
        <f>IFERROR(Sales_Table[[#This Row],[Revenue]],0)</f>
        <v>19005</v>
      </c>
    </row>
    <row r="779" spans="1:26" x14ac:dyDescent="0.3">
      <c r="A779">
        <v>778</v>
      </c>
      <c r="B779" s="2">
        <f t="shared" si="84"/>
        <v>45324.375</v>
      </c>
      <c r="C779" t="s">
        <v>2055</v>
      </c>
      <c r="D779" t="s">
        <v>36</v>
      </c>
      <c r="E779" t="str">
        <f>PROPER(TRIM(CLEAN(Sales_Table[[#This Row],[Region]])))</f>
        <v>West</v>
      </c>
      <c r="F779" t="s">
        <v>28</v>
      </c>
      <c r="G779" t="str">
        <f t="shared" si="85"/>
        <v>Clothing</v>
      </c>
      <c r="H779" t="str">
        <f>PROPER(TRIM(CLEAN(Sales_Table[[#This Row],[Product Name]])))</f>
        <v>Rice 5Kg</v>
      </c>
      <c r="I779" t="s">
        <v>73</v>
      </c>
      <c r="J779" t="str">
        <f t="shared" si="86"/>
        <v>CUST0653</v>
      </c>
      <c r="K779" t="s">
        <v>2056</v>
      </c>
      <c r="L779" t="str">
        <f>PROPER(TRIM(CLEAN(Sales_Table[[#This Row],[Salesperson]])))</f>
        <v>Meena</v>
      </c>
      <c r="M779" t="s">
        <v>40</v>
      </c>
      <c r="N779" t="str">
        <f t="shared" si="87"/>
        <v>Cash</v>
      </c>
      <c r="O779" t="s">
        <v>32</v>
      </c>
      <c r="P779">
        <f t="shared" si="88"/>
        <v>7</v>
      </c>
      <c r="Q779" t="s">
        <v>49</v>
      </c>
      <c r="R779">
        <f t="shared" si="89"/>
        <v>4170</v>
      </c>
      <c r="S779" t="s">
        <v>2057</v>
      </c>
      <c r="T779">
        <f t="shared" si="90"/>
        <v>29190</v>
      </c>
      <c r="U779">
        <f>YEAR(Sales_Table[[#This Row],[Date_clean]])</f>
        <v>2024</v>
      </c>
      <c r="V779" t="str">
        <f>TEXT(Sales_Table[[#This Row],[Date_clean]],"mmmm")</f>
        <v>February</v>
      </c>
      <c r="W779">
        <f>WEEKNUM(Sales_Table[[#This Row],[Date_clean]],2)</f>
        <v>5</v>
      </c>
      <c r="X779" t="str" cm="1">
        <f t="array" ref="X779">_xlfn.IFS(Sales_Table[[#This Row],[Revenue]]&gt;=50000,"High",Sales_Table[[#This Row],[Revenue]]&gt;=20000,"Medium",Sales_Table[[#This Row],[Revenue]]&lt;20000,"Low")</f>
        <v>Medium</v>
      </c>
      <c r="Y779" t="str">
        <f>IF(Sales_Table[[#This Row],[Payment Method_clean]]="cash","Offline","Online")</f>
        <v>Offline</v>
      </c>
      <c r="Z779">
        <f>IFERROR(Sales_Table[[#This Row],[Revenue]],0)</f>
        <v>29190</v>
      </c>
    </row>
    <row r="780" spans="1:26" x14ac:dyDescent="0.3">
      <c r="A780">
        <v>779</v>
      </c>
      <c r="B780" s="2">
        <f t="shared" si="84"/>
        <v>45324.416666666664</v>
      </c>
      <c r="C780" t="s">
        <v>2058</v>
      </c>
      <c r="D780" t="s">
        <v>36</v>
      </c>
      <c r="E780" t="str">
        <f>PROPER(TRIM(CLEAN(Sales_Table[[#This Row],[Region]])))</f>
        <v>West</v>
      </c>
      <c r="F780" t="s">
        <v>28</v>
      </c>
      <c r="G780" t="str">
        <f t="shared" si="85"/>
        <v>Clothing</v>
      </c>
      <c r="H780" t="str">
        <f>PROPER(TRIM(CLEAN(Sales_Table[[#This Row],[Product Name]])))</f>
        <v>Rice 5Kg</v>
      </c>
      <c r="I780" t="s">
        <v>73</v>
      </c>
      <c r="J780" t="str">
        <f t="shared" si="86"/>
        <v>CUST0657</v>
      </c>
      <c r="K780" t="s">
        <v>2059</v>
      </c>
      <c r="L780" t="str">
        <f>PROPER(TRIM(CLEAN(Sales_Table[[#This Row],[Salesperson]])))</f>
        <v>Rahul</v>
      </c>
      <c r="M780" t="s">
        <v>31</v>
      </c>
      <c r="N780" t="str">
        <f t="shared" si="87"/>
        <v>Upi</v>
      </c>
      <c r="O780" t="s">
        <v>48</v>
      </c>
      <c r="P780">
        <f t="shared" si="88"/>
        <v>9</v>
      </c>
      <c r="Q780" t="s">
        <v>130</v>
      </c>
      <c r="R780">
        <f t="shared" si="89"/>
        <v>3232</v>
      </c>
      <c r="S780" t="s">
        <v>2060</v>
      </c>
      <c r="T780">
        <f t="shared" si="90"/>
        <v>29088</v>
      </c>
      <c r="U780">
        <f>YEAR(Sales_Table[[#This Row],[Date_clean]])</f>
        <v>2024</v>
      </c>
      <c r="V780" t="str">
        <f>TEXT(Sales_Table[[#This Row],[Date_clean]],"mmmm")</f>
        <v>February</v>
      </c>
      <c r="W780">
        <f>WEEKNUM(Sales_Table[[#This Row],[Date_clean]],2)</f>
        <v>5</v>
      </c>
      <c r="X780" t="str" cm="1">
        <f t="array" ref="X780">_xlfn.IFS(Sales_Table[[#This Row],[Revenue]]&gt;=50000,"High",Sales_Table[[#This Row],[Revenue]]&gt;=20000,"Medium",Sales_Table[[#This Row],[Revenue]]&lt;20000,"Low")</f>
        <v>Medium</v>
      </c>
      <c r="Y780" t="str">
        <f>IF(Sales_Table[[#This Row],[Payment Method_clean]]="cash","Offline","Online")</f>
        <v>Online</v>
      </c>
      <c r="Z780">
        <f>IFERROR(Sales_Table[[#This Row],[Revenue]],0)</f>
        <v>29088</v>
      </c>
    </row>
    <row r="781" spans="1:26" x14ac:dyDescent="0.3">
      <c r="A781">
        <v>780</v>
      </c>
      <c r="B781" s="2">
        <f t="shared" si="84"/>
        <v>45324.458333333336</v>
      </c>
      <c r="C781" t="s">
        <v>2061</v>
      </c>
      <c r="D781" t="s">
        <v>27</v>
      </c>
      <c r="E781" t="str">
        <f>PROPER(TRIM(CLEAN(Sales_Table[[#This Row],[Region]])))</f>
        <v>East</v>
      </c>
      <c r="F781" t="s">
        <v>28</v>
      </c>
      <c r="G781" t="str">
        <f t="shared" si="85"/>
        <v>Clothing</v>
      </c>
      <c r="H781" t="str">
        <f>PROPER(TRIM(CLEAN(Sales_Table[[#This Row],[Product Name]])))</f>
        <v>Rice 5Kg</v>
      </c>
      <c r="I781" t="s">
        <v>73</v>
      </c>
      <c r="J781" t="str">
        <f t="shared" si="86"/>
        <v>CUST0166</v>
      </c>
      <c r="K781" t="s">
        <v>533</v>
      </c>
      <c r="L781" t="str">
        <f>PROPER(TRIM(CLEAN(Sales_Table[[#This Row],[Salesperson]])))</f>
        <v>Anita</v>
      </c>
      <c r="M781" t="s">
        <v>64</v>
      </c>
      <c r="N781" t="str">
        <f t="shared" si="87"/>
        <v>Credit Card</v>
      </c>
      <c r="O781" t="s">
        <v>65</v>
      </c>
      <c r="P781">
        <f t="shared" si="88"/>
        <v>13</v>
      </c>
      <c r="Q781" t="s">
        <v>81</v>
      </c>
      <c r="R781">
        <f t="shared" si="89"/>
        <v>3560</v>
      </c>
      <c r="S781" t="s">
        <v>528</v>
      </c>
      <c r="T781">
        <f t="shared" si="90"/>
        <v>46280</v>
      </c>
      <c r="U781">
        <f>YEAR(Sales_Table[[#This Row],[Date_clean]])</f>
        <v>2024</v>
      </c>
      <c r="V781" t="str">
        <f>TEXT(Sales_Table[[#This Row],[Date_clean]],"mmmm")</f>
        <v>February</v>
      </c>
      <c r="W781">
        <f>WEEKNUM(Sales_Table[[#This Row],[Date_clean]],2)</f>
        <v>5</v>
      </c>
      <c r="X781" t="str" cm="1">
        <f t="array" ref="X781">_xlfn.IFS(Sales_Table[[#This Row],[Revenue]]&gt;=50000,"High",Sales_Table[[#This Row],[Revenue]]&gt;=20000,"Medium",Sales_Table[[#This Row],[Revenue]]&lt;20000,"Low")</f>
        <v>Medium</v>
      </c>
      <c r="Y781" t="str">
        <f>IF(Sales_Table[[#This Row],[Payment Method_clean]]="cash","Offline","Online")</f>
        <v>Online</v>
      </c>
      <c r="Z781">
        <f>IFERROR(Sales_Table[[#This Row],[Revenue]],0)</f>
        <v>46280</v>
      </c>
    </row>
    <row r="782" spans="1:26" x14ac:dyDescent="0.3">
      <c r="A782">
        <v>781</v>
      </c>
      <c r="B782" s="2">
        <f t="shared" si="84"/>
        <v>45324.5</v>
      </c>
      <c r="C782" t="s">
        <v>2062</v>
      </c>
      <c r="D782" t="s">
        <v>45</v>
      </c>
      <c r="E782" t="str">
        <f>PROPER(TRIM(CLEAN(Sales_Table[[#This Row],[Region]])))</f>
        <v>North</v>
      </c>
      <c r="F782" t="s">
        <v>28</v>
      </c>
      <c r="G782" t="str">
        <f t="shared" si="85"/>
        <v>Clothing</v>
      </c>
      <c r="H782" t="str">
        <f>PROPER(TRIM(CLEAN(Sales_Table[[#This Row],[Product Name]])))</f>
        <v>Men T-Shirt</v>
      </c>
      <c r="I782" t="s">
        <v>38</v>
      </c>
      <c r="J782" t="str">
        <f t="shared" si="86"/>
        <v>CUST0496</v>
      </c>
      <c r="K782" t="s">
        <v>2063</v>
      </c>
      <c r="L782" t="str">
        <f>PROPER(TRIM(CLEAN(Sales_Table[[#This Row],[Salesperson]])))</f>
        <v>Karthik</v>
      </c>
      <c r="M782" t="s">
        <v>70</v>
      </c>
      <c r="N782" t="str">
        <f t="shared" si="87"/>
        <v>Credit Card</v>
      </c>
      <c r="O782" t="s">
        <v>65</v>
      </c>
      <c r="P782">
        <f t="shared" si="88"/>
        <v>13</v>
      </c>
      <c r="Q782" t="s">
        <v>81</v>
      </c>
      <c r="R782">
        <f t="shared" si="89"/>
        <v>2023</v>
      </c>
      <c r="S782" t="s">
        <v>2064</v>
      </c>
      <c r="T782">
        <f t="shared" si="90"/>
        <v>26299</v>
      </c>
      <c r="U782">
        <f>YEAR(Sales_Table[[#This Row],[Date_clean]])</f>
        <v>2024</v>
      </c>
      <c r="V782" t="str">
        <f>TEXT(Sales_Table[[#This Row],[Date_clean]],"mmmm")</f>
        <v>February</v>
      </c>
      <c r="W782">
        <f>WEEKNUM(Sales_Table[[#This Row],[Date_clean]],2)</f>
        <v>5</v>
      </c>
      <c r="X782" t="str" cm="1">
        <f t="array" ref="X782">_xlfn.IFS(Sales_Table[[#This Row],[Revenue]]&gt;=50000,"High",Sales_Table[[#This Row],[Revenue]]&gt;=20000,"Medium",Sales_Table[[#This Row],[Revenue]]&lt;20000,"Low")</f>
        <v>Medium</v>
      </c>
      <c r="Y782" t="str">
        <f>IF(Sales_Table[[#This Row],[Payment Method_clean]]="cash","Offline","Online")</f>
        <v>Online</v>
      </c>
      <c r="Z782">
        <f>IFERROR(Sales_Table[[#This Row],[Revenue]],0)</f>
        <v>26299</v>
      </c>
    </row>
    <row r="783" spans="1:26" x14ac:dyDescent="0.3">
      <c r="A783">
        <v>782</v>
      </c>
      <c r="B783" s="2">
        <f t="shared" si="84"/>
        <v>45324.541666666664</v>
      </c>
      <c r="C783" t="s">
        <v>2065</v>
      </c>
      <c r="D783" t="s">
        <v>27</v>
      </c>
      <c r="E783" t="str">
        <f>PROPER(TRIM(CLEAN(Sales_Table[[#This Row],[Region]])))</f>
        <v>East</v>
      </c>
      <c r="F783" t="s">
        <v>46</v>
      </c>
      <c r="G783" t="str">
        <f t="shared" si="85"/>
        <v>Electronics</v>
      </c>
      <c r="H783" t="str">
        <f>PROPER(TRIM(CLEAN(Sales_Table[[#This Row],[Product Name]])))</f>
        <v>Laptop</v>
      </c>
      <c r="I783" t="s">
        <v>52</v>
      </c>
      <c r="J783" t="str">
        <f t="shared" si="86"/>
        <v>CUST0590</v>
      </c>
      <c r="K783" t="s">
        <v>2066</v>
      </c>
      <c r="L783" t="str">
        <f>PROPER(TRIM(CLEAN(Sales_Table[[#This Row],[Salesperson]])))</f>
        <v>Suresh</v>
      </c>
      <c r="M783" t="s">
        <v>54</v>
      </c>
      <c r="N783" t="str">
        <f t="shared" si="87"/>
        <v>Debit Card</v>
      </c>
      <c r="O783" t="s">
        <v>41</v>
      </c>
      <c r="P783">
        <f t="shared" si="88"/>
        <v>14</v>
      </c>
      <c r="Q783" t="s">
        <v>55</v>
      </c>
      <c r="R783">
        <f t="shared" si="89"/>
        <v>733</v>
      </c>
      <c r="S783" t="s">
        <v>2067</v>
      </c>
      <c r="T783">
        <f t="shared" si="90"/>
        <v>10262</v>
      </c>
      <c r="U783">
        <f>YEAR(Sales_Table[[#This Row],[Date_clean]])</f>
        <v>2024</v>
      </c>
      <c r="V783" t="str">
        <f>TEXT(Sales_Table[[#This Row],[Date_clean]],"mmmm")</f>
        <v>February</v>
      </c>
      <c r="W783">
        <f>WEEKNUM(Sales_Table[[#This Row],[Date_clean]],2)</f>
        <v>5</v>
      </c>
      <c r="X783" t="str" cm="1">
        <f t="array" ref="X783">_xlfn.IFS(Sales_Table[[#This Row],[Revenue]]&gt;=50000,"High",Sales_Table[[#This Row],[Revenue]]&gt;=20000,"Medium",Sales_Table[[#This Row],[Revenue]]&lt;20000,"Low")</f>
        <v>Low</v>
      </c>
      <c r="Y783" t="str">
        <f>IF(Sales_Table[[#This Row],[Payment Method_clean]]="cash","Offline","Online")</f>
        <v>Online</v>
      </c>
      <c r="Z783">
        <f>IFERROR(Sales_Table[[#This Row],[Revenue]],0)</f>
        <v>10262</v>
      </c>
    </row>
    <row r="784" spans="1:26" x14ac:dyDescent="0.3">
      <c r="A784">
        <v>783</v>
      </c>
      <c r="B784" s="2">
        <f t="shared" si="84"/>
        <v>45324.583333333336</v>
      </c>
      <c r="C784" t="s">
        <v>2068</v>
      </c>
      <c r="D784" t="s">
        <v>36</v>
      </c>
      <c r="E784" t="str">
        <f>PROPER(TRIM(CLEAN(Sales_Table[[#This Row],[Region]])))</f>
        <v>West</v>
      </c>
      <c r="F784" t="s">
        <v>28</v>
      </c>
      <c r="G784" t="str">
        <f t="shared" si="85"/>
        <v>Clothing</v>
      </c>
      <c r="H784" t="str">
        <f>PROPER(TRIM(CLEAN(Sales_Table[[#This Row],[Product Name]])))</f>
        <v>Men T-Shirt</v>
      </c>
      <c r="I784" t="s">
        <v>38</v>
      </c>
      <c r="J784" t="str">
        <f t="shared" si="86"/>
        <v>CUST0429</v>
      </c>
      <c r="K784" t="s">
        <v>129</v>
      </c>
      <c r="L784" t="str">
        <f>PROPER(TRIM(CLEAN(Sales_Table[[#This Row],[Salesperson]])))</f>
        <v>Meena</v>
      </c>
      <c r="M784" t="s">
        <v>40</v>
      </c>
      <c r="N784" t="str">
        <f t="shared" si="87"/>
        <v>Credit Card</v>
      </c>
      <c r="O784" t="s">
        <v>65</v>
      </c>
      <c r="P784">
        <f t="shared" si="88"/>
        <v>5</v>
      </c>
      <c r="Q784" t="s">
        <v>89</v>
      </c>
      <c r="R784">
        <f t="shared" si="89"/>
        <v>4203</v>
      </c>
      <c r="S784" t="s">
        <v>2069</v>
      </c>
      <c r="T784">
        <f t="shared" si="90"/>
        <v>21015</v>
      </c>
      <c r="U784">
        <f>YEAR(Sales_Table[[#This Row],[Date_clean]])</f>
        <v>2024</v>
      </c>
      <c r="V784" t="str">
        <f>TEXT(Sales_Table[[#This Row],[Date_clean]],"mmmm")</f>
        <v>February</v>
      </c>
      <c r="W784">
        <f>WEEKNUM(Sales_Table[[#This Row],[Date_clean]],2)</f>
        <v>5</v>
      </c>
      <c r="X784" t="str" cm="1">
        <f t="array" ref="X784">_xlfn.IFS(Sales_Table[[#This Row],[Revenue]]&gt;=50000,"High",Sales_Table[[#This Row],[Revenue]]&gt;=20000,"Medium",Sales_Table[[#This Row],[Revenue]]&lt;20000,"Low")</f>
        <v>Medium</v>
      </c>
      <c r="Y784" t="str">
        <f>IF(Sales_Table[[#This Row],[Payment Method_clean]]="cash","Offline","Online")</f>
        <v>Online</v>
      </c>
      <c r="Z784">
        <f>IFERROR(Sales_Table[[#This Row],[Revenue]],0)</f>
        <v>21015</v>
      </c>
    </row>
    <row r="785" spans="1:26" x14ac:dyDescent="0.3">
      <c r="A785">
        <v>784</v>
      </c>
      <c r="B785" s="2">
        <f t="shared" si="84"/>
        <v>45324.625</v>
      </c>
      <c r="C785" t="s">
        <v>2070</v>
      </c>
      <c r="D785" t="s">
        <v>36</v>
      </c>
      <c r="E785" t="str">
        <f>PROPER(TRIM(CLEAN(Sales_Table[[#This Row],[Region]])))</f>
        <v>West</v>
      </c>
      <c r="F785" t="s">
        <v>46</v>
      </c>
      <c r="G785" t="str">
        <f t="shared" si="85"/>
        <v>Electronics</v>
      </c>
      <c r="H785" t="str">
        <f>PROPER(TRIM(CLEAN(Sales_Table[[#This Row],[Product Name]])))</f>
        <v>Men T-Shirt</v>
      </c>
      <c r="I785" t="s">
        <v>38</v>
      </c>
      <c r="J785" t="str">
        <f t="shared" si="86"/>
        <v>CUST0774</v>
      </c>
      <c r="K785" t="s">
        <v>2071</v>
      </c>
      <c r="L785" t="str">
        <f>PROPER(TRIM(CLEAN(Sales_Table[[#This Row],[Salesperson]])))</f>
        <v>Meena</v>
      </c>
      <c r="M785" t="s">
        <v>40</v>
      </c>
      <c r="N785" t="str">
        <f t="shared" si="87"/>
        <v>Credit Card</v>
      </c>
      <c r="O785" t="s">
        <v>65</v>
      </c>
      <c r="P785">
        <f t="shared" si="88"/>
        <v>11</v>
      </c>
      <c r="Q785" t="s">
        <v>97</v>
      </c>
      <c r="R785">
        <f t="shared" si="89"/>
        <v>1492</v>
      </c>
      <c r="S785" t="s">
        <v>641</v>
      </c>
      <c r="T785">
        <f t="shared" si="90"/>
        <v>16412</v>
      </c>
      <c r="U785">
        <f>YEAR(Sales_Table[[#This Row],[Date_clean]])</f>
        <v>2024</v>
      </c>
      <c r="V785" t="str">
        <f>TEXT(Sales_Table[[#This Row],[Date_clean]],"mmmm")</f>
        <v>February</v>
      </c>
      <c r="W785">
        <f>WEEKNUM(Sales_Table[[#This Row],[Date_clean]],2)</f>
        <v>5</v>
      </c>
      <c r="X785" t="str" cm="1">
        <f t="array" ref="X785">_xlfn.IFS(Sales_Table[[#This Row],[Revenue]]&gt;=50000,"High",Sales_Table[[#This Row],[Revenue]]&gt;=20000,"Medium",Sales_Table[[#This Row],[Revenue]]&lt;20000,"Low")</f>
        <v>Low</v>
      </c>
      <c r="Y785" t="str">
        <f>IF(Sales_Table[[#This Row],[Payment Method_clean]]="cash","Offline","Online")</f>
        <v>Online</v>
      </c>
      <c r="Z785">
        <f>IFERROR(Sales_Table[[#This Row],[Revenue]],0)</f>
        <v>16412</v>
      </c>
    </row>
    <row r="786" spans="1:26" x14ac:dyDescent="0.3">
      <c r="A786">
        <v>785</v>
      </c>
      <c r="B786" s="2">
        <f t="shared" si="84"/>
        <v>45324.666666666664</v>
      </c>
      <c r="C786" t="s">
        <v>2072</v>
      </c>
      <c r="D786" t="s">
        <v>84</v>
      </c>
      <c r="E786" t="str">
        <f>PROPER(TRIM(CLEAN(Sales_Table[[#This Row],[Region]])))</f>
        <v>South</v>
      </c>
      <c r="F786" t="s">
        <v>46</v>
      </c>
      <c r="G786" t="str">
        <f t="shared" si="85"/>
        <v>Electronics</v>
      </c>
      <c r="H786" t="str">
        <f>PROPER(TRIM(CLEAN(Sales_Table[[#This Row],[Product Name]])))</f>
        <v>Washing Machine</v>
      </c>
      <c r="I786" t="s">
        <v>79</v>
      </c>
      <c r="J786" t="str">
        <f t="shared" si="86"/>
        <v>CUST0163</v>
      </c>
      <c r="K786" t="s">
        <v>1786</v>
      </c>
      <c r="L786" t="str">
        <f>PROPER(TRIM(CLEAN(Sales_Table[[#This Row],[Salesperson]])))</f>
        <v>Meena</v>
      </c>
      <c r="M786" t="s">
        <v>40</v>
      </c>
      <c r="N786" t="str">
        <f t="shared" si="87"/>
        <v>Credit Card</v>
      </c>
      <c r="O786" t="s">
        <v>65</v>
      </c>
      <c r="P786">
        <f t="shared" si="88"/>
        <v>14</v>
      </c>
      <c r="Q786" t="s">
        <v>55</v>
      </c>
      <c r="R786">
        <f t="shared" si="89"/>
        <v>3546</v>
      </c>
      <c r="S786" t="s">
        <v>1899</v>
      </c>
      <c r="T786">
        <f t="shared" si="90"/>
        <v>49644</v>
      </c>
      <c r="U786">
        <f>YEAR(Sales_Table[[#This Row],[Date_clean]])</f>
        <v>2024</v>
      </c>
      <c r="V786" t="str">
        <f>TEXT(Sales_Table[[#This Row],[Date_clean]],"mmmm")</f>
        <v>February</v>
      </c>
      <c r="W786">
        <f>WEEKNUM(Sales_Table[[#This Row],[Date_clean]],2)</f>
        <v>5</v>
      </c>
      <c r="X786" t="str" cm="1">
        <f t="array" ref="X786">_xlfn.IFS(Sales_Table[[#This Row],[Revenue]]&gt;=50000,"High",Sales_Table[[#This Row],[Revenue]]&gt;=20000,"Medium",Sales_Table[[#This Row],[Revenue]]&lt;20000,"Low")</f>
        <v>Medium</v>
      </c>
      <c r="Y786" t="str">
        <f>IF(Sales_Table[[#This Row],[Payment Method_clean]]="cash","Offline","Online")</f>
        <v>Online</v>
      </c>
      <c r="Z786">
        <f>IFERROR(Sales_Table[[#This Row],[Revenue]],0)</f>
        <v>49644</v>
      </c>
    </row>
    <row r="787" spans="1:26" x14ac:dyDescent="0.3">
      <c r="A787">
        <v>786</v>
      </c>
      <c r="B787" s="2">
        <f t="shared" si="84"/>
        <v>45324.708333333336</v>
      </c>
      <c r="C787" t="s">
        <v>2073</v>
      </c>
      <c r="D787" t="s">
        <v>45</v>
      </c>
      <c r="E787" t="str">
        <f>PROPER(TRIM(CLEAN(Sales_Table[[#This Row],[Region]])))</f>
        <v>North</v>
      </c>
      <c r="F787" t="s">
        <v>37</v>
      </c>
      <c r="G787" t="str">
        <f t="shared" si="85"/>
        <v>Home Appliances</v>
      </c>
      <c r="H787" t="str">
        <f>PROPER(TRIM(CLEAN(Sales_Table[[#This Row],[Product Name]])))</f>
        <v>Washing Machine</v>
      </c>
      <c r="I787" t="s">
        <v>79</v>
      </c>
      <c r="J787" t="str">
        <f t="shared" si="86"/>
        <v>CUST0366</v>
      </c>
      <c r="K787" t="s">
        <v>422</v>
      </c>
      <c r="L787" t="str">
        <f>PROPER(TRIM(CLEAN(Sales_Table[[#This Row],[Salesperson]])))</f>
        <v>Suresh</v>
      </c>
      <c r="M787" t="s">
        <v>54</v>
      </c>
      <c r="N787" t="str">
        <f t="shared" si="87"/>
        <v>Credit Card</v>
      </c>
      <c r="O787" t="s">
        <v>65</v>
      </c>
      <c r="P787">
        <f t="shared" si="88"/>
        <v>5</v>
      </c>
      <c r="Q787" t="s">
        <v>89</v>
      </c>
      <c r="R787">
        <f t="shared" si="89"/>
        <v>3198</v>
      </c>
      <c r="S787" t="s">
        <v>2074</v>
      </c>
      <c r="T787">
        <f t="shared" si="90"/>
        <v>15990</v>
      </c>
      <c r="U787">
        <f>YEAR(Sales_Table[[#This Row],[Date_clean]])</f>
        <v>2024</v>
      </c>
      <c r="V787" t="str">
        <f>TEXT(Sales_Table[[#This Row],[Date_clean]],"mmmm")</f>
        <v>February</v>
      </c>
      <c r="W787">
        <f>WEEKNUM(Sales_Table[[#This Row],[Date_clean]],2)</f>
        <v>5</v>
      </c>
      <c r="X787" t="str" cm="1">
        <f t="array" ref="X787">_xlfn.IFS(Sales_Table[[#This Row],[Revenue]]&gt;=50000,"High",Sales_Table[[#This Row],[Revenue]]&gt;=20000,"Medium",Sales_Table[[#This Row],[Revenue]]&lt;20000,"Low")</f>
        <v>Low</v>
      </c>
      <c r="Y787" t="str">
        <f>IF(Sales_Table[[#This Row],[Payment Method_clean]]="cash","Offline","Online")</f>
        <v>Online</v>
      </c>
      <c r="Z787">
        <f>IFERROR(Sales_Table[[#This Row],[Revenue]],0)</f>
        <v>15990</v>
      </c>
    </row>
    <row r="788" spans="1:26" x14ac:dyDescent="0.3">
      <c r="A788">
        <v>787</v>
      </c>
      <c r="B788" s="2">
        <f t="shared" si="84"/>
        <v>45324.75</v>
      </c>
      <c r="C788" t="s">
        <v>2075</v>
      </c>
      <c r="D788" t="s">
        <v>27</v>
      </c>
      <c r="E788" t="str">
        <f>PROPER(TRIM(CLEAN(Sales_Table[[#This Row],[Region]])))</f>
        <v>East</v>
      </c>
      <c r="F788" t="s">
        <v>46</v>
      </c>
      <c r="G788" t="str">
        <f t="shared" si="85"/>
        <v>Electronics</v>
      </c>
      <c r="H788" t="str">
        <f>PROPER(TRIM(CLEAN(Sales_Table[[#This Row],[Product Name]])))</f>
        <v>Laptop</v>
      </c>
      <c r="I788" t="s">
        <v>52</v>
      </c>
      <c r="J788" t="str">
        <f t="shared" si="86"/>
        <v>CUST0526</v>
      </c>
      <c r="K788" t="s">
        <v>2076</v>
      </c>
      <c r="L788" t="str">
        <f>PROPER(TRIM(CLEAN(Sales_Table[[#This Row],[Salesperson]])))</f>
        <v>Anita</v>
      </c>
      <c r="M788" t="s">
        <v>64</v>
      </c>
      <c r="N788" t="str">
        <f t="shared" si="87"/>
        <v>Credit Card</v>
      </c>
      <c r="O788" t="s">
        <v>65</v>
      </c>
      <c r="P788">
        <f t="shared" si="88"/>
        <v>14</v>
      </c>
      <c r="Q788" t="s">
        <v>55</v>
      </c>
      <c r="R788">
        <f t="shared" si="89"/>
        <v>161</v>
      </c>
      <c r="S788" t="s">
        <v>2077</v>
      </c>
      <c r="T788">
        <f t="shared" si="90"/>
        <v>2254</v>
      </c>
      <c r="U788">
        <f>YEAR(Sales_Table[[#This Row],[Date_clean]])</f>
        <v>2024</v>
      </c>
      <c r="V788" t="str">
        <f>TEXT(Sales_Table[[#This Row],[Date_clean]],"mmmm")</f>
        <v>February</v>
      </c>
      <c r="W788">
        <f>WEEKNUM(Sales_Table[[#This Row],[Date_clean]],2)</f>
        <v>5</v>
      </c>
      <c r="X788" t="str" cm="1">
        <f t="array" ref="X788">_xlfn.IFS(Sales_Table[[#This Row],[Revenue]]&gt;=50000,"High",Sales_Table[[#This Row],[Revenue]]&gt;=20000,"Medium",Sales_Table[[#This Row],[Revenue]]&lt;20000,"Low")</f>
        <v>Low</v>
      </c>
      <c r="Y788" t="str">
        <f>IF(Sales_Table[[#This Row],[Payment Method_clean]]="cash","Offline","Online")</f>
        <v>Online</v>
      </c>
      <c r="Z788">
        <f>IFERROR(Sales_Table[[#This Row],[Revenue]],0)</f>
        <v>2254</v>
      </c>
    </row>
    <row r="789" spans="1:26" x14ac:dyDescent="0.3">
      <c r="A789">
        <v>788</v>
      </c>
      <c r="B789" s="2">
        <f t="shared" si="84"/>
        <v>45324.791666666664</v>
      </c>
      <c r="C789" t="s">
        <v>2078</v>
      </c>
      <c r="D789" t="s">
        <v>36</v>
      </c>
      <c r="E789" t="str">
        <f>PROPER(TRIM(CLEAN(Sales_Table[[#This Row],[Region]])))</f>
        <v>West</v>
      </c>
      <c r="F789" t="s">
        <v>78</v>
      </c>
      <c r="G789" t="str">
        <f t="shared" si="85"/>
        <v>Grocery</v>
      </c>
      <c r="H789" t="str">
        <f>PROPER(TRIM(CLEAN(Sales_Table[[#This Row],[Product Name]])))</f>
        <v>Washing Machine</v>
      </c>
      <c r="I789" t="s">
        <v>79</v>
      </c>
      <c r="J789" t="str">
        <f t="shared" si="86"/>
        <v>CUST0239</v>
      </c>
      <c r="K789" t="s">
        <v>311</v>
      </c>
      <c r="L789" t="str">
        <f>PROPER(TRIM(CLEAN(Sales_Table[[#This Row],[Salesperson]])))</f>
        <v>Rahul</v>
      </c>
      <c r="M789" t="s">
        <v>31</v>
      </c>
      <c r="N789" t="str">
        <f t="shared" si="87"/>
        <v>Upi</v>
      </c>
      <c r="O789" t="s">
        <v>48</v>
      </c>
      <c r="P789">
        <f t="shared" si="88"/>
        <v>4</v>
      </c>
      <c r="Q789" t="s">
        <v>113</v>
      </c>
      <c r="R789">
        <f t="shared" si="89"/>
        <v>2569</v>
      </c>
      <c r="S789" t="s">
        <v>2079</v>
      </c>
      <c r="T789">
        <f t="shared" si="90"/>
        <v>10276</v>
      </c>
      <c r="U789">
        <f>YEAR(Sales_Table[[#This Row],[Date_clean]])</f>
        <v>2024</v>
      </c>
      <c r="V789" t="str">
        <f>TEXT(Sales_Table[[#This Row],[Date_clean]],"mmmm")</f>
        <v>February</v>
      </c>
      <c r="W789">
        <f>WEEKNUM(Sales_Table[[#This Row],[Date_clean]],2)</f>
        <v>5</v>
      </c>
      <c r="X789" t="str" cm="1">
        <f t="array" ref="X789">_xlfn.IFS(Sales_Table[[#This Row],[Revenue]]&gt;=50000,"High",Sales_Table[[#This Row],[Revenue]]&gt;=20000,"Medium",Sales_Table[[#This Row],[Revenue]]&lt;20000,"Low")</f>
        <v>Low</v>
      </c>
      <c r="Y789" t="str">
        <f>IF(Sales_Table[[#This Row],[Payment Method_clean]]="cash","Offline","Online")</f>
        <v>Online</v>
      </c>
      <c r="Z789">
        <f>IFERROR(Sales_Table[[#This Row],[Revenue]],0)</f>
        <v>10276</v>
      </c>
    </row>
    <row r="790" spans="1:26" x14ac:dyDescent="0.3">
      <c r="A790">
        <v>789</v>
      </c>
      <c r="B790" s="2">
        <f t="shared" si="84"/>
        <v>45324.833333333336</v>
      </c>
      <c r="C790" t="s">
        <v>2080</v>
      </c>
      <c r="D790" t="s">
        <v>36</v>
      </c>
      <c r="E790" t="str">
        <f>PROPER(TRIM(CLEAN(Sales_Table[[#This Row],[Region]])))</f>
        <v>West</v>
      </c>
      <c r="F790" t="s">
        <v>46</v>
      </c>
      <c r="G790" t="str">
        <f t="shared" si="85"/>
        <v>Electronics</v>
      </c>
      <c r="H790" t="str">
        <f>PROPER(TRIM(CLEAN(Sales_Table[[#This Row],[Product Name]])))</f>
        <v>Led Tv 42Inch</v>
      </c>
      <c r="I790" t="s">
        <v>58</v>
      </c>
      <c r="J790" t="str">
        <f t="shared" si="86"/>
        <v>CUST0072</v>
      </c>
      <c r="K790" t="s">
        <v>1234</v>
      </c>
      <c r="L790" t="str">
        <f>PROPER(TRIM(CLEAN(Sales_Table[[#This Row],[Salesperson]])))</f>
        <v>Anita</v>
      </c>
      <c r="M790" t="s">
        <v>64</v>
      </c>
      <c r="N790" t="str">
        <f t="shared" si="87"/>
        <v>Cash</v>
      </c>
      <c r="O790" t="s">
        <v>32</v>
      </c>
      <c r="P790">
        <f t="shared" si="88"/>
        <v>6</v>
      </c>
      <c r="Q790" t="s">
        <v>75</v>
      </c>
      <c r="R790">
        <f t="shared" si="89"/>
        <v>1917</v>
      </c>
      <c r="S790" t="s">
        <v>2081</v>
      </c>
      <c r="T790">
        <f t="shared" si="90"/>
        <v>11502</v>
      </c>
      <c r="U790">
        <f>YEAR(Sales_Table[[#This Row],[Date_clean]])</f>
        <v>2024</v>
      </c>
      <c r="V790" t="str">
        <f>TEXT(Sales_Table[[#This Row],[Date_clean]],"mmmm")</f>
        <v>February</v>
      </c>
      <c r="W790">
        <f>WEEKNUM(Sales_Table[[#This Row],[Date_clean]],2)</f>
        <v>5</v>
      </c>
      <c r="X790" t="str" cm="1">
        <f t="array" ref="X790">_xlfn.IFS(Sales_Table[[#This Row],[Revenue]]&gt;=50000,"High",Sales_Table[[#This Row],[Revenue]]&gt;=20000,"Medium",Sales_Table[[#This Row],[Revenue]]&lt;20000,"Low")</f>
        <v>Low</v>
      </c>
      <c r="Y790" t="str">
        <f>IF(Sales_Table[[#This Row],[Payment Method_clean]]="cash","Offline","Online")</f>
        <v>Offline</v>
      </c>
      <c r="Z790">
        <f>IFERROR(Sales_Table[[#This Row],[Revenue]],0)</f>
        <v>11502</v>
      </c>
    </row>
    <row r="791" spans="1:26" x14ac:dyDescent="0.3">
      <c r="A791">
        <v>790</v>
      </c>
      <c r="B791" s="2">
        <f t="shared" si="84"/>
        <v>45324.875</v>
      </c>
      <c r="C791" t="s">
        <v>2082</v>
      </c>
      <c r="D791" t="s">
        <v>27</v>
      </c>
      <c r="E791" t="str">
        <f>PROPER(TRIM(CLEAN(Sales_Table[[#This Row],[Region]])))</f>
        <v>East</v>
      </c>
      <c r="F791" t="s">
        <v>37</v>
      </c>
      <c r="G791" t="str">
        <f t="shared" si="85"/>
        <v>Home Appliances</v>
      </c>
      <c r="H791" t="str">
        <f>PROPER(TRIM(CLEAN(Sales_Table[[#This Row],[Product Name]])))</f>
        <v>Laptop</v>
      </c>
      <c r="I791" t="s">
        <v>52</v>
      </c>
      <c r="J791" t="str">
        <f t="shared" si="86"/>
        <v>CUST0445</v>
      </c>
      <c r="K791" t="s">
        <v>213</v>
      </c>
      <c r="L791" t="str">
        <f>PROPER(TRIM(CLEAN(Sales_Table[[#This Row],[Salesperson]])))</f>
        <v>Rahul</v>
      </c>
      <c r="M791" t="s">
        <v>31</v>
      </c>
      <c r="N791" t="str">
        <f t="shared" si="87"/>
        <v>Net Banking</v>
      </c>
      <c r="O791" t="s">
        <v>60</v>
      </c>
      <c r="P791">
        <f t="shared" si="88"/>
        <v>2</v>
      </c>
      <c r="Q791" t="s">
        <v>196</v>
      </c>
      <c r="R791">
        <f t="shared" si="89"/>
        <v>732</v>
      </c>
      <c r="S791" t="s">
        <v>2083</v>
      </c>
      <c r="T791">
        <f t="shared" si="90"/>
        <v>1464</v>
      </c>
      <c r="U791">
        <f>YEAR(Sales_Table[[#This Row],[Date_clean]])</f>
        <v>2024</v>
      </c>
      <c r="V791" t="str">
        <f>TEXT(Sales_Table[[#This Row],[Date_clean]],"mmmm")</f>
        <v>February</v>
      </c>
      <c r="W791">
        <f>WEEKNUM(Sales_Table[[#This Row],[Date_clean]],2)</f>
        <v>5</v>
      </c>
      <c r="X791" t="str" cm="1">
        <f t="array" ref="X791">_xlfn.IFS(Sales_Table[[#This Row],[Revenue]]&gt;=50000,"High",Sales_Table[[#This Row],[Revenue]]&gt;=20000,"Medium",Sales_Table[[#This Row],[Revenue]]&lt;20000,"Low")</f>
        <v>Low</v>
      </c>
      <c r="Y791" t="str">
        <f>IF(Sales_Table[[#This Row],[Payment Method_clean]]="cash","Offline","Online")</f>
        <v>Online</v>
      </c>
      <c r="Z791">
        <f>IFERROR(Sales_Table[[#This Row],[Revenue]],0)</f>
        <v>1464</v>
      </c>
    </row>
    <row r="792" spans="1:26" x14ac:dyDescent="0.3">
      <c r="A792">
        <v>791</v>
      </c>
      <c r="B792" s="2">
        <f t="shared" si="84"/>
        <v>45324.916666666664</v>
      </c>
      <c r="C792" t="s">
        <v>2084</v>
      </c>
      <c r="D792" t="s">
        <v>84</v>
      </c>
      <c r="E792" t="str">
        <f>PROPER(TRIM(CLEAN(Sales_Table[[#This Row],[Region]])))</f>
        <v>South</v>
      </c>
      <c r="F792" t="s">
        <v>46</v>
      </c>
      <c r="G792" t="str">
        <f t="shared" si="85"/>
        <v>Electronics</v>
      </c>
      <c r="H792" t="str">
        <f>PROPER(TRIM(CLEAN(Sales_Table[[#This Row],[Product Name]])))</f>
        <v>Washing Machine</v>
      </c>
      <c r="I792" t="s">
        <v>79</v>
      </c>
      <c r="J792" t="str">
        <f t="shared" si="86"/>
        <v>CUST0655</v>
      </c>
      <c r="K792" t="s">
        <v>504</v>
      </c>
      <c r="L792" t="str">
        <f>PROPER(TRIM(CLEAN(Sales_Table[[#This Row],[Salesperson]])))</f>
        <v>Meena</v>
      </c>
      <c r="M792" t="s">
        <v>40</v>
      </c>
      <c r="N792" t="str">
        <f t="shared" si="87"/>
        <v>Credit Card</v>
      </c>
      <c r="O792" t="s">
        <v>65</v>
      </c>
      <c r="P792">
        <f t="shared" si="88"/>
        <v>3</v>
      </c>
      <c r="Q792" t="s">
        <v>66</v>
      </c>
      <c r="R792">
        <f t="shared" si="89"/>
        <v>4987</v>
      </c>
      <c r="S792" t="s">
        <v>2085</v>
      </c>
      <c r="T792">
        <f t="shared" si="90"/>
        <v>14961</v>
      </c>
      <c r="U792">
        <f>YEAR(Sales_Table[[#This Row],[Date_clean]])</f>
        <v>2024</v>
      </c>
      <c r="V792" t="str">
        <f>TEXT(Sales_Table[[#This Row],[Date_clean]],"mmmm")</f>
        <v>February</v>
      </c>
      <c r="W792">
        <f>WEEKNUM(Sales_Table[[#This Row],[Date_clean]],2)</f>
        <v>5</v>
      </c>
      <c r="X792" t="str" cm="1">
        <f t="array" ref="X792">_xlfn.IFS(Sales_Table[[#This Row],[Revenue]]&gt;=50000,"High",Sales_Table[[#This Row],[Revenue]]&gt;=20000,"Medium",Sales_Table[[#This Row],[Revenue]]&lt;20000,"Low")</f>
        <v>Low</v>
      </c>
      <c r="Y792" t="str">
        <f>IF(Sales_Table[[#This Row],[Payment Method_clean]]="cash","Offline","Online")</f>
        <v>Online</v>
      </c>
      <c r="Z792">
        <f>IFERROR(Sales_Table[[#This Row],[Revenue]],0)</f>
        <v>14961</v>
      </c>
    </row>
    <row r="793" spans="1:26" x14ac:dyDescent="0.3">
      <c r="A793">
        <v>792</v>
      </c>
      <c r="B793" s="2">
        <f t="shared" si="84"/>
        <v>45324.958333333336</v>
      </c>
      <c r="C793" t="s">
        <v>2086</v>
      </c>
      <c r="D793" t="s">
        <v>36</v>
      </c>
      <c r="E793" t="str">
        <f>PROPER(TRIM(CLEAN(Sales_Table[[#This Row],[Region]])))</f>
        <v>West</v>
      </c>
      <c r="F793" t="s">
        <v>78</v>
      </c>
      <c r="G793" t="str">
        <f t="shared" si="85"/>
        <v>Grocery</v>
      </c>
      <c r="H793" t="str">
        <f>PROPER(TRIM(CLEAN(Sales_Table[[#This Row],[Product Name]])))</f>
        <v>Laptop</v>
      </c>
      <c r="I793" t="s">
        <v>52</v>
      </c>
      <c r="J793" t="str">
        <f t="shared" si="86"/>
        <v>CUST0509</v>
      </c>
      <c r="K793" t="s">
        <v>2087</v>
      </c>
      <c r="L793" t="str">
        <f>PROPER(TRIM(CLEAN(Sales_Table[[#This Row],[Salesperson]])))</f>
        <v>Anita</v>
      </c>
      <c r="M793" t="s">
        <v>64</v>
      </c>
      <c r="N793" t="str">
        <f t="shared" si="87"/>
        <v>Net Banking</v>
      </c>
      <c r="O793" t="s">
        <v>60</v>
      </c>
      <c r="P793">
        <f t="shared" si="88"/>
        <v>1</v>
      </c>
      <c r="Q793" t="s">
        <v>93</v>
      </c>
      <c r="R793">
        <f t="shared" si="89"/>
        <v>2698</v>
      </c>
      <c r="S793" t="s">
        <v>2088</v>
      </c>
      <c r="T793">
        <f t="shared" si="90"/>
        <v>2698</v>
      </c>
      <c r="U793">
        <f>YEAR(Sales_Table[[#This Row],[Date_clean]])</f>
        <v>2024</v>
      </c>
      <c r="V793" t="str">
        <f>TEXT(Sales_Table[[#This Row],[Date_clean]],"mmmm")</f>
        <v>February</v>
      </c>
      <c r="W793">
        <f>WEEKNUM(Sales_Table[[#This Row],[Date_clean]],2)</f>
        <v>5</v>
      </c>
      <c r="X793" t="str" cm="1">
        <f t="array" ref="X793">_xlfn.IFS(Sales_Table[[#This Row],[Revenue]]&gt;=50000,"High",Sales_Table[[#This Row],[Revenue]]&gt;=20000,"Medium",Sales_Table[[#This Row],[Revenue]]&lt;20000,"Low")</f>
        <v>Low</v>
      </c>
      <c r="Y793" t="str">
        <f>IF(Sales_Table[[#This Row],[Payment Method_clean]]="cash","Offline","Online")</f>
        <v>Online</v>
      </c>
      <c r="Z793">
        <f>IFERROR(Sales_Table[[#This Row],[Revenue]],0)</f>
        <v>2698</v>
      </c>
    </row>
    <row r="794" spans="1:26" x14ac:dyDescent="0.3">
      <c r="A794">
        <v>793</v>
      </c>
      <c r="B794" s="2">
        <f t="shared" si="84"/>
        <v>45325</v>
      </c>
      <c r="C794" t="s">
        <v>2089</v>
      </c>
      <c r="D794" t="s">
        <v>45</v>
      </c>
      <c r="E794" t="str">
        <f>PROPER(TRIM(CLEAN(Sales_Table[[#This Row],[Region]])))</f>
        <v>North</v>
      </c>
      <c r="F794" t="s">
        <v>78</v>
      </c>
      <c r="G794" t="str">
        <f t="shared" si="85"/>
        <v>Grocery</v>
      </c>
      <c r="H794" t="str">
        <f>PROPER(TRIM(CLEAN(Sales_Table[[#This Row],[Product Name]])))</f>
        <v>Men T-Shirt</v>
      </c>
      <c r="I794" t="s">
        <v>38</v>
      </c>
      <c r="J794" t="str">
        <f t="shared" si="86"/>
        <v>CUST0795</v>
      </c>
      <c r="K794" t="s">
        <v>2090</v>
      </c>
      <c r="L794" t="str">
        <f>PROPER(TRIM(CLEAN(Sales_Table[[#This Row],[Salesperson]])))</f>
        <v>Meena</v>
      </c>
      <c r="M794" t="s">
        <v>40</v>
      </c>
      <c r="N794" t="str">
        <f t="shared" si="87"/>
        <v>Net Banking</v>
      </c>
      <c r="O794" t="s">
        <v>60</v>
      </c>
      <c r="P794">
        <f t="shared" si="88"/>
        <v>2</v>
      </c>
      <c r="Q794" t="s">
        <v>196</v>
      </c>
      <c r="R794">
        <f t="shared" si="89"/>
        <v>3551</v>
      </c>
      <c r="S794" t="s">
        <v>2091</v>
      </c>
      <c r="T794">
        <f t="shared" si="90"/>
        <v>7102</v>
      </c>
      <c r="U794">
        <f>YEAR(Sales_Table[[#This Row],[Date_clean]])</f>
        <v>2024</v>
      </c>
      <c r="V794" t="str">
        <f>TEXT(Sales_Table[[#This Row],[Date_clean]],"mmmm")</f>
        <v>February</v>
      </c>
      <c r="W794">
        <f>WEEKNUM(Sales_Table[[#This Row],[Date_clean]],2)</f>
        <v>5</v>
      </c>
      <c r="X794" t="str" cm="1">
        <f t="array" ref="X794">_xlfn.IFS(Sales_Table[[#This Row],[Revenue]]&gt;=50000,"High",Sales_Table[[#This Row],[Revenue]]&gt;=20000,"Medium",Sales_Table[[#This Row],[Revenue]]&lt;20000,"Low")</f>
        <v>Low</v>
      </c>
      <c r="Y794" t="str">
        <f>IF(Sales_Table[[#This Row],[Payment Method_clean]]="cash","Offline","Online")</f>
        <v>Online</v>
      </c>
      <c r="Z794">
        <f>IFERROR(Sales_Table[[#This Row],[Revenue]],0)</f>
        <v>7102</v>
      </c>
    </row>
    <row r="795" spans="1:26" x14ac:dyDescent="0.3">
      <c r="A795">
        <v>794</v>
      </c>
      <c r="B795" s="2">
        <f t="shared" si="84"/>
        <v>45325.041666666664</v>
      </c>
      <c r="C795" t="s">
        <v>2092</v>
      </c>
      <c r="D795" t="s">
        <v>36</v>
      </c>
      <c r="E795" t="str">
        <f>PROPER(TRIM(CLEAN(Sales_Table[[#This Row],[Region]])))</f>
        <v>West</v>
      </c>
      <c r="F795" t="s">
        <v>78</v>
      </c>
      <c r="G795" t="str">
        <f t="shared" si="85"/>
        <v>Grocery</v>
      </c>
      <c r="H795" t="str">
        <f>PROPER(TRIM(CLEAN(Sales_Table[[#This Row],[Product Name]])))</f>
        <v>Men T-Shirt</v>
      </c>
      <c r="I795" t="s">
        <v>38</v>
      </c>
      <c r="J795" t="str">
        <f t="shared" si="86"/>
        <v>CUST0269</v>
      </c>
      <c r="K795" t="s">
        <v>216</v>
      </c>
      <c r="L795" t="str">
        <f>PROPER(TRIM(CLEAN(Sales_Table[[#This Row],[Salesperson]])))</f>
        <v>Karthik</v>
      </c>
      <c r="M795" t="s">
        <v>70</v>
      </c>
      <c r="N795" t="str">
        <f t="shared" si="87"/>
        <v>Upi</v>
      </c>
      <c r="O795" t="s">
        <v>48</v>
      </c>
      <c r="P795">
        <f t="shared" si="88"/>
        <v>2</v>
      </c>
      <c r="Q795" t="s">
        <v>196</v>
      </c>
      <c r="R795">
        <f t="shared" si="89"/>
        <v>1400</v>
      </c>
      <c r="S795" t="s">
        <v>2093</v>
      </c>
      <c r="T795">
        <f t="shared" si="90"/>
        <v>2800</v>
      </c>
      <c r="U795">
        <f>YEAR(Sales_Table[[#This Row],[Date_clean]])</f>
        <v>2024</v>
      </c>
      <c r="V795" t="str">
        <f>TEXT(Sales_Table[[#This Row],[Date_clean]],"mmmm")</f>
        <v>February</v>
      </c>
      <c r="W795">
        <f>WEEKNUM(Sales_Table[[#This Row],[Date_clean]],2)</f>
        <v>5</v>
      </c>
      <c r="X795" t="str" cm="1">
        <f t="array" ref="X795">_xlfn.IFS(Sales_Table[[#This Row],[Revenue]]&gt;=50000,"High",Sales_Table[[#This Row],[Revenue]]&gt;=20000,"Medium",Sales_Table[[#This Row],[Revenue]]&lt;20000,"Low")</f>
        <v>Low</v>
      </c>
      <c r="Y795" t="str">
        <f>IF(Sales_Table[[#This Row],[Payment Method_clean]]="cash","Offline","Online")</f>
        <v>Online</v>
      </c>
      <c r="Z795">
        <f>IFERROR(Sales_Table[[#This Row],[Revenue]],0)</f>
        <v>2800</v>
      </c>
    </row>
    <row r="796" spans="1:26" x14ac:dyDescent="0.3">
      <c r="A796">
        <v>795</v>
      </c>
      <c r="B796" s="2">
        <f t="shared" si="84"/>
        <v>45325.083333333336</v>
      </c>
      <c r="C796" t="s">
        <v>2094</v>
      </c>
      <c r="D796" t="s">
        <v>45</v>
      </c>
      <c r="E796" t="str">
        <f>PROPER(TRIM(CLEAN(Sales_Table[[#This Row],[Region]])))</f>
        <v>North</v>
      </c>
      <c r="F796" t="s">
        <v>37</v>
      </c>
      <c r="G796" t="str">
        <f t="shared" si="85"/>
        <v>Home Appliances</v>
      </c>
      <c r="H796" t="str">
        <f>PROPER(TRIM(CLEAN(Sales_Table[[#This Row],[Product Name]])))</f>
        <v>Laptop</v>
      </c>
      <c r="I796" t="s">
        <v>52</v>
      </c>
      <c r="J796" t="str">
        <f t="shared" si="86"/>
        <v>CUST0753</v>
      </c>
      <c r="K796" t="s">
        <v>2095</v>
      </c>
      <c r="L796" t="str">
        <f>PROPER(TRIM(CLEAN(Sales_Table[[#This Row],[Salesperson]])))</f>
        <v>Meena</v>
      </c>
      <c r="M796" t="s">
        <v>40</v>
      </c>
      <c r="N796" t="str">
        <f t="shared" si="87"/>
        <v>Credit Card</v>
      </c>
      <c r="O796" t="s">
        <v>65</v>
      </c>
      <c r="P796">
        <f t="shared" si="88"/>
        <v>8</v>
      </c>
      <c r="Q796" t="s">
        <v>42</v>
      </c>
      <c r="R796">
        <f t="shared" si="89"/>
        <v>2753</v>
      </c>
      <c r="S796" t="s">
        <v>2096</v>
      </c>
      <c r="T796">
        <f t="shared" si="90"/>
        <v>22024</v>
      </c>
      <c r="U796">
        <f>YEAR(Sales_Table[[#This Row],[Date_clean]])</f>
        <v>2024</v>
      </c>
      <c r="V796" t="str">
        <f>TEXT(Sales_Table[[#This Row],[Date_clean]],"mmmm")</f>
        <v>February</v>
      </c>
      <c r="W796">
        <f>WEEKNUM(Sales_Table[[#This Row],[Date_clean]],2)</f>
        <v>5</v>
      </c>
      <c r="X796" t="str" cm="1">
        <f t="array" ref="X796">_xlfn.IFS(Sales_Table[[#This Row],[Revenue]]&gt;=50000,"High",Sales_Table[[#This Row],[Revenue]]&gt;=20000,"Medium",Sales_Table[[#This Row],[Revenue]]&lt;20000,"Low")</f>
        <v>Medium</v>
      </c>
      <c r="Y796" t="str">
        <f>IF(Sales_Table[[#This Row],[Payment Method_clean]]="cash","Offline","Online")</f>
        <v>Online</v>
      </c>
      <c r="Z796">
        <f>IFERROR(Sales_Table[[#This Row],[Revenue]],0)</f>
        <v>22024</v>
      </c>
    </row>
    <row r="797" spans="1:26" x14ac:dyDescent="0.3">
      <c r="A797">
        <v>796</v>
      </c>
      <c r="B797" s="2">
        <f t="shared" si="84"/>
        <v>45325.125</v>
      </c>
      <c r="C797" t="s">
        <v>2097</v>
      </c>
      <c r="D797" t="s">
        <v>27</v>
      </c>
      <c r="E797" t="str">
        <f>PROPER(TRIM(CLEAN(Sales_Table[[#This Row],[Region]])))</f>
        <v>East</v>
      </c>
      <c r="F797" t="s">
        <v>37</v>
      </c>
      <c r="G797" t="str">
        <f t="shared" si="85"/>
        <v>Home Appliances</v>
      </c>
      <c r="H797" t="str">
        <f>PROPER(TRIM(CLEAN(Sales_Table[[#This Row],[Product Name]])))</f>
        <v>Led Tv 42Inch</v>
      </c>
      <c r="I797" t="s">
        <v>58</v>
      </c>
      <c r="J797" t="str">
        <f t="shared" si="86"/>
        <v>CUST0415</v>
      </c>
      <c r="K797" t="s">
        <v>536</v>
      </c>
      <c r="L797" t="str">
        <f>PROPER(TRIM(CLEAN(Sales_Table[[#This Row],[Salesperson]])))</f>
        <v>Meena</v>
      </c>
      <c r="M797" t="s">
        <v>40</v>
      </c>
      <c r="N797" t="str">
        <f t="shared" si="87"/>
        <v>Net Banking</v>
      </c>
      <c r="O797" t="s">
        <v>60</v>
      </c>
      <c r="P797">
        <f t="shared" si="88"/>
        <v>8</v>
      </c>
      <c r="Q797" t="s">
        <v>42</v>
      </c>
      <c r="R797">
        <f t="shared" si="89"/>
        <v>1554</v>
      </c>
      <c r="S797" t="s">
        <v>2098</v>
      </c>
      <c r="T797">
        <f t="shared" si="90"/>
        <v>12432</v>
      </c>
      <c r="U797">
        <f>YEAR(Sales_Table[[#This Row],[Date_clean]])</f>
        <v>2024</v>
      </c>
      <c r="V797" t="str">
        <f>TEXT(Sales_Table[[#This Row],[Date_clean]],"mmmm")</f>
        <v>February</v>
      </c>
      <c r="W797">
        <f>WEEKNUM(Sales_Table[[#This Row],[Date_clean]],2)</f>
        <v>5</v>
      </c>
      <c r="X797" t="str" cm="1">
        <f t="array" ref="X797">_xlfn.IFS(Sales_Table[[#This Row],[Revenue]]&gt;=50000,"High",Sales_Table[[#This Row],[Revenue]]&gt;=20000,"Medium",Sales_Table[[#This Row],[Revenue]]&lt;20000,"Low")</f>
        <v>Low</v>
      </c>
      <c r="Y797" t="str">
        <f>IF(Sales_Table[[#This Row],[Payment Method_clean]]="cash","Offline","Online")</f>
        <v>Online</v>
      </c>
      <c r="Z797">
        <f>IFERROR(Sales_Table[[#This Row],[Revenue]],0)</f>
        <v>12432</v>
      </c>
    </row>
    <row r="798" spans="1:26" x14ac:dyDescent="0.3">
      <c r="A798">
        <v>797</v>
      </c>
      <c r="B798" s="2">
        <f t="shared" si="84"/>
        <v>45325.166666666664</v>
      </c>
      <c r="C798" t="s">
        <v>2099</v>
      </c>
      <c r="D798" t="s">
        <v>45</v>
      </c>
      <c r="E798" t="str">
        <f>PROPER(TRIM(CLEAN(Sales_Table[[#This Row],[Region]])))</f>
        <v>North</v>
      </c>
      <c r="F798" t="s">
        <v>28</v>
      </c>
      <c r="G798" t="str">
        <f t="shared" si="85"/>
        <v>Clothing</v>
      </c>
      <c r="H798" t="str">
        <f>PROPER(TRIM(CLEAN(Sales_Table[[#This Row],[Product Name]])))</f>
        <v>Led Tv 42Inch</v>
      </c>
      <c r="I798" t="s">
        <v>58</v>
      </c>
      <c r="J798" t="str">
        <f t="shared" si="86"/>
        <v>CUST0245</v>
      </c>
      <c r="K798" t="s">
        <v>2100</v>
      </c>
      <c r="L798" t="str">
        <f>PROPER(TRIM(CLEAN(Sales_Table[[#This Row],[Salesperson]])))</f>
        <v>Rahul</v>
      </c>
      <c r="M798" t="s">
        <v>31</v>
      </c>
      <c r="N798" t="str">
        <f t="shared" si="87"/>
        <v>Credit Card</v>
      </c>
      <c r="O798" t="s">
        <v>65</v>
      </c>
      <c r="P798">
        <f t="shared" si="88"/>
        <v>2</v>
      </c>
      <c r="Q798" t="s">
        <v>196</v>
      </c>
      <c r="R798">
        <f t="shared" si="89"/>
        <v>1238</v>
      </c>
      <c r="S798" t="s">
        <v>1052</v>
      </c>
      <c r="T798">
        <f t="shared" si="90"/>
        <v>2476</v>
      </c>
      <c r="U798">
        <f>YEAR(Sales_Table[[#This Row],[Date_clean]])</f>
        <v>2024</v>
      </c>
      <c r="V798" t="str">
        <f>TEXT(Sales_Table[[#This Row],[Date_clean]],"mmmm")</f>
        <v>February</v>
      </c>
      <c r="W798">
        <f>WEEKNUM(Sales_Table[[#This Row],[Date_clean]],2)</f>
        <v>5</v>
      </c>
      <c r="X798" t="str" cm="1">
        <f t="array" ref="X798">_xlfn.IFS(Sales_Table[[#This Row],[Revenue]]&gt;=50000,"High",Sales_Table[[#This Row],[Revenue]]&gt;=20000,"Medium",Sales_Table[[#This Row],[Revenue]]&lt;20000,"Low")</f>
        <v>Low</v>
      </c>
      <c r="Y798" t="str">
        <f>IF(Sales_Table[[#This Row],[Payment Method_clean]]="cash","Offline","Online")</f>
        <v>Online</v>
      </c>
      <c r="Z798">
        <f>IFERROR(Sales_Table[[#This Row],[Revenue]],0)</f>
        <v>2476</v>
      </c>
    </row>
    <row r="799" spans="1:26" x14ac:dyDescent="0.3">
      <c r="A799">
        <v>798</v>
      </c>
      <c r="B799" s="2">
        <f t="shared" si="84"/>
        <v>45325.208333333336</v>
      </c>
      <c r="C799" t="s">
        <v>2101</v>
      </c>
      <c r="D799" t="s">
        <v>27</v>
      </c>
      <c r="E799" t="str">
        <f>PROPER(TRIM(CLEAN(Sales_Table[[#This Row],[Region]])))</f>
        <v>East</v>
      </c>
      <c r="F799" t="s">
        <v>37</v>
      </c>
      <c r="G799" t="str">
        <f t="shared" si="85"/>
        <v>Home Appliances</v>
      </c>
      <c r="H799" t="str">
        <f>PROPER(TRIM(CLEAN(Sales_Table[[#This Row],[Product Name]])))</f>
        <v>Laptop</v>
      </c>
      <c r="I799" t="s">
        <v>52</v>
      </c>
      <c r="J799" t="str">
        <f t="shared" si="86"/>
        <v>CUST0675</v>
      </c>
      <c r="K799" t="s">
        <v>399</v>
      </c>
      <c r="L799" t="str">
        <f>PROPER(TRIM(CLEAN(Sales_Table[[#This Row],[Salesperson]])))</f>
        <v>Karthik</v>
      </c>
      <c r="M799" t="s">
        <v>70</v>
      </c>
      <c r="N799" t="str">
        <f t="shared" si="87"/>
        <v>Debit Card</v>
      </c>
      <c r="O799" t="s">
        <v>41</v>
      </c>
      <c r="P799">
        <f t="shared" si="88"/>
        <v>13</v>
      </c>
      <c r="Q799" t="s">
        <v>81</v>
      </c>
      <c r="R799">
        <f t="shared" si="89"/>
        <v>3292</v>
      </c>
      <c r="S799" t="s">
        <v>2102</v>
      </c>
      <c r="T799">
        <f t="shared" si="90"/>
        <v>42796</v>
      </c>
      <c r="U799">
        <f>YEAR(Sales_Table[[#This Row],[Date_clean]])</f>
        <v>2024</v>
      </c>
      <c r="V799" t="str">
        <f>TEXT(Sales_Table[[#This Row],[Date_clean]],"mmmm")</f>
        <v>February</v>
      </c>
      <c r="W799">
        <f>WEEKNUM(Sales_Table[[#This Row],[Date_clean]],2)</f>
        <v>5</v>
      </c>
      <c r="X799" t="str" cm="1">
        <f t="array" ref="X799">_xlfn.IFS(Sales_Table[[#This Row],[Revenue]]&gt;=50000,"High",Sales_Table[[#This Row],[Revenue]]&gt;=20000,"Medium",Sales_Table[[#This Row],[Revenue]]&lt;20000,"Low")</f>
        <v>Medium</v>
      </c>
      <c r="Y799" t="str">
        <f>IF(Sales_Table[[#This Row],[Payment Method_clean]]="cash","Offline","Online")</f>
        <v>Online</v>
      </c>
      <c r="Z799">
        <f>IFERROR(Sales_Table[[#This Row],[Revenue]],0)</f>
        <v>42796</v>
      </c>
    </row>
    <row r="800" spans="1:26" x14ac:dyDescent="0.3">
      <c r="A800">
        <v>799</v>
      </c>
      <c r="B800" s="2">
        <f t="shared" si="84"/>
        <v>45325.25</v>
      </c>
      <c r="C800" t="s">
        <v>2103</v>
      </c>
      <c r="D800" t="s">
        <v>45</v>
      </c>
      <c r="E800" t="str">
        <f>PROPER(TRIM(CLEAN(Sales_Table[[#This Row],[Region]])))</f>
        <v>North</v>
      </c>
      <c r="F800" t="s">
        <v>78</v>
      </c>
      <c r="G800" t="str">
        <f t="shared" si="85"/>
        <v>Grocery</v>
      </c>
      <c r="H800" t="str">
        <f>PROPER(TRIM(CLEAN(Sales_Table[[#This Row],[Product Name]])))</f>
        <v>Washing Machine</v>
      </c>
      <c r="I800" t="s">
        <v>79</v>
      </c>
      <c r="J800" t="str">
        <f t="shared" si="86"/>
        <v>CUST0060</v>
      </c>
      <c r="K800" t="s">
        <v>985</v>
      </c>
      <c r="L800" t="str">
        <f>PROPER(TRIM(CLEAN(Sales_Table[[#This Row],[Salesperson]])))</f>
        <v>Meena</v>
      </c>
      <c r="M800" t="s">
        <v>40</v>
      </c>
      <c r="N800" t="str">
        <f t="shared" si="87"/>
        <v>Debit Card</v>
      </c>
      <c r="O800" t="s">
        <v>41</v>
      </c>
      <c r="P800">
        <f t="shared" si="88"/>
        <v>14</v>
      </c>
      <c r="Q800" t="s">
        <v>55</v>
      </c>
      <c r="R800">
        <f t="shared" si="89"/>
        <v>4720</v>
      </c>
      <c r="S800" t="s">
        <v>857</v>
      </c>
      <c r="T800">
        <f t="shared" si="90"/>
        <v>66080</v>
      </c>
      <c r="U800">
        <f>YEAR(Sales_Table[[#This Row],[Date_clean]])</f>
        <v>2024</v>
      </c>
      <c r="V800" t="str">
        <f>TEXT(Sales_Table[[#This Row],[Date_clean]],"mmmm")</f>
        <v>February</v>
      </c>
      <c r="W800">
        <f>WEEKNUM(Sales_Table[[#This Row],[Date_clean]],2)</f>
        <v>5</v>
      </c>
      <c r="X800" t="str" cm="1">
        <f t="array" ref="X800">_xlfn.IFS(Sales_Table[[#This Row],[Revenue]]&gt;=50000,"High",Sales_Table[[#This Row],[Revenue]]&gt;=20000,"Medium",Sales_Table[[#This Row],[Revenue]]&lt;20000,"Low")</f>
        <v>High</v>
      </c>
      <c r="Y800" t="str">
        <f>IF(Sales_Table[[#This Row],[Payment Method_clean]]="cash","Offline","Online")</f>
        <v>Online</v>
      </c>
      <c r="Z800">
        <f>IFERROR(Sales_Table[[#This Row],[Revenue]],0)</f>
        <v>66080</v>
      </c>
    </row>
    <row r="801" spans="1:26" x14ac:dyDescent="0.3">
      <c r="A801">
        <v>800</v>
      </c>
      <c r="B801" s="2">
        <f t="shared" si="84"/>
        <v>45325.291666666664</v>
      </c>
      <c r="C801" t="s">
        <v>2104</v>
      </c>
      <c r="D801" t="s">
        <v>27</v>
      </c>
      <c r="E801" t="str">
        <f>PROPER(TRIM(CLEAN(Sales_Table[[#This Row],[Region]])))</f>
        <v>East</v>
      </c>
      <c r="F801" t="s">
        <v>78</v>
      </c>
      <c r="G801" t="str">
        <f t="shared" si="85"/>
        <v>Grocery</v>
      </c>
      <c r="H801" t="str">
        <f>PROPER(TRIM(CLEAN(Sales_Table[[#This Row],[Product Name]])))</f>
        <v>Mixer Grinder</v>
      </c>
      <c r="I801" t="s">
        <v>29</v>
      </c>
      <c r="J801" t="str">
        <f t="shared" si="86"/>
        <v>CUST0006</v>
      </c>
      <c r="K801" t="s">
        <v>1290</v>
      </c>
      <c r="L801" t="str">
        <f>PROPER(TRIM(CLEAN(Sales_Table[[#This Row],[Salesperson]])))</f>
        <v>Meena</v>
      </c>
      <c r="M801" t="s">
        <v>40</v>
      </c>
      <c r="N801" t="str">
        <f t="shared" si="87"/>
        <v>Debit Card</v>
      </c>
      <c r="O801" t="s">
        <v>41</v>
      </c>
      <c r="P801">
        <f t="shared" si="88"/>
        <v>6</v>
      </c>
      <c r="Q801" t="s">
        <v>75</v>
      </c>
      <c r="R801">
        <f t="shared" si="89"/>
        <v>2310</v>
      </c>
      <c r="S801" t="s">
        <v>2105</v>
      </c>
      <c r="T801">
        <f t="shared" si="90"/>
        <v>13860</v>
      </c>
      <c r="U801">
        <f>YEAR(Sales_Table[[#This Row],[Date_clean]])</f>
        <v>2024</v>
      </c>
      <c r="V801" t="str">
        <f>TEXT(Sales_Table[[#This Row],[Date_clean]],"mmmm")</f>
        <v>February</v>
      </c>
      <c r="W801">
        <f>WEEKNUM(Sales_Table[[#This Row],[Date_clean]],2)</f>
        <v>5</v>
      </c>
      <c r="X801" t="str" cm="1">
        <f t="array" ref="X801">_xlfn.IFS(Sales_Table[[#This Row],[Revenue]]&gt;=50000,"High",Sales_Table[[#This Row],[Revenue]]&gt;=20000,"Medium",Sales_Table[[#This Row],[Revenue]]&lt;20000,"Low")</f>
        <v>Low</v>
      </c>
      <c r="Y801" t="str">
        <f>IF(Sales_Table[[#This Row],[Payment Method_clean]]="cash","Offline","Online")</f>
        <v>Online</v>
      </c>
      <c r="Z801">
        <f>IFERROR(Sales_Table[[#This Row],[Revenue]],0)</f>
        <v>13860</v>
      </c>
    </row>
    <row r="802" spans="1:26" x14ac:dyDescent="0.3">
      <c r="A802">
        <v>801</v>
      </c>
      <c r="B802" s="2">
        <f t="shared" si="84"/>
        <v>45325.333333333336</v>
      </c>
      <c r="C802" t="s">
        <v>2106</v>
      </c>
      <c r="D802" t="s">
        <v>45</v>
      </c>
      <c r="E802" t="str">
        <f>PROPER(TRIM(CLEAN(Sales_Table[[#This Row],[Region]])))</f>
        <v>North</v>
      </c>
      <c r="F802" t="s">
        <v>37</v>
      </c>
      <c r="G802" t="str">
        <f t="shared" si="85"/>
        <v>Home Appliances</v>
      </c>
      <c r="H802" t="str">
        <f>PROPER(TRIM(CLEAN(Sales_Table[[#This Row],[Product Name]])))</f>
        <v>Led Tv 42Inch</v>
      </c>
      <c r="I802" t="s">
        <v>58</v>
      </c>
      <c r="J802" t="str">
        <f t="shared" si="86"/>
        <v>CUST0709</v>
      </c>
      <c r="K802" t="s">
        <v>569</v>
      </c>
      <c r="L802" t="str">
        <f>PROPER(TRIM(CLEAN(Sales_Table[[#This Row],[Salesperson]])))</f>
        <v>Karthik</v>
      </c>
      <c r="M802" t="s">
        <v>70</v>
      </c>
      <c r="N802" t="str">
        <f t="shared" si="87"/>
        <v>Net Banking</v>
      </c>
      <c r="O802" t="s">
        <v>60</v>
      </c>
      <c r="P802">
        <f t="shared" si="88"/>
        <v>5</v>
      </c>
      <c r="Q802" t="s">
        <v>89</v>
      </c>
      <c r="R802">
        <f t="shared" si="89"/>
        <v>4982</v>
      </c>
      <c r="S802" t="s">
        <v>2107</v>
      </c>
      <c r="T802">
        <f t="shared" si="90"/>
        <v>24910</v>
      </c>
      <c r="U802">
        <f>YEAR(Sales_Table[[#This Row],[Date_clean]])</f>
        <v>2024</v>
      </c>
      <c r="V802" t="str">
        <f>TEXT(Sales_Table[[#This Row],[Date_clean]],"mmmm")</f>
        <v>February</v>
      </c>
      <c r="W802">
        <f>WEEKNUM(Sales_Table[[#This Row],[Date_clean]],2)</f>
        <v>5</v>
      </c>
      <c r="X802" t="str" cm="1">
        <f t="array" ref="X802">_xlfn.IFS(Sales_Table[[#This Row],[Revenue]]&gt;=50000,"High",Sales_Table[[#This Row],[Revenue]]&gt;=20000,"Medium",Sales_Table[[#This Row],[Revenue]]&lt;20000,"Low")</f>
        <v>Medium</v>
      </c>
      <c r="Y802" t="str">
        <f>IF(Sales_Table[[#This Row],[Payment Method_clean]]="cash","Offline","Online")</f>
        <v>Online</v>
      </c>
      <c r="Z802">
        <f>IFERROR(Sales_Table[[#This Row],[Revenue]],0)</f>
        <v>24910</v>
      </c>
    </row>
    <row r="803" spans="1:26" x14ac:dyDescent="0.3">
      <c r="A803">
        <v>802</v>
      </c>
      <c r="B803" s="2">
        <f t="shared" si="84"/>
        <v>45325.375</v>
      </c>
      <c r="C803" t="s">
        <v>2108</v>
      </c>
      <c r="D803" t="s">
        <v>84</v>
      </c>
      <c r="E803" t="str">
        <f>PROPER(TRIM(CLEAN(Sales_Table[[#This Row],[Region]])))</f>
        <v>South</v>
      </c>
      <c r="F803" t="s">
        <v>46</v>
      </c>
      <c r="G803" t="str">
        <f t="shared" si="85"/>
        <v>Electronics</v>
      </c>
      <c r="H803" t="str">
        <f>PROPER(TRIM(CLEAN(Sales_Table[[#This Row],[Product Name]])))</f>
        <v>Rice 5Kg</v>
      </c>
      <c r="I803" t="s">
        <v>73</v>
      </c>
      <c r="J803" t="str">
        <f t="shared" si="86"/>
        <v>CUST0570</v>
      </c>
      <c r="K803" t="s">
        <v>931</v>
      </c>
      <c r="L803" t="str">
        <f>PROPER(TRIM(CLEAN(Sales_Table[[#This Row],[Salesperson]])))</f>
        <v>Karthik</v>
      </c>
      <c r="M803" t="s">
        <v>70</v>
      </c>
      <c r="N803" t="str">
        <f t="shared" si="87"/>
        <v>Debit Card</v>
      </c>
      <c r="O803" t="s">
        <v>41</v>
      </c>
      <c r="P803">
        <f t="shared" si="88"/>
        <v>3</v>
      </c>
      <c r="Q803" t="s">
        <v>66</v>
      </c>
      <c r="R803">
        <f t="shared" si="89"/>
        <v>3859</v>
      </c>
      <c r="S803" t="s">
        <v>1411</v>
      </c>
      <c r="T803">
        <f t="shared" si="90"/>
        <v>11577</v>
      </c>
      <c r="U803">
        <f>YEAR(Sales_Table[[#This Row],[Date_clean]])</f>
        <v>2024</v>
      </c>
      <c r="V803" t="str">
        <f>TEXT(Sales_Table[[#This Row],[Date_clean]],"mmmm")</f>
        <v>February</v>
      </c>
      <c r="W803">
        <f>WEEKNUM(Sales_Table[[#This Row],[Date_clean]],2)</f>
        <v>5</v>
      </c>
      <c r="X803" t="str" cm="1">
        <f t="array" ref="X803">_xlfn.IFS(Sales_Table[[#This Row],[Revenue]]&gt;=50000,"High",Sales_Table[[#This Row],[Revenue]]&gt;=20000,"Medium",Sales_Table[[#This Row],[Revenue]]&lt;20000,"Low")</f>
        <v>Low</v>
      </c>
      <c r="Y803" t="str">
        <f>IF(Sales_Table[[#This Row],[Payment Method_clean]]="cash","Offline","Online")</f>
        <v>Online</v>
      </c>
      <c r="Z803">
        <f>IFERROR(Sales_Table[[#This Row],[Revenue]],0)</f>
        <v>11577</v>
      </c>
    </row>
    <row r="804" spans="1:26" x14ac:dyDescent="0.3">
      <c r="A804">
        <v>803</v>
      </c>
      <c r="B804" s="2">
        <f t="shared" si="84"/>
        <v>45325.416666666664</v>
      </c>
      <c r="C804" t="s">
        <v>2109</v>
      </c>
      <c r="D804" t="s">
        <v>45</v>
      </c>
      <c r="E804" t="str">
        <f>PROPER(TRIM(CLEAN(Sales_Table[[#This Row],[Region]])))</f>
        <v>North</v>
      </c>
      <c r="F804" t="s">
        <v>37</v>
      </c>
      <c r="G804" t="str">
        <f t="shared" si="85"/>
        <v>Home Appliances</v>
      </c>
      <c r="H804" t="str">
        <f>PROPER(TRIM(CLEAN(Sales_Table[[#This Row],[Product Name]])))</f>
        <v>Men T-Shirt</v>
      </c>
      <c r="I804" t="s">
        <v>38</v>
      </c>
      <c r="J804" t="str">
        <f t="shared" si="86"/>
        <v>CUST0407</v>
      </c>
      <c r="K804" t="s">
        <v>1583</v>
      </c>
      <c r="L804" t="str">
        <f>PROPER(TRIM(CLEAN(Sales_Table[[#This Row],[Salesperson]])))</f>
        <v>Anita</v>
      </c>
      <c r="M804" t="s">
        <v>64</v>
      </c>
      <c r="N804" t="str">
        <f t="shared" si="87"/>
        <v>Upi</v>
      </c>
      <c r="O804" t="s">
        <v>48</v>
      </c>
      <c r="P804">
        <f t="shared" si="88"/>
        <v>5</v>
      </c>
      <c r="Q804" t="s">
        <v>89</v>
      </c>
      <c r="R804">
        <f t="shared" si="89"/>
        <v>3129</v>
      </c>
      <c r="S804" t="s">
        <v>2110</v>
      </c>
      <c r="T804">
        <f t="shared" si="90"/>
        <v>15645</v>
      </c>
      <c r="U804">
        <f>YEAR(Sales_Table[[#This Row],[Date_clean]])</f>
        <v>2024</v>
      </c>
      <c r="V804" t="str">
        <f>TEXT(Sales_Table[[#This Row],[Date_clean]],"mmmm")</f>
        <v>February</v>
      </c>
      <c r="W804">
        <f>WEEKNUM(Sales_Table[[#This Row],[Date_clean]],2)</f>
        <v>5</v>
      </c>
      <c r="X804" t="str" cm="1">
        <f t="array" ref="X804">_xlfn.IFS(Sales_Table[[#This Row],[Revenue]]&gt;=50000,"High",Sales_Table[[#This Row],[Revenue]]&gt;=20000,"Medium",Sales_Table[[#This Row],[Revenue]]&lt;20000,"Low")</f>
        <v>Low</v>
      </c>
      <c r="Y804" t="str">
        <f>IF(Sales_Table[[#This Row],[Payment Method_clean]]="cash","Offline","Online")</f>
        <v>Online</v>
      </c>
      <c r="Z804">
        <f>IFERROR(Sales_Table[[#This Row],[Revenue]],0)</f>
        <v>15645</v>
      </c>
    </row>
    <row r="805" spans="1:26" x14ac:dyDescent="0.3">
      <c r="A805">
        <v>804</v>
      </c>
      <c r="B805" s="2">
        <f t="shared" si="84"/>
        <v>45325.458333333336</v>
      </c>
      <c r="C805" t="s">
        <v>2111</v>
      </c>
      <c r="D805" t="s">
        <v>45</v>
      </c>
      <c r="E805" t="str">
        <f>PROPER(TRIM(CLEAN(Sales_Table[[#This Row],[Region]])))</f>
        <v>North</v>
      </c>
      <c r="F805" t="s">
        <v>37</v>
      </c>
      <c r="G805" t="str">
        <f t="shared" si="85"/>
        <v>Home Appliances</v>
      </c>
      <c r="H805" t="str">
        <f>PROPER(TRIM(CLEAN(Sales_Table[[#This Row],[Product Name]])))</f>
        <v>Laptop</v>
      </c>
      <c r="I805" t="s">
        <v>52</v>
      </c>
      <c r="J805" t="str">
        <f t="shared" si="86"/>
        <v>CUST0217</v>
      </c>
      <c r="K805" t="s">
        <v>416</v>
      </c>
      <c r="L805" t="str">
        <f>PROPER(TRIM(CLEAN(Sales_Table[[#This Row],[Salesperson]])))</f>
        <v>Rahul</v>
      </c>
      <c r="M805" t="s">
        <v>31</v>
      </c>
      <c r="N805" t="str">
        <f t="shared" si="87"/>
        <v>Upi</v>
      </c>
      <c r="O805" t="s">
        <v>48</v>
      </c>
      <c r="P805">
        <f t="shared" si="88"/>
        <v>5</v>
      </c>
      <c r="Q805" t="s">
        <v>89</v>
      </c>
      <c r="R805">
        <f t="shared" si="89"/>
        <v>1460</v>
      </c>
      <c r="S805" t="s">
        <v>1237</v>
      </c>
      <c r="T805">
        <f t="shared" si="90"/>
        <v>7300</v>
      </c>
      <c r="U805">
        <f>YEAR(Sales_Table[[#This Row],[Date_clean]])</f>
        <v>2024</v>
      </c>
      <c r="V805" t="str">
        <f>TEXT(Sales_Table[[#This Row],[Date_clean]],"mmmm")</f>
        <v>February</v>
      </c>
      <c r="W805">
        <f>WEEKNUM(Sales_Table[[#This Row],[Date_clean]],2)</f>
        <v>5</v>
      </c>
      <c r="X805" t="str" cm="1">
        <f t="array" ref="X805">_xlfn.IFS(Sales_Table[[#This Row],[Revenue]]&gt;=50000,"High",Sales_Table[[#This Row],[Revenue]]&gt;=20000,"Medium",Sales_Table[[#This Row],[Revenue]]&lt;20000,"Low")</f>
        <v>Low</v>
      </c>
      <c r="Y805" t="str">
        <f>IF(Sales_Table[[#This Row],[Payment Method_clean]]="cash","Offline","Online")</f>
        <v>Online</v>
      </c>
      <c r="Z805">
        <f>IFERROR(Sales_Table[[#This Row],[Revenue]],0)</f>
        <v>7300</v>
      </c>
    </row>
    <row r="806" spans="1:26" x14ac:dyDescent="0.3">
      <c r="A806">
        <v>805</v>
      </c>
      <c r="B806" s="2">
        <f t="shared" si="84"/>
        <v>45325.5</v>
      </c>
      <c r="C806" t="s">
        <v>2112</v>
      </c>
      <c r="D806" t="s">
        <v>84</v>
      </c>
      <c r="E806" t="str">
        <f>PROPER(TRIM(CLEAN(Sales_Table[[#This Row],[Region]])))</f>
        <v>South</v>
      </c>
      <c r="F806" t="s">
        <v>78</v>
      </c>
      <c r="G806" t="str">
        <f t="shared" si="85"/>
        <v>Grocery</v>
      </c>
      <c r="H806" t="str">
        <f>PROPER(TRIM(CLEAN(Sales_Table[[#This Row],[Product Name]])))</f>
        <v>Rice 5Kg</v>
      </c>
      <c r="I806" t="s">
        <v>73</v>
      </c>
      <c r="J806" t="str">
        <f t="shared" si="86"/>
        <v>CUST0026</v>
      </c>
      <c r="K806" t="s">
        <v>2113</v>
      </c>
      <c r="L806" t="str">
        <f>PROPER(TRIM(CLEAN(Sales_Table[[#This Row],[Salesperson]])))</f>
        <v>Karthik</v>
      </c>
      <c r="M806" t="s">
        <v>70</v>
      </c>
      <c r="N806" t="str">
        <f t="shared" si="87"/>
        <v>Net Banking</v>
      </c>
      <c r="O806" t="s">
        <v>60</v>
      </c>
      <c r="P806">
        <f t="shared" si="88"/>
        <v>5</v>
      </c>
      <c r="Q806" t="s">
        <v>89</v>
      </c>
      <c r="R806">
        <f t="shared" si="89"/>
        <v>2526</v>
      </c>
      <c r="S806" t="s">
        <v>2114</v>
      </c>
      <c r="T806">
        <f t="shared" si="90"/>
        <v>12630</v>
      </c>
      <c r="U806">
        <f>YEAR(Sales_Table[[#This Row],[Date_clean]])</f>
        <v>2024</v>
      </c>
      <c r="V806" t="str">
        <f>TEXT(Sales_Table[[#This Row],[Date_clean]],"mmmm")</f>
        <v>February</v>
      </c>
      <c r="W806">
        <f>WEEKNUM(Sales_Table[[#This Row],[Date_clean]],2)</f>
        <v>5</v>
      </c>
      <c r="X806" t="str" cm="1">
        <f t="array" ref="X806">_xlfn.IFS(Sales_Table[[#This Row],[Revenue]]&gt;=50000,"High",Sales_Table[[#This Row],[Revenue]]&gt;=20000,"Medium",Sales_Table[[#This Row],[Revenue]]&lt;20000,"Low")</f>
        <v>Low</v>
      </c>
      <c r="Y806" t="str">
        <f>IF(Sales_Table[[#This Row],[Payment Method_clean]]="cash","Offline","Online")</f>
        <v>Online</v>
      </c>
      <c r="Z806">
        <f>IFERROR(Sales_Table[[#This Row],[Revenue]],0)</f>
        <v>12630</v>
      </c>
    </row>
    <row r="807" spans="1:26" x14ac:dyDescent="0.3">
      <c r="A807">
        <v>806</v>
      </c>
      <c r="B807" s="2">
        <f t="shared" si="84"/>
        <v>45325.541666666664</v>
      </c>
      <c r="C807" t="s">
        <v>2115</v>
      </c>
      <c r="D807" t="s">
        <v>36</v>
      </c>
      <c r="E807" t="str">
        <f>PROPER(TRIM(CLEAN(Sales_Table[[#This Row],[Region]])))</f>
        <v>West</v>
      </c>
      <c r="F807" t="s">
        <v>28</v>
      </c>
      <c r="G807" t="str">
        <f t="shared" si="85"/>
        <v>Clothing</v>
      </c>
      <c r="H807" t="str">
        <f>PROPER(TRIM(CLEAN(Sales_Table[[#This Row],[Product Name]])))</f>
        <v>Laptop</v>
      </c>
      <c r="I807" t="s">
        <v>52</v>
      </c>
      <c r="J807" t="str">
        <f t="shared" si="86"/>
        <v>CUST0005</v>
      </c>
      <c r="K807" t="s">
        <v>1771</v>
      </c>
      <c r="L807" t="str">
        <f>PROPER(TRIM(CLEAN(Sales_Table[[#This Row],[Salesperson]])))</f>
        <v>Karthik</v>
      </c>
      <c r="M807" t="s">
        <v>70</v>
      </c>
      <c r="N807" t="str">
        <f t="shared" si="87"/>
        <v>Credit Card</v>
      </c>
      <c r="O807" t="s">
        <v>65</v>
      </c>
      <c r="P807">
        <f t="shared" si="88"/>
        <v>3</v>
      </c>
      <c r="Q807" t="s">
        <v>66</v>
      </c>
      <c r="R807">
        <f t="shared" si="89"/>
        <v>4368</v>
      </c>
      <c r="S807" t="s">
        <v>2116</v>
      </c>
      <c r="T807">
        <f t="shared" si="90"/>
        <v>13104</v>
      </c>
      <c r="U807">
        <f>YEAR(Sales_Table[[#This Row],[Date_clean]])</f>
        <v>2024</v>
      </c>
      <c r="V807" t="str">
        <f>TEXT(Sales_Table[[#This Row],[Date_clean]],"mmmm")</f>
        <v>February</v>
      </c>
      <c r="W807">
        <f>WEEKNUM(Sales_Table[[#This Row],[Date_clean]],2)</f>
        <v>5</v>
      </c>
      <c r="X807" t="str" cm="1">
        <f t="array" ref="X807">_xlfn.IFS(Sales_Table[[#This Row],[Revenue]]&gt;=50000,"High",Sales_Table[[#This Row],[Revenue]]&gt;=20000,"Medium",Sales_Table[[#This Row],[Revenue]]&lt;20000,"Low")</f>
        <v>Low</v>
      </c>
      <c r="Y807" t="str">
        <f>IF(Sales_Table[[#This Row],[Payment Method_clean]]="cash","Offline","Online")</f>
        <v>Online</v>
      </c>
      <c r="Z807">
        <f>IFERROR(Sales_Table[[#This Row],[Revenue]],0)</f>
        <v>13104</v>
      </c>
    </row>
    <row r="808" spans="1:26" x14ac:dyDescent="0.3">
      <c r="A808">
        <v>807</v>
      </c>
      <c r="B808" s="2">
        <f t="shared" si="84"/>
        <v>45325.583333333336</v>
      </c>
      <c r="C808" t="s">
        <v>2117</v>
      </c>
      <c r="D808" t="s">
        <v>36</v>
      </c>
      <c r="E808" t="str">
        <f>PROPER(TRIM(CLEAN(Sales_Table[[#This Row],[Region]])))</f>
        <v>West</v>
      </c>
      <c r="F808" t="s">
        <v>78</v>
      </c>
      <c r="G808" t="str">
        <f t="shared" si="85"/>
        <v>Grocery</v>
      </c>
      <c r="H808" t="str">
        <f>PROPER(TRIM(CLEAN(Sales_Table[[#This Row],[Product Name]])))</f>
        <v>Men T-Shirt</v>
      </c>
      <c r="I808" t="s">
        <v>38</v>
      </c>
      <c r="J808" t="str">
        <f t="shared" si="86"/>
        <v>CUST0532</v>
      </c>
      <c r="K808" t="s">
        <v>769</v>
      </c>
      <c r="L808" t="str">
        <f>PROPER(TRIM(CLEAN(Sales_Table[[#This Row],[Salesperson]])))</f>
        <v>Suresh</v>
      </c>
      <c r="M808" t="s">
        <v>54</v>
      </c>
      <c r="N808" t="str">
        <f t="shared" si="87"/>
        <v>Cash</v>
      </c>
      <c r="O808" t="s">
        <v>32</v>
      </c>
      <c r="P808">
        <f t="shared" si="88"/>
        <v>3</v>
      </c>
      <c r="Q808" t="s">
        <v>66</v>
      </c>
      <c r="R808">
        <f t="shared" si="89"/>
        <v>163</v>
      </c>
      <c r="S808" t="s">
        <v>2118</v>
      </c>
      <c r="T808">
        <f t="shared" si="90"/>
        <v>489</v>
      </c>
      <c r="U808">
        <f>YEAR(Sales_Table[[#This Row],[Date_clean]])</f>
        <v>2024</v>
      </c>
      <c r="V808" t="str">
        <f>TEXT(Sales_Table[[#This Row],[Date_clean]],"mmmm")</f>
        <v>February</v>
      </c>
      <c r="W808">
        <f>WEEKNUM(Sales_Table[[#This Row],[Date_clean]],2)</f>
        <v>5</v>
      </c>
      <c r="X808" t="str" cm="1">
        <f t="array" ref="X808">_xlfn.IFS(Sales_Table[[#This Row],[Revenue]]&gt;=50000,"High",Sales_Table[[#This Row],[Revenue]]&gt;=20000,"Medium",Sales_Table[[#This Row],[Revenue]]&lt;20000,"Low")</f>
        <v>Low</v>
      </c>
      <c r="Y808" t="str">
        <f>IF(Sales_Table[[#This Row],[Payment Method_clean]]="cash","Offline","Online")</f>
        <v>Offline</v>
      </c>
      <c r="Z808">
        <f>IFERROR(Sales_Table[[#This Row],[Revenue]],0)</f>
        <v>489</v>
      </c>
    </row>
    <row r="809" spans="1:26" x14ac:dyDescent="0.3">
      <c r="A809">
        <v>808</v>
      </c>
      <c r="B809" s="2">
        <f t="shared" si="84"/>
        <v>45325.625</v>
      </c>
      <c r="C809" t="s">
        <v>2119</v>
      </c>
      <c r="D809" t="s">
        <v>45</v>
      </c>
      <c r="E809" t="str">
        <f>PROPER(TRIM(CLEAN(Sales_Table[[#This Row],[Region]])))</f>
        <v>North</v>
      </c>
      <c r="F809" t="s">
        <v>28</v>
      </c>
      <c r="G809" t="str">
        <f t="shared" si="85"/>
        <v>Clothing</v>
      </c>
      <c r="H809" t="str">
        <f>PROPER(TRIM(CLEAN(Sales_Table[[#This Row],[Product Name]])))</f>
        <v>Men T-Shirt</v>
      </c>
      <c r="I809" t="s">
        <v>38</v>
      </c>
      <c r="J809" t="str">
        <f t="shared" si="86"/>
        <v>CUST0390</v>
      </c>
      <c r="K809" t="s">
        <v>1211</v>
      </c>
      <c r="L809" t="str">
        <f>PROPER(TRIM(CLEAN(Sales_Table[[#This Row],[Salesperson]])))</f>
        <v>Karthik</v>
      </c>
      <c r="M809" t="s">
        <v>70</v>
      </c>
      <c r="N809" t="str">
        <f t="shared" si="87"/>
        <v>Credit Card</v>
      </c>
      <c r="O809" t="s">
        <v>65</v>
      </c>
      <c r="P809">
        <f t="shared" si="88"/>
        <v>4</v>
      </c>
      <c r="Q809" t="s">
        <v>113</v>
      </c>
      <c r="R809">
        <f t="shared" si="89"/>
        <v>1445</v>
      </c>
      <c r="S809" t="s">
        <v>2120</v>
      </c>
      <c r="T809">
        <f t="shared" si="90"/>
        <v>5780</v>
      </c>
      <c r="U809">
        <f>YEAR(Sales_Table[[#This Row],[Date_clean]])</f>
        <v>2024</v>
      </c>
      <c r="V809" t="str">
        <f>TEXT(Sales_Table[[#This Row],[Date_clean]],"mmmm")</f>
        <v>February</v>
      </c>
      <c r="W809">
        <f>WEEKNUM(Sales_Table[[#This Row],[Date_clean]],2)</f>
        <v>5</v>
      </c>
      <c r="X809" t="str" cm="1">
        <f t="array" ref="X809">_xlfn.IFS(Sales_Table[[#This Row],[Revenue]]&gt;=50000,"High",Sales_Table[[#This Row],[Revenue]]&gt;=20000,"Medium",Sales_Table[[#This Row],[Revenue]]&lt;20000,"Low")</f>
        <v>Low</v>
      </c>
      <c r="Y809" t="str">
        <f>IF(Sales_Table[[#This Row],[Payment Method_clean]]="cash","Offline","Online")</f>
        <v>Online</v>
      </c>
      <c r="Z809">
        <f>IFERROR(Sales_Table[[#This Row],[Revenue]],0)</f>
        <v>5780</v>
      </c>
    </row>
    <row r="810" spans="1:26" x14ac:dyDescent="0.3">
      <c r="A810">
        <v>809</v>
      </c>
      <c r="B810" s="2">
        <f t="shared" si="84"/>
        <v>45325.666666666664</v>
      </c>
      <c r="C810" t="s">
        <v>2121</v>
      </c>
      <c r="D810" t="s">
        <v>84</v>
      </c>
      <c r="E810" t="str">
        <f>PROPER(TRIM(CLEAN(Sales_Table[[#This Row],[Region]])))</f>
        <v>South</v>
      </c>
      <c r="F810" t="s">
        <v>78</v>
      </c>
      <c r="G810" t="str">
        <f t="shared" si="85"/>
        <v>Grocery</v>
      </c>
      <c r="H810" t="str">
        <f>PROPER(TRIM(CLEAN(Sales_Table[[#This Row],[Product Name]])))</f>
        <v>Led Tv 42Inch</v>
      </c>
      <c r="I810" t="s">
        <v>58</v>
      </c>
      <c r="J810" t="str">
        <f t="shared" si="86"/>
        <v>CUST0710</v>
      </c>
      <c r="K810" t="s">
        <v>2122</v>
      </c>
      <c r="L810" t="str">
        <f>PROPER(TRIM(CLEAN(Sales_Table[[#This Row],[Salesperson]])))</f>
        <v>Rahul</v>
      </c>
      <c r="M810" t="s">
        <v>31</v>
      </c>
      <c r="N810" t="str">
        <f t="shared" si="87"/>
        <v>Credit Card</v>
      </c>
      <c r="O810" t="s">
        <v>65</v>
      </c>
      <c r="P810">
        <f t="shared" si="88"/>
        <v>7</v>
      </c>
      <c r="Q810" t="s">
        <v>49</v>
      </c>
      <c r="R810">
        <f t="shared" si="89"/>
        <v>1074</v>
      </c>
      <c r="S810" t="s">
        <v>2123</v>
      </c>
      <c r="T810">
        <f t="shared" si="90"/>
        <v>7518</v>
      </c>
      <c r="U810">
        <f>YEAR(Sales_Table[[#This Row],[Date_clean]])</f>
        <v>2024</v>
      </c>
      <c r="V810" t="str">
        <f>TEXT(Sales_Table[[#This Row],[Date_clean]],"mmmm")</f>
        <v>February</v>
      </c>
      <c r="W810">
        <f>WEEKNUM(Sales_Table[[#This Row],[Date_clean]],2)</f>
        <v>5</v>
      </c>
      <c r="X810" t="str" cm="1">
        <f t="array" ref="X810">_xlfn.IFS(Sales_Table[[#This Row],[Revenue]]&gt;=50000,"High",Sales_Table[[#This Row],[Revenue]]&gt;=20000,"Medium",Sales_Table[[#This Row],[Revenue]]&lt;20000,"Low")</f>
        <v>Low</v>
      </c>
      <c r="Y810" t="str">
        <f>IF(Sales_Table[[#This Row],[Payment Method_clean]]="cash","Offline","Online")</f>
        <v>Online</v>
      </c>
      <c r="Z810">
        <f>IFERROR(Sales_Table[[#This Row],[Revenue]],0)</f>
        <v>7518</v>
      </c>
    </row>
    <row r="811" spans="1:26" x14ac:dyDescent="0.3">
      <c r="A811">
        <v>810</v>
      </c>
      <c r="B811" s="2">
        <f t="shared" si="84"/>
        <v>45325.708333333336</v>
      </c>
      <c r="C811" t="s">
        <v>2124</v>
      </c>
      <c r="D811" t="s">
        <v>45</v>
      </c>
      <c r="E811" t="str">
        <f>PROPER(TRIM(CLEAN(Sales_Table[[#This Row],[Region]])))</f>
        <v>North</v>
      </c>
      <c r="F811" t="s">
        <v>37</v>
      </c>
      <c r="G811" t="str">
        <f t="shared" si="85"/>
        <v>Home Appliances</v>
      </c>
      <c r="H811" t="str">
        <f>PROPER(TRIM(CLEAN(Sales_Table[[#This Row],[Product Name]])))</f>
        <v>Led Tv 42Inch</v>
      </c>
      <c r="I811" t="s">
        <v>58</v>
      </c>
      <c r="J811" t="str">
        <f t="shared" si="86"/>
        <v>CUST0571</v>
      </c>
      <c r="K811" t="s">
        <v>162</v>
      </c>
      <c r="L811" t="str">
        <f>PROPER(TRIM(CLEAN(Sales_Table[[#This Row],[Salesperson]])))</f>
        <v>Meena</v>
      </c>
      <c r="M811" t="s">
        <v>40</v>
      </c>
      <c r="N811" t="str">
        <f t="shared" si="87"/>
        <v>Credit Card</v>
      </c>
      <c r="O811" t="s">
        <v>65</v>
      </c>
      <c r="P811">
        <f t="shared" si="88"/>
        <v>12</v>
      </c>
      <c r="Q811" t="s">
        <v>33</v>
      </c>
      <c r="R811">
        <f t="shared" si="89"/>
        <v>4261</v>
      </c>
      <c r="S811" t="s">
        <v>2125</v>
      </c>
      <c r="T811">
        <f t="shared" si="90"/>
        <v>51132</v>
      </c>
      <c r="U811">
        <f>YEAR(Sales_Table[[#This Row],[Date_clean]])</f>
        <v>2024</v>
      </c>
      <c r="V811" t="str">
        <f>TEXT(Sales_Table[[#This Row],[Date_clean]],"mmmm")</f>
        <v>February</v>
      </c>
      <c r="W811">
        <f>WEEKNUM(Sales_Table[[#This Row],[Date_clean]],2)</f>
        <v>5</v>
      </c>
      <c r="X811" t="str" cm="1">
        <f t="array" ref="X811">_xlfn.IFS(Sales_Table[[#This Row],[Revenue]]&gt;=50000,"High",Sales_Table[[#This Row],[Revenue]]&gt;=20000,"Medium",Sales_Table[[#This Row],[Revenue]]&lt;20000,"Low")</f>
        <v>High</v>
      </c>
      <c r="Y811" t="str">
        <f>IF(Sales_Table[[#This Row],[Payment Method_clean]]="cash","Offline","Online")</f>
        <v>Online</v>
      </c>
      <c r="Z811">
        <f>IFERROR(Sales_Table[[#This Row],[Revenue]],0)</f>
        <v>51132</v>
      </c>
    </row>
    <row r="812" spans="1:26" x14ac:dyDescent="0.3">
      <c r="A812">
        <v>811</v>
      </c>
      <c r="B812" s="2">
        <f t="shared" si="84"/>
        <v>45325.75</v>
      </c>
      <c r="C812" t="s">
        <v>2126</v>
      </c>
      <c r="D812" t="s">
        <v>27</v>
      </c>
      <c r="E812" t="str">
        <f>PROPER(TRIM(CLEAN(Sales_Table[[#This Row],[Region]])))</f>
        <v>East</v>
      </c>
      <c r="F812" t="s">
        <v>78</v>
      </c>
      <c r="G812" t="str">
        <f t="shared" si="85"/>
        <v>Grocery</v>
      </c>
      <c r="H812" t="str">
        <f>PROPER(TRIM(CLEAN(Sales_Table[[#This Row],[Product Name]])))</f>
        <v>Rice 5Kg</v>
      </c>
      <c r="I812" t="s">
        <v>73</v>
      </c>
      <c r="J812" t="str">
        <f t="shared" si="86"/>
        <v>CUST0448</v>
      </c>
      <c r="K812" t="s">
        <v>2127</v>
      </c>
      <c r="L812" t="str">
        <f>PROPER(TRIM(CLEAN(Sales_Table[[#This Row],[Salesperson]])))</f>
        <v>Meena</v>
      </c>
      <c r="M812" t="s">
        <v>40</v>
      </c>
      <c r="N812" t="str">
        <f t="shared" si="87"/>
        <v>Credit Card</v>
      </c>
      <c r="O812" t="s">
        <v>65</v>
      </c>
      <c r="P812">
        <f t="shared" si="88"/>
        <v>12</v>
      </c>
      <c r="Q812" t="s">
        <v>33</v>
      </c>
      <c r="R812">
        <f t="shared" si="89"/>
        <v>3728</v>
      </c>
      <c r="S812" t="s">
        <v>2128</v>
      </c>
      <c r="T812">
        <f t="shared" si="90"/>
        <v>44736</v>
      </c>
      <c r="U812">
        <f>YEAR(Sales_Table[[#This Row],[Date_clean]])</f>
        <v>2024</v>
      </c>
      <c r="V812" t="str">
        <f>TEXT(Sales_Table[[#This Row],[Date_clean]],"mmmm")</f>
        <v>February</v>
      </c>
      <c r="W812">
        <f>WEEKNUM(Sales_Table[[#This Row],[Date_clean]],2)</f>
        <v>5</v>
      </c>
      <c r="X812" t="str" cm="1">
        <f t="array" ref="X812">_xlfn.IFS(Sales_Table[[#This Row],[Revenue]]&gt;=50000,"High",Sales_Table[[#This Row],[Revenue]]&gt;=20000,"Medium",Sales_Table[[#This Row],[Revenue]]&lt;20000,"Low")</f>
        <v>Medium</v>
      </c>
      <c r="Y812" t="str">
        <f>IF(Sales_Table[[#This Row],[Payment Method_clean]]="cash","Offline","Online")</f>
        <v>Online</v>
      </c>
      <c r="Z812">
        <f>IFERROR(Sales_Table[[#This Row],[Revenue]],0)</f>
        <v>44736</v>
      </c>
    </row>
    <row r="813" spans="1:26" x14ac:dyDescent="0.3">
      <c r="A813">
        <v>812</v>
      </c>
      <c r="B813" s="2">
        <f t="shared" si="84"/>
        <v>45325.791666666664</v>
      </c>
      <c r="C813" t="s">
        <v>2129</v>
      </c>
      <c r="D813" t="s">
        <v>27</v>
      </c>
      <c r="E813" t="str">
        <f>PROPER(TRIM(CLEAN(Sales_Table[[#This Row],[Region]])))</f>
        <v>East</v>
      </c>
      <c r="F813" t="s">
        <v>78</v>
      </c>
      <c r="G813" t="str">
        <f t="shared" si="85"/>
        <v>Grocery</v>
      </c>
      <c r="H813" t="str">
        <f>PROPER(TRIM(CLEAN(Sales_Table[[#This Row],[Product Name]])))</f>
        <v>Laptop</v>
      </c>
      <c r="I813" t="s">
        <v>52</v>
      </c>
      <c r="J813" t="str">
        <f t="shared" si="86"/>
        <v>CUST0754</v>
      </c>
      <c r="K813" t="s">
        <v>726</v>
      </c>
      <c r="L813" t="str">
        <f>PROPER(TRIM(CLEAN(Sales_Table[[#This Row],[Salesperson]])))</f>
        <v>Meena</v>
      </c>
      <c r="M813" t="s">
        <v>40</v>
      </c>
      <c r="N813" t="str">
        <f t="shared" si="87"/>
        <v>Cash</v>
      </c>
      <c r="O813" t="s">
        <v>32</v>
      </c>
      <c r="P813">
        <f t="shared" si="88"/>
        <v>12</v>
      </c>
      <c r="Q813" t="s">
        <v>33</v>
      </c>
      <c r="R813">
        <f t="shared" si="89"/>
        <v>1722</v>
      </c>
      <c r="S813" t="s">
        <v>1465</v>
      </c>
      <c r="T813">
        <f t="shared" si="90"/>
        <v>20664</v>
      </c>
      <c r="U813">
        <f>YEAR(Sales_Table[[#This Row],[Date_clean]])</f>
        <v>2024</v>
      </c>
      <c r="V813" t="str">
        <f>TEXT(Sales_Table[[#This Row],[Date_clean]],"mmmm")</f>
        <v>February</v>
      </c>
      <c r="W813">
        <f>WEEKNUM(Sales_Table[[#This Row],[Date_clean]],2)</f>
        <v>5</v>
      </c>
      <c r="X813" t="str" cm="1">
        <f t="array" ref="X813">_xlfn.IFS(Sales_Table[[#This Row],[Revenue]]&gt;=50000,"High",Sales_Table[[#This Row],[Revenue]]&gt;=20000,"Medium",Sales_Table[[#This Row],[Revenue]]&lt;20000,"Low")</f>
        <v>Medium</v>
      </c>
      <c r="Y813" t="str">
        <f>IF(Sales_Table[[#This Row],[Payment Method_clean]]="cash","Offline","Online")</f>
        <v>Offline</v>
      </c>
      <c r="Z813">
        <f>IFERROR(Sales_Table[[#This Row],[Revenue]],0)</f>
        <v>20664</v>
      </c>
    </row>
    <row r="814" spans="1:26" x14ac:dyDescent="0.3">
      <c r="A814">
        <v>813</v>
      </c>
      <c r="B814" s="2">
        <f t="shared" si="84"/>
        <v>45325.833333333336</v>
      </c>
      <c r="C814" t="s">
        <v>2130</v>
      </c>
      <c r="D814" t="s">
        <v>45</v>
      </c>
      <c r="E814" t="str">
        <f>PROPER(TRIM(CLEAN(Sales_Table[[#This Row],[Region]])))</f>
        <v>North</v>
      </c>
      <c r="F814" t="s">
        <v>78</v>
      </c>
      <c r="G814" t="str">
        <f t="shared" si="85"/>
        <v>Grocery</v>
      </c>
      <c r="H814" t="str">
        <f>PROPER(TRIM(CLEAN(Sales_Table[[#This Row],[Product Name]])))</f>
        <v>Men T-Shirt</v>
      </c>
      <c r="I814" t="s">
        <v>38</v>
      </c>
      <c r="J814" t="str">
        <f t="shared" si="86"/>
        <v>CUST0146</v>
      </c>
      <c r="K814" t="s">
        <v>2131</v>
      </c>
      <c r="L814" t="str">
        <f>PROPER(TRIM(CLEAN(Sales_Table[[#This Row],[Salesperson]])))</f>
        <v>Meena</v>
      </c>
      <c r="M814" t="s">
        <v>40</v>
      </c>
      <c r="N814" t="str">
        <f t="shared" si="87"/>
        <v>Debit Card</v>
      </c>
      <c r="O814" t="s">
        <v>41</v>
      </c>
      <c r="P814">
        <f t="shared" si="88"/>
        <v>14</v>
      </c>
      <c r="Q814" t="s">
        <v>55</v>
      </c>
      <c r="R814">
        <f t="shared" si="89"/>
        <v>557</v>
      </c>
      <c r="S814" t="s">
        <v>2132</v>
      </c>
      <c r="T814">
        <f t="shared" si="90"/>
        <v>7798</v>
      </c>
      <c r="U814">
        <f>YEAR(Sales_Table[[#This Row],[Date_clean]])</f>
        <v>2024</v>
      </c>
      <c r="V814" t="str">
        <f>TEXT(Sales_Table[[#This Row],[Date_clean]],"mmmm")</f>
        <v>February</v>
      </c>
      <c r="W814">
        <f>WEEKNUM(Sales_Table[[#This Row],[Date_clean]],2)</f>
        <v>5</v>
      </c>
      <c r="X814" t="str" cm="1">
        <f t="array" ref="X814">_xlfn.IFS(Sales_Table[[#This Row],[Revenue]]&gt;=50000,"High",Sales_Table[[#This Row],[Revenue]]&gt;=20000,"Medium",Sales_Table[[#This Row],[Revenue]]&lt;20000,"Low")</f>
        <v>Low</v>
      </c>
      <c r="Y814" t="str">
        <f>IF(Sales_Table[[#This Row],[Payment Method_clean]]="cash","Offline","Online")</f>
        <v>Online</v>
      </c>
      <c r="Z814">
        <f>IFERROR(Sales_Table[[#This Row],[Revenue]],0)</f>
        <v>7798</v>
      </c>
    </row>
    <row r="815" spans="1:26" x14ac:dyDescent="0.3">
      <c r="A815">
        <v>814</v>
      </c>
      <c r="B815" s="2">
        <f t="shared" si="84"/>
        <v>45325.875</v>
      </c>
      <c r="C815" t="s">
        <v>2133</v>
      </c>
      <c r="D815" t="s">
        <v>36</v>
      </c>
      <c r="E815" t="str">
        <f>PROPER(TRIM(CLEAN(Sales_Table[[#This Row],[Region]])))</f>
        <v>West</v>
      </c>
      <c r="F815" t="s">
        <v>37</v>
      </c>
      <c r="G815" t="str">
        <f t="shared" si="85"/>
        <v>Home Appliances</v>
      </c>
      <c r="H815" t="str">
        <f>PROPER(TRIM(CLEAN(Sales_Table[[#This Row],[Product Name]])))</f>
        <v>Rice 5Kg</v>
      </c>
      <c r="I815" t="s">
        <v>73</v>
      </c>
      <c r="J815" t="str">
        <f t="shared" si="86"/>
        <v>CUST0388</v>
      </c>
      <c r="K815" t="s">
        <v>355</v>
      </c>
      <c r="L815" t="str">
        <f>PROPER(TRIM(CLEAN(Sales_Table[[#This Row],[Salesperson]])))</f>
        <v>Suresh</v>
      </c>
      <c r="M815" t="s">
        <v>54</v>
      </c>
      <c r="N815" t="str">
        <f t="shared" si="87"/>
        <v>Credit Card</v>
      </c>
      <c r="O815" t="s">
        <v>65</v>
      </c>
      <c r="P815">
        <f t="shared" si="88"/>
        <v>2</v>
      </c>
      <c r="Q815" t="s">
        <v>196</v>
      </c>
      <c r="R815">
        <f t="shared" si="89"/>
        <v>3430</v>
      </c>
      <c r="S815" t="s">
        <v>2134</v>
      </c>
      <c r="T815">
        <f t="shared" si="90"/>
        <v>6860</v>
      </c>
      <c r="U815">
        <f>YEAR(Sales_Table[[#This Row],[Date_clean]])</f>
        <v>2024</v>
      </c>
      <c r="V815" t="str">
        <f>TEXT(Sales_Table[[#This Row],[Date_clean]],"mmmm")</f>
        <v>February</v>
      </c>
      <c r="W815">
        <f>WEEKNUM(Sales_Table[[#This Row],[Date_clean]],2)</f>
        <v>5</v>
      </c>
      <c r="X815" t="str" cm="1">
        <f t="array" ref="X815">_xlfn.IFS(Sales_Table[[#This Row],[Revenue]]&gt;=50000,"High",Sales_Table[[#This Row],[Revenue]]&gt;=20000,"Medium",Sales_Table[[#This Row],[Revenue]]&lt;20000,"Low")</f>
        <v>Low</v>
      </c>
      <c r="Y815" t="str">
        <f>IF(Sales_Table[[#This Row],[Payment Method_clean]]="cash","Offline","Online")</f>
        <v>Online</v>
      </c>
      <c r="Z815">
        <f>IFERROR(Sales_Table[[#This Row],[Revenue]],0)</f>
        <v>6860</v>
      </c>
    </row>
    <row r="816" spans="1:26" x14ac:dyDescent="0.3">
      <c r="A816">
        <v>815</v>
      </c>
      <c r="B816" s="2">
        <f t="shared" si="84"/>
        <v>45325.916666666664</v>
      </c>
      <c r="C816" t="s">
        <v>2135</v>
      </c>
      <c r="D816" t="s">
        <v>36</v>
      </c>
      <c r="E816" t="str">
        <f>PROPER(TRIM(CLEAN(Sales_Table[[#This Row],[Region]])))</f>
        <v>West</v>
      </c>
      <c r="F816" t="s">
        <v>37</v>
      </c>
      <c r="G816" t="str">
        <f t="shared" si="85"/>
        <v>Home Appliances</v>
      </c>
      <c r="H816" t="str">
        <f>PROPER(TRIM(CLEAN(Sales_Table[[#This Row],[Product Name]])))</f>
        <v>Mixer Grinder</v>
      </c>
      <c r="I816" t="s">
        <v>29</v>
      </c>
      <c r="J816" t="str">
        <f t="shared" si="86"/>
        <v>CUST0785</v>
      </c>
      <c r="K816" t="s">
        <v>908</v>
      </c>
      <c r="L816" t="str">
        <f>PROPER(TRIM(CLEAN(Sales_Table[[#This Row],[Salesperson]])))</f>
        <v>Karthik</v>
      </c>
      <c r="M816" t="s">
        <v>70</v>
      </c>
      <c r="N816" t="str">
        <f t="shared" si="87"/>
        <v>Upi</v>
      </c>
      <c r="O816" t="s">
        <v>48</v>
      </c>
      <c r="P816">
        <f t="shared" si="88"/>
        <v>10</v>
      </c>
      <c r="Q816" t="s">
        <v>117</v>
      </c>
      <c r="R816">
        <f t="shared" si="89"/>
        <v>1840</v>
      </c>
      <c r="S816" t="s">
        <v>2136</v>
      </c>
      <c r="T816">
        <f t="shared" si="90"/>
        <v>18400</v>
      </c>
      <c r="U816">
        <f>YEAR(Sales_Table[[#This Row],[Date_clean]])</f>
        <v>2024</v>
      </c>
      <c r="V816" t="str">
        <f>TEXT(Sales_Table[[#This Row],[Date_clean]],"mmmm")</f>
        <v>February</v>
      </c>
      <c r="W816">
        <f>WEEKNUM(Sales_Table[[#This Row],[Date_clean]],2)</f>
        <v>5</v>
      </c>
      <c r="X816" t="str" cm="1">
        <f t="array" ref="X816">_xlfn.IFS(Sales_Table[[#This Row],[Revenue]]&gt;=50000,"High",Sales_Table[[#This Row],[Revenue]]&gt;=20000,"Medium",Sales_Table[[#This Row],[Revenue]]&lt;20000,"Low")</f>
        <v>Low</v>
      </c>
      <c r="Y816" t="str">
        <f>IF(Sales_Table[[#This Row],[Payment Method_clean]]="cash","Offline","Online")</f>
        <v>Online</v>
      </c>
      <c r="Z816">
        <f>IFERROR(Sales_Table[[#This Row],[Revenue]],0)</f>
        <v>18400</v>
      </c>
    </row>
    <row r="817" spans="1:26" x14ac:dyDescent="0.3">
      <c r="A817">
        <v>816</v>
      </c>
      <c r="B817" s="2">
        <f t="shared" si="84"/>
        <v>45325.958333333336</v>
      </c>
      <c r="C817" t="s">
        <v>2137</v>
      </c>
      <c r="D817" t="s">
        <v>45</v>
      </c>
      <c r="E817" t="str">
        <f>PROPER(TRIM(CLEAN(Sales_Table[[#This Row],[Region]])))</f>
        <v>North</v>
      </c>
      <c r="F817" t="s">
        <v>37</v>
      </c>
      <c r="G817" t="str">
        <f t="shared" si="85"/>
        <v>Home Appliances</v>
      </c>
      <c r="H817" t="str">
        <f>PROPER(TRIM(CLEAN(Sales_Table[[#This Row],[Product Name]])))</f>
        <v>Rice 5Kg</v>
      </c>
      <c r="I817" t="s">
        <v>73</v>
      </c>
      <c r="J817" t="str">
        <f t="shared" si="86"/>
        <v>CUST0249</v>
      </c>
      <c r="K817" t="s">
        <v>2138</v>
      </c>
      <c r="L817" t="str">
        <f>PROPER(TRIM(CLEAN(Sales_Table[[#This Row],[Salesperson]])))</f>
        <v>Meena</v>
      </c>
      <c r="M817" t="s">
        <v>40</v>
      </c>
      <c r="N817" t="str">
        <f t="shared" si="87"/>
        <v>Net Banking</v>
      </c>
      <c r="O817" t="s">
        <v>60</v>
      </c>
      <c r="P817">
        <f t="shared" si="88"/>
        <v>4</v>
      </c>
      <c r="Q817" t="s">
        <v>113</v>
      </c>
      <c r="R817">
        <f t="shared" si="89"/>
        <v>3126</v>
      </c>
      <c r="S817" t="s">
        <v>2139</v>
      </c>
      <c r="T817">
        <f t="shared" si="90"/>
        <v>12504</v>
      </c>
      <c r="U817">
        <f>YEAR(Sales_Table[[#This Row],[Date_clean]])</f>
        <v>2024</v>
      </c>
      <c r="V817" t="str">
        <f>TEXT(Sales_Table[[#This Row],[Date_clean]],"mmmm")</f>
        <v>February</v>
      </c>
      <c r="W817">
        <f>WEEKNUM(Sales_Table[[#This Row],[Date_clean]],2)</f>
        <v>5</v>
      </c>
      <c r="X817" t="str" cm="1">
        <f t="array" ref="X817">_xlfn.IFS(Sales_Table[[#This Row],[Revenue]]&gt;=50000,"High",Sales_Table[[#This Row],[Revenue]]&gt;=20000,"Medium",Sales_Table[[#This Row],[Revenue]]&lt;20000,"Low")</f>
        <v>Low</v>
      </c>
      <c r="Y817" t="str">
        <f>IF(Sales_Table[[#This Row],[Payment Method_clean]]="cash","Offline","Online")</f>
        <v>Online</v>
      </c>
      <c r="Z817">
        <f>IFERROR(Sales_Table[[#This Row],[Revenue]],0)</f>
        <v>12504</v>
      </c>
    </row>
    <row r="818" spans="1:26" x14ac:dyDescent="0.3">
      <c r="A818">
        <v>817</v>
      </c>
      <c r="B818" s="2">
        <f t="shared" si="84"/>
        <v>45326</v>
      </c>
      <c r="C818" t="s">
        <v>2140</v>
      </c>
      <c r="D818" t="s">
        <v>45</v>
      </c>
      <c r="E818" t="str">
        <f>PROPER(TRIM(CLEAN(Sales_Table[[#This Row],[Region]])))</f>
        <v>North</v>
      </c>
      <c r="F818" t="s">
        <v>37</v>
      </c>
      <c r="G818" t="str">
        <f t="shared" si="85"/>
        <v>Home Appliances</v>
      </c>
      <c r="H818" t="str">
        <f>PROPER(TRIM(CLEAN(Sales_Table[[#This Row],[Product Name]])))</f>
        <v>Washing Machine</v>
      </c>
      <c r="I818" t="s">
        <v>79</v>
      </c>
      <c r="J818" t="str">
        <f t="shared" si="86"/>
        <v>CUST0526</v>
      </c>
      <c r="K818" t="s">
        <v>2076</v>
      </c>
      <c r="L818" t="str">
        <f>PROPER(TRIM(CLEAN(Sales_Table[[#This Row],[Salesperson]])))</f>
        <v>Anita</v>
      </c>
      <c r="M818" t="s">
        <v>64</v>
      </c>
      <c r="N818" t="str">
        <f t="shared" si="87"/>
        <v>Net Banking</v>
      </c>
      <c r="O818" t="s">
        <v>60</v>
      </c>
      <c r="P818">
        <f t="shared" si="88"/>
        <v>4</v>
      </c>
      <c r="Q818" t="s">
        <v>113</v>
      </c>
      <c r="R818">
        <f t="shared" si="89"/>
        <v>2054</v>
      </c>
      <c r="S818" t="s">
        <v>2141</v>
      </c>
      <c r="T818">
        <f t="shared" si="90"/>
        <v>8216</v>
      </c>
      <c r="U818">
        <f>YEAR(Sales_Table[[#This Row],[Date_clean]])</f>
        <v>2024</v>
      </c>
      <c r="V818" t="str">
        <f>TEXT(Sales_Table[[#This Row],[Date_clean]],"mmmm")</f>
        <v>February</v>
      </c>
      <c r="W818">
        <f>WEEKNUM(Sales_Table[[#This Row],[Date_clean]],2)</f>
        <v>5</v>
      </c>
      <c r="X818" t="str" cm="1">
        <f t="array" ref="X818">_xlfn.IFS(Sales_Table[[#This Row],[Revenue]]&gt;=50000,"High",Sales_Table[[#This Row],[Revenue]]&gt;=20000,"Medium",Sales_Table[[#This Row],[Revenue]]&lt;20000,"Low")</f>
        <v>Low</v>
      </c>
      <c r="Y818" t="str">
        <f>IF(Sales_Table[[#This Row],[Payment Method_clean]]="cash","Offline","Online")</f>
        <v>Online</v>
      </c>
      <c r="Z818">
        <f>IFERROR(Sales_Table[[#This Row],[Revenue]],0)</f>
        <v>8216</v>
      </c>
    </row>
    <row r="819" spans="1:26" x14ac:dyDescent="0.3">
      <c r="A819">
        <v>818</v>
      </c>
      <c r="B819" s="2">
        <f t="shared" si="84"/>
        <v>45326.041666666664</v>
      </c>
      <c r="C819" t="s">
        <v>2142</v>
      </c>
      <c r="D819" t="s">
        <v>27</v>
      </c>
      <c r="E819" t="str">
        <f>PROPER(TRIM(CLEAN(Sales_Table[[#This Row],[Region]])))</f>
        <v>East</v>
      </c>
      <c r="F819" t="s">
        <v>28</v>
      </c>
      <c r="G819" t="str">
        <f t="shared" si="85"/>
        <v>Clothing</v>
      </c>
      <c r="H819" t="str">
        <f>PROPER(TRIM(CLEAN(Sales_Table[[#This Row],[Product Name]])))</f>
        <v>Rice 5Kg</v>
      </c>
      <c r="I819" t="s">
        <v>73</v>
      </c>
      <c r="J819" t="str">
        <f t="shared" si="86"/>
        <v>CUST0462</v>
      </c>
      <c r="K819" t="s">
        <v>539</v>
      </c>
      <c r="L819" t="str">
        <f>PROPER(TRIM(CLEAN(Sales_Table[[#This Row],[Salesperson]])))</f>
        <v>Meena</v>
      </c>
      <c r="M819" t="s">
        <v>40</v>
      </c>
      <c r="N819" t="str">
        <f t="shared" si="87"/>
        <v>Upi</v>
      </c>
      <c r="O819" t="s">
        <v>48</v>
      </c>
      <c r="P819">
        <f t="shared" si="88"/>
        <v>1</v>
      </c>
      <c r="Q819" t="s">
        <v>93</v>
      </c>
      <c r="R819">
        <f t="shared" si="89"/>
        <v>379</v>
      </c>
      <c r="S819" t="s">
        <v>2143</v>
      </c>
      <c r="T819">
        <f t="shared" si="90"/>
        <v>379</v>
      </c>
      <c r="U819">
        <f>YEAR(Sales_Table[[#This Row],[Date_clean]])</f>
        <v>2024</v>
      </c>
      <c r="V819" t="str">
        <f>TEXT(Sales_Table[[#This Row],[Date_clean]],"mmmm")</f>
        <v>February</v>
      </c>
      <c r="W819">
        <f>WEEKNUM(Sales_Table[[#This Row],[Date_clean]],2)</f>
        <v>5</v>
      </c>
      <c r="X819" t="str" cm="1">
        <f t="array" ref="X819">_xlfn.IFS(Sales_Table[[#This Row],[Revenue]]&gt;=50000,"High",Sales_Table[[#This Row],[Revenue]]&gt;=20000,"Medium",Sales_Table[[#This Row],[Revenue]]&lt;20000,"Low")</f>
        <v>Low</v>
      </c>
      <c r="Y819" t="str">
        <f>IF(Sales_Table[[#This Row],[Payment Method_clean]]="cash","Offline","Online")</f>
        <v>Online</v>
      </c>
      <c r="Z819">
        <f>IFERROR(Sales_Table[[#This Row],[Revenue]],0)</f>
        <v>379</v>
      </c>
    </row>
    <row r="820" spans="1:26" x14ac:dyDescent="0.3">
      <c r="A820">
        <v>819</v>
      </c>
      <c r="B820" s="2">
        <f t="shared" si="84"/>
        <v>45326.083333333336</v>
      </c>
      <c r="C820" t="s">
        <v>2144</v>
      </c>
      <c r="D820" t="s">
        <v>36</v>
      </c>
      <c r="E820" t="str">
        <f>PROPER(TRIM(CLEAN(Sales_Table[[#This Row],[Region]])))</f>
        <v>West</v>
      </c>
      <c r="F820" t="s">
        <v>28</v>
      </c>
      <c r="G820" t="str">
        <f t="shared" si="85"/>
        <v>Clothing</v>
      </c>
      <c r="H820" t="str">
        <f>PROPER(TRIM(CLEAN(Sales_Table[[#This Row],[Product Name]])))</f>
        <v>Washing Machine</v>
      </c>
      <c r="I820" t="s">
        <v>79</v>
      </c>
      <c r="J820" t="str">
        <f t="shared" si="86"/>
        <v>CUST0013</v>
      </c>
      <c r="K820" t="s">
        <v>790</v>
      </c>
      <c r="L820" t="str">
        <f>PROPER(TRIM(CLEAN(Sales_Table[[#This Row],[Salesperson]])))</f>
        <v>Karthik</v>
      </c>
      <c r="M820" t="s">
        <v>70</v>
      </c>
      <c r="N820" t="str">
        <f t="shared" si="87"/>
        <v>Credit Card</v>
      </c>
      <c r="O820" t="s">
        <v>65</v>
      </c>
      <c r="P820">
        <f t="shared" si="88"/>
        <v>10</v>
      </c>
      <c r="Q820" t="s">
        <v>117</v>
      </c>
      <c r="R820">
        <f t="shared" si="89"/>
        <v>2491</v>
      </c>
      <c r="S820" t="s">
        <v>2145</v>
      </c>
      <c r="T820">
        <f t="shared" si="90"/>
        <v>24910</v>
      </c>
      <c r="U820">
        <f>YEAR(Sales_Table[[#This Row],[Date_clean]])</f>
        <v>2024</v>
      </c>
      <c r="V820" t="str">
        <f>TEXT(Sales_Table[[#This Row],[Date_clean]],"mmmm")</f>
        <v>February</v>
      </c>
      <c r="W820">
        <f>WEEKNUM(Sales_Table[[#This Row],[Date_clean]],2)</f>
        <v>5</v>
      </c>
      <c r="X820" t="str" cm="1">
        <f t="array" ref="X820">_xlfn.IFS(Sales_Table[[#This Row],[Revenue]]&gt;=50000,"High",Sales_Table[[#This Row],[Revenue]]&gt;=20000,"Medium",Sales_Table[[#This Row],[Revenue]]&lt;20000,"Low")</f>
        <v>Medium</v>
      </c>
      <c r="Y820" t="str">
        <f>IF(Sales_Table[[#This Row],[Payment Method_clean]]="cash","Offline","Online")</f>
        <v>Online</v>
      </c>
      <c r="Z820">
        <f>IFERROR(Sales_Table[[#This Row],[Revenue]],0)</f>
        <v>24910</v>
      </c>
    </row>
    <row r="821" spans="1:26" x14ac:dyDescent="0.3">
      <c r="A821">
        <v>820</v>
      </c>
      <c r="B821" s="2">
        <f t="shared" si="84"/>
        <v>45326.125</v>
      </c>
      <c r="C821" t="s">
        <v>2146</v>
      </c>
      <c r="D821" t="s">
        <v>45</v>
      </c>
      <c r="E821" t="str">
        <f>PROPER(TRIM(CLEAN(Sales_Table[[#This Row],[Region]])))</f>
        <v>North</v>
      </c>
      <c r="F821" t="s">
        <v>46</v>
      </c>
      <c r="G821" t="str">
        <f t="shared" si="85"/>
        <v>Electronics</v>
      </c>
      <c r="H821" t="str">
        <f>PROPER(TRIM(CLEAN(Sales_Table[[#This Row],[Product Name]])))</f>
        <v>Washing Machine</v>
      </c>
      <c r="I821" t="s">
        <v>79</v>
      </c>
      <c r="J821" t="str">
        <f t="shared" si="86"/>
        <v>CUST0384</v>
      </c>
      <c r="K821" t="s">
        <v>303</v>
      </c>
      <c r="L821" t="str">
        <f>PROPER(TRIM(CLEAN(Sales_Table[[#This Row],[Salesperson]])))</f>
        <v>Meena</v>
      </c>
      <c r="M821" t="s">
        <v>40</v>
      </c>
      <c r="N821" t="str">
        <f t="shared" si="87"/>
        <v>Cash</v>
      </c>
      <c r="O821" t="s">
        <v>32</v>
      </c>
      <c r="P821">
        <f t="shared" si="88"/>
        <v>8</v>
      </c>
      <c r="Q821" t="s">
        <v>42</v>
      </c>
      <c r="R821">
        <f t="shared" si="89"/>
        <v>1140</v>
      </c>
      <c r="S821" t="s">
        <v>2147</v>
      </c>
      <c r="T821">
        <f t="shared" si="90"/>
        <v>9120</v>
      </c>
      <c r="U821">
        <f>YEAR(Sales_Table[[#This Row],[Date_clean]])</f>
        <v>2024</v>
      </c>
      <c r="V821" t="str">
        <f>TEXT(Sales_Table[[#This Row],[Date_clean]],"mmmm")</f>
        <v>February</v>
      </c>
      <c r="W821">
        <f>WEEKNUM(Sales_Table[[#This Row],[Date_clean]],2)</f>
        <v>5</v>
      </c>
      <c r="X821" t="str" cm="1">
        <f t="array" ref="X821">_xlfn.IFS(Sales_Table[[#This Row],[Revenue]]&gt;=50000,"High",Sales_Table[[#This Row],[Revenue]]&gt;=20000,"Medium",Sales_Table[[#This Row],[Revenue]]&lt;20000,"Low")</f>
        <v>Low</v>
      </c>
      <c r="Y821" t="str">
        <f>IF(Sales_Table[[#This Row],[Payment Method_clean]]="cash","Offline","Online")</f>
        <v>Offline</v>
      </c>
      <c r="Z821">
        <f>IFERROR(Sales_Table[[#This Row],[Revenue]],0)</f>
        <v>9120</v>
      </c>
    </row>
    <row r="822" spans="1:26" x14ac:dyDescent="0.3">
      <c r="A822">
        <v>821</v>
      </c>
      <c r="B822" s="2">
        <f t="shared" si="84"/>
        <v>45326.166666666664</v>
      </c>
      <c r="C822" t="s">
        <v>2148</v>
      </c>
      <c r="D822" t="s">
        <v>27</v>
      </c>
      <c r="E822" t="str">
        <f>PROPER(TRIM(CLEAN(Sales_Table[[#This Row],[Region]])))</f>
        <v>East</v>
      </c>
      <c r="F822" t="s">
        <v>37</v>
      </c>
      <c r="G822" t="str">
        <f t="shared" si="85"/>
        <v>Home Appliances</v>
      </c>
      <c r="H822" t="str">
        <f>PROPER(TRIM(CLEAN(Sales_Table[[#This Row],[Product Name]])))</f>
        <v>Washing Machine</v>
      </c>
      <c r="I822" t="s">
        <v>79</v>
      </c>
      <c r="J822" t="str">
        <f t="shared" si="86"/>
        <v>CUST0556</v>
      </c>
      <c r="K822" t="s">
        <v>1796</v>
      </c>
      <c r="L822" t="str">
        <f>PROPER(TRIM(CLEAN(Sales_Table[[#This Row],[Salesperson]])))</f>
        <v>Suresh</v>
      </c>
      <c r="M822" t="s">
        <v>54</v>
      </c>
      <c r="N822" t="str">
        <f t="shared" si="87"/>
        <v>Debit Card</v>
      </c>
      <c r="O822" t="s">
        <v>41</v>
      </c>
      <c r="P822">
        <f t="shared" si="88"/>
        <v>1</v>
      </c>
      <c r="Q822" t="s">
        <v>93</v>
      </c>
      <c r="R822">
        <f t="shared" si="89"/>
        <v>1061</v>
      </c>
      <c r="S822" t="s">
        <v>2149</v>
      </c>
      <c r="T822">
        <f t="shared" si="90"/>
        <v>1061</v>
      </c>
      <c r="U822">
        <f>YEAR(Sales_Table[[#This Row],[Date_clean]])</f>
        <v>2024</v>
      </c>
      <c r="V822" t="str">
        <f>TEXT(Sales_Table[[#This Row],[Date_clean]],"mmmm")</f>
        <v>February</v>
      </c>
      <c r="W822">
        <f>WEEKNUM(Sales_Table[[#This Row],[Date_clean]],2)</f>
        <v>5</v>
      </c>
      <c r="X822" t="str" cm="1">
        <f t="array" ref="X822">_xlfn.IFS(Sales_Table[[#This Row],[Revenue]]&gt;=50000,"High",Sales_Table[[#This Row],[Revenue]]&gt;=20000,"Medium",Sales_Table[[#This Row],[Revenue]]&lt;20000,"Low")</f>
        <v>Low</v>
      </c>
      <c r="Y822" t="str">
        <f>IF(Sales_Table[[#This Row],[Payment Method_clean]]="cash","Offline","Online")</f>
        <v>Online</v>
      </c>
      <c r="Z822">
        <f>IFERROR(Sales_Table[[#This Row],[Revenue]],0)</f>
        <v>1061</v>
      </c>
    </row>
    <row r="823" spans="1:26" x14ac:dyDescent="0.3">
      <c r="A823">
        <v>822</v>
      </c>
      <c r="B823" s="2">
        <f t="shared" si="84"/>
        <v>45326.208333333336</v>
      </c>
      <c r="C823" t="s">
        <v>2150</v>
      </c>
      <c r="D823" t="s">
        <v>36</v>
      </c>
      <c r="E823" t="str">
        <f>PROPER(TRIM(CLEAN(Sales_Table[[#This Row],[Region]])))</f>
        <v>West</v>
      </c>
      <c r="F823" t="s">
        <v>28</v>
      </c>
      <c r="G823" t="str">
        <f t="shared" si="85"/>
        <v>Clothing</v>
      </c>
      <c r="H823" t="str">
        <f>PROPER(TRIM(CLEAN(Sales_Table[[#This Row],[Product Name]])))</f>
        <v>Mixer Grinder</v>
      </c>
      <c r="I823" t="s">
        <v>29</v>
      </c>
      <c r="J823" t="str">
        <f t="shared" si="86"/>
        <v>CUST0399</v>
      </c>
      <c r="K823" t="s">
        <v>1124</v>
      </c>
      <c r="L823" t="str">
        <f>PROPER(TRIM(CLEAN(Sales_Table[[#This Row],[Salesperson]])))</f>
        <v>Rahul</v>
      </c>
      <c r="M823" t="s">
        <v>31</v>
      </c>
      <c r="N823" t="str">
        <f t="shared" si="87"/>
        <v>Net Banking</v>
      </c>
      <c r="O823" t="s">
        <v>60</v>
      </c>
      <c r="P823">
        <f t="shared" si="88"/>
        <v>8</v>
      </c>
      <c r="Q823" t="s">
        <v>42</v>
      </c>
      <c r="R823">
        <f t="shared" si="89"/>
        <v>3945</v>
      </c>
      <c r="S823" t="s">
        <v>2151</v>
      </c>
      <c r="T823">
        <f t="shared" si="90"/>
        <v>31560</v>
      </c>
      <c r="U823">
        <f>YEAR(Sales_Table[[#This Row],[Date_clean]])</f>
        <v>2024</v>
      </c>
      <c r="V823" t="str">
        <f>TEXT(Sales_Table[[#This Row],[Date_clean]],"mmmm")</f>
        <v>February</v>
      </c>
      <c r="W823">
        <f>WEEKNUM(Sales_Table[[#This Row],[Date_clean]],2)</f>
        <v>5</v>
      </c>
      <c r="X823" t="str" cm="1">
        <f t="array" ref="X823">_xlfn.IFS(Sales_Table[[#This Row],[Revenue]]&gt;=50000,"High",Sales_Table[[#This Row],[Revenue]]&gt;=20000,"Medium",Sales_Table[[#This Row],[Revenue]]&lt;20000,"Low")</f>
        <v>Medium</v>
      </c>
      <c r="Y823" t="str">
        <f>IF(Sales_Table[[#This Row],[Payment Method_clean]]="cash","Offline","Online")</f>
        <v>Online</v>
      </c>
      <c r="Z823">
        <f>IFERROR(Sales_Table[[#This Row],[Revenue]],0)</f>
        <v>31560</v>
      </c>
    </row>
    <row r="824" spans="1:26" x14ac:dyDescent="0.3">
      <c r="A824">
        <v>823</v>
      </c>
      <c r="B824" s="2">
        <f t="shared" si="84"/>
        <v>45326.25</v>
      </c>
      <c r="C824" t="s">
        <v>2152</v>
      </c>
      <c r="D824" t="s">
        <v>84</v>
      </c>
      <c r="E824" t="str">
        <f>PROPER(TRIM(CLEAN(Sales_Table[[#This Row],[Region]])))</f>
        <v>South</v>
      </c>
      <c r="F824" t="s">
        <v>78</v>
      </c>
      <c r="G824" t="str">
        <f t="shared" si="85"/>
        <v>Grocery</v>
      </c>
      <c r="H824" t="str">
        <f>PROPER(TRIM(CLEAN(Sales_Table[[#This Row],[Product Name]])))</f>
        <v>Rice 5Kg</v>
      </c>
      <c r="I824" t="s">
        <v>73</v>
      </c>
      <c r="J824" t="str">
        <f t="shared" si="86"/>
        <v>CUST0019</v>
      </c>
      <c r="K824" t="s">
        <v>593</v>
      </c>
      <c r="L824" t="str">
        <f>PROPER(TRIM(CLEAN(Sales_Table[[#This Row],[Salesperson]])))</f>
        <v>Rahul</v>
      </c>
      <c r="M824" t="s">
        <v>31</v>
      </c>
      <c r="N824" t="str">
        <f t="shared" si="87"/>
        <v>Debit Card</v>
      </c>
      <c r="O824" t="s">
        <v>41</v>
      </c>
      <c r="P824">
        <f t="shared" si="88"/>
        <v>7</v>
      </c>
      <c r="Q824" t="s">
        <v>49</v>
      </c>
      <c r="R824">
        <f t="shared" si="89"/>
        <v>1317</v>
      </c>
      <c r="S824" t="s">
        <v>2153</v>
      </c>
      <c r="T824">
        <f t="shared" si="90"/>
        <v>9219</v>
      </c>
      <c r="U824">
        <f>YEAR(Sales_Table[[#This Row],[Date_clean]])</f>
        <v>2024</v>
      </c>
      <c r="V824" t="str">
        <f>TEXT(Sales_Table[[#This Row],[Date_clean]],"mmmm")</f>
        <v>February</v>
      </c>
      <c r="W824">
        <f>WEEKNUM(Sales_Table[[#This Row],[Date_clean]],2)</f>
        <v>5</v>
      </c>
      <c r="X824" t="str" cm="1">
        <f t="array" ref="X824">_xlfn.IFS(Sales_Table[[#This Row],[Revenue]]&gt;=50000,"High",Sales_Table[[#This Row],[Revenue]]&gt;=20000,"Medium",Sales_Table[[#This Row],[Revenue]]&lt;20000,"Low")</f>
        <v>Low</v>
      </c>
      <c r="Y824" t="str">
        <f>IF(Sales_Table[[#This Row],[Payment Method_clean]]="cash","Offline","Online")</f>
        <v>Online</v>
      </c>
      <c r="Z824">
        <f>IFERROR(Sales_Table[[#This Row],[Revenue]],0)</f>
        <v>9219</v>
      </c>
    </row>
    <row r="825" spans="1:26" x14ac:dyDescent="0.3">
      <c r="A825">
        <v>824</v>
      </c>
      <c r="B825" s="2">
        <f t="shared" si="84"/>
        <v>45326.291666666664</v>
      </c>
      <c r="C825" t="s">
        <v>2154</v>
      </c>
      <c r="D825" t="s">
        <v>27</v>
      </c>
      <c r="E825" t="str">
        <f>PROPER(TRIM(CLEAN(Sales_Table[[#This Row],[Region]])))</f>
        <v>East</v>
      </c>
      <c r="F825" t="s">
        <v>37</v>
      </c>
      <c r="G825" t="str">
        <f t="shared" si="85"/>
        <v>Home Appliances</v>
      </c>
      <c r="H825" t="str">
        <f>PROPER(TRIM(CLEAN(Sales_Table[[#This Row],[Product Name]])))</f>
        <v>Rice 5Kg</v>
      </c>
      <c r="I825" t="s">
        <v>73</v>
      </c>
      <c r="J825" t="str">
        <f t="shared" si="86"/>
        <v>CUST0575</v>
      </c>
      <c r="K825" t="s">
        <v>384</v>
      </c>
      <c r="L825" t="str">
        <f>PROPER(TRIM(CLEAN(Sales_Table[[#This Row],[Salesperson]])))</f>
        <v>Karthik</v>
      </c>
      <c r="M825" t="s">
        <v>70</v>
      </c>
      <c r="N825" t="str">
        <f t="shared" si="87"/>
        <v>Cash</v>
      </c>
      <c r="O825" t="s">
        <v>32</v>
      </c>
      <c r="P825">
        <f t="shared" si="88"/>
        <v>9</v>
      </c>
      <c r="Q825" t="s">
        <v>130</v>
      </c>
      <c r="R825">
        <f t="shared" si="89"/>
        <v>3320</v>
      </c>
      <c r="S825" t="s">
        <v>2155</v>
      </c>
      <c r="T825">
        <f t="shared" si="90"/>
        <v>29880</v>
      </c>
      <c r="U825">
        <f>YEAR(Sales_Table[[#This Row],[Date_clean]])</f>
        <v>2024</v>
      </c>
      <c r="V825" t="str">
        <f>TEXT(Sales_Table[[#This Row],[Date_clean]],"mmmm")</f>
        <v>February</v>
      </c>
      <c r="W825">
        <f>WEEKNUM(Sales_Table[[#This Row],[Date_clean]],2)</f>
        <v>5</v>
      </c>
      <c r="X825" t="str" cm="1">
        <f t="array" ref="X825">_xlfn.IFS(Sales_Table[[#This Row],[Revenue]]&gt;=50000,"High",Sales_Table[[#This Row],[Revenue]]&gt;=20000,"Medium",Sales_Table[[#This Row],[Revenue]]&lt;20000,"Low")</f>
        <v>Medium</v>
      </c>
      <c r="Y825" t="str">
        <f>IF(Sales_Table[[#This Row],[Payment Method_clean]]="cash","Offline","Online")</f>
        <v>Offline</v>
      </c>
      <c r="Z825">
        <f>IFERROR(Sales_Table[[#This Row],[Revenue]],0)</f>
        <v>29880</v>
      </c>
    </row>
    <row r="826" spans="1:26" x14ac:dyDescent="0.3">
      <c r="A826">
        <v>825</v>
      </c>
      <c r="B826" s="2">
        <f t="shared" si="84"/>
        <v>45326.333333333336</v>
      </c>
      <c r="C826" t="s">
        <v>2156</v>
      </c>
      <c r="D826" t="s">
        <v>36</v>
      </c>
      <c r="E826" t="str">
        <f>PROPER(TRIM(CLEAN(Sales_Table[[#This Row],[Region]])))</f>
        <v>West</v>
      </c>
      <c r="F826" t="s">
        <v>46</v>
      </c>
      <c r="G826" t="str">
        <f t="shared" si="85"/>
        <v>Electronics</v>
      </c>
      <c r="H826" t="str">
        <f>PROPER(TRIM(CLEAN(Sales_Table[[#This Row],[Product Name]])))</f>
        <v>Mixer Grinder</v>
      </c>
      <c r="I826" t="s">
        <v>29</v>
      </c>
      <c r="J826" t="str">
        <f t="shared" si="86"/>
        <v>CUST0491</v>
      </c>
      <c r="K826" t="s">
        <v>2157</v>
      </c>
      <c r="L826" t="str">
        <f>PROPER(TRIM(CLEAN(Sales_Table[[#This Row],[Salesperson]])))</f>
        <v>Rahul</v>
      </c>
      <c r="M826" t="s">
        <v>31</v>
      </c>
      <c r="N826" t="str">
        <f t="shared" si="87"/>
        <v>Net Banking</v>
      </c>
      <c r="O826" t="s">
        <v>60</v>
      </c>
      <c r="P826">
        <f t="shared" si="88"/>
        <v>8</v>
      </c>
      <c r="Q826" t="s">
        <v>42</v>
      </c>
      <c r="R826">
        <f t="shared" si="89"/>
        <v>474</v>
      </c>
      <c r="S826" t="s">
        <v>2158</v>
      </c>
      <c r="T826">
        <f t="shared" si="90"/>
        <v>3792</v>
      </c>
      <c r="U826">
        <f>YEAR(Sales_Table[[#This Row],[Date_clean]])</f>
        <v>2024</v>
      </c>
      <c r="V826" t="str">
        <f>TEXT(Sales_Table[[#This Row],[Date_clean]],"mmmm")</f>
        <v>February</v>
      </c>
      <c r="W826">
        <f>WEEKNUM(Sales_Table[[#This Row],[Date_clean]],2)</f>
        <v>5</v>
      </c>
      <c r="X826" t="str" cm="1">
        <f t="array" ref="X826">_xlfn.IFS(Sales_Table[[#This Row],[Revenue]]&gt;=50000,"High",Sales_Table[[#This Row],[Revenue]]&gt;=20000,"Medium",Sales_Table[[#This Row],[Revenue]]&lt;20000,"Low")</f>
        <v>Low</v>
      </c>
      <c r="Y826" t="str">
        <f>IF(Sales_Table[[#This Row],[Payment Method_clean]]="cash","Offline","Online")</f>
        <v>Online</v>
      </c>
      <c r="Z826">
        <f>IFERROR(Sales_Table[[#This Row],[Revenue]],0)</f>
        <v>3792</v>
      </c>
    </row>
    <row r="827" spans="1:26" x14ac:dyDescent="0.3">
      <c r="A827">
        <v>826</v>
      </c>
      <c r="B827" s="2">
        <f t="shared" si="84"/>
        <v>45326.375</v>
      </c>
      <c r="C827" t="s">
        <v>2159</v>
      </c>
      <c r="D827" t="s">
        <v>36</v>
      </c>
      <c r="E827" t="str">
        <f>PROPER(TRIM(CLEAN(Sales_Table[[#This Row],[Region]])))</f>
        <v>West</v>
      </c>
      <c r="F827" t="s">
        <v>46</v>
      </c>
      <c r="G827" t="str">
        <f t="shared" si="85"/>
        <v>Electronics</v>
      </c>
      <c r="H827" t="str">
        <f>PROPER(TRIM(CLEAN(Sales_Table[[#This Row],[Product Name]])))</f>
        <v>Men T-Shirt</v>
      </c>
      <c r="I827" t="s">
        <v>38</v>
      </c>
      <c r="J827" t="str">
        <f t="shared" si="86"/>
        <v>CUST0751</v>
      </c>
      <c r="K827" t="s">
        <v>874</v>
      </c>
      <c r="L827" t="str">
        <f>PROPER(TRIM(CLEAN(Sales_Table[[#This Row],[Salesperson]])))</f>
        <v>Rahul</v>
      </c>
      <c r="M827" t="s">
        <v>31</v>
      </c>
      <c r="N827" t="str">
        <f t="shared" si="87"/>
        <v>Debit Card</v>
      </c>
      <c r="O827" t="s">
        <v>41</v>
      </c>
      <c r="P827">
        <f t="shared" si="88"/>
        <v>5</v>
      </c>
      <c r="Q827" t="s">
        <v>89</v>
      </c>
      <c r="R827">
        <f t="shared" si="89"/>
        <v>4230</v>
      </c>
      <c r="S827" t="s">
        <v>2160</v>
      </c>
      <c r="T827">
        <f t="shared" si="90"/>
        <v>21150</v>
      </c>
      <c r="U827">
        <f>YEAR(Sales_Table[[#This Row],[Date_clean]])</f>
        <v>2024</v>
      </c>
      <c r="V827" t="str">
        <f>TEXT(Sales_Table[[#This Row],[Date_clean]],"mmmm")</f>
        <v>February</v>
      </c>
      <c r="W827">
        <f>WEEKNUM(Sales_Table[[#This Row],[Date_clean]],2)</f>
        <v>5</v>
      </c>
      <c r="X827" t="str" cm="1">
        <f t="array" ref="X827">_xlfn.IFS(Sales_Table[[#This Row],[Revenue]]&gt;=50000,"High",Sales_Table[[#This Row],[Revenue]]&gt;=20000,"Medium",Sales_Table[[#This Row],[Revenue]]&lt;20000,"Low")</f>
        <v>Medium</v>
      </c>
      <c r="Y827" t="str">
        <f>IF(Sales_Table[[#This Row],[Payment Method_clean]]="cash","Offline","Online")</f>
        <v>Online</v>
      </c>
      <c r="Z827">
        <f>IFERROR(Sales_Table[[#This Row],[Revenue]],0)</f>
        <v>21150</v>
      </c>
    </row>
    <row r="828" spans="1:26" x14ac:dyDescent="0.3">
      <c r="A828">
        <v>827</v>
      </c>
      <c r="B828" s="2">
        <f t="shared" si="84"/>
        <v>45326.416666666664</v>
      </c>
      <c r="C828" t="s">
        <v>2161</v>
      </c>
      <c r="D828" t="s">
        <v>27</v>
      </c>
      <c r="E828" t="str">
        <f>PROPER(TRIM(CLEAN(Sales_Table[[#This Row],[Region]])))</f>
        <v>East</v>
      </c>
      <c r="F828" t="s">
        <v>46</v>
      </c>
      <c r="G828" t="str">
        <f t="shared" si="85"/>
        <v>Electronics</v>
      </c>
      <c r="H828" t="str">
        <f>PROPER(TRIM(CLEAN(Sales_Table[[#This Row],[Product Name]])))</f>
        <v>Led Tv 42Inch</v>
      </c>
      <c r="I828" t="s">
        <v>58</v>
      </c>
      <c r="J828" t="str">
        <f t="shared" si="86"/>
        <v>CUST0419</v>
      </c>
      <c r="K828" t="s">
        <v>2162</v>
      </c>
      <c r="L828" t="str">
        <f>PROPER(TRIM(CLEAN(Sales_Table[[#This Row],[Salesperson]])))</f>
        <v>Anita</v>
      </c>
      <c r="M828" t="s">
        <v>64</v>
      </c>
      <c r="N828" t="str">
        <f t="shared" si="87"/>
        <v>Cash</v>
      </c>
      <c r="O828" t="s">
        <v>32</v>
      </c>
      <c r="P828">
        <f t="shared" si="88"/>
        <v>8</v>
      </c>
      <c r="Q828" t="s">
        <v>42</v>
      </c>
      <c r="R828">
        <f t="shared" si="89"/>
        <v>1492</v>
      </c>
      <c r="S828" t="s">
        <v>641</v>
      </c>
      <c r="T828">
        <f t="shared" si="90"/>
        <v>11936</v>
      </c>
      <c r="U828">
        <f>YEAR(Sales_Table[[#This Row],[Date_clean]])</f>
        <v>2024</v>
      </c>
      <c r="V828" t="str">
        <f>TEXT(Sales_Table[[#This Row],[Date_clean]],"mmmm")</f>
        <v>February</v>
      </c>
      <c r="W828">
        <f>WEEKNUM(Sales_Table[[#This Row],[Date_clean]],2)</f>
        <v>5</v>
      </c>
      <c r="X828" t="str" cm="1">
        <f t="array" ref="X828">_xlfn.IFS(Sales_Table[[#This Row],[Revenue]]&gt;=50000,"High",Sales_Table[[#This Row],[Revenue]]&gt;=20000,"Medium",Sales_Table[[#This Row],[Revenue]]&lt;20000,"Low")</f>
        <v>Low</v>
      </c>
      <c r="Y828" t="str">
        <f>IF(Sales_Table[[#This Row],[Payment Method_clean]]="cash","Offline","Online")</f>
        <v>Offline</v>
      </c>
      <c r="Z828">
        <f>IFERROR(Sales_Table[[#This Row],[Revenue]],0)</f>
        <v>11936</v>
      </c>
    </row>
    <row r="829" spans="1:26" x14ac:dyDescent="0.3">
      <c r="A829">
        <v>828</v>
      </c>
      <c r="B829" s="2">
        <f t="shared" si="84"/>
        <v>45326.458333333336</v>
      </c>
      <c r="C829" t="s">
        <v>2163</v>
      </c>
      <c r="D829" t="s">
        <v>84</v>
      </c>
      <c r="E829" t="str">
        <f>PROPER(TRIM(CLEAN(Sales_Table[[#This Row],[Region]])))</f>
        <v>South</v>
      </c>
      <c r="F829" t="s">
        <v>78</v>
      </c>
      <c r="G829" t="str">
        <f t="shared" si="85"/>
        <v>Grocery</v>
      </c>
      <c r="H829" t="str">
        <f>PROPER(TRIM(CLEAN(Sales_Table[[#This Row],[Product Name]])))</f>
        <v>Rice 5Kg</v>
      </c>
      <c r="I829" t="s">
        <v>73</v>
      </c>
      <c r="J829" t="str">
        <f t="shared" si="86"/>
        <v>CUST0337</v>
      </c>
      <c r="K829" t="s">
        <v>1373</v>
      </c>
      <c r="L829" t="str">
        <f>PROPER(TRIM(CLEAN(Sales_Table[[#This Row],[Salesperson]])))</f>
        <v>Karthik</v>
      </c>
      <c r="M829" t="s">
        <v>70</v>
      </c>
      <c r="N829" t="str">
        <f t="shared" si="87"/>
        <v>Debit Card</v>
      </c>
      <c r="O829" t="s">
        <v>41</v>
      </c>
      <c r="P829">
        <f t="shared" si="88"/>
        <v>14</v>
      </c>
      <c r="Q829" t="s">
        <v>55</v>
      </c>
      <c r="R829">
        <f t="shared" si="89"/>
        <v>2176</v>
      </c>
      <c r="S829" t="s">
        <v>2164</v>
      </c>
      <c r="T829">
        <f t="shared" si="90"/>
        <v>30464</v>
      </c>
      <c r="U829">
        <f>YEAR(Sales_Table[[#This Row],[Date_clean]])</f>
        <v>2024</v>
      </c>
      <c r="V829" t="str">
        <f>TEXT(Sales_Table[[#This Row],[Date_clean]],"mmmm")</f>
        <v>February</v>
      </c>
      <c r="W829">
        <f>WEEKNUM(Sales_Table[[#This Row],[Date_clean]],2)</f>
        <v>5</v>
      </c>
      <c r="X829" t="str" cm="1">
        <f t="array" ref="X829">_xlfn.IFS(Sales_Table[[#This Row],[Revenue]]&gt;=50000,"High",Sales_Table[[#This Row],[Revenue]]&gt;=20000,"Medium",Sales_Table[[#This Row],[Revenue]]&lt;20000,"Low")</f>
        <v>Medium</v>
      </c>
      <c r="Y829" t="str">
        <f>IF(Sales_Table[[#This Row],[Payment Method_clean]]="cash","Offline","Online")</f>
        <v>Online</v>
      </c>
      <c r="Z829">
        <f>IFERROR(Sales_Table[[#This Row],[Revenue]],0)</f>
        <v>30464</v>
      </c>
    </row>
    <row r="830" spans="1:26" x14ac:dyDescent="0.3">
      <c r="A830">
        <v>829</v>
      </c>
      <c r="B830" s="2">
        <f t="shared" si="84"/>
        <v>45326.5</v>
      </c>
      <c r="C830" t="s">
        <v>2165</v>
      </c>
      <c r="D830" t="s">
        <v>27</v>
      </c>
      <c r="E830" t="str">
        <f>PROPER(TRIM(CLEAN(Sales_Table[[#This Row],[Region]])))</f>
        <v>East</v>
      </c>
      <c r="F830" t="s">
        <v>28</v>
      </c>
      <c r="G830" t="str">
        <f t="shared" si="85"/>
        <v>Clothing</v>
      </c>
      <c r="H830" t="str">
        <f>PROPER(TRIM(CLEAN(Sales_Table[[#This Row],[Product Name]])))</f>
        <v>Led Tv 42Inch</v>
      </c>
      <c r="I830" t="s">
        <v>58</v>
      </c>
      <c r="J830" t="str">
        <f t="shared" si="86"/>
        <v>CUST0419</v>
      </c>
      <c r="K830" t="s">
        <v>2162</v>
      </c>
      <c r="L830" t="str">
        <f>PROPER(TRIM(CLEAN(Sales_Table[[#This Row],[Salesperson]])))</f>
        <v>Karthik</v>
      </c>
      <c r="M830" t="s">
        <v>70</v>
      </c>
      <c r="N830" t="str">
        <f t="shared" si="87"/>
        <v>Credit Card</v>
      </c>
      <c r="O830" t="s">
        <v>65</v>
      </c>
      <c r="P830">
        <f t="shared" si="88"/>
        <v>11</v>
      </c>
      <c r="Q830" t="s">
        <v>97</v>
      </c>
      <c r="R830">
        <f t="shared" si="89"/>
        <v>874</v>
      </c>
      <c r="S830" t="s">
        <v>2166</v>
      </c>
      <c r="T830">
        <f t="shared" si="90"/>
        <v>9614</v>
      </c>
      <c r="U830">
        <f>YEAR(Sales_Table[[#This Row],[Date_clean]])</f>
        <v>2024</v>
      </c>
      <c r="V830" t="str">
        <f>TEXT(Sales_Table[[#This Row],[Date_clean]],"mmmm")</f>
        <v>February</v>
      </c>
      <c r="W830">
        <f>WEEKNUM(Sales_Table[[#This Row],[Date_clean]],2)</f>
        <v>5</v>
      </c>
      <c r="X830" t="str" cm="1">
        <f t="array" ref="X830">_xlfn.IFS(Sales_Table[[#This Row],[Revenue]]&gt;=50000,"High",Sales_Table[[#This Row],[Revenue]]&gt;=20000,"Medium",Sales_Table[[#This Row],[Revenue]]&lt;20000,"Low")</f>
        <v>Low</v>
      </c>
      <c r="Y830" t="str">
        <f>IF(Sales_Table[[#This Row],[Payment Method_clean]]="cash","Offline","Online")</f>
        <v>Online</v>
      </c>
      <c r="Z830">
        <f>IFERROR(Sales_Table[[#This Row],[Revenue]],0)</f>
        <v>9614</v>
      </c>
    </row>
    <row r="831" spans="1:26" x14ac:dyDescent="0.3">
      <c r="A831">
        <v>830</v>
      </c>
      <c r="B831" s="2">
        <f t="shared" si="84"/>
        <v>45326.541666666664</v>
      </c>
      <c r="C831" t="s">
        <v>2167</v>
      </c>
      <c r="D831" t="s">
        <v>36</v>
      </c>
      <c r="E831" t="str">
        <f>PROPER(TRIM(CLEAN(Sales_Table[[#This Row],[Region]])))</f>
        <v>West</v>
      </c>
      <c r="F831" t="s">
        <v>78</v>
      </c>
      <c r="G831" t="str">
        <f t="shared" si="85"/>
        <v>Grocery</v>
      </c>
      <c r="H831" t="str">
        <f>PROPER(TRIM(CLEAN(Sales_Table[[#This Row],[Product Name]])))</f>
        <v>Laptop</v>
      </c>
      <c r="I831" t="s">
        <v>52</v>
      </c>
      <c r="J831" t="str">
        <f t="shared" si="86"/>
        <v>CUST0612</v>
      </c>
      <c r="K831" t="s">
        <v>2168</v>
      </c>
      <c r="L831" t="str">
        <f>PROPER(TRIM(CLEAN(Sales_Table[[#This Row],[Salesperson]])))</f>
        <v>Rahul</v>
      </c>
      <c r="M831" t="s">
        <v>31</v>
      </c>
      <c r="N831" t="str">
        <f t="shared" si="87"/>
        <v>Cash</v>
      </c>
      <c r="O831" t="s">
        <v>32</v>
      </c>
      <c r="P831">
        <f t="shared" si="88"/>
        <v>10</v>
      </c>
      <c r="Q831" t="s">
        <v>117</v>
      </c>
      <c r="R831">
        <f t="shared" si="89"/>
        <v>4416</v>
      </c>
      <c r="S831" t="s">
        <v>1882</v>
      </c>
      <c r="T831">
        <f t="shared" si="90"/>
        <v>44160</v>
      </c>
      <c r="U831">
        <f>YEAR(Sales_Table[[#This Row],[Date_clean]])</f>
        <v>2024</v>
      </c>
      <c r="V831" t="str">
        <f>TEXT(Sales_Table[[#This Row],[Date_clean]],"mmmm")</f>
        <v>February</v>
      </c>
      <c r="W831">
        <f>WEEKNUM(Sales_Table[[#This Row],[Date_clean]],2)</f>
        <v>5</v>
      </c>
      <c r="X831" t="str" cm="1">
        <f t="array" ref="X831">_xlfn.IFS(Sales_Table[[#This Row],[Revenue]]&gt;=50000,"High",Sales_Table[[#This Row],[Revenue]]&gt;=20000,"Medium",Sales_Table[[#This Row],[Revenue]]&lt;20000,"Low")</f>
        <v>Medium</v>
      </c>
      <c r="Y831" t="str">
        <f>IF(Sales_Table[[#This Row],[Payment Method_clean]]="cash","Offline","Online")</f>
        <v>Offline</v>
      </c>
      <c r="Z831">
        <f>IFERROR(Sales_Table[[#This Row],[Revenue]],0)</f>
        <v>44160</v>
      </c>
    </row>
    <row r="832" spans="1:26" x14ac:dyDescent="0.3">
      <c r="A832">
        <v>831</v>
      </c>
      <c r="B832" s="2">
        <f t="shared" si="84"/>
        <v>45326.583333333336</v>
      </c>
      <c r="C832" t="s">
        <v>2169</v>
      </c>
      <c r="D832" t="s">
        <v>45</v>
      </c>
      <c r="E832" t="str">
        <f>PROPER(TRIM(CLEAN(Sales_Table[[#This Row],[Region]])))</f>
        <v>North</v>
      </c>
      <c r="F832" t="s">
        <v>37</v>
      </c>
      <c r="G832" t="str">
        <f t="shared" si="85"/>
        <v>Home Appliances</v>
      </c>
      <c r="H832" t="str">
        <f>PROPER(TRIM(CLEAN(Sales_Table[[#This Row],[Product Name]])))</f>
        <v>Laptop</v>
      </c>
      <c r="I832" t="s">
        <v>52</v>
      </c>
      <c r="J832" t="str">
        <f t="shared" si="86"/>
        <v>CUST0675</v>
      </c>
      <c r="K832" t="s">
        <v>399</v>
      </c>
      <c r="L832" t="str">
        <f>PROPER(TRIM(CLEAN(Sales_Table[[#This Row],[Salesperson]])))</f>
        <v>Rahul</v>
      </c>
      <c r="M832" t="s">
        <v>31</v>
      </c>
      <c r="N832" t="str">
        <f t="shared" si="87"/>
        <v>Debit Card</v>
      </c>
      <c r="O832" t="s">
        <v>41</v>
      </c>
      <c r="P832">
        <f t="shared" si="88"/>
        <v>12</v>
      </c>
      <c r="Q832" t="s">
        <v>33</v>
      </c>
      <c r="R832">
        <f t="shared" si="89"/>
        <v>3524</v>
      </c>
      <c r="S832" t="s">
        <v>749</v>
      </c>
      <c r="T832">
        <f t="shared" si="90"/>
        <v>42288</v>
      </c>
      <c r="U832">
        <f>YEAR(Sales_Table[[#This Row],[Date_clean]])</f>
        <v>2024</v>
      </c>
      <c r="V832" t="str">
        <f>TEXT(Sales_Table[[#This Row],[Date_clean]],"mmmm")</f>
        <v>February</v>
      </c>
      <c r="W832">
        <f>WEEKNUM(Sales_Table[[#This Row],[Date_clean]],2)</f>
        <v>5</v>
      </c>
      <c r="X832" t="str" cm="1">
        <f t="array" ref="X832">_xlfn.IFS(Sales_Table[[#This Row],[Revenue]]&gt;=50000,"High",Sales_Table[[#This Row],[Revenue]]&gt;=20000,"Medium",Sales_Table[[#This Row],[Revenue]]&lt;20000,"Low")</f>
        <v>Medium</v>
      </c>
      <c r="Y832" t="str">
        <f>IF(Sales_Table[[#This Row],[Payment Method_clean]]="cash","Offline","Online")</f>
        <v>Online</v>
      </c>
      <c r="Z832">
        <f>IFERROR(Sales_Table[[#This Row],[Revenue]],0)</f>
        <v>42288</v>
      </c>
    </row>
    <row r="833" spans="1:26" x14ac:dyDescent="0.3">
      <c r="A833">
        <v>832</v>
      </c>
      <c r="B833" s="2">
        <f t="shared" si="84"/>
        <v>45326.625</v>
      </c>
      <c r="C833" t="s">
        <v>2170</v>
      </c>
      <c r="D833" t="s">
        <v>45</v>
      </c>
      <c r="E833" t="str">
        <f>PROPER(TRIM(CLEAN(Sales_Table[[#This Row],[Region]])))</f>
        <v>North</v>
      </c>
      <c r="F833" t="s">
        <v>46</v>
      </c>
      <c r="G833" t="str">
        <f t="shared" si="85"/>
        <v>Electronics</v>
      </c>
      <c r="H833" t="str">
        <f>PROPER(TRIM(CLEAN(Sales_Table[[#This Row],[Product Name]])))</f>
        <v>Mixer Grinder</v>
      </c>
      <c r="I833" t="s">
        <v>29</v>
      </c>
      <c r="J833" t="str">
        <f t="shared" si="86"/>
        <v>CUST0122</v>
      </c>
      <c r="K833" t="s">
        <v>2171</v>
      </c>
      <c r="L833" t="str">
        <f>PROPER(TRIM(CLEAN(Sales_Table[[#This Row],[Salesperson]])))</f>
        <v>Rahul</v>
      </c>
      <c r="M833" t="s">
        <v>31</v>
      </c>
      <c r="N833" t="str">
        <f t="shared" si="87"/>
        <v>Credit Card</v>
      </c>
      <c r="O833" t="s">
        <v>65</v>
      </c>
      <c r="P833">
        <f t="shared" si="88"/>
        <v>12</v>
      </c>
      <c r="Q833" t="s">
        <v>33</v>
      </c>
      <c r="R833">
        <f t="shared" si="89"/>
        <v>2223</v>
      </c>
      <c r="S833" t="s">
        <v>2172</v>
      </c>
      <c r="T833">
        <f t="shared" si="90"/>
        <v>26676</v>
      </c>
      <c r="U833">
        <f>YEAR(Sales_Table[[#This Row],[Date_clean]])</f>
        <v>2024</v>
      </c>
      <c r="V833" t="str">
        <f>TEXT(Sales_Table[[#This Row],[Date_clean]],"mmmm")</f>
        <v>February</v>
      </c>
      <c r="W833">
        <f>WEEKNUM(Sales_Table[[#This Row],[Date_clean]],2)</f>
        <v>5</v>
      </c>
      <c r="X833" t="str" cm="1">
        <f t="array" ref="X833">_xlfn.IFS(Sales_Table[[#This Row],[Revenue]]&gt;=50000,"High",Sales_Table[[#This Row],[Revenue]]&gt;=20000,"Medium",Sales_Table[[#This Row],[Revenue]]&lt;20000,"Low")</f>
        <v>Medium</v>
      </c>
      <c r="Y833" t="str">
        <f>IF(Sales_Table[[#This Row],[Payment Method_clean]]="cash","Offline","Online")</f>
        <v>Online</v>
      </c>
      <c r="Z833">
        <f>IFERROR(Sales_Table[[#This Row],[Revenue]],0)</f>
        <v>26676</v>
      </c>
    </row>
    <row r="834" spans="1:26" x14ac:dyDescent="0.3">
      <c r="A834">
        <v>833</v>
      </c>
      <c r="B834" s="2">
        <f t="shared" si="84"/>
        <v>45326.666666666664</v>
      </c>
      <c r="C834" t="s">
        <v>2173</v>
      </c>
      <c r="D834" t="s">
        <v>27</v>
      </c>
      <c r="E834" t="str">
        <f>PROPER(TRIM(CLEAN(Sales_Table[[#This Row],[Region]])))</f>
        <v>East</v>
      </c>
      <c r="F834" t="s">
        <v>78</v>
      </c>
      <c r="G834" t="str">
        <f t="shared" si="85"/>
        <v>Grocery</v>
      </c>
      <c r="H834" t="str">
        <f>PROPER(TRIM(CLEAN(Sales_Table[[#This Row],[Product Name]])))</f>
        <v>Laptop</v>
      </c>
      <c r="I834" t="s">
        <v>52</v>
      </c>
      <c r="J834" t="str">
        <f t="shared" si="86"/>
        <v>CUST0432</v>
      </c>
      <c r="K834" t="s">
        <v>2174</v>
      </c>
      <c r="L834" t="str">
        <f>PROPER(TRIM(CLEAN(Sales_Table[[#This Row],[Salesperson]])))</f>
        <v>Suresh</v>
      </c>
      <c r="M834" t="s">
        <v>54</v>
      </c>
      <c r="N834" t="str">
        <f t="shared" si="87"/>
        <v>Credit Card</v>
      </c>
      <c r="O834" t="s">
        <v>65</v>
      </c>
      <c r="P834">
        <f t="shared" si="88"/>
        <v>3</v>
      </c>
      <c r="Q834" t="s">
        <v>66</v>
      </c>
      <c r="R834">
        <f t="shared" si="89"/>
        <v>4689</v>
      </c>
      <c r="S834" t="s">
        <v>2175</v>
      </c>
      <c r="T834">
        <f t="shared" si="90"/>
        <v>14067</v>
      </c>
      <c r="U834">
        <f>YEAR(Sales_Table[[#This Row],[Date_clean]])</f>
        <v>2024</v>
      </c>
      <c r="V834" t="str">
        <f>TEXT(Sales_Table[[#This Row],[Date_clean]],"mmmm")</f>
        <v>February</v>
      </c>
      <c r="W834">
        <f>WEEKNUM(Sales_Table[[#This Row],[Date_clean]],2)</f>
        <v>5</v>
      </c>
      <c r="X834" t="str" cm="1">
        <f t="array" ref="X834">_xlfn.IFS(Sales_Table[[#This Row],[Revenue]]&gt;=50000,"High",Sales_Table[[#This Row],[Revenue]]&gt;=20000,"Medium",Sales_Table[[#This Row],[Revenue]]&lt;20000,"Low")</f>
        <v>Low</v>
      </c>
      <c r="Y834" t="str">
        <f>IF(Sales_Table[[#This Row],[Payment Method_clean]]="cash","Offline","Online")</f>
        <v>Online</v>
      </c>
      <c r="Z834">
        <f>IFERROR(Sales_Table[[#This Row],[Revenue]],0)</f>
        <v>14067</v>
      </c>
    </row>
    <row r="835" spans="1:26" x14ac:dyDescent="0.3">
      <c r="A835">
        <v>834</v>
      </c>
      <c r="B835" s="2">
        <f t="shared" ref="B835:B898" si="91">DATEVALUE(LEFT(C835,10))+TIMEVALUE(MID(C835,12,8))</f>
        <v>45326.708333333336</v>
      </c>
      <c r="C835" t="s">
        <v>2176</v>
      </c>
      <c r="D835" t="s">
        <v>36</v>
      </c>
      <c r="E835" t="str">
        <f>PROPER(TRIM(CLEAN(Sales_Table[[#This Row],[Region]])))</f>
        <v>West</v>
      </c>
      <c r="F835" t="s">
        <v>78</v>
      </c>
      <c r="G835" t="str">
        <f t="shared" ref="G835:G898" si="92">PROPER(TRIM(CLEAN(F835)))</f>
        <v>Grocery</v>
      </c>
      <c r="H835" t="str">
        <f>PROPER(TRIM(CLEAN(Sales_Table[[#This Row],[Product Name]])))</f>
        <v>Laptop</v>
      </c>
      <c r="I835" t="s">
        <v>52</v>
      </c>
      <c r="J835" t="str">
        <f t="shared" ref="J835:J898" si="93">TRIM(K835)</f>
        <v>CUST0044</v>
      </c>
      <c r="K835" t="s">
        <v>156</v>
      </c>
      <c r="L835" t="str">
        <f>PROPER(TRIM(CLEAN(Sales_Table[[#This Row],[Salesperson]])))</f>
        <v>Meena</v>
      </c>
      <c r="M835" t="s">
        <v>40</v>
      </c>
      <c r="N835" t="str">
        <f t="shared" ref="N835:N898" si="94">PROPER(TRIM(O835))</f>
        <v>Cash</v>
      </c>
      <c r="O835" t="s">
        <v>32</v>
      </c>
      <c r="P835">
        <f t="shared" ref="P835:P898" si="95">VALUE(Q835)</f>
        <v>10</v>
      </c>
      <c r="Q835" t="s">
        <v>117</v>
      </c>
      <c r="R835">
        <f t="shared" ref="R835:R898" si="96">VALUE(S835)</f>
        <v>3693</v>
      </c>
      <c r="S835" t="s">
        <v>2177</v>
      </c>
      <c r="T835">
        <f t="shared" ref="T835:T898" si="97">P835*R835</f>
        <v>36930</v>
      </c>
      <c r="U835">
        <f>YEAR(Sales_Table[[#This Row],[Date_clean]])</f>
        <v>2024</v>
      </c>
      <c r="V835" t="str">
        <f>TEXT(Sales_Table[[#This Row],[Date_clean]],"mmmm")</f>
        <v>February</v>
      </c>
      <c r="W835">
        <f>WEEKNUM(Sales_Table[[#This Row],[Date_clean]],2)</f>
        <v>5</v>
      </c>
      <c r="X835" t="str" cm="1">
        <f t="array" ref="X835">_xlfn.IFS(Sales_Table[[#This Row],[Revenue]]&gt;=50000,"High",Sales_Table[[#This Row],[Revenue]]&gt;=20000,"Medium",Sales_Table[[#This Row],[Revenue]]&lt;20000,"Low")</f>
        <v>Medium</v>
      </c>
      <c r="Y835" t="str">
        <f>IF(Sales_Table[[#This Row],[Payment Method_clean]]="cash","Offline","Online")</f>
        <v>Offline</v>
      </c>
      <c r="Z835">
        <f>IFERROR(Sales_Table[[#This Row],[Revenue]],0)</f>
        <v>36930</v>
      </c>
    </row>
    <row r="836" spans="1:26" x14ac:dyDescent="0.3">
      <c r="A836">
        <v>835</v>
      </c>
      <c r="B836" s="2">
        <f t="shared" si="91"/>
        <v>45326.75</v>
      </c>
      <c r="C836" t="s">
        <v>2178</v>
      </c>
      <c r="D836" t="s">
        <v>45</v>
      </c>
      <c r="E836" t="str">
        <f>PROPER(TRIM(CLEAN(Sales_Table[[#This Row],[Region]])))</f>
        <v>North</v>
      </c>
      <c r="F836" t="s">
        <v>28</v>
      </c>
      <c r="G836" t="str">
        <f t="shared" si="92"/>
        <v>Clothing</v>
      </c>
      <c r="H836" t="str">
        <f>PROPER(TRIM(CLEAN(Sales_Table[[#This Row],[Product Name]])))</f>
        <v>Men T-Shirt</v>
      </c>
      <c r="I836" t="s">
        <v>38</v>
      </c>
      <c r="J836" t="str">
        <f t="shared" si="93"/>
        <v>CUST0317</v>
      </c>
      <c r="K836" t="s">
        <v>96</v>
      </c>
      <c r="L836" t="str">
        <f>PROPER(TRIM(CLEAN(Sales_Table[[#This Row],[Salesperson]])))</f>
        <v>Suresh</v>
      </c>
      <c r="M836" t="s">
        <v>54</v>
      </c>
      <c r="N836" t="str">
        <f t="shared" si="94"/>
        <v>Upi</v>
      </c>
      <c r="O836" t="s">
        <v>48</v>
      </c>
      <c r="P836">
        <f t="shared" si="95"/>
        <v>7</v>
      </c>
      <c r="Q836" t="s">
        <v>49</v>
      </c>
      <c r="R836">
        <f t="shared" si="96"/>
        <v>379</v>
      </c>
      <c r="S836" t="s">
        <v>2143</v>
      </c>
      <c r="T836">
        <f t="shared" si="97"/>
        <v>2653</v>
      </c>
      <c r="U836">
        <f>YEAR(Sales_Table[[#This Row],[Date_clean]])</f>
        <v>2024</v>
      </c>
      <c r="V836" t="str">
        <f>TEXT(Sales_Table[[#This Row],[Date_clean]],"mmmm")</f>
        <v>February</v>
      </c>
      <c r="W836">
        <f>WEEKNUM(Sales_Table[[#This Row],[Date_clean]],2)</f>
        <v>5</v>
      </c>
      <c r="X836" t="str" cm="1">
        <f t="array" ref="X836">_xlfn.IFS(Sales_Table[[#This Row],[Revenue]]&gt;=50000,"High",Sales_Table[[#This Row],[Revenue]]&gt;=20000,"Medium",Sales_Table[[#This Row],[Revenue]]&lt;20000,"Low")</f>
        <v>Low</v>
      </c>
      <c r="Y836" t="str">
        <f>IF(Sales_Table[[#This Row],[Payment Method_clean]]="cash","Offline","Online")</f>
        <v>Online</v>
      </c>
      <c r="Z836">
        <f>IFERROR(Sales_Table[[#This Row],[Revenue]],0)</f>
        <v>2653</v>
      </c>
    </row>
    <row r="837" spans="1:26" x14ac:dyDescent="0.3">
      <c r="A837">
        <v>836</v>
      </c>
      <c r="B837" s="2">
        <f t="shared" si="91"/>
        <v>45326.791666666664</v>
      </c>
      <c r="C837" t="s">
        <v>2179</v>
      </c>
      <c r="D837" t="s">
        <v>36</v>
      </c>
      <c r="E837" t="str">
        <f>PROPER(TRIM(CLEAN(Sales_Table[[#This Row],[Region]])))</f>
        <v>West</v>
      </c>
      <c r="F837" t="s">
        <v>28</v>
      </c>
      <c r="G837" t="str">
        <f t="shared" si="92"/>
        <v>Clothing</v>
      </c>
      <c r="H837" t="str">
        <f>PROPER(TRIM(CLEAN(Sales_Table[[#This Row],[Product Name]])))</f>
        <v>Men T-Shirt</v>
      </c>
      <c r="I837" t="s">
        <v>38</v>
      </c>
      <c r="J837" t="str">
        <f t="shared" si="93"/>
        <v>CUST0381</v>
      </c>
      <c r="K837" t="s">
        <v>2180</v>
      </c>
      <c r="L837" t="str">
        <f>PROPER(TRIM(CLEAN(Sales_Table[[#This Row],[Salesperson]])))</f>
        <v>Karthik</v>
      </c>
      <c r="M837" t="s">
        <v>70</v>
      </c>
      <c r="N837" t="str">
        <f t="shared" si="94"/>
        <v>Net Banking</v>
      </c>
      <c r="O837" t="s">
        <v>60</v>
      </c>
      <c r="P837">
        <f t="shared" si="95"/>
        <v>12</v>
      </c>
      <c r="Q837" t="s">
        <v>33</v>
      </c>
      <c r="R837">
        <f t="shared" si="96"/>
        <v>4941</v>
      </c>
      <c r="S837" t="s">
        <v>2181</v>
      </c>
      <c r="T837">
        <f t="shared" si="97"/>
        <v>59292</v>
      </c>
      <c r="U837">
        <f>YEAR(Sales_Table[[#This Row],[Date_clean]])</f>
        <v>2024</v>
      </c>
      <c r="V837" t="str">
        <f>TEXT(Sales_Table[[#This Row],[Date_clean]],"mmmm")</f>
        <v>February</v>
      </c>
      <c r="W837">
        <f>WEEKNUM(Sales_Table[[#This Row],[Date_clean]],2)</f>
        <v>5</v>
      </c>
      <c r="X837" t="str" cm="1">
        <f t="array" ref="X837">_xlfn.IFS(Sales_Table[[#This Row],[Revenue]]&gt;=50000,"High",Sales_Table[[#This Row],[Revenue]]&gt;=20000,"Medium",Sales_Table[[#This Row],[Revenue]]&lt;20000,"Low")</f>
        <v>High</v>
      </c>
      <c r="Y837" t="str">
        <f>IF(Sales_Table[[#This Row],[Payment Method_clean]]="cash","Offline","Online")</f>
        <v>Online</v>
      </c>
      <c r="Z837">
        <f>IFERROR(Sales_Table[[#This Row],[Revenue]],0)</f>
        <v>59292</v>
      </c>
    </row>
    <row r="838" spans="1:26" x14ac:dyDescent="0.3">
      <c r="A838">
        <v>837</v>
      </c>
      <c r="B838" s="2">
        <f t="shared" si="91"/>
        <v>45326.833333333336</v>
      </c>
      <c r="C838" t="s">
        <v>2182</v>
      </c>
      <c r="D838" t="s">
        <v>27</v>
      </c>
      <c r="E838" t="str">
        <f>PROPER(TRIM(CLEAN(Sales_Table[[#This Row],[Region]])))</f>
        <v>East</v>
      </c>
      <c r="F838" t="s">
        <v>46</v>
      </c>
      <c r="G838" t="str">
        <f t="shared" si="92"/>
        <v>Electronics</v>
      </c>
      <c r="H838" t="str">
        <f>PROPER(TRIM(CLEAN(Sales_Table[[#This Row],[Product Name]])))</f>
        <v>Men T-Shirt</v>
      </c>
      <c r="I838" t="s">
        <v>38</v>
      </c>
      <c r="J838" t="str">
        <f t="shared" si="93"/>
        <v>CUST0145</v>
      </c>
      <c r="K838" t="s">
        <v>1083</v>
      </c>
      <c r="L838" t="str">
        <f>PROPER(TRIM(CLEAN(Sales_Table[[#This Row],[Salesperson]])))</f>
        <v>Anita</v>
      </c>
      <c r="M838" t="s">
        <v>64</v>
      </c>
      <c r="N838" t="str">
        <f t="shared" si="94"/>
        <v>Cash</v>
      </c>
      <c r="O838" t="s">
        <v>32</v>
      </c>
      <c r="P838">
        <f t="shared" si="95"/>
        <v>4</v>
      </c>
      <c r="Q838" t="s">
        <v>113</v>
      </c>
      <c r="R838">
        <f t="shared" si="96"/>
        <v>2911</v>
      </c>
      <c r="S838" t="s">
        <v>2183</v>
      </c>
      <c r="T838">
        <f t="shared" si="97"/>
        <v>11644</v>
      </c>
      <c r="U838">
        <f>YEAR(Sales_Table[[#This Row],[Date_clean]])</f>
        <v>2024</v>
      </c>
      <c r="V838" t="str">
        <f>TEXT(Sales_Table[[#This Row],[Date_clean]],"mmmm")</f>
        <v>February</v>
      </c>
      <c r="W838">
        <f>WEEKNUM(Sales_Table[[#This Row],[Date_clean]],2)</f>
        <v>5</v>
      </c>
      <c r="X838" t="str" cm="1">
        <f t="array" ref="X838">_xlfn.IFS(Sales_Table[[#This Row],[Revenue]]&gt;=50000,"High",Sales_Table[[#This Row],[Revenue]]&gt;=20000,"Medium",Sales_Table[[#This Row],[Revenue]]&lt;20000,"Low")</f>
        <v>Low</v>
      </c>
      <c r="Y838" t="str">
        <f>IF(Sales_Table[[#This Row],[Payment Method_clean]]="cash","Offline","Online")</f>
        <v>Offline</v>
      </c>
      <c r="Z838">
        <f>IFERROR(Sales_Table[[#This Row],[Revenue]],0)</f>
        <v>11644</v>
      </c>
    </row>
    <row r="839" spans="1:26" x14ac:dyDescent="0.3">
      <c r="A839">
        <v>838</v>
      </c>
      <c r="B839" s="2">
        <f t="shared" si="91"/>
        <v>45326.875</v>
      </c>
      <c r="C839" t="s">
        <v>2184</v>
      </c>
      <c r="D839" t="s">
        <v>45</v>
      </c>
      <c r="E839" t="str">
        <f>PROPER(TRIM(CLEAN(Sales_Table[[#This Row],[Region]])))</f>
        <v>North</v>
      </c>
      <c r="F839" t="s">
        <v>78</v>
      </c>
      <c r="G839" t="str">
        <f t="shared" si="92"/>
        <v>Grocery</v>
      </c>
      <c r="H839" t="str">
        <f>PROPER(TRIM(CLEAN(Sales_Table[[#This Row],[Product Name]])))</f>
        <v>Laptop</v>
      </c>
      <c r="I839" t="s">
        <v>52</v>
      </c>
      <c r="J839" t="str">
        <f t="shared" si="93"/>
        <v>CUST0327</v>
      </c>
      <c r="K839" t="s">
        <v>1177</v>
      </c>
      <c r="L839" t="str">
        <f>PROPER(TRIM(CLEAN(Sales_Table[[#This Row],[Salesperson]])))</f>
        <v>Meena</v>
      </c>
      <c r="M839" t="s">
        <v>40</v>
      </c>
      <c r="N839" t="str">
        <f t="shared" si="94"/>
        <v>Credit Card</v>
      </c>
      <c r="O839" t="s">
        <v>65</v>
      </c>
      <c r="P839">
        <f t="shared" si="95"/>
        <v>5</v>
      </c>
      <c r="Q839" t="s">
        <v>89</v>
      </c>
      <c r="R839">
        <f t="shared" si="96"/>
        <v>2442</v>
      </c>
      <c r="S839" t="s">
        <v>2185</v>
      </c>
      <c r="T839">
        <f t="shared" si="97"/>
        <v>12210</v>
      </c>
      <c r="U839">
        <f>YEAR(Sales_Table[[#This Row],[Date_clean]])</f>
        <v>2024</v>
      </c>
      <c r="V839" t="str">
        <f>TEXT(Sales_Table[[#This Row],[Date_clean]],"mmmm")</f>
        <v>February</v>
      </c>
      <c r="W839">
        <f>WEEKNUM(Sales_Table[[#This Row],[Date_clean]],2)</f>
        <v>5</v>
      </c>
      <c r="X839" t="str" cm="1">
        <f t="array" ref="X839">_xlfn.IFS(Sales_Table[[#This Row],[Revenue]]&gt;=50000,"High",Sales_Table[[#This Row],[Revenue]]&gt;=20000,"Medium",Sales_Table[[#This Row],[Revenue]]&lt;20000,"Low")</f>
        <v>Low</v>
      </c>
      <c r="Y839" t="str">
        <f>IF(Sales_Table[[#This Row],[Payment Method_clean]]="cash","Offline","Online")</f>
        <v>Online</v>
      </c>
      <c r="Z839">
        <f>IFERROR(Sales_Table[[#This Row],[Revenue]],0)</f>
        <v>12210</v>
      </c>
    </row>
    <row r="840" spans="1:26" x14ac:dyDescent="0.3">
      <c r="A840">
        <v>839</v>
      </c>
      <c r="B840" s="2">
        <f t="shared" si="91"/>
        <v>45326.916666666664</v>
      </c>
      <c r="C840" t="s">
        <v>2186</v>
      </c>
      <c r="D840" t="s">
        <v>36</v>
      </c>
      <c r="E840" t="str">
        <f>PROPER(TRIM(CLEAN(Sales_Table[[#This Row],[Region]])))</f>
        <v>West</v>
      </c>
      <c r="F840" t="s">
        <v>78</v>
      </c>
      <c r="G840" t="str">
        <f t="shared" si="92"/>
        <v>Grocery</v>
      </c>
      <c r="H840" t="str">
        <f>PROPER(TRIM(CLEAN(Sales_Table[[#This Row],[Product Name]])))</f>
        <v>Mixer Grinder</v>
      </c>
      <c r="I840" t="s">
        <v>29</v>
      </c>
      <c r="J840" t="str">
        <f t="shared" si="93"/>
        <v>CUST0363</v>
      </c>
      <c r="K840" t="s">
        <v>2187</v>
      </c>
      <c r="L840" t="str">
        <f>PROPER(TRIM(CLEAN(Sales_Table[[#This Row],[Salesperson]])))</f>
        <v>Anita</v>
      </c>
      <c r="M840" t="s">
        <v>64</v>
      </c>
      <c r="N840" t="str">
        <f t="shared" si="94"/>
        <v>Credit Card</v>
      </c>
      <c r="O840" t="s">
        <v>65</v>
      </c>
      <c r="P840">
        <f t="shared" si="95"/>
        <v>9</v>
      </c>
      <c r="Q840" t="s">
        <v>130</v>
      </c>
      <c r="R840">
        <f t="shared" si="96"/>
        <v>1574</v>
      </c>
      <c r="S840" t="s">
        <v>2188</v>
      </c>
      <c r="T840">
        <f t="shared" si="97"/>
        <v>14166</v>
      </c>
      <c r="U840">
        <f>YEAR(Sales_Table[[#This Row],[Date_clean]])</f>
        <v>2024</v>
      </c>
      <c r="V840" t="str">
        <f>TEXT(Sales_Table[[#This Row],[Date_clean]],"mmmm")</f>
        <v>February</v>
      </c>
      <c r="W840">
        <f>WEEKNUM(Sales_Table[[#This Row],[Date_clean]],2)</f>
        <v>5</v>
      </c>
      <c r="X840" t="str" cm="1">
        <f t="array" ref="X840">_xlfn.IFS(Sales_Table[[#This Row],[Revenue]]&gt;=50000,"High",Sales_Table[[#This Row],[Revenue]]&gt;=20000,"Medium",Sales_Table[[#This Row],[Revenue]]&lt;20000,"Low")</f>
        <v>Low</v>
      </c>
      <c r="Y840" t="str">
        <f>IF(Sales_Table[[#This Row],[Payment Method_clean]]="cash","Offline","Online")</f>
        <v>Online</v>
      </c>
      <c r="Z840">
        <f>IFERROR(Sales_Table[[#This Row],[Revenue]],0)</f>
        <v>14166</v>
      </c>
    </row>
    <row r="841" spans="1:26" x14ac:dyDescent="0.3">
      <c r="A841">
        <v>840</v>
      </c>
      <c r="B841" s="2">
        <f t="shared" si="91"/>
        <v>45326.958333333336</v>
      </c>
      <c r="C841" t="s">
        <v>2189</v>
      </c>
      <c r="D841" t="s">
        <v>45</v>
      </c>
      <c r="E841" t="str">
        <f>PROPER(TRIM(CLEAN(Sales_Table[[#This Row],[Region]])))</f>
        <v>North</v>
      </c>
      <c r="F841" t="s">
        <v>28</v>
      </c>
      <c r="G841" t="str">
        <f t="shared" si="92"/>
        <v>Clothing</v>
      </c>
      <c r="H841" t="str">
        <f>PROPER(TRIM(CLEAN(Sales_Table[[#This Row],[Product Name]])))</f>
        <v>Washing Machine</v>
      </c>
      <c r="I841" t="s">
        <v>79</v>
      </c>
      <c r="J841" t="str">
        <f t="shared" si="93"/>
        <v>CUST0050</v>
      </c>
      <c r="K841" t="s">
        <v>939</v>
      </c>
      <c r="L841" t="str">
        <f>PROPER(TRIM(CLEAN(Sales_Table[[#This Row],[Salesperson]])))</f>
        <v>Karthik</v>
      </c>
      <c r="M841" t="s">
        <v>70</v>
      </c>
      <c r="N841" t="str">
        <f t="shared" si="94"/>
        <v>Cash</v>
      </c>
      <c r="O841" t="s">
        <v>32</v>
      </c>
      <c r="P841">
        <f t="shared" si="95"/>
        <v>7</v>
      </c>
      <c r="Q841" t="s">
        <v>49</v>
      </c>
      <c r="R841">
        <f t="shared" si="96"/>
        <v>1957</v>
      </c>
      <c r="S841" t="s">
        <v>2190</v>
      </c>
      <c r="T841">
        <f t="shared" si="97"/>
        <v>13699</v>
      </c>
      <c r="U841">
        <f>YEAR(Sales_Table[[#This Row],[Date_clean]])</f>
        <v>2024</v>
      </c>
      <c r="V841" t="str">
        <f>TEXT(Sales_Table[[#This Row],[Date_clean]],"mmmm")</f>
        <v>February</v>
      </c>
      <c r="W841">
        <f>WEEKNUM(Sales_Table[[#This Row],[Date_clean]],2)</f>
        <v>5</v>
      </c>
      <c r="X841" t="str" cm="1">
        <f t="array" ref="X841">_xlfn.IFS(Sales_Table[[#This Row],[Revenue]]&gt;=50000,"High",Sales_Table[[#This Row],[Revenue]]&gt;=20000,"Medium",Sales_Table[[#This Row],[Revenue]]&lt;20000,"Low")</f>
        <v>Low</v>
      </c>
      <c r="Y841" t="str">
        <f>IF(Sales_Table[[#This Row],[Payment Method_clean]]="cash","Offline","Online")</f>
        <v>Offline</v>
      </c>
      <c r="Z841">
        <f>IFERROR(Sales_Table[[#This Row],[Revenue]],0)</f>
        <v>13699</v>
      </c>
    </row>
    <row r="842" spans="1:26" x14ac:dyDescent="0.3">
      <c r="A842">
        <v>841</v>
      </c>
      <c r="B842" s="2">
        <f t="shared" si="91"/>
        <v>45327</v>
      </c>
      <c r="C842" t="s">
        <v>2191</v>
      </c>
      <c r="D842" t="s">
        <v>27</v>
      </c>
      <c r="E842" t="str">
        <f>PROPER(TRIM(CLEAN(Sales_Table[[#This Row],[Region]])))</f>
        <v>East</v>
      </c>
      <c r="F842" t="s">
        <v>78</v>
      </c>
      <c r="G842" t="str">
        <f t="shared" si="92"/>
        <v>Grocery</v>
      </c>
      <c r="H842" t="str">
        <f>PROPER(TRIM(CLEAN(Sales_Table[[#This Row],[Product Name]])))</f>
        <v>Washing Machine</v>
      </c>
      <c r="I842" t="s">
        <v>79</v>
      </c>
      <c r="J842" t="str">
        <f t="shared" si="93"/>
        <v>CUST0065</v>
      </c>
      <c r="K842" t="s">
        <v>1086</v>
      </c>
      <c r="L842" t="str">
        <f>PROPER(TRIM(CLEAN(Sales_Table[[#This Row],[Salesperson]])))</f>
        <v>Karthik</v>
      </c>
      <c r="M842" t="s">
        <v>70</v>
      </c>
      <c r="N842" t="str">
        <f t="shared" si="94"/>
        <v>Upi</v>
      </c>
      <c r="O842" t="s">
        <v>48</v>
      </c>
      <c r="P842">
        <f t="shared" si="95"/>
        <v>4</v>
      </c>
      <c r="Q842" t="s">
        <v>113</v>
      </c>
      <c r="R842">
        <f t="shared" si="96"/>
        <v>2989</v>
      </c>
      <c r="S842" t="s">
        <v>2192</v>
      </c>
      <c r="T842">
        <f t="shared" si="97"/>
        <v>11956</v>
      </c>
      <c r="U842">
        <f>YEAR(Sales_Table[[#This Row],[Date_clean]])</f>
        <v>2024</v>
      </c>
      <c r="V842" t="str">
        <f>TEXT(Sales_Table[[#This Row],[Date_clean]],"mmmm")</f>
        <v>February</v>
      </c>
      <c r="W842">
        <f>WEEKNUM(Sales_Table[[#This Row],[Date_clean]],2)</f>
        <v>6</v>
      </c>
      <c r="X842" t="str" cm="1">
        <f t="array" ref="X842">_xlfn.IFS(Sales_Table[[#This Row],[Revenue]]&gt;=50000,"High",Sales_Table[[#This Row],[Revenue]]&gt;=20000,"Medium",Sales_Table[[#This Row],[Revenue]]&lt;20000,"Low")</f>
        <v>Low</v>
      </c>
      <c r="Y842" t="str">
        <f>IF(Sales_Table[[#This Row],[Payment Method_clean]]="cash","Offline","Online")</f>
        <v>Online</v>
      </c>
      <c r="Z842">
        <f>IFERROR(Sales_Table[[#This Row],[Revenue]],0)</f>
        <v>11956</v>
      </c>
    </row>
    <row r="843" spans="1:26" x14ac:dyDescent="0.3">
      <c r="A843">
        <v>842</v>
      </c>
      <c r="B843" s="2">
        <f t="shared" si="91"/>
        <v>45327.041666666664</v>
      </c>
      <c r="C843" t="s">
        <v>2193</v>
      </c>
      <c r="D843" t="s">
        <v>36</v>
      </c>
      <c r="E843" t="str">
        <f>PROPER(TRIM(CLEAN(Sales_Table[[#This Row],[Region]])))</f>
        <v>West</v>
      </c>
      <c r="F843" t="s">
        <v>78</v>
      </c>
      <c r="G843" t="str">
        <f t="shared" si="92"/>
        <v>Grocery</v>
      </c>
      <c r="H843" t="str">
        <f>PROPER(TRIM(CLEAN(Sales_Table[[#This Row],[Product Name]])))</f>
        <v>Led Tv 42Inch</v>
      </c>
      <c r="I843" t="s">
        <v>58</v>
      </c>
      <c r="J843" t="str">
        <f t="shared" si="93"/>
        <v>CUST0355</v>
      </c>
      <c r="K843" t="s">
        <v>144</v>
      </c>
      <c r="L843" t="str">
        <f>PROPER(TRIM(CLEAN(Sales_Table[[#This Row],[Salesperson]])))</f>
        <v>Anita</v>
      </c>
      <c r="M843" t="s">
        <v>64</v>
      </c>
      <c r="N843" t="str">
        <f t="shared" si="94"/>
        <v>Net Banking</v>
      </c>
      <c r="O843" t="s">
        <v>60</v>
      </c>
      <c r="P843">
        <f t="shared" si="95"/>
        <v>6</v>
      </c>
      <c r="Q843" t="s">
        <v>75</v>
      </c>
      <c r="R843">
        <f t="shared" si="96"/>
        <v>1159</v>
      </c>
      <c r="S843" t="s">
        <v>2194</v>
      </c>
      <c r="T843">
        <f t="shared" si="97"/>
        <v>6954</v>
      </c>
      <c r="U843">
        <f>YEAR(Sales_Table[[#This Row],[Date_clean]])</f>
        <v>2024</v>
      </c>
      <c r="V843" t="str">
        <f>TEXT(Sales_Table[[#This Row],[Date_clean]],"mmmm")</f>
        <v>February</v>
      </c>
      <c r="W843">
        <f>WEEKNUM(Sales_Table[[#This Row],[Date_clean]],2)</f>
        <v>6</v>
      </c>
      <c r="X843" t="str" cm="1">
        <f t="array" ref="X843">_xlfn.IFS(Sales_Table[[#This Row],[Revenue]]&gt;=50000,"High",Sales_Table[[#This Row],[Revenue]]&gt;=20000,"Medium",Sales_Table[[#This Row],[Revenue]]&lt;20000,"Low")</f>
        <v>Low</v>
      </c>
      <c r="Y843" t="str">
        <f>IF(Sales_Table[[#This Row],[Payment Method_clean]]="cash","Offline","Online")</f>
        <v>Online</v>
      </c>
      <c r="Z843">
        <f>IFERROR(Sales_Table[[#This Row],[Revenue]],0)</f>
        <v>6954</v>
      </c>
    </row>
    <row r="844" spans="1:26" x14ac:dyDescent="0.3">
      <c r="A844">
        <v>843</v>
      </c>
      <c r="B844" s="2">
        <f t="shared" si="91"/>
        <v>45327.083333333336</v>
      </c>
      <c r="C844" t="s">
        <v>2195</v>
      </c>
      <c r="D844" t="s">
        <v>45</v>
      </c>
      <c r="E844" t="str">
        <f>PROPER(TRIM(CLEAN(Sales_Table[[#This Row],[Region]])))</f>
        <v>North</v>
      </c>
      <c r="F844" t="s">
        <v>78</v>
      </c>
      <c r="G844" t="str">
        <f t="shared" si="92"/>
        <v>Grocery</v>
      </c>
      <c r="H844" t="str">
        <f>PROPER(TRIM(CLEAN(Sales_Table[[#This Row],[Product Name]])))</f>
        <v>Washing Machine</v>
      </c>
      <c r="I844" t="s">
        <v>79</v>
      </c>
      <c r="J844" t="str">
        <f t="shared" si="93"/>
        <v>CUST0800</v>
      </c>
      <c r="K844" t="s">
        <v>1525</v>
      </c>
      <c r="L844" t="str">
        <f>PROPER(TRIM(CLEAN(Sales_Table[[#This Row],[Salesperson]])))</f>
        <v>Anita</v>
      </c>
      <c r="M844" t="s">
        <v>64</v>
      </c>
      <c r="N844" t="str">
        <f t="shared" si="94"/>
        <v>Debit Card</v>
      </c>
      <c r="O844" t="s">
        <v>41</v>
      </c>
      <c r="P844">
        <f t="shared" si="95"/>
        <v>10</v>
      </c>
      <c r="Q844" t="s">
        <v>117</v>
      </c>
      <c r="R844">
        <f t="shared" si="96"/>
        <v>2022</v>
      </c>
      <c r="S844" t="s">
        <v>2196</v>
      </c>
      <c r="T844">
        <f t="shared" si="97"/>
        <v>20220</v>
      </c>
      <c r="U844">
        <f>YEAR(Sales_Table[[#This Row],[Date_clean]])</f>
        <v>2024</v>
      </c>
      <c r="V844" t="str">
        <f>TEXT(Sales_Table[[#This Row],[Date_clean]],"mmmm")</f>
        <v>February</v>
      </c>
      <c r="W844">
        <f>WEEKNUM(Sales_Table[[#This Row],[Date_clean]],2)</f>
        <v>6</v>
      </c>
      <c r="X844" t="str" cm="1">
        <f t="array" ref="X844">_xlfn.IFS(Sales_Table[[#This Row],[Revenue]]&gt;=50000,"High",Sales_Table[[#This Row],[Revenue]]&gt;=20000,"Medium",Sales_Table[[#This Row],[Revenue]]&lt;20000,"Low")</f>
        <v>Medium</v>
      </c>
      <c r="Y844" t="str">
        <f>IF(Sales_Table[[#This Row],[Payment Method_clean]]="cash","Offline","Online")</f>
        <v>Online</v>
      </c>
      <c r="Z844">
        <f>IFERROR(Sales_Table[[#This Row],[Revenue]],0)</f>
        <v>20220</v>
      </c>
    </row>
    <row r="845" spans="1:26" x14ac:dyDescent="0.3">
      <c r="A845">
        <v>844</v>
      </c>
      <c r="B845" s="2">
        <f t="shared" si="91"/>
        <v>45327.125</v>
      </c>
      <c r="C845" t="s">
        <v>2197</v>
      </c>
      <c r="D845" t="s">
        <v>27</v>
      </c>
      <c r="E845" t="str">
        <f>PROPER(TRIM(CLEAN(Sales_Table[[#This Row],[Region]])))</f>
        <v>East</v>
      </c>
      <c r="F845" t="s">
        <v>28</v>
      </c>
      <c r="G845" t="str">
        <f t="shared" si="92"/>
        <v>Clothing</v>
      </c>
      <c r="H845" t="str">
        <f>PROPER(TRIM(CLEAN(Sales_Table[[#This Row],[Product Name]])))</f>
        <v>Washing Machine</v>
      </c>
      <c r="I845" t="s">
        <v>79</v>
      </c>
      <c r="J845" t="str">
        <f t="shared" si="93"/>
        <v>CUST0164</v>
      </c>
      <c r="K845" t="s">
        <v>2198</v>
      </c>
      <c r="L845" t="str">
        <f>PROPER(TRIM(CLEAN(Sales_Table[[#This Row],[Salesperson]])))</f>
        <v>Anita</v>
      </c>
      <c r="M845" t="s">
        <v>64</v>
      </c>
      <c r="N845" t="str">
        <f t="shared" si="94"/>
        <v>Cash</v>
      </c>
      <c r="O845" t="s">
        <v>32</v>
      </c>
      <c r="P845">
        <f t="shared" si="95"/>
        <v>14</v>
      </c>
      <c r="Q845" t="s">
        <v>55</v>
      </c>
      <c r="R845">
        <f t="shared" si="96"/>
        <v>3899</v>
      </c>
      <c r="S845" t="s">
        <v>2199</v>
      </c>
      <c r="T845">
        <f t="shared" si="97"/>
        <v>54586</v>
      </c>
      <c r="U845">
        <f>YEAR(Sales_Table[[#This Row],[Date_clean]])</f>
        <v>2024</v>
      </c>
      <c r="V845" t="str">
        <f>TEXT(Sales_Table[[#This Row],[Date_clean]],"mmmm")</f>
        <v>February</v>
      </c>
      <c r="W845">
        <f>WEEKNUM(Sales_Table[[#This Row],[Date_clean]],2)</f>
        <v>6</v>
      </c>
      <c r="X845" t="str" cm="1">
        <f t="array" ref="X845">_xlfn.IFS(Sales_Table[[#This Row],[Revenue]]&gt;=50000,"High",Sales_Table[[#This Row],[Revenue]]&gt;=20000,"Medium",Sales_Table[[#This Row],[Revenue]]&lt;20000,"Low")</f>
        <v>High</v>
      </c>
      <c r="Y845" t="str">
        <f>IF(Sales_Table[[#This Row],[Payment Method_clean]]="cash","Offline","Online")</f>
        <v>Offline</v>
      </c>
      <c r="Z845">
        <f>IFERROR(Sales_Table[[#This Row],[Revenue]],0)</f>
        <v>54586</v>
      </c>
    </row>
    <row r="846" spans="1:26" x14ac:dyDescent="0.3">
      <c r="A846">
        <v>845</v>
      </c>
      <c r="B846" s="2">
        <f t="shared" si="91"/>
        <v>45327.166666666664</v>
      </c>
      <c r="C846" t="s">
        <v>2200</v>
      </c>
      <c r="D846" t="s">
        <v>45</v>
      </c>
      <c r="E846" t="str">
        <f>PROPER(TRIM(CLEAN(Sales_Table[[#This Row],[Region]])))</f>
        <v>North</v>
      </c>
      <c r="F846" t="s">
        <v>46</v>
      </c>
      <c r="G846" t="str">
        <f t="shared" si="92"/>
        <v>Electronics</v>
      </c>
      <c r="H846" t="str">
        <f>PROPER(TRIM(CLEAN(Sales_Table[[#This Row],[Product Name]])))</f>
        <v>Men T-Shirt</v>
      </c>
      <c r="I846" t="s">
        <v>38</v>
      </c>
      <c r="J846" t="str">
        <f t="shared" si="93"/>
        <v>CUST0141</v>
      </c>
      <c r="K846" t="s">
        <v>2201</v>
      </c>
      <c r="L846" t="str">
        <f>PROPER(TRIM(CLEAN(Sales_Table[[#This Row],[Salesperson]])))</f>
        <v>Karthik</v>
      </c>
      <c r="M846" t="s">
        <v>70</v>
      </c>
      <c r="N846" t="str">
        <f t="shared" si="94"/>
        <v>Net Banking</v>
      </c>
      <c r="O846" t="s">
        <v>60</v>
      </c>
      <c r="P846">
        <f t="shared" si="95"/>
        <v>11</v>
      </c>
      <c r="Q846" t="s">
        <v>97</v>
      </c>
      <c r="R846">
        <f t="shared" si="96"/>
        <v>4692</v>
      </c>
      <c r="S846" t="s">
        <v>2202</v>
      </c>
      <c r="T846">
        <f t="shared" si="97"/>
        <v>51612</v>
      </c>
      <c r="U846">
        <f>YEAR(Sales_Table[[#This Row],[Date_clean]])</f>
        <v>2024</v>
      </c>
      <c r="V846" t="str">
        <f>TEXT(Sales_Table[[#This Row],[Date_clean]],"mmmm")</f>
        <v>February</v>
      </c>
      <c r="W846">
        <f>WEEKNUM(Sales_Table[[#This Row],[Date_clean]],2)</f>
        <v>6</v>
      </c>
      <c r="X846" t="str" cm="1">
        <f t="array" ref="X846">_xlfn.IFS(Sales_Table[[#This Row],[Revenue]]&gt;=50000,"High",Sales_Table[[#This Row],[Revenue]]&gt;=20000,"Medium",Sales_Table[[#This Row],[Revenue]]&lt;20000,"Low")</f>
        <v>High</v>
      </c>
      <c r="Y846" t="str">
        <f>IF(Sales_Table[[#This Row],[Payment Method_clean]]="cash","Offline","Online")</f>
        <v>Online</v>
      </c>
      <c r="Z846">
        <f>IFERROR(Sales_Table[[#This Row],[Revenue]],0)</f>
        <v>51612</v>
      </c>
    </row>
    <row r="847" spans="1:26" x14ac:dyDescent="0.3">
      <c r="A847">
        <v>846</v>
      </c>
      <c r="B847" s="2">
        <f t="shared" si="91"/>
        <v>45327.208333333336</v>
      </c>
      <c r="C847" t="s">
        <v>2203</v>
      </c>
      <c r="D847" t="s">
        <v>45</v>
      </c>
      <c r="E847" t="str">
        <f>PROPER(TRIM(CLEAN(Sales_Table[[#This Row],[Region]])))</f>
        <v>North</v>
      </c>
      <c r="F847" t="s">
        <v>37</v>
      </c>
      <c r="G847" t="str">
        <f t="shared" si="92"/>
        <v>Home Appliances</v>
      </c>
      <c r="H847" t="str">
        <f>PROPER(TRIM(CLEAN(Sales_Table[[#This Row],[Product Name]])))</f>
        <v>Men T-Shirt</v>
      </c>
      <c r="I847" t="s">
        <v>38</v>
      </c>
      <c r="J847" t="str">
        <f t="shared" si="93"/>
        <v>CUST0128</v>
      </c>
      <c r="K847" t="s">
        <v>1068</v>
      </c>
      <c r="L847" t="str">
        <f>PROPER(TRIM(CLEAN(Sales_Table[[#This Row],[Salesperson]])))</f>
        <v>Rahul</v>
      </c>
      <c r="M847" t="s">
        <v>31</v>
      </c>
      <c r="N847" t="str">
        <f t="shared" si="94"/>
        <v>Net Banking</v>
      </c>
      <c r="O847" t="s">
        <v>60</v>
      </c>
      <c r="P847">
        <f t="shared" si="95"/>
        <v>7</v>
      </c>
      <c r="Q847" t="s">
        <v>49</v>
      </c>
      <c r="R847">
        <f t="shared" si="96"/>
        <v>2573</v>
      </c>
      <c r="S847" t="s">
        <v>2204</v>
      </c>
      <c r="T847">
        <f t="shared" si="97"/>
        <v>18011</v>
      </c>
      <c r="U847">
        <f>YEAR(Sales_Table[[#This Row],[Date_clean]])</f>
        <v>2024</v>
      </c>
      <c r="V847" t="str">
        <f>TEXT(Sales_Table[[#This Row],[Date_clean]],"mmmm")</f>
        <v>February</v>
      </c>
      <c r="W847">
        <f>WEEKNUM(Sales_Table[[#This Row],[Date_clean]],2)</f>
        <v>6</v>
      </c>
      <c r="X847" t="str" cm="1">
        <f t="array" ref="X847">_xlfn.IFS(Sales_Table[[#This Row],[Revenue]]&gt;=50000,"High",Sales_Table[[#This Row],[Revenue]]&gt;=20000,"Medium",Sales_Table[[#This Row],[Revenue]]&lt;20000,"Low")</f>
        <v>Low</v>
      </c>
      <c r="Y847" t="str">
        <f>IF(Sales_Table[[#This Row],[Payment Method_clean]]="cash","Offline","Online")</f>
        <v>Online</v>
      </c>
      <c r="Z847">
        <f>IFERROR(Sales_Table[[#This Row],[Revenue]],0)</f>
        <v>18011</v>
      </c>
    </row>
    <row r="848" spans="1:26" x14ac:dyDescent="0.3">
      <c r="A848">
        <v>847</v>
      </c>
      <c r="B848" s="2">
        <f t="shared" si="91"/>
        <v>45327.25</v>
      </c>
      <c r="C848" t="s">
        <v>2205</v>
      </c>
      <c r="D848" t="s">
        <v>84</v>
      </c>
      <c r="E848" t="str">
        <f>PROPER(TRIM(CLEAN(Sales_Table[[#This Row],[Region]])))</f>
        <v>South</v>
      </c>
      <c r="F848" t="s">
        <v>46</v>
      </c>
      <c r="G848" t="str">
        <f t="shared" si="92"/>
        <v>Electronics</v>
      </c>
      <c r="H848" t="str">
        <f>PROPER(TRIM(CLEAN(Sales_Table[[#This Row],[Product Name]])))</f>
        <v>Laptop</v>
      </c>
      <c r="I848" t="s">
        <v>52</v>
      </c>
      <c r="J848" t="str">
        <f t="shared" si="93"/>
        <v>CUST0398</v>
      </c>
      <c r="K848" t="s">
        <v>2206</v>
      </c>
      <c r="L848" t="str">
        <f>PROPER(TRIM(CLEAN(Sales_Table[[#This Row],[Salesperson]])))</f>
        <v>Anita</v>
      </c>
      <c r="M848" t="s">
        <v>64</v>
      </c>
      <c r="N848" t="str">
        <f t="shared" si="94"/>
        <v>Credit Card</v>
      </c>
      <c r="O848" t="s">
        <v>65</v>
      </c>
      <c r="P848">
        <f t="shared" si="95"/>
        <v>13</v>
      </c>
      <c r="Q848" t="s">
        <v>81</v>
      </c>
      <c r="R848">
        <f t="shared" si="96"/>
        <v>4239</v>
      </c>
      <c r="S848" t="s">
        <v>2207</v>
      </c>
      <c r="T848">
        <f t="shared" si="97"/>
        <v>55107</v>
      </c>
      <c r="U848">
        <f>YEAR(Sales_Table[[#This Row],[Date_clean]])</f>
        <v>2024</v>
      </c>
      <c r="V848" t="str">
        <f>TEXT(Sales_Table[[#This Row],[Date_clean]],"mmmm")</f>
        <v>February</v>
      </c>
      <c r="W848">
        <f>WEEKNUM(Sales_Table[[#This Row],[Date_clean]],2)</f>
        <v>6</v>
      </c>
      <c r="X848" t="str" cm="1">
        <f t="array" ref="X848">_xlfn.IFS(Sales_Table[[#This Row],[Revenue]]&gt;=50000,"High",Sales_Table[[#This Row],[Revenue]]&gt;=20000,"Medium",Sales_Table[[#This Row],[Revenue]]&lt;20000,"Low")</f>
        <v>High</v>
      </c>
      <c r="Y848" t="str">
        <f>IF(Sales_Table[[#This Row],[Payment Method_clean]]="cash","Offline","Online")</f>
        <v>Online</v>
      </c>
      <c r="Z848">
        <f>IFERROR(Sales_Table[[#This Row],[Revenue]],0)</f>
        <v>55107</v>
      </c>
    </row>
    <row r="849" spans="1:26" x14ac:dyDescent="0.3">
      <c r="A849">
        <v>848</v>
      </c>
      <c r="B849" s="2">
        <f t="shared" si="91"/>
        <v>45327.291666666664</v>
      </c>
      <c r="C849" t="s">
        <v>2208</v>
      </c>
      <c r="D849" t="s">
        <v>84</v>
      </c>
      <c r="E849" t="str">
        <f>PROPER(TRIM(CLEAN(Sales_Table[[#This Row],[Region]])))</f>
        <v>South</v>
      </c>
      <c r="F849" t="s">
        <v>37</v>
      </c>
      <c r="G849" t="str">
        <f t="shared" si="92"/>
        <v>Home Appliances</v>
      </c>
      <c r="H849" t="str">
        <f>PROPER(TRIM(CLEAN(Sales_Table[[#This Row],[Product Name]])))</f>
        <v>Led Tv 42Inch</v>
      </c>
      <c r="I849" t="s">
        <v>58</v>
      </c>
      <c r="J849" t="str">
        <f t="shared" si="93"/>
        <v>CUST0463</v>
      </c>
      <c r="K849" t="s">
        <v>2209</v>
      </c>
      <c r="L849" t="str">
        <f>PROPER(TRIM(CLEAN(Sales_Table[[#This Row],[Salesperson]])))</f>
        <v>Meena</v>
      </c>
      <c r="M849" t="s">
        <v>40</v>
      </c>
      <c r="N849" t="str">
        <f t="shared" si="94"/>
        <v>Debit Card</v>
      </c>
      <c r="O849" t="s">
        <v>41</v>
      </c>
      <c r="P849">
        <f t="shared" si="95"/>
        <v>10</v>
      </c>
      <c r="Q849" t="s">
        <v>117</v>
      </c>
      <c r="R849">
        <f t="shared" si="96"/>
        <v>1951</v>
      </c>
      <c r="S849" t="s">
        <v>2210</v>
      </c>
      <c r="T849">
        <f t="shared" si="97"/>
        <v>19510</v>
      </c>
      <c r="U849">
        <f>YEAR(Sales_Table[[#This Row],[Date_clean]])</f>
        <v>2024</v>
      </c>
      <c r="V849" t="str">
        <f>TEXT(Sales_Table[[#This Row],[Date_clean]],"mmmm")</f>
        <v>February</v>
      </c>
      <c r="W849">
        <f>WEEKNUM(Sales_Table[[#This Row],[Date_clean]],2)</f>
        <v>6</v>
      </c>
      <c r="X849" t="str" cm="1">
        <f t="array" ref="X849">_xlfn.IFS(Sales_Table[[#This Row],[Revenue]]&gt;=50000,"High",Sales_Table[[#This Row],[Revenue]]&gt;=20000,"Medium",Sales_Table[[#This Row],[Revenue]]&lt;20000,"Low")</f>
        <v>Low</v>
      </c>
      <c r="Y849" t="str">
        <f>IF(Sales_Table[[#This Row],[Payment Method_clean]]="cash","Offline","Online")</f>
        <v>Online</v>
      </c>
      <c r="Z849">
        <f>IFERROR(Sales_Table[[#This Row],[Revenue]],0)</f>
        <v>19510</v>
      </c>
    </row>
    <row r="850" spans="1:26" x14ac:dyDescent="0.3">
      <c r="A850">
        <v>849</v>
      </c>
      <c r="B850" s="2">
        <f t="shared" si="91"/>
        <v>45327.333333333336</v>
      </c>
      <c r="C850" t="s">
        <v>2211</v>
      </c>
      <c r="D850" t="s">
        <v>27</v>
      </c>
      <c r="E850" t="str">
        <f>PROPER(TRIM(CLEAN(Sales_Table[[#This Row],[Region]])))</f>
        <v>East</v>
      </c>
      <c r="F850" t="s">
        <v>78</v>
      </c>
      <c r="G850" t="str">
        <f t="shared" si="92"/>
        <v>Grocery</v>
      </c>
      <c r="H850" t="str">
        <f>PROPER(TRIM(CLEAN(Sales_Table[[#This Row],[Product Name]])))</f>
        <v>Rice 5Kg</v>
      </c>
      <c r="I850" t="s">
        <v>73</v>
      </c>
      <c r="J850" t="str">
        <f t="shared" si="93"/>
        <v>CUST0751</v>
      </c>
      <c r="K850" t="s">
        <v>874</v>
      </c>
      <c r="L850" t="str">
        <f>PROPER(TRIM(CLEAN(Sales_Table[[#This Row],[Salesperson]])))</f>
        <v>Karthik</v>
      </c>
      <c r="M850" t="s">
        <v>70</v>
      </c>
      <c r="N850" t="str">
        <f t="shared" si="94"/>
        <v>Cash</v>
      </c>
      <c r="O850" t="s">
        <v>32</v>
      </c>
      <c r="P850">
        <f t="shared" si="95"/>
        <v>13</v>
      </c>
      <c r="Q850" t="s">
        <v>81</v>
      </c>
      <c r="R850">
        <f t="shared" si="96"/>
        <v>3641</v>
      </c>
      <c r="S850" t="s">
        <v>2212</v>
      </c>
      <c r="T850">
        <f t="shared" si="97"/>
        <v>47333</v>
      </c>
      <c r="U850">
        <f>YEAR(Sales_Table[[#This Row],[Date_clean]])</f>
        <v>2024</v>
      </c>
      <c r="V850" t="str">
        <f>TEXT(Sales_Table[[#This Row],[Date_clean]],"mmmm")</f>
        <v>February</v>
      </c>
      <c r="W850">
        <f>WEEKNUM(Sales_Table[[#This Row],[Date_clean]],2)</f>
        <v>6</v>
      </c>
      <c r="X850" t="str" cm="1">
        <f t="array" ref="X850">_xlfn.IFS(Sales_Table[[#This Row],[Revenue]]&gt;=50000,"High",Sales_Table[[#This Row],[Revenue]]&gt;=20000,"Medium",Sales_Table[[#This Row],[Revenue]]&lt;20000,"Low")</f>
        <v>Medium</v>
      </c>
      <c r="Y850" t="str">
        <f>IF(Sales_Table[[#This Row],[Payment Method_clean]]="cash","Offline","Online")</f>
        <v>Offline</v>
      </c>
      <c r="Z850">
        <f>IFERROR(Sales_Table[[#This Row],[Revenue]],0)</f>
        <v>47333</v>
      </c>
    </row>
    <row r="851" spans="1:26" x14ac:dyDescent="0.3">
      <c r="A851">
        <v>850</v>
      </c>
      <c r="B851" s="2">
        <f t="shared" si="91"/>
        <v>45327.375</v>
      </c>
      <c r="C851" t="s">
        <v>2213</v>
      </c>
      <c r="D851" t="s">
        <v>84</v>
      </c>
      <c r="E851" t="str">
        <f>PROPER(TRIM(CLEAN(Sales_Table[[#This Row],[Region]])))</f>
        <v>South</v>
      </c>
      <c r="F851" t="s">
        <v>46</v>
      </c>
      <c r="G851" t="str">
        <f t="shared" si="92"/>
        <v>Electronics</v>
      </c>
      <c r="H851" t="str">
        <f>PROPER(TRIM(CLEAN(Sales_Table[[#This Row],[Product Name]])))</f>
        <v>Led Tv 42Inch</v>
      </c>
      <c r="I851" t="s">
        <v>58</v>
      </c>
      <c r="J851" t="str">
        <f t="shared" si="93"/>
        <v>CUST0187</v>
      </c>
      <c r="K851" t="s">
        <v>1196</v>
      </c>
      <c r="L851" t="str">
        <f>PROPER(TRIM(CLEAN(Sales_Table[[#This Row],[Salesperson]])))</f>
        <v>Suresh</v>
      </c>
      <c r="M851" t="s">
        <v>54</v>
      </c>
      <c r="N851" t="str">
        <f t="shared" si="94"/>
        <v>Credit Card</v>
      </c>
      <c r="O851" t="s">
        <v>65</v>
      </c>
      <c r="P851">
        <f t="shared" si="95"/>
        <v>9</v>
      </c>
      <c r="Q851" t="s">
        <v>130</v>
      </c>
      <c r="R851">
        <f t="shared" si="96"/>
        <v>4649</v>
      </c>
      <c r="S851" t="s">
        <v>2214</v>
      </c>
      <c r="T851">
        <f t="shared" si="97"/>
        <v>41841</v>
      </c>
      <c r="U851">
        <f>YEAR(Sales_Table[[#This Row],[Date_clean]])</f>
        <v>2024</v>
      </c>
      <c r="V851" t="str">
        <f>TEXT(Sales_Table[[#This Row],[Date_clean]],"mmmm")</f>
        <v>February</v>
      </c>
      <c r="W851">
        <f>WEEKNUM(Sales_Table[[#This Row],[Date_clean]],2)</f>
        <v>6</v>
      </c>
      <c r="X851" t="str" cm="1">
        <f t="array" ref="X851">_xlfn.IFS(Sales_Table[[#This Row],[Revenue]]&gt;=50000,"High",Sales_Table[[#This Row],[Revenue]]&gt;=20000,"Medium",Sales_Table[[#This Row],[Revenue]]&lt;20000,"Low")</f>
        <v>Medium</v>
      </c>
      <c r="Y851" t="str">
        <f>IF(Sales_Table[[#This Row],[Payment Method_clean]]="cash","Offline","Online")</f>
        <v>Online</v>
      </c>
      <c r="Z851">
        <f>IFERROR(Sales_Table[[#This Row],[Revenue]],0)</f>
        <v>41841</v>
      </c>
    </row>
    <row r="852" spans="1:26" x14ac:dyDescent="0.3">
      <c r="A852">
        <v>851</v>
      </c>
      <c r="B852" s="2">
        <f t="shared" si="91"/>
        <v>45327.416666666664</v>
      </c>
      <c r="C852" t="s">
        <v>2215</v>
      </c>
      <c r="D852" t="s">
        <v>27</v>
      </c>
      <c r="E852" t="str">
        <f>PROPER(TRIM(CLEAN(Sales_Table[[#This Row],[Region]])))</f>
        <v>East</v>
      </c>
      <c r="F852" t="s">
        <v>37</v>
      </c>
      <c r="G852" t="str">
        <f t="shared" si="92"/>
        <v>Home Appliances</v>
      </c>
      <c r="H852" t="str">
        <f>PROPER(TRIM(CLEAN(Sales_Table[[#This Row],[Product Name]])))</f>
        <v>Led Tv 42Inch</v>
      </c>
      <c r="I852" t="s">
        <v>58</v>
      </c>
      <c r="J852" t="str">
        <f t="shared" si="93"/>
        <v>CUST0720</v>
      </c>
      <c r="K852" t="s">
        <v>1158</v>
      </c>
      <c r="L852" t="str">
        <f>PROPER(TRIM(CLEAN(Sales_Table[[#This Row],[Salesperson]])))</f>
        <v>Suresh</v>
      </c>
      <c r="M852" t="s">
        <v>54</v>
      </c>
      <c r="N852" t="str">
        <f t="shared" si="94"/>
        <v>Credit Card</v>
      </c>
      <c r="O852" t="s">
        <v>65</v>
      </c>
      <c r="P852">
        <f t="shared" si="95"/>
        <v>4</v>
      </c>
      <c r="Q852" t="s">
        <v>113</v>
      </c>
      <c r="R852">
        <f t="shared" si="96"/>
        <v>694</v>
      </c>
      <c r="S852" t="s">
        <v>2216</v>
      </c>
      <c r="T852">
        <f t="shared" si="97"/>
        <v>2776</v>
      </c>
      <c r="U852">
        <f>YEAR(Sales_Table[[#This Row],[Date_clean]])</f>
        <v>2024</v>
      </c>
      <c r="V852" t="str">
        <f>TEXT(Sales_Table[[#This Row],[Date_clean]],"mmmm")</f>
        <v>February</v>
      </c>
      <c r="W852">
        <f>WEEKNUM(Sales_Table[[#This Row],[Date_clean]],2)</f>
        <v>6</v>
      </c>
      <c r="X852" t="str" cm="1">
        <f t="array" ref="X852">_xlfn.IFS(Sales_Table[[#This Row],[Revenue]]&gt;=50000,"High",Sales_Table[[#This Row],[Revenue]]&gt;=20000,"Medium",Sales_Table[[#This Row],[Revenue]]&lt;20000,"Low")</f>
        <v>Low</v>
      </c>
      <c r="Y852" t="str">
        <f>IF(Sales_Table[[#This Row],[Payment Method_clean]]="cash","Offline","Online")</f>
        <v>Online</v>
      </c>
      <c r="Z852">
        <f>IFERROR(Sales_Table[[#This Row],[Revenue]],0)</f>
        <v>2776</v>
      </c>
    </row>
    <row r="853" spans="1:26" x14ac:dyDescent="0.3">
      <c r="A853">
        <v>852</v>
      </c>
      <c r="B853" s="2">
        <f t="shared" si="91"/>
        <v>45327.458333333336</v>
      </c>
      <c r="C853" t="s">
        <v>2217</v>
      </c>
      <c r="D853" t="s">
        <v>84</v>
      </c>
      <c r="E853" t="str">
        <f>PROPER(TRIM(CLEAN(Sales_Table[[#This Row],[Region]])))</f>
        <v>South</v>
      </c>
      <c r="F853" t="s">
        <v>28</v>
      </c>
      <c r="G853" t="str">
        <f t="shared" si="92"/>
        <v>Clothing</v>
      </c>
      <c r="H853" t="str">
        <f>PROPER(TRIM(CLEAN(Sales_Table[[#This Row],[Product Name]])))</f>
        <v>Mixer Grinder</v>
      </c>
      <c r="I853" t="s">
        <v>29</v>
      </c>
      <c r="J853" t="str">
        <f t="shared" si="93"/>
        <v>CUST0732</v>
      </c>
      <c r="K853" t="s">
        <v>1973</v>
      </c>
      <c r="L853" t="str">
        <f>PROPER(TRIM(CLEAN(Sales_Table[[#This Row],[Salesperson]])))</f>
        <v>Meena</v>
      </c>
      <c r="M853" t="s">
        <v>40</v>
      </c>
      <c r="N853" t="str">
        <f t="shared" si="94"/>
        <v>Upi</v>
      </c>
      <c r="O853" t="s">
        <v>48</v>
      </c>
      <c r="P853">
        <f t="shared" si="95"/>
        <v>10</v>
      </c>
      <c r="Q853" t="s">
        <v>117</v>
      </c>
      <c r="R853">
        <f t="shared" si="96"/>
        <v>606</v>
      </c>
      <c r="S853" t="s">
        <v>2218</v>
      </c>
      <c r="T853">
        <f t="shared" si="97"/>
        <v>6060</v>
      </c>
      <c r="U853">
        <f>YEAR(Sales_Table[[#This Row],[Date_clean]])</f>
        <v>2024</v>
      </c>
      <c r="V853" t="str">
        <f>TEXT(Sales_Table[[#This Row],[Date_clean]],"mmmm")</f>
        <v>February</v>
      </c>
      <c r="W853">
        <f>WEEKNUM(Sales_Table[[#This Row],[Date_clean]],2)</f>
        <v>6</v>
      </c>
      <c r="X853" t="str" cm="1">
        <f t="array" ref="X853">_xlfn.IFS(Sales_Table[[#This Row],[Revenue]]&gt;=50000,"High",Sales_Table[[#This Row],[Revenue]]&gt;=20000,"Medium",Sales_Table[[#This Row],[Revenue]]&lt;20000,"Low")</f>
        <v>Low</v>
      </c>
      <c r="Y853" t="str">
        <f>IF(Sales_Table[[#This Row],[Payment Method_clean]]="cash","Offline","Online")</f>
        <v>Online</v>
      </c>
      <c r="Z853">
        <f>IFERROR(Sales_Table[[#This Row],[Revenue]],0)</f>
        <v>6060</v>
      </c>
    </row>
    <row r="854" spans="1:26" x14ac:dyDescent="0.3">
      <c r="A854">
        <v>853</v>
      </c>
      <c r="B854" s="2">
        <f t="shared" si="91"/>
        <v>45327.5</v>
      </c>
      <c r="C854" t="s">
        <v>2219</v>
      </c>
      <c r="D854" t="s">
        <v>45</v>
      </c>
      <c r="E854" t="str">
        <f>PROPER(TRIM(CLEAN(Sales_Table[[#This Row],[Region]])))</f>
        <v>North</v>
      </c>
      <c r="F854" t="s">
        <v>28</v>
      </c>
      <c r="G854" t="str">
        <f t="shared" si="92"/>
        <v>Clothing</v>
      </c>
      <c r="H854" t="str">
        <f>PROPER(TRIM(CLEAN(Sales_Table[[#This Row],[Product Name]])))</f>
        <v>Laptop</v>
      </c>
      <c r="I854" t="s">
        <v>52</v>
      </c>
      <c r="J854" t="str">
        <f t="shared" si="93"/>
        <v>CUST0190</v>
      </c>
      <c r="K854" t="s">
        <v>1051</v>
      </c>
      <c r="L854" t="str">
        <f>PROPER(TRIM(CLEAN(Sales_Table[[#This Row],[Salesperson]])))</f>
        <v>Rahul</v>
      </c>
      <c r="M854" t="s">
        <v>31</v>
      </c>
      <c r="N854" t="str">
        <f t="shared" si="94"/>
        <v>Net Banking</v>
      </c>
      <c r="O854" t="s">
        <v>60</v>
      </c>
      <c r="P854">
        <f t="shared" si="95"/>
        <v>3</v>
      </c>
      <c r="Q854" t="s">
        <v>66</v>
      </c>
      <c r="R854">
        <f t="shared" si="96"/>
        <v>4989</v>
      </c>
      <c r="S854" t="s">
        <v>2220</v>
      </c>
      <c r="T854">
        <f t="shared" si="97"/>
        <v>14967</v>
      </c>
      <c r="U854">
        <f>YEAR(Sales_Table[[#This Row],[Date_clean]])</f>
        <v>2024</v>
      </c>
      <c r="V854" t="str">
        <f>TEXT(Sales_Table[[#This Row],[Date_clean]],"mmmm")</f>
        <v>February</v>
      </c>
      <c r="W854">
        <f>WEEKNUM(Sales_Table[[#This Row],[Date_clean]],2)</f>
        <v>6</v>
      </c>
      <c r="X854" t="str" cm="1">
        <f t="array" ref="X854">_xlfn.IFS(Sales_Table[[#This Row],[Revenue]]&gt;=50000,"High",Sales_Table[[#This Row],[Revenue]]&gt;=20000,"Medium",Sales_Table[[#This Row],[Revenue]]&lt;20000,"Low")</f>
        <v>Low</v>
      </c>
      <c r="Y854" t="str">
        <f>IF(Sales_Table[[#This Row],[Payment Method_clean]]="cash","Offline","Online")</f>
        <v>Online</v>
      </c>
      <c r="Z854">
        <f>IFERROR(Sales_Table[[#This Row],[Revenue]],0)</f>
        <v>14967</v>
      </c>
    </row>
    <row r="855" spans="1:26" x14ac:dyDescent="0.3">
      <c r="A855">
        <v>854</v>
      </c>
      <c r="B855" s="2">
        <f t="shared" si="91"/>
        <v>45327.541666666664</v>
      </c>
      <c r="C855" t="s">
        <v>2221</v>
      </c>
      <c r="D855" t="s">
        <v>27</v>
      </c>
      <c r="E855" t="str">
        <f>PROPER(TRIM(CLEAN(Sales_Table[[#This Row],[Region]])))</f>
        <v>East</v>
      </c>
      <c r="F855" t="s">
        <v>46</v>
      </c>
      <c r="G855" t="str">
        <f t="shared" si="92"/>
        <v>Electronics</v>
      </c>
      <c r="H855" t="str">
        <f>PROPER(TRIM(CLEAN(Sales_Table[[#This Row],[Product Name]])))</f>
        <v>Mixer Grinder</v>
      </c>
      <c r="I855" t="s">
        <v>29</v>
      </c>
      <c r="J855" t="str">
        <f t="shared" si="93"/>
        <v>CUST0388</v>
      </c>
      <c r="K855" t="s">
        <v>355</v>
      </c>
      <c r="L855" t="str">
        <f>PROPER(TRIM(CLEAN(Sales_Table[[#This Row],[Salesperson]])))</f>
        <v>Anita</v>
      </c>
      <c r="M855" t="s">
        <v>64</v>
      </c>
      <c r="N855" t="str">
        <f t="shared" si="94"/>
        <v>Cash</v>
      </c>
      <c r="O855" t="s">
        <v>32</v>
      </c>
      <c r="P855">
        <f t="shared" si="95"/>
        <v>8</v>
      </c>
      <c r="Q855" t="s">
        <v>42</v>
      </c>
      <c r="R855">
        <f t="shared" si="96"/>
        <v>120</v>
      </c>
      <c r="S855" t="s">
        <v>2222</v>
      </c>
      <c r="T855">
        <f t="shared" si="97"/>
        <v>960</v>
      </c>
      <c r="U855">
        <f>YEAR(Sales_Table[[#This Row],[Date_clean]])</f>
        <v>2024</v>
      </c>
      <c r="V855" t="str">
        <f>TEXT(Sales_Table[[#This Row],[Date_clean]],"mmmm")</f>
        <v>February</v>
      </c>
      <c r="W855">
        <f>WEEKNUM(Sales_Table[[#This Row],[Date_clean]],2)</f>
        <v>6</v>
      </c>
      <c r="X855" t="str" cm="1">
        <f t="array" ref="X855">_xlfn.IFS(Sales_Table[[#This Row],[Revenue]]&gt;=50000,"High",Sales_Table[[#This Row],[Revenue]]&gt;=20000,"Medium",Sales_Table[[#This Row],[Revenue]]&lt;20000,"Low")</f>
        <v>Low</v>
      </c>
      <c r="Y855" t="str">
        <f>IF(Sales_Table[[#This Row],[Payment Method_clean]]="cash","Offline","Online")</f>
        <v>Offline</v>
      </c>
      <c r="Z855">
        <f>IFERROR(Sales_Table[[#This Row],[Revenue]],0)</f>
        <v>960</v>
      </c>
    </row>
    <row r="856" spans="1:26" x14ac:dyDescent="0.3">
      <c r="A856">
        <v>855</v>
      </c>
      <c r="B856" s="2">
        <f t="shared" si="91"/>
        <v>45327.583333333336</v>
      </c>
      <c r="C856" t="s">
        <v>2223</v>
      </c>
      <c r="D856" t="s">
        <v>27</v>
      </c>
      <c r="E856" t="str">
        <f>PROPER(TRIM(CLEAN(Sales_Table[[#This Row],[Region]])))</f>
        <v>East</v>
      </c>
      <c r="F856" t="s">
        <v>46</v>
      </c>
      <c r="G856" t="str">
        <f t="shared" si="92"/>
        <v>Electronics</v>
      </c>
      <c r="H856" t="str">
        <f>PROPER(TRIM(CLEAN(Sales_Table[[#This Row],[Product Name]])))</f>
        <v>Led Tv 42Inch</v>
      </c>
      <c r="I856" t="s">
        <v>58</v>
      </c>
      <c r="J856" t="str">
        <f t="shared" si="93"/>
        <v>CUST0429</v>
      </c>
      <c r="K856" t="s">
        <v>129</v>
      </c>
      <c r="L856" t="str">
        <f>PROPER(TRIM(CLEAN(Sales_Table[[#This Row],[Salesperson]])))</f>
        <v>Karthik</v>
      </c>
      <c r="M856" t="s">
        <v>70</v>
      </c>
      <c r="N856" t="str">
        <f t="shared" si="94"/>
        <v>Cash</v>
      </c>
      <c r="O856" t="s">
        <v>32</v>
      </c>
      <c r="P856">
        <f t="shared" si="95"/>
        <v>1</v>
      </c>
      <c r="Q856" t="s">
        <v>93</v>
      </c>
      <c r="R856">
        <f t="shared" si="96"/>
        <v>1499</v>
      </c>
      <c r="S856" t="s">
        <v>2224</v>
      </c>
      <c r="T856">
        <f t="shared" si="97"/>
        <v>1499</v>
      </c>
      <c r="U856">
        <f>YEAR(Sales_Table[[#This Row],[Date_clean]])</f>
        <v>2024</v>
      </c>
      <c r="V856" t="str">
        <f>TEXT(Sales_Table[[#This Row],[Date_clean]],"mmmm")</f>
        <v>February</v>
      </c>
      <c r="W856">
        <f>WEEKNUM(Sales_Table[[#This Row],[Date_clean]],2)</f>
        <v>6</v>
      </c>
      <c r="X856" t="str" cm="1">
        <f t="array" ref="X856">_xlfn.IFS(Sales_Table[[#This Row],[Revenue]]&gt;=50000,"High",Sales_Table[[#This Row],[Revenue]]&gt;=20000,"Medium",Sales_Table[[#This Row],[Revenue]]&lt;20000,"Low")</f>
        <v>Low</v>
      </c>
      <c r="Y856" t="str">
        <f>IF(Sales_Table[[#This Row],[Payment Method_clean]]="cash","Offline","Online")</f>
        <v>Offline</v>
      </c>
      <c r="Z856">
        <f>IFERROR(Sales_Table[[#This Row],[Revenue]],0)</f>
        <v>1499</v>
      </c>
    </row>
    <row r="857" spans="1:26" x14ac:dyDescent="0.3">
      <c r="A857">
        <v>856</v>
      </c>
      <c r="B857" s="2">
        <f t="shared" si="91"/>
        <v>45327.625</v>
      </c>
      <c r="C857" t="s">
        <v>2225</v>
      </c>
      <c r="D857" t="s">
        <v>45</v>
      </c>
      <c r="E857" t="str">
        <f>PROPER(TRIM(CLEAN(Sales_Table[[#This Row],[Region]])))</f>
        <v>North</v>
      </c>
      <c r="F857" t="s">
        <v>78</v>
      </c>
      <c r="G857" t="str">
        <f t="shared" si="92"/>
        <v>Grocery</v>
      </c>
      <c r="H857" t="str">
        <f>PROPER(TRIM(CLEAN(Sales_Table[[#This Row],[Product Name]])))</f>
        <v>Led Tv 42Inch</v>
      </c>
      <c r="I857" t="s">
        <v>58</v>
      </c>
      <c r="J857" t="str">
        <f t="shared" si="93"/>
        <v>CUST0284</v>
      </c>
      <c r="K857" t="s">
        <v>2226</v>
      </c>
      <c r="L857" t="str">
        <f>PROPER(TRIM(CLEAN(Sales_Table[[#This Row],[Salesperson]])))</f>
        <v>Anita</v>
      </c>
      <c r="M857" t="s">
        <v>64</v>
      </c>
      <c r="N857" t="str">
        <f t="shared" si="94"/>
        <v>Cash</v>
      </c>
      <c r="O857" t="s">
        <v>32</v>
      </c>
      <c r="P857">
        <f t="shared" si="95"/>
        <v>9</v>
      </c>
      <c r="Q857" t="s">
        <v>130</v>
      </c>
      <c r="R857">
        <f t="shared" si="96"/>
        <v>3301</v>
      </c>
      <c r="S857" t="s">
        <v>2227</v>
      </c>
      <c r="T857">
        <f t="shared" si="97"/>
        <v>29709</v>
      </c>
      <c r="U857">
        <f>YEAR(Sales_Table[[#This Row],[Date_clean]])</f>
        <v>2024</v>
      </c>
      <c r="V857" t="str">
        <f>TEXT(Sales_Table[[#This Row],[Date_clean]],"mmmm")</f>
        <v>February</v>
      </c>
      <c r="W857">
        <f>WEEKNUM(Sales_Table[[#This Row],[Date_clean]],2)</f>
        <v>6</v>
      </c>
      <c r="X857" t="str" cm="1">
        <f t="array" ref="X857">_xlfn.IFS(Sales_Table[[#This Row],[Revenue]]&gt;=50000,"High",Sales_Table[[#This Row],[Revenue]]&gt;=20000,"Medium",Sales_Table[[#This Row],[Revenue]]&lt;20000,"Low")</f>
        <v>Medium</v>
      </c>
      <c r="Y857" t="str">
        <f>IF(Sales_Table[[#This Row],[Payment Method_clean]]="cash","Offline","Online")</f>
        <v>Offline</v>
      </c>
      <c r="Z857">
        <f>IFERROR(Sales_Table[[#This Row],[Revenue]],0)</f>
        <v>29709</v>
      </c>
    </row>
    <row r="858" spans="1:26" x14ac:dyDescent="0.3">
      <c r="A858">
        <v>857</v>
      </c>
      <c r="B858" s="2">
        <f t="shared" si="91"/>
        <v>45327.666666666664</v>
      </c>
      <c r="C858" t="s">
        <v>2228</v>
      </c>
      <c r="D858" t="s">
        <v>27</v>
      </c>
      <c r="E858" t="str">
        <f>PROPER(TRIM(CLEAN(Sales_Table[[#This Row],[Region]])))</f>
        <v>East</v>
      </c>
      <c r="F858" t="s">
        <v>46</v>
      </c>
      <c r="G858" t="str">
        <f t="shared" si="92"/>
        <v>Electronics</v>
      </c>
      <c r="H858" t="str">
        <f>PROPER(TRIM(CLEAN(Sales_Table[[#This Row],[Product Name]])))</f>
        <v>Led Tv 42Inch</v>
      </c>
      <c r="I858" t="s">
        <v>58</v>
      </c>
      <c r="J858" t="str">
        <f t="shared" si="93"/>
        <v>CUST0237</v>
      </c>
      <c r="K858" t="s">
        <v>240</v>
      </c>
      <c r="L858" t="str">
        <f>PROPER(TRIM(CLEAN(Sales_Table[[#This Row],[Salesperson]])))</f>
        <v>Karthik</v>
      </c>
      <c r="M858" t="s">
        <v>70</v>
      </c>
      <c r="N858" t="str">
        <f t="shared" si="94"/>
        <v>Credit Card</v>
      </c>
      <c r="O858" t="s">
        <v>65</v>
      </c>
      <c r="P858">
        <f t="shared" si="95"/>
        <v>13</v>
      </c>
      <c r="Q858" t="s">
        <v>81</v>
      </c>
      <c r="R858">
        <f t="shared" si="96"/>
        <v>2561</v>
      </c>
      <c r="S858" t="s">
        <v>2229</v>
      </c>
      <c r="T858">
        <f t="shared" si="97"/>
        <v>33293</v>
      </c>
      <c r="U858">
        <f>YEAR(Sales_Table[[#This Row],[Date_clean]])</f>
        <v>2024</v>
      </c>
      <c r="V858" t="str">
        <f>TEXT(Sales_Table[[#This Row],[Date_clean]],"mmmm")</f>
        <v>February</v>
      </c>
      <c r="W858">
        <f>WEEKNUM(Sales_Table[[#This Row],[Date_clean]],2)</f>
        <v>6</v>
      </c>
      <c r="X858" t="str" cm="1">
        <f t="array" ref="X858">_xlfn.IFS(Sales_Table[[#This Row],[Revenue]]&gt;=50000,"High",Sales_Table[[#This Row],[Revenue]]&gt;=20000,"Medium",Sales_Table[[#This Row],[Revenue]]&lt;20000,"Low")</f>
        <v>Medium</v>
      </c>
      <c r="Y858" t="str">
        <f>IF(Sales_Table[[#This Row],[Payment Method_clean]]="cash","Offline","Online")</f>
        <v>Online</v>
      </c>
      <c r="Z858">
        <f>IFERROR(Sales_Table[[#This Row],[Revenue]],0)</f>
        <v>33293</v>
      </c>
    </row>
    <row r="859" spans="1:26" x14ac:dyDescent="0.3">
      <c r="A859">
        <v>858</v>
      </c>
      <c r="B859" s="2">
        <f t="shared" si="91"/>
        <v>45327.708333333336</v>
      </c>
      <c r="C859" t="s">
        <v>2230</v>
      </c>
      <c r="D859" t="s">
        <v>27</v>
      </c>
      <c r="E859" t="str">
        <f>PROPER(TRIM(CLEAN(Sales_Table[[#This Row],[Region]])))</f>
        <v>East</v>
      </c>
      <c r="F859" t="s">
        <v>78</v>
      </c>
      <c r="G859" t="str">
        <f t="shared" si="92"/>
        <v>Grocery</v>
      </c>
      <c r="H859" t="str">
        <f>PROPER(TRIM(CLEAN(Sales_Table[[#This Row],[Product Name]])))</f>
        <v>Washing Machine</v>
      </c>
      <c r="I859" t="s">
        <v>79</v>
      </c>
      <c r="J859" t="str">
        <f t="shared" si="93"/>
        <v>CUST0194</v>
      </c>
      <c r="K859" t="s">
        <v>2231</v>
      </c>
      <c r="L859" t="str">
        <f>PROPER(TRIM(CLEAN(Sales_Table[[#This Row],[Salesperson]])))</f>
        <v>Suresh</v>
      </c>
      <c r="M859" t="s">
        <v>54</v>
      </c>
      <c r="N859" t="str">
        <f t="shared" si="94"/>
        <v>Upi</v>
      </c>
      <c r="O859" t="s">
        <v>48</v>
      </c>
      <c r="P859">
        <f t="shared" si="95"/>
        <v>1</v>
      </c>
      <c r="Q859" t="s">
        <v>93</v>
      </c>
      <c r="R859">
        <f t="shared" si="96"/>
        <v>3778</v>
      </c>
      <c r="S859" t="s">
        <v>2232</v>
      </c>
      <c r="T859">
        <f t="shared" si="97"/>
        <v>3778</v>
      </c>
      <c r="U859">
        <f>YEAR(Sales_Table[[#This Row],[Date_clean]])</f>
        <v>2024</v>
      </c>
      <c r="V859" t="str">
        <f>TEXT(Sales_Table[[#This Row],[Date_clean]],"mmmm")</f>
        <v>February</v>
      </c>
      <c r="W859">
        <f>WEEKNUM(Sales_Table[[#This Row],[Date_clean]],2)</f>
        <v>6</v>
      </c>
      <c r="X859" t="str" cm="1">
        <f t="array" ref="X859">_xlfn.IFS(Sales_Table[[#This Row],[Revenue]]&gt;=50000,"High",Sales_Table[[#This Row],[Revenue]]&gt;=20000,"Medium",Sales_Table[[#This Row],[Revenue]]&lt;20000,"Low")</f>
        <v>Low</v>
      </c>
      <c r="Y859" t="str">
        <f>IF(Sales_Table[[#This Row],[Payment Method_clean]]="cash","Offline","Online")</f>
        <v>Online</v>
      </c>
      <c r="Z859">
        <f>IFERROR(Sales_Table[[#This Row],[Revenue]],0)</f>
        <v>3778</v>
      </c>
    </row>
    <row r="860" spans="1:26" x14ac:dyDescent="0.3">
      <c r="A860">
        <v>859</v>
      </c>
      <c r="B860" s="2">
        <f t="shared" si="91"/>
        <v>45327.75</v>
      </c>
      <c r="C860" t="s">
        <v>2233</v>
      </c>
      <c r="D860" t="s">
        <v>84</v>
      </c>
      <c r="E860" t="str">
        <f>PROPER(TRIM(CLEAN(Sales_Table[[#This Row],[Region]])))</f>
        <v>South</v>
      </c>
      <c r="F860" t="s">
        <v>78</v>
      </c>
      <c r="G860" t="str">
        <f t="shared" si="92"/>
        <v>Grocery</v>
      </c>
      <c r="H860" t="str">
        <f>PROPER(TRIM(CLEAN(Sales_Table[[#This Row],[Product Name]])))</f>
        <v>Mixer Grinder</v>
      </c>
      <c r="I860" t="s">
        <v>29</v>
      </c>
      <c r="J860" t="str">
        <f t="shared" si="93"/>
        <v>CUST0287</v>
      </c>
      <c r="K860" t="s">
        <v>1333</v>
      </c>
      <c r="L860" t="str">
        <f>PROPER(TRIM(CLEAN(Sales_Table[[#This Row],[Salesperson]])))</f>
        <v>Anita</v>
      </c>
      <c r="M860" t="s">
        <v>64</v>
      </c>
      <c r="N860" t="str">
        <f t="shared" si="94"/>
        <v>Debit Card</v>
      </c>
      <c r="O860" t="s">
        <v>41</v>
      </c>
      <c r="P860">
        <f t="shared" si="95"/>
        <v>2</v>
      </c>
      <c r="Q860" t="s">
        <v>196</v>
      </c>
      <c r="R860">
        <f t="shared" si="96"/>
        <v>436</v>
      </c>
      <c r="S860" t="s">
        <v>2234</v>
      </c>
      <c r="T860">
        <f t="shared" si="97"/>
        <v>872</v>
      </c>
      <c r="U860">
        <f>YEAR(Sales_Table[[#This Row],[Date_clean]])</f>
        <v>2024</v>
      </c>
      <c r="V860" t="str">
        <f>TEXT(Sales_Table[[#This Row],[Date_clean]],"mmmm")</f>
        <v>February</v>
      </c>
      <c r="W860">
        <f>WEEKNUM(Sales_Table[[#This Row],[Date_clean]],2)</f>
        <v>6</v>
      </c>
      <c r="X860" t="str" cm="1">
        <f t="array" ref="X860">_xlfn.IFS(Sales_Table[[#This Row],[Revenue]]&gt;=50000,"High",Sales_Table[[#This Row],[Revenue]]&gt;=20000,"Medium",Sales_Table[[#This Row],[Revenue]]&lt;20000,"Low")</f>
        <v>Low</v>
      </c>
      <c r="Y860" t="str">
        <f>IF(Sales_Table[[#This Row],[Payment Method_clean]]="cash","Offline","Online")</f>
        <v>Online</v>
      </c>
      <c r="Z860">
        <f>IFERROR(Sales_Table[[#This Row],[Revenue]],0)</f>
        <v>872</v>
      </c>
    </row>
    <row r="861" spans="1:26" x14ac:dyDescent="0.3">
      <c r="A861">
        <v>860</v>
      </c>
      <c r="B861" s="2">
        <f t="shared" si="91"/>
        <v>45327.791666666664</v>
      </c>
      <c r="C861" t="s">
        <v>2235</v>
      </c>
      <c r="D861" t="s">
        <v>27</v>
      </c>
      <c r="E861" t="str">
        <f>PROPER(TRIM(CLEAN(Sales_Table[[#This Row],[Region]])))</f>
        <v>East</v>
      </c>
      <c r="F861" t="s">
        <v>28</v>
      </c>
      <c r="G861" t="str">
        <f t="shared" si="92"/>
        <v>Clothing</v>
      </c>
      <c r="H861" t="str">
        <f>PROPER(TRIM(CLEAN(Sales_Table[[#This Row],[Product Name]])))</f>
        <v>Led Tv 42Inch</v>
      </c>
      <c r="I861" t="s">
        <v>58</v>
      </c>
      <c r="J861" t="str">
        <f t="shared" si="93"/>
        <v>CUST0771</v>
      </c>
      <c r="K861" t="s">
        <v>2236</v>
      </c>
      <c r="L861" t="str">
        <f>PROPER(TRIM(CLEAN(Sales_Table[[#This Row],[Salesperson]])))</f>
        <v>Meena</v>
      </c>
      <c r="M861" t="s">
        <v>40</v>
      </c>
      <c r="N861" t="str">
        <f t="shared" si="94"/>
        <v>Credit Card</v>
      </c>
      <c r="O861" t="s">
        <v>65</v>
      </c>
      <c r="P861">
        <f t="shared" si="95"/>
        <v>13</v>
      </c>
      <c r="Q861" t="s">
        <v>81</v>
      </c>
      <c r="R861">
        <f t="shared" si="96"/>
        <v>1767</v>
      </c>
      <c r="S861" t="s">
        <v>2237</v>
      </c>
      <c r="T861">
        <f t="shared" si="97"/>
        <v>22971</v>
      </c>
      <c r="U861">
        <f>YEAR(Sales_Table[[#This Row],[Date_clean]])</f>
        <v>2024</v>
      </c>
      <c r="V861" t="str">
        <f>TEXT(Sales_Table[[#This Row],[Date_clean]],"mmmm")</f>
        <v>February</v>
      </c>
      <c r="W861">
        <f>WEEKNUM(Sales_Table[[#This Row],[Date_clean]],2)</f>
        <v>6</v>
      </c>
      <c r="X861" t="str" cm="1">
        <f t="array" ref="X861">_xlfn.IFS(Sales_Table[[#This Row],[Revenue]]&gt;=50000,"High",Sales_Table[[#This Row],[Revenue]]&gt;=20000,"Medium",Sales_Table[[#This Row],[Revenue]]&lt;20000,"Low")</f>
        <v>Medium</v>
      </c>
      <c r="Y861" t="str">
        <f>IF(Sales_Table[[#This Row],[Payment Method_clean]]="cash","Offline","Online")</f>
        <v>Online</v>
      </c>
      <c r="Z861">
        <f>IFERROR(Sales_Table[[#This Row],[Revenue]],0)</f>
        <v>22971</v>
      </c>
    </row>
    <row r="862" spans="1:26" x14ac:dyDescent="0.3">
      <c r="A862">
        <v>861</v>
      </c>
      <c r="B862" s="2">
        <f t="shared" si="91"/>
        <v>45327.833333333336</v>
      </c>
      <c r="C862" t="s">
        <v>2238</v>
      </c>
      <c r="D862" t="s">
        <v>36</v>
      </c>
      <c r="E862" t="str">
        <f>PROPER(TRIM(CLEAN(Sales_Table[[#This Row],[Region]])))</f>
        <v>West</v>
      </c>
      <c r="F862" t="s">
        <v>28</v>
      </c>
      <c r="G862" t="str">
        <f t="shared" si="92"/>
        <v>Clothing</v>
      </c>
      <c r="H862" t="str">
        <f>PROPER(TRIM(CLEAN(Sales_Table[[#This Row],[Product Name]])))</f>
        <v>Men T-Shirt</v>
      </c>
      <c r="I862" t="s">
        <v>38</v>
      </c>
      <c r="J862" t="str">
        <f t="shared" si="93"/>
        <v>CUST0758</v>
      </c>
      <c r="K862" t="s">
        <v>643</v>
      </c>
      <c r="L862" t="str">
        <f>PROPER(TRIM(CLEAN(Sales_Table[[#This Row],[Salesperson]])))</f>
        <v>Rahul</v>
      </c>
      <c r="M862" t="s">
        <v>31</v>
      </c>
      <c r="N862" t="str">
        <f t="shared" si="94"/>
        <v>Debit Card</v>
      </c>
      <c r="O862" t="s">
        <v>41</v>
      </c>
      <c r="P862">
        <f t="shared" si="95"/>
        <v>8</v>
      </c>
      <c r="Q862" t="s">
        <v>42</v>
      </c>
      <c r="R862">
        <f t="shared" si="96"/>
        <v>3676</v>
      </c>
      <c r="S862" t="s">
        <v>2239</v>
      </c>
      <c r="T862">
        <f t="shared" si="97"/>
        <v>29408</v>
      </c>
      <c r="U862">
        <f>YEAR(Sales_Table[[#This Row],[Date_clean]])</f>
        <v>2024</v>
      </c>
      <c r="V862" t="str">
        <f>TEXT(Sales_Table[[#This Row],[Date_clean]],"mmmm")</f>
        <v>February</v>
      </c>
      <c r="W862">
        <f>WEEKNUM(Sales_Table[[#This Row],[Date_clean]],2)</f>
        <v>6</v>
      </c>
      <c r="X862" t="str" cm="1">
        <f t="array" ref="X862">_xlfn.IFS(Sales_Table[[#This Row],[Revenue]]&gt;=50000,"High",Sales_Table[[#This Row],[Revenue]]&gt;=20000,"Medium",Sales_Table[[#This Row],[Revenue]]&lt;20000,"Low")</f>
        <v>Medium</v>
      </c>
      <c r="Y862" t="str">
        <f>IF(Sales_Table[[#This Row],[Payment Method_clean]]="cash","Offline","Online")</f>
        <v>Online</v>
      </c>
      <c r="Z862">
        <f>IFERROR(Sales_Table[[#This Row],[Revenue]],0)</f>
        <v>29408</v>
      </c>
    </row>
    <row r="863" spans="1:26" x14ac:dyDescent="0.3">
      <c r="A863">
        <v>862</v>
      </c>
      <c r="B863" s="2">
        <f t="shared" si="91"/>
        <v>45327.875</v>
      </c>
      <c r="C863" t="s">
        <v>2240</v>
      </c>
      <c r="D863" t="s">
        <v>45</v>
      </c>
      <c r="E863" t="str">
        <f>PROPER(TRIM(CLEAN(Sales_Table[[#This Row],[Region]])))</f>
        <v>North</v>
      </c>
      <c r="F863" t="s">
        <v>37</v>
      </c>
      <c r="G863" t="str">
        <f t="shared" si="92"/>
        <v>Home Appliances</v>
      </c>
      <c r="H863" t="str">
        <f>PROPER(TRIM(CLEAN(Sales_Table[[#This Row],[Product Name]])))</f>
        <v>Laptop</v>
      </c>
      <c r="I863" t="s">
        <v>52</v>
      </c>
      <c r="J863" t="str">
        <f t="shared" si="93"/>
        <v>CUST0136</v>
      </c>
      <c r="K863" t="s">
        <v>112</v>
      </c>
      <c r="L863" t="str">
        <f>PROPER(TRIM(CLEAN(Sales_Table[[#This Row],[Salesperson]])))</f>
        <v>Meena</v>
      </c>
      <c r="M863" t="s">
        <v>40</v>
      </c>
      <c r="N863" t="str">
        <f t="shared" si="94"/>
        <v>Upi</v>
      </c>
      <c r="O863" t="s">
        <v>48</v>
      </c>
      <c r="P863">
        <f t="shared" si="95"/>
        <v>9</v>
      </c>
      <c r="Q863" t="s">
        <v>130</v>
      </c>
      <c r="R863">
        <f t="shared" si="96"/>
        <v>1009</v>
      </c>
      <c r="S863" t="s">
        <v>2241</v>
      </c>
      <c r="T863">
        <f t="shared" si="97"/>
        <v>9081</v>
      </c>
      <c r="U863">
        <f>YEAR(Sales_Table[[#This Row],[Date_clean]])</f>
        <v>2024</v>
      </c>
      <c r="V863" t="str">
        <f>TEXT(Sales_Table[[#This Row],[Date_clean]],"mmmm")</f>
        <v>February</v>
      </c>
      <c r="W863">
        <f>WEEKNUM(Sales_Table[[#This Row],[Date_clean]],2)</f>
        <v>6</v>
      </c>
      <c r="X863" t="str" cm="1">
        <f t="array" ref="X863">_xlfn.IFS(Sales_Table[[#This Row],[Revenue]]&gt;=50000,"High",Sales_Table[[#This Row],[Revenue]]&gt;=20000,"Medium",Sales_Table[[#This Row],[Revenue]]&lt;20000,"Low")</f>
        <v>Low</v>
      </c>
      <c r="Y863" t="str">
        <f>IF(Sales_Table[[#This Row],[Payment Method_clean]]="cash","Offline","Online")</f>
        <v>Online</v>
      </c>
      <c r="Z863">
        <f>IFERROR(Sales_Table[[#This Row],[Revenue]],0)</f>
        <v>9081</v>
      </c>
    </row>
    <row r="864" spans="1:26" x14ac:dyDescent="0.3">
      <c r="A864">
        <v>863</v>
      </c>
      <c r="B864" s="2">
        <f t="shared" si="91"/>
        <v>45327.916666666664</v>
      </c>
      <c r="C864" t="s">
        <v>2242</v>
      </c>
      <c r="D864" t="s">
        <v>84</v>
      </c>
      <c r="E864" t="str">
        <f>PROPER(TRIM(CLEAN(Sales_Table[[#This Row],[Region]])))</f>
        <v>South</v>
      </c>
      <c r="F864" t="s">
        <v>28</v>
      </c>
      <c r="G864" t="str">
        <f t="shared" si="92"/>
        <v>Clothing</v>
      </c>
      <c r="H864" t="str">
        <f>PROPER(TRIM(CLEAN(Sales_Table[[#This Row],[Product Name]])))</f>
        <v>Laptop</v>
      </c>
      <c r="I864" t="s">
        <v>52</v>
      </c>
      <c r="J864" t="str">
        <f t="shared" si="93"/>
        <v>CUST0792</v>
      </c>
      <c r="K864" t="s">
        <v>2243</v>
      </c>
      <c r="L864" t="str">
        <f>PROPER(TRIM(CLEAN(Sales_Table[[#This Row],[Salesperson]])))</f>
        <v>Rahul</v>
      </c>
      <c r="M864" t="s">
        <v>31</v>
      </c>
      <c r="N864" t="str">
        <f t="shared" si="94"/>
        <v>Net Banking</v>
      </c>
      <c r="O864" t="s">
        <v>60</v>
      </c>
      <c r="P864">
        <f t="shared" si="95"/>
        <v>7</v>
      </c>
      <c r="Q864" t="s">
        <v>49</v>
      </c>
      <c r="R864">
        <f t="shared" si="96"/>
        <v>375</v>
      </c>
      <c r="S864" t="s">
        <v>2244</v>
      </c>
      <c r="T864">
        <f t="shared" si="97"/>
        <v>2625</v>
      </c>
      <c r="U864">
        <f>YEAR(Sales_Table[[#This Row],[Date_clean]])</f>
        <v>2024</v>
      </c>
      <c r="V864" t="str">
        <f>TEXT(Sales_Table[[#This Row],[Date_clean]],"mmmm")</f>
        <v>February</v>
      </c>
      <c r="W864">
        <f>WEEKNUM(Sales_Table[[#This Row],[Date_clean]],2)</f>
        <v>6</v>
      </c>
      <c r="X864" t="str" cm="1">
        <f t="array" ref="X864">_xlfn.IFS(Sales_Table[[#This Row],[Revenue]]&gt;=50000,"High",Sales_Table[[#This Row],[Revenue]]&gt;=20000,"Medium",Sales_Table[[#This Row],[Revenue]]&lt;20000,"Low")</f>
        <v>Low</v>
      </c>
      <c r="Y864" t="str">
        <f>IF(Sales_Table[[#This Row],[Payment Method_clean]]="cash","Offline","Online")</f>
        <v>Online</v>
      </c>
      <c r="Z864">
        <f>IFERROR(Sales_Table[[#This Row],[Revenue]],0)</f>
        <v>2625</v>
      </c>
    </row>
    <row r="865" spans="1:26" x14ac:dyDescent="0.3">
      <c r="A865">
        <v>864</v>
      </c>
      <c r="B865" s="2">
        <f t="shared" si="91"/>
        <v>45327.958333333336</v>
      </c>
      <c r="C865" t="s">
        <v>2245</v>
      </c>
      <c r="D865" t="s">
        <v>84</v>
      </c>
      <c r="E865" t="str">
        <f>PROPER(TRIM(CLEAN(Sales_Table[[#This Row],[Region]])))</f>
        <v>South</v>
      </c>
      <c r="F865" t="s">
        <v>28</v>
      </c>
      <c r="G865" t="str">
        <f t="shared" si="92"/>
        <v>Clothing</v>
      </c>
      <c r="H865" t="str">
        <f>PROPER(TRIM(CLEAN(Sales_Table[[#This Row],[Product Name]])))</f>
        <v>Men T-Shirt</v>
      </c>
      <c r="I865" t="s">
        <v>38</v>
      </c>
      <c r="J865" t="str">
        <f t="shared" si="93"/>
        <v>CUST0783</v>
      </c>
      <c r="K865" t="s">
        <v>950</v>
      </c>
      <c r="L865" t="str">
        <f>PROPER(TRIM(CLEAN(Sales_Table[[#This Row],[Salesperson]])))</f>
        <v>Anita</v>
      </c>
      <c r="M865" t="s">
        <v>64</v>
      </c>
      <c r="N865" t="str">
        <f t="shared" si="94"/>
        <v>Cash</v>
      </c>
      <c r="O865" t="s">
        <v>32</v>
      </c>
      <c r="P865">
        <f t="shared" si="95"/>
        <v>3</v>
      </c>
      <c r="Q865" t="s">
        <v>66</v>
      </c>
      <c r="R865">
        <f t="shared" si="96"/>
        <v>991</v>
      </c>
      <c r="S865" t="s">
        <v>2246</v>
      </c>
      <c r="T865">
        <f t="shared" si="97"/>
        <v>2973</v>
      </c>
      <c r="U865">
        <f>YEAR(Sales_Table[[#This Row],[Date_clean]])</f>
        <v>2024</v>
      </c>
      <c r="V865" t="str">
        <f>TEXT(Sales_Table[[#This Row],[Date_clean]],"mmmm")</f>
        <v>February</v>
      </c>
      <c r="W865">
        <f>WEEKNUM(Sales_Table[[#This Row],[Date_clean]],2)</f>
        <v>6</v>
      </c>
      <c r="X865" t="str" cm="1">
        <f t="array" ref="X865">_xlfn.IFS(Sales_Table[[#This Row],[Revenue]]&gt;=50000,"High",Sales_Table[[#This Row],[Revenue]]&gt;=20000,"Medium",Sales_Table[[#This Row],[Revenue]]&lt;20000,"Low")</f>
        <v>Low</v>
      </c>
      <c r="Y865" t="str">
        <f>IF(Sales_Table[[#This Row],[Payment Method_clean]]="cash","Offline","Online")</f>
        <v>Offline</v>
      </c>
      <c r="Z865">
        <f>IFERROR(Sales_Table[[#This Row],[Revenue]],0)</f>
        <v>2973</v>
      </c>
    </row>
    <row r="866" spans="1:26" x14ac:dyDescent="0.3">
      <c r="A866">
        <v>865</v>
      </c>
      <c r="B866" s="2">
        <f t="shared" si="91"/>
        <v>45328</v>
      </c>
      <c r="C866" t="s">
        <v>2247</v>
      </c>
      <c r="D866" t="s">
        <v>36</v>
      </c>
      <c r="E866" t="str">
        <f>PROPER(TRIM(CLEAN(Sales_Table[[#This Row],[Region]])))</f>
        <v>West</v>
      </c>
      <c r="F866" t="s">
        <v>46</v>
      </c>
      <c r="G866" t="str">
        <f t="shared" si="92"/>
        <v>Electronics</v>
      </c>
      <c r="H866" t="str">
        <f>PROPER(TRIM(CLEAN(Sales_Table[[#This Row],[Product Name]])))</f>
        <v>Laptop</v>
      </c>
      <c r="I866" t="s">
        <v>52</v>
      </c>
      <c r="J866" t="str">
        <f t="shared" si="93"/>
        <v>CUST0171</v>
      </c>
      <c r="K866" t="s">
        <v>1460</v>
      </c>
      <c r="L866" t="str">
        <f>PROPER(TRIM(CLEAN(Sales_Table[[#This Row],[Salesperson]])))</f>
        <v>Anita</v>
      </c>
      <c r="M866" t="s">
        <v>64</v>
      </c>
      <c r="N866" t="str">
        <f t="shared" si="94"/>
        <v>Debit Card</v>
      </c>
      <c r="O866" t="s">
        <v>41</v>
      </c>
      <c r="P866">
        <f t="shared" si="95"/>
        <v>7</v>
      </c>
      <c r="Q866" t="s">
        <v>49</v>
      </c>
      <c r="R866">
        <f t="shared" si="96"/>
        <v>112</v>
      </c>
      <c r="S866" t="s">
        <v>2248</v>
      </c>
      <c r="T866">
        <f t="shared" si="97"/>
        <v>784</v>
      </c>
      <c r="U866">
        <f>YEAR(Sales_Table[[#This Row],[Date_clean]])</f>
        <v>2024</v>
      </c>
      <c r="V866" t="str">
        <f>TEXT(Sales_Table[[#This Row],[Date_clean]],"mmmm")</f>
        <v>February</v>
      </c>
      <c r="W866">
        <f>WEEKNUM(Sales_Table[[#This Row],[Date_clean]],2)</f>
        <v>6</v>
      </c>
      <c r="X866" t="str" cm="1">
        <f t="array" ref="X866">_xlfn.IFS(Sales_Table[[#This Row],[Revenue]]&gt;=50000,"High",Sales_Table[[#This Row],[Revenue]]&gt;=20000,"Medium",Sales_Table[[#This Row],[Revenue]]&lt;20000,"Low")</f>
        <v>Low</v>
      </c>
      <c r="Y866" t="str">
        <f>IF(Sales_Table[[#This Row],[Payment Method_clean]]="cash","Offline","Online")</f>
        <v>Online</v>
      </c>
      <c r="Z866">
        <f>IFERROR(Sales_Table[[#This Row],[Revenue]],0)</f>
        <v>784</v>
      </c>
    </row>
    <row r="867" spans="1:26" x14ac:dyDescent="0.3">
      <c r="A867">
        <v>866</v>
      </c>
      <c r="B867" s="2">
        <f t="shared" si="91"/>
        <v>45328.041666666664</v>
      </c>
      <c r="C867" t="s">
        <v>2249</v>
      </c>
      <c r="D867" t="s">
        <v>45</v>
      </c>
      <c r="E867" t="str">
        <f>PROPER(TRIM(CLEAN(Sales_Table[[#This Row],[Region]])))</f>
        <v>North</v>
      </c>
      <c r="F867" t="s">
        <v>28</v>
      </c>
      <c r="G867" t="str">
        <f t="shared" si="92"/>
        <v>Clothing</v>
      </c>
      <c r="H867" t="str">
        <f>PROPER(TRIM(CLEAN(Sales_Table[[#This Row],[Product Name]])))</f>
        <v>Washing Machine</v>
      </c>
      <c r="I867" t="s">
        <v>79</v>
      </c>
      <c r="J867" t="str">
        <f t="shared" si="93"/>
        <v>CUST0159</v>
      </c>
      <c r="K867" t="s">
        <v>2250</v>
      </c>
      <c r="L867" t="str">
        <f>PROPER(TRIM(CLEAN(Sales_Table[[#This Row],[Salesperson]])))</f>
        <v>Rahul</v>
      </c>
      <c r="M867" t="s">
        <v>31</v>
      </c>
      <c r="N867" t="str">
        <f t="shared" si="94"/>
        <v>Credit Card</v>
      </c>
      <c r="O867" t="s">
        <v>65</v>
      </c>
      <c r="P867">
        <f t="shared" si="95"/>
        <v>6</v>
      </c>
      <c r="Q867" t="s">
        <v>75</v>
      </c>
      <c r="R867">
        <f t="shared" si="96"/>
        <v>4157</v>
      </c>
      <c r="S867" t="s">
        <v>2251</v>
      </c>
      <c r="T867">
        <f t="shared" si="97"/>
        <v>24942</v>
      </c>
      <c r="U867">
        <f>YEAR(Sales_Table[[#This Row],[Date_clean]])</f>
        <v>2024</v>
      </c>
      <c r="V867" t="str">
        <f>TEXT(Sales_Table[[#This Row],[Date_clean]],"mmmm")</f>
        <v>February</v>
      </c>
      <c r="W867">
        <f>WEEKNUM(Sales_Table[[#This Row],[Date_clean]],2)</f>
        <v>6</v>
      </c>
      <c r="X867" t="str" cm="1">
        <f t="array" ref="X867">_xlfn.IFS(Sales_Table[[#This Row],[Revenue]]&gt;=50000,"High",Sales_Table[[#This Row],[Revenue]]&gt;=20000,"Medium",Sales_Table[[#This Row],[Revenue]]&lt;20000,"Low")</f>
        <v>Medium</v>
      </c>
      <c r="Y867" t="str">
        <f>IF(Sales_Table[[#This Row],[Payment Method_clean]]="cash","Offline","Online")</f>
        <v>Online</v>
      </c>
      <c r="Z867">
        <f>IFERROR(Sales_Table[[#This Row],[Revenue]],0)</f>
        <v>24942</v>
      </c>
    </row>
    <row r="868" spans="1:26" x14ac:dyDescent="0.3">
      <c r="A868">
        <v>867</v>
      </c>
      <c r="B868" s="2">
        <f t="shared" si="91"/>
        <v>45328.083333333336</v>
      </c>
      <c r="C868" t="s">
        <v>2252</v>
      </c>
      <c r="D868" t="s">
        <v>45</v>
      </c>
      <c r="E868" t="str">
        <f>PROPER(TRIM(CLEAN(Sales_Table[[#This Row],[Region]])))</f>
        <v>North</v>
      </c>
      <c r="F868" t="s">
        <v>37</v>
      </c>
      <c r="G868" t="str">
        <f t="shared" si="92"/>
        <v>Home Appliances</v>
      </c>
      <c r="H868" t="str">
        <f>PROPER(TRIM(CLEAN(Sales_Table[[#This Row],[Product Name]])))</f>
        <v>Washing Machine</v>
      </c>
      <c r="I868" t="s">
        <v>79</v>
      </c>
      <c r="J868" t="str">
        <f t="shared" si="93"/>
        <v>CUST0201</v>
      </c>
      <c r="K868" t="s">
        <v>116</v>
      </c>
      <c r="L868" t="str">
        <f>PROPER(TRIM(CLEAN(Sales_Table[[#This Row],[Salesperson]])))</f>
        <v>Suresh</v>
      </c>
      <c r="M868" t="s">
        <v>54</v>
      </c>
      <c r="N868" t="str">
        <f t="shared" si="94"/>
        <v>Debit Card</v>
      </c>
      <c r="O868" t="s">
        <v>41</v>
      </c>
      <c r="P868">
        <f t="shared" si="95"/>
        <v>2</v>
      </c>
      <c r="Q868" t="s">
        <v>196</v>
      </c>
      <c r="R868">
        <f t="shared" si="96"/>
        <v>3125</v>
      </c>
      <c r="S868" t="s">
        <v>2253</v>
      </c>
      <c r="T868">
        <f t="shared" si="97"/>
        <v>6250</v>
      </c>
      <c r="U868">
        <f>YEAR(Sales_Table[[#This Row],[Date_clean]])</f>
        <v>2024</v>
      </c>
      <c r="V868" t="str">
        <f>TEXT(Sales_Table[[#This Row],[Date_clean]],"mmmm")</f>
        <v>February</v>
      </c>
      <c r="W868">
        <f>WEEKNUM(Sales_Table[[#This Row],[Date_clean]],2)</f>
        <v>6</v>
      </c>
      <c r="X868" t="str" cm="1">
        <f t="array" ref="X868">_xlfn.IFS(Sales_Table[[#This Row],[Revenue]]&gt;=50000,"High",Sales_Table[[#This Row],[Revenue]]&gt;=20000,"Medium",Sales_Table[[#This Row],[Revenue]]&lt;20000,"Low")</f>
        <v>Low</v>
      </c>
      <c r="Y868" t="str">
        <f>IF(Sales_Table[[#This Row],[Payment Method_clean]]="cash","Offline","Online")</f>
        <v>Online</v>
      </c>
      <c r="Z868">
        <f>IFERROR(Sales_Table[[#This Row],[Revenue]],0)</f>
        <v>6250</v>
      </c>
    </row>
    <row r="869" spans="1:26" x14ac:dyDescent="0.3">
      <c r="A869">
        <v>868</v>
      </c>
      <c r="B869" s="2">
        <f t="shared" si="91"/>
        <v>45328.125</v>
      </c>
      <c r="C869" t="s">
        <v>2254</v>
      </c>
      <c r="D869" t="s">
        <v>84</v>
      </c>
      <c r="E869" t="str">
        <f>PROPER(TRIM(CLEAN(Sales_Table[[#This Row],[Region]])))</f>
        <v>South</v>
      </c>
      <c r="F869" t="s">
        <v>46</v>
      </c>
      <c r="G869" t="str">
        <f t="shared" si="92"/>
        <v>Electronics</v>
      </c>
      <c r="H869" t="str">
        <f>PROPER(TRIM(CLEAN(Sales_Table[[#This Row],[Product Name]])))</f>
        <v>Rice 5Kg</v>
      </c>
      <c r="I869" t="s">
        <v>73</v>
      </c>
      <c r="J869" t="str">
        <f t="shared" si="93"/>
        <v>CUST0487</v>
      </c>
      <c r="K869" t="s">
        <v>1347</v>
      </c>
      <c r="L869" t="str">
        <f>PROPER(TRIM(CLEAN(Sales_Table[[#This Row],[Salesperson]])))</f>
        <v>Karthik</v>
      </c>
      <c r="M869" t="s">
        <v>70</v>
      </c>
      <c r="N869" t="str">
        <f t="shared" si="94"/>
        <v>Net Banking</v>
      </c>
      <c r="O869" t="s">
        <v>60</v>
      </c>
      <c r="P869">
        <f t="shared" si="95"/>
        <v>3</v>
      </c>
      <c r="Q869" t="s">
        <v>66</v>
      </c>
      <c r="R869">
        <f t="shared" si="96"/>
        <v>1073</v>
      </c>
      <c r="S869" t="s">
        <v>2255</v>
      </c>
      <c r="T869">
        <f t="shared" si="97"/>
        <v>3219</v>
      </c>
      <c r="U869">
        <f>YEAR(Sales_Table[[#This Row],[Date_clean]])</f>
        <v>2024</v>
      </c>
      <c r="V869" t="str">
        <f>TEXT(Sales_Table[[#This Row],[Date_clean]],"mmmm")</f>
        <v>February</v>
      </c>
      <c r="W869">
        <f>WEEKNUM(Sales_Table[[#This Row],[Date_clean]],2)</f>
        <v>6</v>
      </c>
      <c r="X869" t="str" cm="1">
        <f t="array" ref="X869">_xlfn.IFS(Sales_Table[[#This Row],[Revenue]]&gt;=50000,"High",Sales_Table[[#This Row],[Revenue]]&gt;=20000,"Medium",Sales_Table[[#This Row],[Revenue]]&lt;20000,"Low")</f>
        <v>Low</v>
      </c>
      <c r="Y869" t="str">
        <f>IF(Sales_Table[[#This Row],[Payment Method_clean]]="cash","Offline","Online")</f>
        <v>Online</v>
      </c>
      <c r="Z869">
        <f>IFERROR(Sales_Table[[#This Row],[Revenue]],0)</f>
        <v>3219</v>
      </c>
    </row>
    <row r="870" spans="1:26" x14ac:dyDescent="0.3">
      <c r="A870">
        <v>869</v>
      </c>
      <c r="B870" s="2">
        <f t="shared" si="91"/>
        <v>45328.166666666664</v>
      </c>
      <c r="C870" t="s">
        <v>2256</v>
      </c>
      <c r="D870" t="s">
        <v>27</v>
      </c>
      <c r="E870" t="str">
        <f>PROPER(TRIM(CLEAN(Sales_Table[[#This Row],[Region]])))</f>
        <v>East</v>
      </c>
      <c r="F870" t="s">
        <v>37</v>
      </c>
      <c r="G870" t="str">
        <f t="shared" si="92"/>
        <v>Home Appliances</v>
      </c>
      <c r="H870" t="str">
        <f>PROPER(TRIM(CLEAN(Sales_Table[[#This Row],[Product Name]])))</f>
        <v>Rice 5Kg</v>
      </c>
      <c r="I870" t="s">
        <v>73</v>
      </c>
      <c r="J870" t="str">
        <f t="shared" si="93"/>
        <v>CUST0557</v>
      </c>
      <c r="K870" t="s">
        <v>1357</v>
      </c>
      <c r="L870" t="str">
        <f>PROPER(TRIM(CLEAN(Sales_Table[[#This Row],[Salesperson]])))</f>
        <v>Meena</v>
      </c>
      <c r="M870" t="s">
        <v>40</v>
      </c>
      <c r="N870" t="str">
        <f t="shared" si="94"/>
        <v>Cash</v>
      </c>
      <c r="O870" t="s">
        <v>32</v>
      </c>
      <c r="P870">
        <f t="shared" si="95"/>
        <v>11</v>
      </c>
      <c r="Q870" t="s">
        <v>97</v>
      </c>
      <c r="R870">
        <f t="shared" si="96"/>
        <v>4370</v>
      </c>
      <c r="S870" t="s">
        <v>2257</v>
      </c>
      <c r="T870">
        <f t="shared" si="97"/>
        <v>48070</v>
      </c>
      <c r="U870">
        <f>YEAR(Sales_Table[[#This Row],[Date_clean]])</f>
        <v>2024</v>
      </c>
      <c r="V870" t="str">
        <f>TEXT(Sales_Table[[#This Row],[Date_clean]],"mmmm")</f>
        <v>February</v>
      </c>
      <c r="W870">
        <f>WEEKNUM(Sales_Table[[#This Row],[Date_clean]],2)</f>
        <v>6</v>
      </c>
      <c r="X870" t="str" cm="1">
        <f t="array" ref="X870">_xlfn.IFS(Sales_Table[[#This Row],[Revenue]]&gt;=50000,"High",Sales_Table[[#This Row],[Revenue]]&gt;=20000,"Medium",Sales_Table[[#This Row],[Revenue]]&lt;20000,"Low")</f>
        <v>Medium</v>
      </c>
      <c r="Y870" t="str">
        <f>IF(Sales_Table[[#This Row],[Payment Method_clean]]="cash","Offline","Online")</f>
        <v>Offline</v>
      </c>
      <c r="Z870">
        <f>IFERROR(Sales_Table[[#This Row],[Revenue]],0)</f>
        <v>48070</v>
      </c>
    </row>
    <row r="871" spans="1:26" x14ac:dyDescent="0.3">
      <c r="A871">
        <v>870</v>
      </c>
      <c r="B871" s="2">
        <f t="shared" si="91"/>
        <v>45328.208333333336</v>
      </c>
      <c r="C871" t="s">
        <v>2258</v>
      </c>
      <c r="D871" t="s">
        <v>84</v>
      </c>
      <c r="E871" t="str">
        <f>PROPER(TRIM(CLEAN(Sales_Table[[#This Row],[Region]])))</f>
        <v>South</v>
      </c>
      <c r="F871" t="s">
        <v>28</v>
      </c>
      <c r="G871" t="str">
        <f t="shared" si="92"/>
        <v>Clothing</v>
      </c>
      <c r="H871" t="str">
        <f>PROPER(TRIM(CLEAN(Sales_Table[[#This Row],[Product Name]])))</f>
        <v>Rice 5Kg</v>
      </c>
      <c r="I871" t="s">
        <v>73</v>
      </c>
      <c r="J871" t="str">
        <f t="shared" si="93"/>
        <v>CUST0776</v>
      </c>
      <c r="K871" t="s">
        <v>1400</v>
      </c>
      <c r="L871" t="str">
        <f>PROPER(TRIM(CLEAN(Sales_Table[[#This Row],[Salesperson]])))</f>
        <v>Meena</v>
      </c>
      <c r="M871" t="s">
        <v>40</v>
      </c>
      <c r="N871" t="str">
        <f t="shared" si="94"/>
        <v>Debit Card</v>
      </c>
      <c r="O871" t="s">
        <v>41</v>
      </c>
      <c r="P871">
        <f t="shared" si="95"/>
        <v>13</v>
      </c>
      <c r="Q871" t="s">
        <v>81</v>
      </c>
      <c r="R871">
        <f t="shared" si="96"/>
        <v>4070</v>
      </c>
      <c r="S871" t="s">
        <v>2259</v>
      </c>
      <c r="T871">
        <f t="shared" si="97"/>
        <v>52910</v>
      </c>
      <c r="U871">
        <f>YEAR(Sales_Table[[#This Row],[Date_clean]])</f>
        <v>2024</v>
      </c>
      <c r="V871" t="str">
        <f>TEXT(Sales_Table[[#This Row],[Date_clean]],"mmmm")</f>
        <v>February</v>
      </c>
      <c r="W871">
        <f>WEEKNUM(Sales_Table[[#This Row],[Date_clean]],2)</f>
        <v>6</v>
      </c>
      <c r="X871" t="str" cm="1">
        <f t="array" ref="X871">_xlfn.IFS(Sales_Table[[#This Row],[Revenue]]&gt;=50000,"High",Sales_Table[[#This Row],[Revenue]]&gt;=20000,"Medium",Sales_Table[[#This Row],[Revenue]]&lt;20000,"Low")</f>
        <v>High</v>
      </c>
      <c r="Y871" t="str">
        <f>IF(Sales_Table[[#This Row],[Payment Method_clean]]="cash","Offline","Online")</f>
        <v>Online</v>
      </c>
      <c r="Z871">
        <f>IFERROR(Sales_Table[[#This Row],[Revenue]],0)</f>
        <v>52910</v>
      </c>
    </row>
    <row r="872" spans="1:26" x14ac:dyDescent="0.3">
      <c r="A872">
        <v>871</v>
      </c>
      <c r="B872" s="2">
        <f t="shared" si="91"/>
        <v>45328.25</v>
      </c>
      <c r="C872" t="s">
        <v>2260</v>
      </c>
      <c r="D872" t="s">
        <v>45</v>
      </c>
      <c r="E872" t="str">
        <f>PROPER(TRIM(CLEAN(Sales_Table[[#This Row],[Region]])))</f>
        <v>North</v>
      </c>
      <c r="F872" t="s">
        <v>37</v>
      </c>
      <c r="G872" t="str">
        <f t="shared" si="92"/>
        <v>Home Appliances</v>
      </c>
      <c r="H872" t="str">
        <f>PROPER(TRIM(CLEAN(Sales_Table[[#This Row],[Product Name]])))</f>
        <v>Laptop</v>
      </c>
      <c r="I872" t="s">
        <v>52</v>
      </c>
      <c r="J872" t="str">
        <f t="shared" si="93"/>
        <v>CUST0583</v>
      </c>
      <c r="K872" t="s">
        <v>165</v>
      </c>
      <c r="L872" t="str">
        <f>PROPER(TRIM(CLEAN(Sales_Table[[#This Row],[Salesperson]])))</f>
        <v>Meena</v>
      </c>
      <c r="M872" t="s">
        <v>40</v>
      </c>
      <c r="N872" t="str">
        <f t="shared" si="94"/>
        <v>Net Banking</v>
      </c>
      <c r="O872" t="s">
        <v>60</v>
      </c>
      <c r="P872">
        <f t="shared" si="95"/>
        <v>12</v>
      </c>
      <c r="Q872" t="s">
        <v>33</v>
      </c>
      <c r="R872">
        <f t="shared" si="96"/>
        <v>1508</v>
      </c>
      <c r="S872" t="s">
        <v>301</v>
      </c>
      <c r="T872">
        <f t="shared" si="97"/>
        <v>18096</v>
      </c>
      <c r="U872">
        <f>YEAR(Sales_Table[[#This Row],[Date_clean]])</f>
        <v>2024</v>
      </c>
      <c r="V872" t="str">
        <f>TEXT(Sales_Table[[#This Row],[Date_clean]],"mmmm")</f>
        <v>February</v>
      </c>
      <c r="W872">
        <f>WEEKNUM(Sales_Table[[#This Row],[Date_clean]],2)</f>
        <v>6</v>
      </c>
      <c r="X872" t="str" cm="1">
        <f t="array" ref="X872">_xlfn.IFS(Sales_Table[[#This Row],[Revenue]]&gt;=50000,"High",Sales_Table[[#This Row],[Revenue]]&gt;=20000,"Medium",Sales_Table[[#This Row],[Revenue]]&lt;20000,"Low")</f>
        <v>Low</v>
      </c>
      <c r="Y872" t="str">
        <f>IF(Sales_Table[[#This Row],[Payment Method_clean]]="cash","Offline","Online")</f>
        <v>Online</v>
      </c>
      <c r="Z872">
        <f>IFERROR(Sales_Table[[#This Row],[Revenue]],0)</f>
        <v>18096</v>
      </c>
    </row>
    <row r="873" spans="1:26" x14ac:dyDescent="0.3">
      <c r="A873">
        <v>872</v>
      </c>
      <c r="B873" s="2">
        <f t="shared" si="91"/>
        <v>45328.291666666664</v>
      </c>
      <c r="C873" t="s">
        <v>2261</v>
      </c>
      <c r="D873" t="s">
        <v>36</v>
      </c>
      <c r="E873" t="str">
        <f>PROPER(TRIM(CLEAN(Sales_Table[[#This Row],[Region]])))</f>
        <v>West</v>
      </c>
      <c r="F873" t="s">
        <v>46</v>
      </c>
      <c r="G873" t="str">
        <f t="shared" si="92"/>
        <v>Electronics</v>
      </c>
      <c r="H873" t="str">
        <f>PROPER(TRIM(CLEAN(Sales_Table[[#This Row],[Product Name]])))</f>
        <v>Washing Machine</v>
      </c>
      <c r="I873" t="s">
        <v>79</v>
      </c>
      <c r="J873" t="str">
        <f t="shared" si="93"/>
        <v>CUST0504</v>
      </c>
      <c r="K873" t="s">
        <v>100</v>
      </c>
      <c r="L873" t="str">
        <f>PROPER(TRIM(CLEAN(Sales_Table[[#This Row],[Salesperson]])))</f>
        <v>Anita</v>
      </c>
      <c r="M873" t="s">
        <v>64</v>
      </c>
      <c r="N873" t="str">
        <f t="shared" si="94"/>
        <v>Credit Card</v>
      </c>
      <c r="O873" t="s">
        <v>65</v>
      </c>
      <c r="P873">
        <f t="shared" si="95"/>
        <v>13</v>
      </c>
      <c r="Q873" t="s">
        <v>81</v>
      </c>
      <c r="R873">
        <f t="shared" si="96"/>
        <v>2043</v>
      </c>
      <c r="S873" t="s">
        <v>2262</v>
      </c>
      <c r="T873">
        <f t="shared" si="97"/>
        <v>26559</v>
      </c>
      <c r="U873">
        <f>YEAR(Sales_Table[[#This Row],[Date_clean]])</f>
        <v>2024</v>
      </c>
      <c r="V873" t="str">
        <f>TEXT(Sales_Table[[#This Row],[Date_clean]],"mmmm")</f>
        <v>February</v>
      </c>
      <c r="W873">
        <f>WEEKNUM(Sales_Table[[#This Row],[Date_clean]],2)</f>
        <v>6</v>
      </c>
      <c r="X873" t="str" cm="1">
        <f t="array" ref="X873">_xlfn.IFS(Sales_Table[[#This Row],[Revenue]]&gt;=50000,"High",Sales_Table[[#This Row],[Revenue]]&gt;=20000,"Medium",Sales_Table[[#This Row],[Revenue]]&lt;20000,"Low")</f>
        <v>Medium</v>
      </c>
      <c r="Y873" t="str">
        <f>IF(Sales_Table[[#This Row],[Payment Method_clean]]="cash","Offline","Online")</f>
        <v>Online</v>
      </c>
      <c r="Z873">
        <f>IFERROR(Sales_Table[[#This Row],[Revenue]],0)</f>
        <v>26559</v>
      </c>
    </row>
    <row r="874" spans="1:26" x14ac:dyDescent="0.3">
      <c r="A874">
        <v>873</v>
      </c>
      <c r="B874" s="2">
        <f t="shared" si="91"/>
        <v>45328.333333333336</v>
      </c>
      <c r="C874" t="s">
        <v>2263</v>
      </c>
      <c r="D874" t="s">
        <v>84</v>
      </c>
      <c r="E874" t="str">
        <f>PROPER(TRIM(CLEAN(Sales_Table[[#This Row],[Region]])))</f>
        <v>South</v>
      </c>
      <c r="F874" t="s">
        <v>78</v>
      </c>
      <c r="G874" t="str">
        <f t="shared" si="92"/>
        <v>Grocery</v>
      </c>
      <c r="H874" t="str">
        <f>PROPER(TRIM(CLEAN(Sales_Table[[#This Row],[Product Name]])))</f>
        <v>Washing Machine</v>
      </c>
      <c r="I874" t="s">
        <v>79</v>
      </c>
      <c r="J874" t="str">
        <f t="shared" si="93"/>
        <v>CUST0371</v>
      </c>
      <c r="K874" t="s">
        <v>285</v>
      </c>
      <c r="L874" t="str">
        <f>PROPER(TRIM(CLEAN(Sales_Table[[#This Row],[Salesperson]])))</f>
        <v>Meena</v>
      </c>
      <c r="M874" t="s">
        <v>40</v>
      </c>
      <c r="N874" t="str">
        <f t="shared" si="94"/>
        <v>Upi</v>
      </c>
      <c r="O874" t="s">
        <v>48</v>
      </c>
      <c r="P874">
        <f t="shared" si="95"/>
        <v>10</v>
      </c>
      <c r="Q874" t="s">
        <v>117</v>
      </c>
      <c r="R874">
        <f t="shared" si="96"/>
        <v>2388</v>
      </c>
      <c r="S874" t="s">
        <v>2264</v>
      </c>
      <c r="T874">
        <f t="shared" si="97"/>
        <v>23880</v>
      </c>
      <c r="U874">
        <f>YEAR(Sales_Table[[#This Row],[Date_clean]])</f>
        <v>2024</v>
      </c>
      <c r="V874" t="str">
        <f>TEXT(Sales_Table[[#This Row],[Date_clean]],"mmmm")</f>
        <v>February</v>
      </c>
      <c r="W874">
        <f>WEEKNUM(Sales_Table[[#This Row],[Date_clean]],2)</f>
        <v>6</v>
      </c>
      <c r="X874" t="str" cm="1">
        <f t="array" ref="X874">_xlfn.IFS(Sales_Table[[#This Row],[Revenue]]&gt;=50000,"High",Sales_Table[[#This Row],[Revenue]]&gt;=20000,"Medium",Sales_Table[[#This Row],[Revenue]]&lt;20000,"Low")</f>
        <v>Medium</v>
      </c>
      <c r="Y874" t="str">
        <f>IF(Sales_Table[[#This Row],[Payment Method_clean]]="cash","Offline","Online")</f>
        <v>Online</v>
      </c>
      <c r="Z874">
        <f>IFERROR(Sales_Table[[#This Row],[Revenue]],0)</f>
        <v>23880</v>
      </c>
    </row>
    <row r="875" spans="1:26" x14ac:dyDescent="0.3">
      <c r="A875">
        <v>874</v>
      </c>
      <c r="B875" s="2">
        <f t="shared" si="91"/>
        <v>45328.375</v>
      </c>
      <c r="C875" t="s">
        <v>2265</v>
      </c>
      <c r="D875" t="s">
        <v>45</v>
      </c>
      <c r="E875" t="str">
        <f>PROPER(TRIM(CLEAN(Sales_Table[[#This Row],[Region]])))</f>
        <v>North</v>
      </c>
      <c r="F875" t="s">
        <v>37</v>
      </c>
      <c r="G875" t="str">
        <f t="shared" si="92"/>
        <v>Home Appliances</v>
      </c>
      <c r="H875" t="str">
        <f>PROPER(TRIM(CLEAN(Sales_Table[[#This Row],[Product Name]])))</f>
        <v>Washing Machine</v>
      </c>
      <c r="I875" t="s">
        <v>79</v>
      </c>
      <c r="J875" t="str">
        <f t="shared" si="93"/>
        <v>CUST0103</v>
      </c>
      <c r="K875" t="s">
        <v>2266</v>
      </c>
      <c r="L875" t="str">
        <f>PROPER(TRIM(CLEAN(Sales_Table[[#This Row],[Salesperson]])))</f>
        <v>Karthik</v>
      </c>
      <c r="M875" t="s">
        <v>70</v>
      </c>
      <c r="N875" t="str">
        <f t="shared" si="94"/>
        <v>Credit Card</v>
      </c>
      <c r="O875" t="s">
        <v>65</v>
      </c>
      <c r="P875">
        <f t="shared" si="95"/>
        <v>10</v>
      </c>
      <c r="Q875" t="s">
        <v>117</v>
      </c>
      <c r="R875">
        <f t="shared" si="96"/>
        <v>646</v>
      </c>
      <c r="S875" t="s">
        <v>2267</v>
      </c>
      <c r="T875">
        <f t="shared" si="97"/>
        <v>6460</v>
      </c>
      <c r="U875">
        <f>YEAR(Sales_Table[[#This Row],[Date_clean]])</f>
        <v>2024</v>
      </c>
      <c r="V875" t="str">
        <f>TEXT(Sales_Table[[#This Row],[Date_clean]],"mmmm")</f>
        <v>February</v>
      </c>
      <c r="W875">
        <f>WEEKNUM(Sales_Table[[#This Row],[Date_clean]],2)</f>
        <v>6</v>
      </c>
      <c r="X875" t="str" cm="1">
        <f t="array" ref="X875">_xlfn.IFS(Sales_Table[[#This Row],[Revenue]]&gt;=50000,"High",Sales_Table[[#This Row],[Revenue]]&gt;=20000,"Medium",Sales_Table[[#This Row],[Revenue]]&lt;20000,"Low")</f>
        <v>Low</v>
      </c>
      <c r="Y875" t="str">
        <f>IF(Sales_Table[[#This Row],[Payment Method_clean]]="cash","Offline","Online")</f>
        <v>Online</v>
      </c>
      <c r="Z875">
        <f>IFERROR(Sales_Table[[#This Row],[Revenue]],0)</f>
        <v>6460</v>
      </c>
    </row>
    <row r="876" spans="1:26" x14ac:dyDescent="0.3">
      <c r="A876">
        <v>875</v>
      </c>
      <c r="B876" s="2">
        <f t="shared" si="91"/>
        <v>45328.416666666664</v>
      </c>
      <c r="C876" t="s">
        <v>2268</v>
      </c>
      <c r="D876" t="s">
        <v>84</v>
      </c>
      <c r="E876" t="str">
        <f>PROPER(TRIM(CLEAN(Sales_Table[[#This Row],[Region]])))</f>
        <v>South</v>
      </c>
      <c r="F876" t="s">
        <v>37</v>
      </c>
      <c r="G876" t="str">
        <f t="shared" si="92"/>
        <v>Home Appliances</v>
      </c>
      <c r="H876" t="str">
        <f>PROPER(TRIM(CLEAN(Sales_Table[[#This Row],[Product Name]])))</f>
        <v>Men T-Shirt</v>
      </c>
      <c r="I876" t="s">
        <v>38</v>
      </c>
      <c r="J876" t="str">
        <f t="shared" si="93"/>
        <v>CUST0125</v>
      </c>
      <c r="K876" t="s">
        <v>572</v>
      </c>
      <c r="L876" t="str">
        <f>PROPER(TRIM(CLEAN(Sales_Table[[#This Row],[Salesperson]])))</f>
        <v>Karthik</v>
      </c>
      <c r="M876" t="s">
        <v>70</v>
      </c>
      <c r="N876" t="str">
        <f t="shared" si="94"/>
        <v>Cash</v>
      </c>
      <c r="O876" t="s">
        <v>32</v>
      </c>
      <c r="P876">
        <f t="shared" si="95"/>
        <v>13</v>
      </c>
      <c r="Q876" t="s">
        <v>81</v>
      </c>
      <c r="R876">
        <f t="shared" si="96"/>
        <v>1318</v>
      </c>
      <c r="S876" t="s">
        <v>2269</v>
      </c>
      <c r="T876">
        <f t="shared" si="97"/>
        <v>17134</v>
      </c>
      <c r="U876">
        <f>YEAR(Sales_Table[[#This Row],[Date_clean]])</f>
        <v>2024</v>
      </c>
      <c r="V876" t="str">
        <f>TEXT(Sales_Table[[#This Row],[Date_clean]],"mmmm")</f>
        <v>February</v>
      </c>
      <c r="W876">
        <f>WEEKNUM(Sales_Table[[#This Row],[Date_clean]],2)</f>
        <v>6</v>
      </c>
      <c r="X876" t="str" cm="1">
        <f t="array" ref="X876">_xlfn.IFS(Sales_Table[[#This Row],[Revenue]]&gt;=50000,"High",Sales_Table[[#This Row],[Revenue]]&gt;=20000,"Medium",Sales_Table[[#This Row],[Revenue]]&lt;20000,"Low")</f>
        <v>Low</v>
      </c>
      <c r="Y876" t="str">
        <f>IF(Sales_Table[[#This Row],[Payment Method_clean]]="cash","Offline","Online")</f>
        <v>Offline</v>
      </c>
      <c r="Z876">
        <f>IFERROR(Sales_Table[[#This Row],[Revenue]],0)</f>
        <v>17134</v>
      </c>
    </row>
    <row r="877" spans="1:26" x14ac:dyDescent="0.3">
      <c r="A877">
        <v>876</v>
      </c>
      <c r="B877" s="2">
        <f t="shared" si="91"/>
        <v>45328.458333333336</v>
      </c>
      <c r="C877" t="s">
        <v>2270</v>
      </c>
      <c r="D877" t="s">
        <v>27</v>
      </c>
      <c r="E877" t="str">
        <f>PROPER(TRIM(CLEAN(Sales_Table[[#This Row],[Region]])))</f>
        <v>East</v>
      </c>
      <c r="F877" t="s">
        <v>46</v>
      </c>
      <c r="G877" t="str">
        <f t="shared" si="92"/>
        <v>Electronics</v>
      </c>
      <c r="H877" t="str">
        <f>PROPER(TRIM(CLEAN(Sales_Table[[#This Row],[Product Name]])))</f>
        <v>Washing Machine</v>
      </c>
      <c r="I877" t="s">
        <v>79</v>
      </c>
      <c r="J877" t="str">
        <f t="shared" si="93"/>
        <v>CUST0313</v>
      </c>
      <c r="K877" t="s">
        <v>2271</v>
      </c>
      <c r="L877" t="str">
        <f>PROPER(TRIM(CLEAN(Sales_Table[[#This Row],[Salesperson]])))</f>
        <v>Rahul</v>
      </c>
      <c r="M877" t="s">
        <v>31</v>
      </c>
      <c r="N877" t="str">
        <f t="shared" si="94"/>
        <v>Credit Card</v>
      </c>
      <c r="O877" t="s">
        <v>65</v>
      </c>
      <c r="P877">
        <f t="shared" si="95"/>
        <v>12</v>
      </c>
      <c r="Q877" t="s">
        <v>33</v>
      </c>
      <c r="R877">
        <f t="shared" si="96"/>
        <v>1520</v>
      </c>
      <c r="S877" t="s">
        <v>2272</v>
      </c>
      <c r="T877">
        <f t="shared" si="97"/>
        <v>18240</v>
      </c>
      <c r="U877">
        <f>YEAR(Sales_Table[[#This Row],[Date_clean]])</f>
        <v>2024</v>
      </c>
      <c r="V877" t="str">
        <f>TEXT(Sales_Table[[#This Row],[Date_clean]],"mmmm")</f>
        <v>February</v>
      </c>
      <c r="W877">
        <f>WEEKNUM(Sales_Table[[#This Row],[Date_clean]],2)</f>
        <v>6</v>
      </c>
      <c r="X877" t="str" cm="1">
        <f t="array" ref="X877">_xlfn.IFS(Sales_Table[[#This Row],[Revenue]]&gt;=50000,"High",Sales_Table[[#This Row],[Revenue]]&gt;=20000,"Medium",Sales_Table[[#This Row],[Revenue]]&lt;20000,"Low")</f>
        <v>Low</v>
      </c>
      <c r="Y877" t="str">
        <f>IF(Sales_Table[[#This Row],[Payment Method_clean]]="cash","Offline","Online")</f>
        <v>Online</v>
      </c>
      <c r="Z877">
        <f>IFERROR(Sales_Table[[#This Row],[Revenue]],0)</f>
        <v>18240</v>
      </c>
    </row>
    <row r="878" spans="1:26" x14ac:dyDescent="0.3">
      <c r="A878">
        <v>877</v>
      </c>
      <c r="B878" s="2">
        <f t="shared" si="91"/>
        <v>45328.5</v>
      </c>
      <c r="C878" t="s">
        <v>2273</v>
      </c>
      <c r="D878" t="s">
        <v>84</v>
      </c>
      <c r="E878" t="str">
        <f>PROPER(TRIM(CLEAN(Sales_Table[[#This Row],[Region]])))</f>
        <v>South</v>
      </c>
      <c r="F878" t="s">
        <v>46</v>
      </c>
      <c r="G878" t="str">
        <f t="shared" si="92"/>
        <v>Electronics</v>
      </c>
      <c r="H878" t="str">
        <f>PROPER(TRIM(CLEAN(Sales_Table[[#This Row],[Product Name]])))</f>
        <v>Men T-Shirt</v>
      </c>
      <c r="I878" t="s">
        <v>38</v>
      </c>
      <c r="J878" t="str">
        <f t="shared" si="93"/>
        <v>CUST0798</v>
      </c>
      <c r="K878" t="s">
        <v>2274</v>
      </c>
      <c r="L878" t="str">
        <f>PROPER(TRIM(CLEAN(Sales_Table[[#This Row],[Salesperson]])))</f>
        <v>Anita</v>
      </c>
      <c r="M878" t="s">
        <v>64</v>
      </c>
      <c r="N878" t="str">
        <f t="shared" si="94"/>
        <v>Credit Card</v>
      </c>
      <c r="O878" t="s">
        <v>65</v>
      </c>
      <c r="P878">
        <f t="shared" si="95"/>
        <v>5</v>
      </c>
      <c r="Q878" t="s">
        <v>89</v>
      </c>
      <c r="R878">
        <f t="shared" si="96"/>
        <v>1554</v>
      </c>
      <c r="S878" t="s">
        <v>2098</v>
      </c>
      <c r="T878">
        <f t="shared" si="97"/>
        <v>7770</v>
      </c>
      <c r="U878">
        <f>YEAR(Sales_Table[[#This Row],[Date_clean]])</f>
        <v>2024</v>
      </c>
      <c r="V878" t="str">
        <f>TEXT(Sales_Table[[#This Row],[Date_clean]],"mmmm")</f>
        <v>February</v>
      </c>
      <c r="W878">
        <f>WEEKNUM(Sales_Table[[#This Row],[Date_clean]],2)</f>
        <v>6</v>
      </c>
      <c r="X878" t="str" cm="1">
        <f t="array" ref="X878">_xlfn.IFS(Sales_Table[[#This Row],[Revenue]]&gt;=50000,"High",Sales_Table[[#This Row],[Revenue]]&gt;=20000,"Medium",Sales_Table[[#This Row],[Revenue]]&lt;20000,"Low")</f>
        <v>Low</v>
      </c>
      <c r="Y878" t="str">
        <f>IF(Sales_Table[[#This Row],[Payment Method_clean]]="cash","Offline","Online")</f>
        <v>Online</v>
      </c>
      <c r="Z878">
        <f>IFERROR(Sales_Table[[#This Row],[Revenue]],0)</f>
        <v>7770</v>
      </c>
    </row>
    <row r="879" spans="1:26" x14ac:dyDescent="0.3">
      <c r="A879">
        <v>878</v>
      </c>
      <c r="B879" s="2">
        <f t="shared" si="91"/>
        <v>45328.541666666664</v>
      </c>
      <c r="C879" t="s">
        <v>2275</v>
      </c>
      <c r="D879" t="s">
        <v>84</v>
      </c>
      <c r="E879" t="str">
        <f>PROPER(TRIM(CLEAN(Sales_Table[[#This Row],[Region]])))</f>
        <v>South</v>
      </c>
      <c r="F879" t="s">
        <v>37</v>
      </c>
      <c r="G879" t="str">
        <f t="shared" si="92"/>
        <v>Home Appliances</v>
      </c>
      <c r="H879" t="str">
        <f>PROPER(TRIM(CLEAN(Sales_Table[[#This Row],[Product Name]])))</f>
        <v>Rice 5Kg</v>
      </c>
      <c r="I879" t="s">
        <v>73</v>
      </c>
      <c r="J879" t="str">
        <f t="shared" si="93"/>
        <v>CUST0458</v>
      </c>
      <c r="K879" t="s">
        <v>490</v>
      </c>
      <c r="L879" t="str">
        <f>PROPER(TRIM(CLEAN(Sales_Table[[#This Row],[Salesperson]])))</f>
        <v>Karthik</v>
      </c>
      <c r="M879" t="s">
        <v>70</v>
      </c>
      <c r="N879" t="str">
        <f t="shared" si="94"/>
        <v>Credit Card</v>
      </c>
      <c r="O879" t="s">
        <v>65</v>
      </c>
      <c r="P879">
        <f t="shared" si="95"/>
        <v>10</v>
      </c>
      <c r="Q879" t="s">
        <v>117</v>
      </c>
      <c r="R879">
        <f t="shared" si="96"/>
        <v>3477</v>
      </c>
      <c r="S879" t="s">
        <v>1266</v>
      </c>
      <c r="T879">
        <f t="shared" si="97"/>
        <v>34770</v>
      </c>
      <c r="U879">
        <f>YEAR(Sales_Table[[#This Row],[Date_clean]])</f>
        <v>2024</v>
      </c>
      <c r="V879" t="str">
        <f>TEXT(Sales_Table[[#This Row],[Date_clean]],"mmmm")</f>
        <v>February</v>
      </c>
      <c r="W879">
        <f>WEEKNUM(Sales_Table[[#This Row],[Date_clean]],2)</f>
        <v>6</v>
      </c>
      <c r="X879" t="str" cm="1">
        <f t="array" ref="X879">_xlfn.IFS(Sales_Table[[#This Row],[Revenue]]&gt;=50000,"High",Sales_Table[[#This Row],[Revenue]]&gt;=20000,"Medium",Sales_Table[[#This Row],[Revenue]]&lt;20000,"Low")</f>
        <v>Medium</v>
      </c>
      <c r="Y879" t="str">
        <f>IF(Sales_Table[[#This Row],[Payment Method_clean]]="cash","Offline","Online")</f>
        <v>Online</v>
      </c>
      <c r="Z879">
        <f>IFERROR(Sales_Table[[#This Row],[Revenue]],0)</f>
        <v>34770</v>
      </c>
    </row>
    <row r="880" spans="1:26" x14ac:dyDescent="0.3">
      <c r="A880">
        <v>879</v>
      </c>
      <c r="B880" s="2">
        <f t="shared" si="91"/>
        <v>45328.583333333336</v>
      </c>
      <c r="C880" t="s">
        <v>2276</v>
      </c>
      <c r="D880" t="s">
        <v>45</v>
      </c>
      <c r="E880" t="str">
        <f>PROPER(TRIM(CLEAN(Sales_Table[[#This Row],[Region]])))</f>
        <v>North</v>
      </c>
      <c r="F880" t="s">
        <v>28</v>
      </c>
      <c r="G880" t="str">
        <f t="shared" si="92"/>
        <v>Clothing</v>
      </c>
      <c r="H880" t="str">
        <f>PROPER(TRIM(CLEAN(Sales_Table[[#This Row],[Product Name]])))</f>
        <v>Rice 5Kg</v>
      </c>
      <c r="I880" t="s">
        <v>73</v>
      </c>
      <c r="J880" t="str">
        <f t="shared" si="93"/>
        <v>CUST0230</v>
      </c>
      <c r="K880" t="s">
        <v>444</v>
      </c>
      <c r="L880" t="str">
        <f>PROPER(TRIM(CLEAN(Sales_Table[[#This Row],[Salesperson]])))</f>
        <v>Suresh</v>
      </c>
      <c r="M880" t="s">
        <v>54</v>
      </c>
      <c r="N880" t="str">
        <f t="shared" si="94"/>
        <v>Credit Card</v>
      </c>
      <c r="O880" t="s">
        <v>65</v>
      </c>
      <c r="P880">
        <f t="shared" si="95"/>
        <v>4</v>
      </c>
      <c r="Q880" t="s">
        <v>113</v>
      </c>
      <c r="R880">
        <f t="shared" si="96"/>
        <v>2872</v>
      </c>
      <c r="S880" t="s">
        <v>2277</v>
      </c>
      <c r="T880">
        <f t="shared" si="97"/>
        <v>11488</v>
      </c>
      <c r="U880">
        <f>YEAR(Sales_Table[[#This Row],[Date_clean]])</f>
        <v>2024</v>
      </c>
      <c r="V880" t="str">
        <f>TEXT(Sales_Table[[#This Row],[Date_clean]],"mmmm")</f>
        <v>February</v>
      </c>
      <c r="W880">
        <f>WEEKNUM(Sales_Table[[#This Row],[Date_clean]],2)</f>
        <v>6</v>
      </c>
      <c r="X880" t="str" cm="1">
        <f t="array" ref="X880">_xlfn.IFS(Sales_Table[[#This Row],[Revenue]]&gt;=50000,"High",Sales_Table[[#This Row],[Revenue]]&gt;=20000,"Medium",Sales_Table[[#This Row],[Revenue]]&lt;20000,"Low")</f>
        <v>Low</v>
      </c>
      <c r="Y880" t="str">
        <f>IF(Sales_Table[[#This Row],[Payment Method_clean]]="cash","Offline","Online")</f>
        <v>Online</v>
      </c>
      <c r="Z880">
        <f>IFERROR(Sales_Table[[#This Row],[Revenue]],0)</f>
        <v>11488</v>
      </c>
    </row>
    <row r="881" spans="1:26" x14ac:dyDescent="0.3">
      <c r="A881">
        <v>880</v>
      </c>
      <c r="B881" s="2">
        <f t="shared" si="91"/>
        <v>45328.625</v>
      </c>
      <c r="C881" t="s">
        <v>2278</v>
      </c>
      <c r="D881" t="s">
        <v>45</v>
      </c>
      <c r="E881" t="str">
        <f>PROPER(TRIM(CLEAN(Sales_Table[[#This Row],[Region]])))</f>
        <v>North</v>
      </c>
      <c r="F881" t="s">
        <v>37</v>
      </c>
      <c r="G881" t="str">
        <f t="shared" si="92"/>
        <v>Home Appliances</v>
      </c>
      <c r="H881" t="str">
        <f>PROPER(TRIM(CLEAN(Sales_Table[[#This Row],[Product Name]])))</f>
        <v>Laptop</v>
      </c>
      <c r="I881" t="s">
        <v>52</v>
      </c>
      <c r="J881" t="str">
        <f t="shared" si="93"/>
        <v>CUST0658</v>
      </c>
      <c r="K881" t="s">
        <v>291</v>
      </c>
      <c r="L881" t="str">
        <f>PROPER(TRIM(CLEAN(Sales_Table[[#This Row],[Salesperson]])))</f>
        <v>Anita</v>
      </c>
      <c r="M881" t="s">
        <v>64</v>
      </c>
      <c r="N881" t="str">
        <f t="shared" si="94"/>
        <v>Cash</v>
      </c>
      <c r="O881" t="s">
        <v>32</v>
      </c>
      <c r="P881">
        <f t="shared" si="95"/>
        <v>2</v>
      </c>
      <c r="Q881" t="s">
        <v>196</v>
      </c>
      <c r="R881">
        <f t="shared" si="96"/>
        <v>4198</v>
      </c>
      <c r="S881" t="s">
        <v>2279</v>
      </c>
      <c r="T881">
        <f t="shared" si="97"/>
        <v>8396</v>
      </c>
      <c r="U881">
        <f>YEAR(Sales_Table[[#This Row],[Date_clean]])</f>
        <v>2024</v>
      </c>
      <c r="V881" t="str">
        <f>TEXT(Sales_Table[[#This Row],[Date_clean]],"mmmm")</f>
        <v>February</v>
      </c>
      <c r="W881">
        <f>WEEKNUM(Sales_Table[[#This Row],[Date_clean]],2)</f>
        <v>6</v>
      </c>
      <c r="X881" t="str" cm="1">
        <f t="array" ref="X881">_xlfn.IFS(Sales_Table[[#This Row],[Revenue]]&gt;=50000,"High",Sales_Table[[#This Row],[Revenue]]&gt;=20000,"Medium",Sales_Table[[#This Row],[Revenue]]&lt;20000,"Low")</f>
        <v>Low</v>
      </c>
      <c r="Y881" t="str">
        <f>IF(Sales_Table[[#This Row],[Payment Method_clean]]="cash","Offline","Online")</f>
        <v>Offline</v>
      </c>
      <c r="Z881">
        <f>IFERROR(Sales_Table[[#This Row],[Revenue]],0)</f>
        <v>8396</v>
      </c>
    </row>
    <row r="882" spans="1:26" x14ac:dyDescent="0.3">
      <c r="A882">
        <v>881</v>
      </c>
      <c r="B882" s="2">
        <f t="shared" si="91"/>
        <v>45328.666666666664</v>
      </c>
      <c r="C882" t="s">
        <v>2280</v>
      </c>
      <c r="D882" t="s">
        <v>45</v>
      </c>
      <c r="E882" t="str">
        <f>PROPER(TRIM(CLEAN(Sales_Table[[#This Row],[Region]])))</f>
        <v>North</v>
      </c>
      <c r="F882" t="s">
        <v>46</v>
      </c>
      <c r="G882" t="str">
        <f t="shared" si="92"/>
        <v>Electronics</v>
      </c>
      <c r="H882" t="str">
        <f>PROPER(TRIM(CLEAN(Sales_Table[[#This Row],[Product Name]])))</f>
        <v>Rice 5Kg</v>
      </c>
      <c r="I882" t="s">
        <v>73</v>
      </c>
      <c r="J882" t="str">
        <f t="shared" si="93"/>
        <v>CUST0197</v>
      </c>
      <c r="K882" t="s">
        <v>1936</v>
      </c>
      <c r="L882" t="str">
        <f>PROPER(TRIM(CLEAN(Sales_Table[[#This Row],[Salesperson]])))</f>
        <v>Anita</v>
      </c>
      <c r="M882" t="s">
        <v>64</v>
      </c>
      <c r="N882" t="str">
        <f t="shared" si="94"/>
        <v>Net Banking</v>
      </c>
      <c r="O882" t="s">
        <v>60</v>
      </c>
      <c r="P882">
        <f t="shared" si="95"/>
        <v>4</v>
      </c>
      <c r="Q882" t="s">
        <v>113</v>
      </c>
      <c r="R882">
        <f t="shared" si="96"/>
        <v>2838</v>
      </c>
      <c r="S882" t="s">
        <v>2281</v>
      </c>
      <c r="T882">
        <f t="shared" si="97"/>
        <v>11352</v>
      </c>
      <c r="U882">
        <f>YEAR(Sales_Table[[#This Row],[Date_clean]])</f>
        <v>2024</v>
      </c>
      <c r="V882" t="str">
        <f>TEXT(Sales_Table[[#This Row],[Date_clean]],"mmmm")</f>
        <v>February</v>
      </c>
      <c r="W882">
        <f>WEEKNUM(Sales_Table[[#This Row],[Date_clean]],2)</f>
        <v>6</v>
      </c>
      <c r="X882" t="str" cm="1">
        <f t="array" ref="X882">_xlfn.IFS(Sales_Table[[#This Row],[Revenue]]&gt;=50000,"High",Sales_Table[[#This Row],[Revenue]]&gt;=20000,"Medium",Sales_Table[[#This Row],[Revenue]]&lt;20000,"Low")</f>
        <v>Low</v>
      </c>
      <c r="Y882" t="str">
        <f>IF(Sales_Table[[#This Row],[Payment Method_clean]]="cash","Offline","Online")</f>
        <v>Online</v>
      </c>
      <c r="Z882">
        <f>IFERROR(Sales_Table[[#This Row],[Revenue]],0)</f>
        <v>11352</v>
      </c>
    </row>
    <row r="883" spans="1:26" x14ac:dyDescent="0.3">
      <c r="A883">
        <v>882</v>
      </c>
      <c r="B883" s="2">
        <f t="shared" si="91"/>
        <v>45328.708333333336</v>
      </c>
      <c r="C883" t="s">
        <v>2282</v>
      </c>
      <c r="D883" t="s">
        <v>84</v>
      </c>
      <c r="E883" t="str">
        <f>PROPER(TRIM(CLEAN(Sales_Table[[#This Row],[Region]])))</f>
        <v>South</v>
      </c>
      <c r="F883" t="s">
        <v>78</v>
      </c>
      <c r="G883" t="str">
        <f t="shared" si="92"/>
        <v>Grocery</v>
      </c>
      <c r="H883" t="str">
        <f>PROPER(TRIM(CLEAN(Sales_Table[[#This Row],[Product Name]])))</f>
        <v>Laptop</v>
      </c>
      <c r="I883" t="s">
        <v>52</v>
      </c>
      <c r="J883" t="str">
        <f t="shared" si="93"/>
        <v>CUST0733</v>
      </c>
      <c r="K883" t="s">
        <v>1449</v>
      </c>
      <c r="L883" t="str">
        <f>PROPER(TRIM(CLEAN(Sales_Table[[#This Row],[Salesperson]])))</f>
        <v>Karthik</v>
      </c>
      <c r="M883" t="s">
        <v>70</v>
      </c>
      <c r="N883" t="str">
        <f t="shared" si="94"/>
        <v>Debit Card</v>
      </c>
      <c r="O883" t="s">
        <v>41</v>
      </c>
      <c r="P883">
        <f t="shared" si="95"/>
        <v>12</v>
      </c>
      <c r="Q883" t="s">
        <v>33</v>
      </c>
      <c r="R883">
        <f t="shared" si="96"/>
        <v>3847</v>
      </c>
      <c r="S883" t="s">
        <v>2283</v>
      </c>
      <c r="T883">
        <f t="shared" si="97"/>
        <v>46164</v>
      </c>
      <c r="U883">
        <f>YEAR(Sales_Table[[#This Row],[Date_clean]])</f>
        <v>2024</v>
      </c>
      <c r="V883" t="str">
        <f>TEXT(Sales_Table[[#This Row],[Date_clean]],"mmmm")</f>
        <v>February</v>
      </c>
      <c r="W883">
        <f>WEEKNUM(Sales_Table[[#This Row],[Date_clean]],2)</f>
        <v>6</v>
      </c>
      <c r="X883" t="str" cm="1">
        <f t="array" ref="X883">_xlfn.IFS(Sales_Table[[#This Row],[Revenue]]&gt;=50000,"High",Sales_Table[[#This Row],[Revenue]]&gt;=20000,"Medium",Sales_Table[[#This Row],[Revenue]]&lt;20000,"Low")</f>
        <v>Medium</v>
      </c>
      <c r="Y883" t="str">
        <f>IF(Sales_Table[[#This Row],[Payment Method_clean]]="cash","Offline","Online")</f>
        <v>Online</v>
      </c>
      <c r="Z883">
        <f>IFERROR(Sales_Table[[#This Row],[Revenue]],0)</f>
        <v>46164</v>
      </c>
    </row>
    <row r="884" spans="1:26" x14ac:dyDescent="0.3">
      <c r="A884">
        <v>883</v>
      </c>
      <c r="B884" s="2">
        <f t="shared" si="91"/>
        <v>45328.75</v>
      </c>
      <c r="C884" t="s">
        <v>2284</v>
      </c>
      <c r="D884" t="s">
        <v>27</v>
      </c>
      <c r="E884" t="str">
        <f>PROPER(TRIM(CLEAN(Sales_Table[[#This Row],[Region]])))</f>
        <v>East</v>
      </c>
      <c r="F884" t="s">
        <v>78</v>
      </c>
      <c r="G884" t="str">
        <f t="shared" si="92"/>
        <v>Grocery</v>
      </c>
      <c r="H884" t="str">
        <f>PROPER(TRIM(CLEAN(Sales_Table[[#This Row],[Product Name]])))</f>
        <v>Led Tv 42Inch</v>
      </c>
      <c r="I884" t="s">
        <v>58</v>
      </c>
      <c r="J884" t="str">
        <f t="shared" si="93"/>
        <v>CUST0423</v>
      </c>
      <c r="K884" t="s">
        <v>2285</v>
      </c>
      <c r="L884" t="str">
        <f>PROPER(TRIM(CLEAN(Sales_Table[[#This Row],[Salesperson]])))</f>
        <v>Suresh</v>
      </c>
      <c r="M884" t="s">
        <v>54</v>
      </c>
      <c r="N884" t="str">
        <f t="shared" si="94"/>
        <v>Upi</v>
      </c>
      <c r="O884" t="s">
        <v>48</v>
      </c>
      <c r="P884">
        <f t="shared" si="95"/>
        <v>8</v>
      </c>
      <c r="Q884" t="s">
        <v>42</v>
      </c>
      <c r="R884">
        <f t="shared" si="96"/>
        <v>1942</v>
      </c>
      <c r="S884" t="s">
        <v>2286</v>
      </c>
      <c r="T884">
        <f t="shared" si="97"/>
        <v>15536</v>
      </c>
      <c r="U884">
        <f>YEAR(Sales_Table[[#This Row],[Date_clean]])</f>
        <v>2024</v>
      </c>
      <c r="V884" t="str">
        <f>TEXT(Sales_Table[[#This Row],[Date_clean]],"mmmm")</f>
        <v>February</v>
      </c>
      <c r="W884">
        <f>WEEKNUM(Sales_Table[[#This Row],[Date_clean]],2)</f>
        <v>6</v>
      </c>
      <c r="X884" t="str" cm="1">
        <f t="array" ref="X884">_xlfn.IFS(Sales_Table[[#This Row],[Revenue]]&gt;=50000,"High",Sales_Table[[#This Row],[Revenue]]&gt;=20000,"Medium",Sales_Table[[#This Row],[Revenue]]&lt;20000,"Low")</f>
        <v>Low</v>
      </c>
      <c r="Y884" t="str">
        <f>IF(Sales_Table[[#This Row],[Payment Method_clean]]="cash","Offline","Online")</f>
        <v>Online</v>
      </c>
      <c r="Z884">
        <f>IFERROR(Sales_Table[[#This Row],[Revenue]],0)</f>
        <v>15536</v>
      </c>
    </row>
    <row r="885" spans="1:26" x14ac:dyDescent="0.3">
      <c r="A885">
        <v>884</v>
      </c>
      <c r="B885" s="2">
        <f t="shared" si="91"/>
        <v>45328.791666666664</v>
      </c>
      <c r="C885" t="s">
        <v>2287</v>
      </c>
      <c r="D885" t="s">
        <v>36</v>
      </c>
      <c r="E885" t="str">
        <f>PROPER(TRIM(CLEAN(Sales_Table[[#This Row],[Region]])))</f>
        <v>West</v>
      </c>
      <c r="F885" t="s">
        <v>28</v>
      </c>
      <c r="G885" t="str">
        <f t="shared" si="92"/>
        <v>Clothing</v>
      </c>
      <c r="H885" t="str">
        <f>PROPER(TRIM(CLEAN(Sales_Table[[#This Row],[Product Name]])))</f>
        <v>Led Tv 42Inch</v>
      </c>
      <c r="I885" t="s">
        <v>58</v>
      </c>
      <c r="J885" t="str">
        <f t="shared" si="93"/>
        <v>CUST0572</v>
      </c>
      <c r="K885" t="s">
        <v>2288</v>
      </c>
      <c r="L885" t="str">
        <f>PROPER(TRIM(CLEAN(Sales_Table[[#This Row],[Salesperson]])))</f>
        <v>Rahul</v>
      </c>
      <c r="M885" t="s">
        <v>31</v>
      </c>
      <c r="N885" t="str">
        <f t="shared" si="94"/>
        <v>Debit Card</v>
      </c>
      <c r="O885" t="s">
        <v>41</v>
      </c>
      <c r="P885">
        <f t="shared" si="95"/>
        <v>5</v>
      </c>
      <c r="Q885" t="s">
        <v>89</v>
      </c>
      <c r="R885">
        <f t="shared" si="96"/>
        <v>846</v>
      </c>
      <c r="S885" t="s">
        <v>2289</v>
      </c>
      <c r="T885">
        <f t="shared" si="97"/>
        <v>4230</v>
      </c>
      <c r="U885">
        <f>YEAR(Sales_Table[[#This Row],[Date_clean]])</f>
        <v>2024</v>
      </c>
      <c r="V885" t="str">
        <f>TEXT(Sales_Table[[#This Row],[Date_clean]],"mmmm")</f>
        <v>February</v>
      </c>
      <c r="W885">
        <f>WEEKNUM(Sales_Table[[#This Row],[Date_clean]],2)</f>
        <v>6</v>
      </c>
      <c r="X885" t="str" cm="1">
        <f t="array" ref="X885">_xlfn.IFS(Sales_Table[[#This Row],[Revenue]]&gt;=50000,"High",Sales_Table[[#This Row],[Revenue]]&gt;=20000,"Medium",Sales_Table[[#This Row],[Revenue]]&lt;20000,"Low")</f>
        <v>Low</v>
      </c>
      <c r="Y885" t="str">
        <f>IF(Sales_Table[[#This Row],[Payment Method_clean]]="cash","Offline","Online")</f>
        <v>Online</v>
      </c>
      <c r="Z885">
        <f>IFERROR(Sales_Table[[#This Row],[Revenue]],0)</f>
        <v>4230</v>
      </c>
    </row>
    <row r="886" spans="1:26" x14ac:dyDescent="0.3">
      <c r="A886">
        <v>885</v>
      </c>
      <c r="B886" s="2">
        <f t="shared" si="91"/>
        <v>45328.833333333336</v>
      </c>
      <c r="C886" t="s">
        <v>2290</v>
      </c>
      <c r="D886" t="s">
        <v>36</v>
      </c>
      <c r="E886" t="str">
        <f>PROPER(TRIM(CLEAN(Sales_Table[[#This Row],[Region]])))</f>
        <v>West</v>
      </c>
      <c r="F886" t="s">
        <v>37</v>
      </c>
      <c r="G886" t="str">
        <f t="shared" si="92"/>
        <v>Home Appliances</v>
      </c>
      <c r="H886" t="str">
        <f>PROPER(TRIM(CLEAN(Sales_Table[[#This Row],[Product Name]])))</f>
        <v>Mixer Grinder</v>
      </c>
      <c r="I886" t="s">
        <v>29</v>
      </c>
      <c r="J886" t="str">
        <f t="shared" si="93"/>
        <v>CUST0610</v>
      </c>
      <c r="K886" t="s">
        <v>2291</v>
      </c>
      <c r="L886" t="str">
        <f>PROPER(TRIM(CLEAN(Sales_Table[[#This Row],[Salesperson]])))</f>
        <v>Karthik</v>
      </c>
      <c r="M886" t="s">
        <v>70</v>
      </c>
      <c r="N886" t="str">
        <f t="shared" si="94"/>
        <v>Debit Card</v>
      </c>
      <c r="O886" t="s">
        <v>41</v>
      </c>
      <c r="P886">
        <f t="shared" si="95"/>
        <v>5</v>
      </c>
      <c r="Q886" t="s">
        <v>89</v>
      </c>
      <c r="R886">
        <f t="shared" si="96"/>
        <v>2916</v>
      </c>
      <c r="S886" t="s">
        <v>2292</v>
      </c>
      <c r="T886">
        <f t="shared" si="97"/>
        <v>14580</v>
      </c>
      <c r="U886">
        <f>YEAR(Sales_Table[[#This Row],[Date_clean]])</f>
        <v>2024</v>
      </c>
      <c r="V886" t="str">
        <f>TEXT(Sales_Table[[#This Row],[Date_clean]],"mmmm")</f>
        <v>February</v>
      </c>
      <c r="W886">
        <f>WEEKNUM(Sales_Table[[#This Row],[Date_clean]],2)</f>
        <v>6</v>
      </c>
      <c r="X886" t="str" cm="1">
        <f t="array" ref="X886">_xlfn.IFS(Sales_Table[[#This Row],[Revenue]]&gt;=50000,"High",Sales_Table[[#This Row],[Revenue]]&gt;=20000,"Medium",Sales_Table[[#This Row],[Revenue]]&lt;20000,"Low")</f>
        <v>Low</v>
      </c>
      <c r="Y886" t="str">
        <f>IF(Sales_Table[[#This Row],[Payment Method_clean]]="cash","Offline","Online")</f>
        <v>Online</v>
      </c>
      <c r="Z886">
        <f>IFERROR(Sales_Table[[#This Row],[Revenue]],0)</f>
        <v>14580</v>
      </c>
    </row>
    <row r="887" spans="1:26" x14ac:dyDescent="0.3">
      <c r="A887">
        <v>886</v>
      </c>
      <c r="B887" s="2">
        <f t="shared" si="91"/>
        <v>45328.875</v>
      </c>
      <c r="C887" t="s">
        <v>2293</v>
      </c>
      <c r="D887" t="s">
        <v>45</v>
      </c>
      <c r="E887" t="str">
        <f>PROPER(TRIM(CLEAN(Sales_Table[[#This Row],[Region]])))</f>
        <v>North</v>
      </c>
      <c r="F887" t="s">
        <v>78</v>
      </c>
      <c r="G887" t="str">
        <f t="shared" si="92"/>
        <v>Grocery</v>
      </c>
      <c r="H887" t="str">
        <f>PROPER(TRIM(CLEAN(Sales_Table[[#This Row],[Product Name]])))</f>
        <v>Laptop</v>
      </c>
      <c r="I887" t="s">
        <v>52</v>
      </c>
      <c r="J887" t="str">
        <f t="shared" si="93"/>
        <v>CUST0171</v>
      </c>
      <c r="K887" t="s">
        <v>1460</v>
      </c>
      <c r="L887" t="str">
        <f>PROPER(TRIM(CLEAN(Sales_Table[[#This Row],[Salesperson]])))</f>
        <v>Suresh</v>
      </c>
      <c r="M887" t="s">
        <v>54</v>
      </c>
      <c r="N887" t="str">
        <f t="shared" si="94"/>
        <v>Upi</v>
      </c>
      <c r="O887" t="s">
        <v>48</v>
      </c>
      <c r="P887">
        <f t="shared" si="95"/>
        <v>13</v>
      </c>
      <c r="Q887" t="s">
        <v>81</v>
      </c>
      <c r="R887">
        <f t="shared" si="96"/>
        <v>971</v>
      </c>
      <c r="S887" t="s">
        <v>2294</v>
      </c>
      <c r="T887">
        <f t="shared" si="97"/>
        <v>12623</v>
      </c>
      <c r="U887">
        <f>YEAR(Sales_Table[[#This Row],[Date_clean]])</f>
        <v>2024</v>
      </c>
      <c r="V887" t="str">
        <f>TEXT(Sales_Table[[#This Row],[Date_clean]],"mmmm")</f>
        <v>February</v>
      </c>
      <c r="W887">
        <f>WEEKNUM(Sales_Table[[#This Row],[Date_clean]],2)</f>
        <v>6</v>
      </c>
      <c r="X887" t="str" cm="1">
        <f t="array" ref="X887">_xlfn.IFS(Sales_Table[[#This Row],[Revenue]]&gt;=50000,"High",Sales_Table[[#This Row],[Revenue]]&gt;=20000,"Medium",Sales_Table[[#This Row],[Revenue]]&lt;20000,"Low")</f>
        <v>Low</v>
      </c>
      <c r="Y887" t="str">
        <f>IF(Sales_Table[[#This Row],[Payment Method_clean]]="cash","Offline","Online")</f>
        <v>Online</v>
      </c>
      <c r="Z887">
        <f>IFERROR(Sales_Table[[#This Row],[Revenue]],0)</f>
        <v>12623</v>
      </c>
    </row>
    <row r="888" spans="1:26" x14ac:dyDescent="0.3">
      <c r="A888">
        <v>887</v>
      </c>
      <c r="B888" s="2">
        <f t="shared" si="91"/>
        <v>45328.916666666664</v>
      </c>
      <c r="C888" t="s">
        <v>2295</v>
      </c>
      <c r="D888" t="s">
        <v>45</v>
      </c>
      <c r="E888" t="str">
        <f>PROPER(TRIM(CLEAN(Sales_Table[[#This Row],[Region]])))</f>
        <v>North</v>
      </c>
      <c r="F888" t="s">
        <v>37</v>
      </c>
      <c r="G888" t="str">
        <f t="shared" si="92"/>
        <v>Home Appliances</v>
      </c>
      <c r="H888" t="str">
        <f>PROPER(TRIM(CLEAN(Sales_Table[[#This Row],[Product Name]])))</f>
        <v>Mixer Grinder</v>
      </c>
      <c r="I888" t="s">
        <v>29</v>
      </c>
      <c r="J888" t="str">
        <f t="shared" si="93"/>
        <v>CUST0382</v>
      </c>
      <c r="K888" t="s">
        <v>2296</v>
      </c>
      <c r="L888" t="str">
        <f>PROPER(TRIM(CLEAN(Sales_Table[[#This Row],[Salesperson]])))</f>
        <v>Anita</v>
      </c>
      <c r="M888" t="s">
        <v>64</v>
      </c>
      <c r="N888" t="str">
        <f t="shared" si="94"/>
        <v>Cash</v>
      </c>
      <c r="O888" t="s">
        <v>32</v>
      </c>
      <c r="P888">
        <f t="shared" si="95"/>
        <v>12</v>
      </c>
      <c r="Q888" t="s">
        <v>33</v>
      </c>
      <c r="R888">
        <f t="shared" si="96"/>
        <v>594</v>
      </c>
      <c r="S888" t="s">
        <v>2297</v>
      </c>
      <c r="T888">
        <f t="shared" si="97"/>
        <v>7128</v>
      </c>
      <c r="U888">
        <f>YEAR(Sales_Table[[#This Row],[Date_clean]])</f>
        <v>2024</v>
      </c>
      <c r="V888" t="str">
        <f>TEXT(Sales_Table[[#This Row],[Date_clean]],"mmmm")</f>
        <v>February</v>
      </c>
      <c r="W888">
        <f>WEEKNUM(Sales_Table[[#This Row],[Date_clean]],2)</f>
        <v>6</v>
      </c>
      <c r="X888" t="str" cm="1">
        <f t="array" ref="X888">_xlfn.IFS(Sales_Table[[#This Row],[Revenue]]&gt;=50000,"High",Sales_Table[[#This Row],[Revenue]]&gt;=20000,"Medium",Sales_Table[[#This Row],[Revenue]]&lt;20000,"Low")</f>
        <v>Low</v>
      </c>
      <c r="Y888" t="str">
        <f>IF(Sales_Table[[#This Row],[Payment Method_clean]]="cash","Offline","Online")</f>
        <v>Offline</v>
      </c>
      <c r="Z888">
        <f>IFERROR(Sales_Table[[#This Row],[Revenue]],0)</f>
        <v>7128</v>
      </c>
    </row>
    <row r="889" spans="1:26" x14ac:dyDescent="0.3">
      <c r="A889">
        <v>888</v>
      </c>
      <c r="B889" s="2">
        <f t="shared" si="91"/>
        <v>45328.958333333336</v>
      </c>
      <c r="C889" t="s">
        <v>2298</v>
      </c>
      <c r="D889" t="s">
        <v>84</v>
      </c>
      <c r="E889" t="str">
        <f>PROPER(TRIM(CLEAN(Sales_Table[[#This Row],[Region]])))</f>
        <v>South</v>
      </c>
      <c r="F889" t="s">
        <v>46</v>
      </c>
      <c r="G889" t="str">
        <f t="shared" si="92"/>
        <v>Electronics</v>
      </c>
      <c r="H889" t="str">
        <f>PROPER(TRIM(CLEAN(Sales_Table[[#This Row],[Product Name]])))</f>
        <v>Mixer Grinder</v>
      </c>
      <c r="I889" t="s">
        <v>29</v>
      </c>
      <c r="J889" t="str">
        <f t="shared" si="93"/>
        <v>CUST0173</v>
      </c>
      <c r="K889" t="s">
        <v>2299</v>
      </c>
      <c r="L889" t="str">
        <f>PROPER(TRIM(CLEAN(Sales_Table[[#This Row],[Salesperson]])))</f>
        <v>Suresh</v>
      </c>
      <c r="M889" t="s">
        <v>54</v>
      </c>
      <c r="N889" t="str">
        <f t="shared" si="94"/>
        <v>Upi</v>
      </c>
      <c r="O889" t="s">
        <v>48</v>
      </c>
      <c r="P889">
        <f t="shared" si="95"/>
        <v>12</v>
      </c>
      <c r="Q889" t="s">
        <v>33</v>
      </c>
      <c r="R889">
        <f t="shared" si="96"/>
        <v>3544</v>
      </c>
      <c r="S889" t="s">
        <v>2300</v>
      </c>
      <c r="T889">
        <f t="shared" si="97"/>
        <v>42528</v>
      </c>
      <c r="U889">
        <f>YEAR(Sales_Table[[#This Row],[Date_clean]])</f>
        <v>2024</v>
      </c>
      <c r="V889" t="str">
        <f>TEXT(Sales_Table[[#This Row],[Date_clean]],"mmmm")</f>
        <v>February</v>
      </c>
      <c r="W889">
        <f>WEEKNUM(Sales_Table[[#This Row],[Date_clean]],2)</f>
        <v>6</v>
      </c>
      <c r="X889" t="str" cm="1">
        <f t="array" ref="X889">_xlfn.IFS(Sales_Table[[#This Row],[Revenue]]&gt;=50000,"High",Sales_Table[[#This Row],[Revenue]]&gt;=20000,"Medium",Sales_Table[[#This Row],[Revenue]]&lt;20000,"Low")</f>
        <v>Medium</v>
      </c>
      <c r="Y889" t="str">
        <f>IF(Sales_Table[[#This Row],[Payment Method_clean]]="cash","Offline","Online")</f>
        <v>Online</v>
      </c>
      <c r="Z889">
        <f>IFERROR(Sales_Table[[#This Row],[Revenue]],0)</f>
        <v>42528</v>
      </c>
    </row>
    <row r="890" spans="1:26" x14ac:dyDescent="0.3">
      <c r="A890">
        <v>889</v>
      </c>
      <c r="B890" s="2">
        <f t="shared" si="91"/>
        <v>45329</v>
      </c>
      <c r="C890" t="s">
        <v>2301</v>
      </c>
      <c r="D890" t="s">
        <v>36</v>
      </c>
      <c r="E890" t="str">
        <f>PROPER(TRIM(CLEAN(Sales_Table[[#This Row],[Region]])))</f>
        <v>West</v>
      </c>
      <c r="F890" t="s">
        <v>78</v>
      </c>
      <c r="G890" t="str">
        <f t="shared" si="92"/>
        <v>Grocery</v>
      </c>
      <c r="H890" t="str">
        <f>PROPER(TRIM(CLEAN(Sales_Table[[#This Row],[Product Name]])))</f>
        <v>Led Tv 42Inch</v>
      </c>
      <c r="I890" t="s">
        <v>58</v>
      </c>
      <c r="J890" t="str">
        <f t="shared" si="93"/>
        <v>CUST0663</v>
      </c>
      <c r="K890" t="s">
        <v>1890</v>
      </c>
      <c r="L890" t="str">
        <f>PROPER(TRIM(CLEAN(Sales_Table[[#This Row],[Salesperson]])))</f>
        <v>Anita</v>
      </c>
      <c r="M890" t="s">
        <v>64</v>
      </c>
      <c r="N890" t="str">
        <f t="shared" si="94"/>
        <v>Cash</v>
      </c>
      <c r="O890" t="s">
        <v>32</v>
      </c>
      <c r="P890">
        <f t="shared" si="95"/>
        <v>10</v>
      </c>
      <c r="Q890" t="s">
        <v>117</v>
      </c>
      <c r="R890">
        <f t="shared" si="96"/>
        <v>4823</v>
      </c>
      <c r="S890" t="s">
        <v>2302</v>
      </c>
      <c r="T890">
        <f t="shared" si="97"/>
        <v>48230</v>
      </c>
      <c r="U890">
        <f>YEAR(Sales_Table[[#This Row],[Date_clean]])</f>
        <v>2024</v>
      </c>
      <c r="V890" t="str">
        <f>TEXT(Sales_Table[[#This Row],[Date_clean]],"mmmm")</f>
        <v>February</v>
      </c>
      <c r="W890">
        <f>WEEKNUM(Sales_Table[[#This Row],[Date_clean]],2)</f>
        <v>6</v>
      </c>
      <c r="X890" t="str" cm="1">
        <f t="array" ref="X890">_xlfn.IFS(Sales_Table[[#This Row],[Revenue]]&gt;=50000,"High",Sales_Table[[#This Row],[Revenue]]&gt;=20000,"Medium",Sales_Table[[#This Row],[Revenue]]&lt;20000,"Low")</f>
        <v>Medium</v>
      </c>
      <c r="Y890" t="str">
        <f>IF(Sales_Table[[#This Row],[Payment Method_clean]]="cash","Offline","Online")</f>
        <v>Offline</v>
      </c>
      <c r="Z890">
        <f>IFERROR(Sales_Table[[#This Row],[Revenue]],0)</f>
        <v>48230</v>
      </c>
    </row>
    <row r="891" spans="1:26" x14ac:dyDescent="0.3">
      <c r="A891">
        <v>890</v>
      </c>
      <c r="B891" s="2">
        <f t="shared" si="91"/>
        <v>45329.041666666664</v>
      </c>
      <c r="C891" t="s">
        <v>2303</v>
      </c>
      <c r="D891" t="s">
        <v>45</v>
      </c>
      <c r="E891" t="str">
        <f>PROPER(TRIM(CLEAN(Sales_Table[[#This Row],[Region]])))</f>
        <v>North</v>
      </c>
      <c r="F891" t="s">
        <v>28</v>
      </c>
      <c r="G891" t="str">
        <f t="shared" si="92"/>
        <v>Clothing</v>
      </c>
      <c r="H891" t="str">
        <f>PROPER(TRIM(CLEAN(Sales_Table[[#This Row],[Product Name]])))</f>
        <v>Laptop</v>
      </c>
      <c r="I891" t="s">
        <v>52</v>
      </c>
      <c r="J891" t="str">
        <f t="shared" si="93"/>
        <v>CUST0453</v>
      </c>
      <c r="K891" t="s">
        <v>1054</v>
      </c>
      <c r="L891" t="str">
        <f>PROPER(TRIM(CLEAN(Sales_Table[[#This Row],[Salesperson]])))</f>
        <v>Karthik</v>
      </c>
      <c r="M891" t="s">
        <v>70</v>
      </c>
      <c r="N891" t="str">
        <f t="shared" si="94"/>
        <v>Debit Card</v>
      </c>
      <c r="O891" t="s">
        <v>41</v>
      </c>
      <c r="P891">
        <f t="shared" si="95"/>
        <v>3</v>
      </c>
      <c r="Q891" t="s">
        <v>66</v>
      </c>
      <c r="R891">
        <f t="shared" si="96"/>
        <v>1175</v>
      </c>
      <c r="S891" t="s">
        <v>2304</v>
      </c>
      <c r="T891">
        <f t="shared" si="97"/>
        <v>3525</v>
      </c>
      <c r="U891">
        <f>YEAR(Sales_Table[[#This Row],[Date_clean]])</f>
        <v>2024</v>
      </c>
      <c r="V891" t="str">
        <f>TEXT(Sales_Table[[#This Row],[Date_clean]],"mmmm")</f>
        <v>February</v>
      </c>
      <c r="W891">
        <f>WEEKNUM(Sales_Table[[#This Row],[Date_clean]],2)</f>
        <v>6</v>
      </c>
      <c r="X891" t="str" cm="1">
        <f t="array" ref="X891">_xlfn.IFS(Sales_Table[[#This Row],[Revenue]]&gt;=50000,"High",Sales_Table[[#This Row],[Revenue]]&gt;=20000,"Medium",Sales_Table[[#This Row],[Revenue]]&lt;20000,"Low")</f>
        <v>Low</v>
      </c>
      <c r="Y891" t="str">
        <f>IF(Sales_Table[[#This Row],[Payment Method_clean]]="cash","Offline","Online")</f>
        <v>Online</v>
      </c>
      <c r="Z891">
        <f>IFERROR(Sales_Table[[#This Row],[Revenue]],0)</f>
        <v>3525</v>
      </c>
    </row>
    <row r="892" spans="1:26" x14ac:dyDescent="0.3">
      <c r="A892">
        <v>891</v>
      </c>
      <c r="B892" s="2">
        <f t="shared" si="91"/>
        <v>45329.083333333336</v>
      </c>
      <c r="C892" t="s">
        <v>2305</v>
      </c>
      <c r="D892" t="s">
        <v>27</v>
      </c>
      <c r="E892" t="str">
        <f>PROPER(TRIM(CLEAN(Sales_Table[[#This Row],[Region]])))</f>
        <v>East</v>
      </c>
      <c r="F892" t="s">
        <v>46</v>
      </c>
      <c r="G892" t="str">
        <f t="shared" si="92"/>
        <v>Electronics</v>
      </c>
      <c r="H892" t="str">
        <f>PROPER(TRIM(CLEAN(Sales_Table[[#This Row],[Product Name]])))</f>
        <v>Led Tv 42Inch</v>
      </c>
      <c r="I892" t="s">
        <v>58</v>
      </c>
      <c r="J892" t="str">
        <f t="shared" si="93"/>
        <v>CUST0350</v>
      </c>
      <c r="K892" t="s">
        <v>913</v>
      </c>
      <c r="L892" t="str">
        <f>PROPER(TRIM(CLEAN(Sales_Table[[#This Row],[Salesperson]])))</f>
        <v>Karthik</v>
      </c>
      <c r="M892" t="s">
        <v>70</v>
      </c>
      <c r="N892" t="str">
        <f t="shared" si="94"/>
        <v>Cash</v>
      </c>
      <c r="O892" t="s">
        <v>32</v>
      </c>
      <c r="P892">
        <f t="shared" si="95"/>
        <v>13</v>
      </c>
      <c r="Q892" t="s">
        <v>81</v>
      </c>
      <c r="R892">
        <f t="shared" si="96"/>
        <v>4094</v>
      </c>
      <c r="S892" t="s">
        <v>619</v>
      </c>
      <c r="T892">
        <f t="shared" si="97"/>
        <v>53222</v>
      </c>
      <c r="U892">
        <f>YEAR(Sales_Table[[#This Row],[Date_clean]])</f>
        <v>2024</v>
      </c>
      <c r="V892" t="str">
        <f>TEXT(Sales_Table[[#This Row],[Date_clean]],"mmmm")</f>
        <v>February</v>
      </c>
      <c r="W892">
        <f>WEEKNUM(Sales_Table[[#This Row],[Date_clean]],2)</f>
        <v>6</v>
      </c>
      <c r="X892" t="str" cm="1">
        <f t="array" ref="X892">_xlfn.IFS(Sales_Table[[#This Row],[Revenue]]&gt;=50000,"High",Sales_Table[[#This Row],[Revenue]]&gt;=20000,"Medium",Sales_Table[[#This Row],[Revenue]]&lt;20000,"Low")</f>
        <v>High</v>
      </c>
      <c r="Y892" t="str">
        <f>IF(Sales_Table[[#This Row],[Payment Method_clean]]="cash","Offline","Online")</f>
        <v>Offline</v>
      </c>
      <c r="Z892">
        <f>IFERROR(Sales_Table[[#This Row],[Revenue]],0)</f>
        <v>53222</v>
      </c>
    </row>
    <row r="893" spans="1:26" x14ac:dyDescent="0.3">
      <c r="A893">
        <v>892</v>
      </c>
      <c r="B893" s="2">
        <f t="shared" si="91"/>
        <v>45329.125</v>
      </c>
      <c r="C893" t="s">
        <v>2306</v>
      </c>
      <c r="D893" t="s">
        <v>27</v>
      </c>
      <c r="E893" t="str">
        <f>PROPER(TRIM(CLEAN(Sales_Table[[#This Row],[Region]])))</f>
        <v>East</v>
      </c>
      <c r="F893" t="s">
        <v>28</v>
      </c>
      <c r="G893" t="str">
        <f t="shared" si="92"/>
        <v>Clothing</v>
      </c>
      <c r="H893" t="str">
        <f>PROPER(TRIM(CLEAN(Sales_Table[[#This Row],[Product Name]])))</f>
        <v>Mixer Grinder</v>
      </c>
      <c r="I893" t="s">
        <v>29</v>
      </c>
      <c r="J893" t="str">
        <f t="shared" si="93"/>
        <v>CUST0634</v>
      </c>
      <c r="K893" t="s">
        <v>2307</v>
      </c>
      <c r="L893" t="str">
        <f>PROPER(TRIM(CLEAN(Sales_Table[[#This Row],[Salesperson]])))</f>
        <v>Meena</v>
      </c>
      <c r="M893" t="s">
        <v>40</v>
      </c>
      <c r="N893" t="str">
        <f t="shared" si="94"/>
        <v>Net Banking</v>
      </c>
      <c r="O893" t="s">
        <v>60</v>
      </c>
      <c r="P893">
        <f t="shared" si="95"/>
        <v>8</v>
      </c>
      <c r="Q893" t="s">
        <v>42</v>
      </c>
      <c r="R893">
        <f t="shared" si="96"/>
        <v>4337</v>
      </c>
      <c r="S893" t="s">
        <v>2308</v>
      </c>
      <c r="T893">
        <f t="shared" si="97"/>
        <v>34696</v>
      </c>
      <c r="U893">
        <f>YEAR(Sales_Table[[#This Row],[Date_clean]])</f>
        <v>2024</v>
      </c>
      <c r="V893" t="str">
        <f>TEXT(Sales_Table[[#This Row],[Date_clean]],"mmmm")</f>
        <v>February</v>
      </c>
      <c r="W893">
        <f>WEEKNUM(Sales_Table[[#This Row],[Date_clean]],2)</f>
        <v>6</v>
      </c>
      <c r="X893" t="str" cm="1">
        <f t="array" ref="X893">_xlfn.IFS(Sales_Table[[#This Row],[Revenue]]&gt;=50000,"High",Sales_Table[[#This Row],[Revenue]]&gt;=20000,"Medium",Sales_Table[[#This Row],[Revenue]]&lt;20000,"Low")</f>
        <v>Medium</v>
      </c>
      <c r="Y893" t="str">
        <f>IF(Sales_Table[[#This Row],[Payment Method_clean]]="cash","Offline","Online")</f>
        <v>Online</v>
      </c>
      <c r="Z893">
        <f>IFERROR(Sales_Table[[#This Row],[Revenue]],0)</f>
        <v>34696</v>
      </c>
    </row>
    <row r="894" spans="1:26" x14ac:dyDescent="0.3">
      <c r="A894">
        <v>893</v>
      </c>
      <c r="B894" s="2">
        <f t="shared" si="91"/>
        <v>45329.166666666664</v>
      </c>
      <c r="C894" t="s">
        <v>2309</v>
      </c>
      <c r="D894" t="s">
        <v>45</v>
      </c>
      <c r="E894" t="str">
        <f>PROPER(TRIM(CLEAN(Sales_Table[[#This Row],[Region]])))</f>
        <v>North</v>
      </c>
      <c r="F894" t="s">
        <v>46</v>
      </c>
      <c r="G894" t="str">
        <f t="shared" si="92"/>
        <v>Electronics</v>
      </c>
      <c r="H894" t="str">
        <f>PROPER(TRIM(CLEAN(Sales_Table[[#This Row],[Product Name]])))</f>
        <v>Laptop</v>
      </c>
      <c r="I894" t="s">
        <v>52</v>
      </c>
      <c r="J894" t="str">
        <f t="shared" si="93"/>
        <v>CUST0494</v>
      </c>
      <c r="K894" t="s">
        <v>916</v>
      </c>
      <c r="L894" t="str">
        <f>PROPER(TRIM(CLEAN(Sales_Table[[#This Row],[Salesperson]])))</f>
        <v>Meena</v>
      </c>
      <c r="M894" t="s">
        <v>40</v>
      </c>
      <c r="N894" t="str">
        <f t="shared" si="94"/>
        <v>Upi</v>
      </c>
      <c r="O894" t="s">
        <v>48</v>
      </c>
      <c r="P894">
        <f t="shared" si="95"/>
        <v>6</v>
      </c>
      <c r="Q894" t="s">
        <v>75</v>
      </c>
      <c r="R894">
        <f t="shared" si="96"/>
        <v>145</v>
      </c>
      <c r="S894" t="s">
        <v>2310</v>
      </c>
      <c r="T894">
        <f t="shared" si="97"/>
        <v>870</v>
      </c>
      <c r="U894">
        <f>YEAR(Sales_Table[[#This Row],[Date_clean]])</f>
        <v>2024</v>
      </c>
      <c r="V894" t="str">
        <f>TEXT(Sales_Table[[#This Row],[Date_clean]],"mmmm")</f>
        <v>February</v>
      </c>
      <c r="W894">
        <f>WEEKNUM(Sales_Table[[#This Row],[Date_clean]],2)</f>
        <v>6</v>
      </c>
      <c r="X894" t="str" cm="1">
        <f t="array" ref="X894">_xlfn.IFS(Sales_Table[[#This Row],[Revenue]]&gt;=50000,"High",Sales_Table[[#This Row],[Revenue]]&gt;=20000,"Medium",Sales_Table[[#This Row],[Revenue]]&lt;20000,"Low")</f>
        <v>Low</v>
      </c>
      <c r="Y894" t="str">
        <f>IF(Sales_Table[[#This Row],[Payment Method_clean]]="cash","Offline","Online")</f>
        <v>Online</v>
      </c>
      <c r="Z894">
        <f>IFERROR(Sales_Table[[#This Row],[Revenue]],0)</f>
        <v>870</v>
      </c>
    </row>
    <row r="895" spans="1:26" x14ac:dyDescent="0.3">
      <c r="A895">
        <v>894</v>
      </c>
      <c r="B895" s="2">
        <f t="shared" si="91"/>
        <v>45329.208333333336</v>
      </c>
      <c r="C895" t="s">
        <v>2311</v>
      </c>
      <c r="D895" t="s">
        <v>45</v>
      </c>
      <c r="E895" t="str">
        <f>PROPER(TRIM(CLEAN(Sales_Table[[#This Row],[Region]])))</f>
        <v>North</v>
      </c>
      <c r="F895" t="s">
        <v>78</v>
      </c>
      <c r="G895" t="str">
        <f t="shared" si="92"/>
        <v>Grocery</v>
      </c>
      <c r="H895" t="str">
        <f>PROPER(TRIM(CLEAN(Sales_Table[[#This Row],[Product Name]])))</f>
        <v>Mixer Grinder</v>
      </c>
      <c r="I895" t="s">
        <v>29</v>
      </c>
      <c r="J895" t="str">
        <f t="shared" si="93"/>
        <v>CUST0620</v>
      </c>
      <c r="K895" t="s">
        <v>2312</v>
      </c>
      <c r="L895" t="str">
        <f>PROPER(TRIM(CLEAN(Sales_Table[[#This Row],[Salesperson]])))</f>
        <v>Meena</v>
      </c>
      <c r="M895" t="s">
        <v>40</v>
      </c>
      <c r="N895" t="str">
        <f t="shared" si="94"/>
        <v>Net Banking</v>
      </c>
      <c r="O895" t="s">
        <v>60</v>
      </c>
      <c r="P895">
        <f t="shared" si="95"/>
        <v>2</v>
      </c>
      <c r="Q895" t="s">
        <v>196</v>
      </c>
      <c r="R895">
        <f t="shared" si="96"/>
        <v>3156</v>
      </c>
      <c r="S895" t="s">
        <v>1940</v>
      </c>
      <c r="T895">
        <f t="shared" si="97"/>
        <v>6312</v>
      </c>
      <c r="U895">
        <f>YEAR(Sales_Table[[#This Row],[Date_clean]])</f>
        <v>2024</v>
      </c>
      <c r="V895" t="str">
        <f>TEXT(Sales_Table[[#This Row],[Date_clean]],"mmmm")</f>
        <v>February</v>
      </c>
      <c r="W895">
        <f>WEEKNUM(Sales_Table[[#This Row],[Date_clean]],2)</f>
        <v>6</v>
      </c>
      <c r="X895" t="str" cm="1">
        <f t="array" ref="X895">_xlfn.IFS(Sales_Table[[#This Row],[Revenue]]&gt;=50000,"High",Sales_Table[[#This Row],[Revenue]]&gt;=20000,"Medium",Sales_Table[[#This Row],[Revenue]]&lt;20000,"Low")</f>
        <v>Low</v>
      </c>
      <c r="Y895" t="str">
        <f>IF(Sales_Table[[#This Row],[Payment Method_clean]]="cash","Offline","Online")</f>
        <v>Online</v>
      </c>
      <c r="Z895">
        <f>IFERROR(Sales_Table[[#This Row],[Revenue]],0)</f>
        <v>6312</v>
      </c>
    </row>
    <row r="896" spans="1:26" x14ac:dyDescent="0.3">
      <c r="A896">
        <v>895</v>
      </c>
      <c r="B896" s="2">
        <f t="shared" si="91"/>
        <v>45329.25</v>
      </c>
      <c r="C896" t="s">
        <v>2313</v>
      </c>
      <c r="D896" t="s">
        <v>36</v>
      </c>
      <c r="E896" t="str">
        <f>PROPER(TRIM(CLEAN(Sales_Table[[#This Row],[Region]])))</f>
        <v>West</v>
      </c>
      <c r="F896" t="s">
        <v>28</v>
      </c>
      <c r="G896" t="str">
        <f t="shared" si="92"/>
        <v>Clothing</v>
      </c>
      <c r="H896" t="str">
        <f>PROPER(TRIM(CLEAN(Sales_Table[[#This Row],[Product Name]])))</f>
        <v>Washing Machine</v>
      </c>
      <c r="I896" t="s">
        <v>79</v>
      </c>
      <c r="J896" t="str">
        <f t="shared" si="93"/>
        <v>CUST0004</v>
      </c>
      <c r="K896" t="s">
        <v>2314</v>
      </c>
      <c r="L896" t="str">
        <f>PROPER(TRIM(CLEAN(Sales_Table[[#This Row],[Salesperson]])))</f>
        <v>Karthik</v>
      </c>
      <c r="M896" t="s">
        <v>70</v>
      </c>
      <c r="N896" t="str">
        <f t="shared" si="94"/>
        <v>Debit Card</v>
      </c>
      <c r="O896" t="s">
        <v>41</v>
      </c>
      <c r="P896">
        <f t="shared" si="95"/>
        <v>2</v>
      </c>
      <c r="Q896" t="s">
        <v>196</v>
      </c>
      <c r="R896">
        <f t="shared" si="96"/>
        <v>2157</v>
      </c>
      <c r="S896" t="s">
        <v>2315</v>
      </c>
      <c r="T896">
        <f t="shared" si="97"/>
        <v>4314</v>
      </c>
      <c r="U896">
        <f>YEAR(Sales_Table[[#This Row],[Date_clean]])</f>
        <v>2024</v>
      </c>
      <c r="V896" t="str">
        <f>TEXT(Sales_Table[[#This Row],[Date_clean]],"mmmm")</f>
        <v>February</v>
      </c>
      <c r="W896">
        <f>WEEKNUM(Sales_Table[[#This Row],[Date_clean]],2)</f>
        <v>6</v>
      </c>
      <c r="X896" t="str" cm="1">
        <f t="array" ref="X896">_xlfn.IFS(Sales_Table[[#This Row],[Revenue]]&gt;=50000,"High",Sales_Table[[#This Row],[Revenue]]&gt;=20000,"Medium",Sales_Table[[#This Row],[Revenue]]&lt;20000,"Low")</f>
        <v>Low</v>
      </c>
      <c r="Y896" t="str">
        <f>IF(Sales_Table[[#This Row],[Payment Method_clean]]="cash","Offline","Online")</f>
        <v>Online</v>
      </c>
      <c r="Z896">
        <f>IFERROR(Sales_Table[[#This Row],[Revenue]],0)</f>
        <v>4314</v>
      </c>
    </row>
    <row r="897" spans="1:26" x14ac:dyDescent="0.3">
      <c r="A897">
        <v>896</v>
      </c>
      <c r="B897" s="2">
        <f t="shared" si="91"/>
        <v>45329.291666666664</v>
      </c>
      <c r="C897" t="s">
        <v>2316</v>
      </c>
      <c r="D897" t="s">
        <v>36</v>
      </c>
      <c r="E897" t="str">
        <f>PROPER(TRIM(CLEAN(Sales_Table[[#This Row],[Region]])))</f>
        <v>West</v>
      </c>
      <c r="F897" t="s">
        <v>28</v>
      </c>
      <c r="G897" t="str">
        <f t="shared" si="92"/>
        <v>Clothing</v>
      </c>
      <c r="H897" t="str">
        <f>PROPER(TRIM(CLEAN(Sales_Table[[#This Row],[Product Name]])))</f>
        <v>Laptop</v>
      </c>
      <c r="I897" t="s">
        <v>52</v>
      </c>
      <c r="J897" t="str">
        <f t="shared" si="93"/>
        <v>CUST0093</v>
      </c>
      <c r="K897" t="s">
        <v>731</v>
      </c>
      <c r="L897" t="str">
        <f>PROPER(TRIM(CLEAN(Sales_Table[[#This Row],[Salesperson]])))</f>
        <v>Rahul</v>
      </c>
      <c r="M897" t="s">
        <v>31</v>
      </c>
      <c r="N897" t="str">
        <f t="shared" si="94"/>
        <v>Upi</v>
      </c>
      <c r="O897" t="s">
        <v>48</v>
      </c>
      <c r="P897">
        <f t="shared" si="95"/>
        <v>9</v>
      </c>
      <c r="Q897" t="s">
        <v>130</v>
      </c>
      <c r="R897">
        <f t="shared" si="96"/>
        <v>763</v>
      </c>
      <c r="S897" t="s">
        <v>2317</v>
      </c>
      <c r="T897">
        <f t="shared" si="97"/>
        <v>6867</v>
      </c>
      <c r="U897">
        <f>YEAR(Sales_Table[[#This Row],[Date_clean]])</f>
        <v>2024</v>
      </c>
      <c r="V897" t="str">
        <f>TEXT(Sales_Table[[#This Row],[Date_clean]],"mmmm")</f>
        <v>February</v>
      </c>
      <c r="W897">
        <f>WEEKNUM(Sales_Table[[#This Row],[Date_clean]],2)</f>
        <v>6</v>
      </c>
      <c r="X897" t="str" cm="1">
        <f t="array" ref="X897">_xlfn.IFS(Sales_Table[[#This Row],[Revenue]]&gt;=50000,"High",Sales_Table[[#This Row],[Revenue]]&gt;=20000,"Medium",Sales_Table[[#This Row],[Revenue]]&lt;20000,"Low")</f>
        <v>Low</v>
      </c>
      <c r="Y897" t="str">
        <f>IF(Sales_Table[[#This Row],[Payment Method_clean]]="cash","Offline","Online")</f>
        <v>Online</v>
      </c>
      <c r="Z897">
        <f>IFERROR(Sales_Table[[#This Row],[Revenue]],0)</f>
        <v>6867</v>
      </c>
    </row>
    <row r="898" spans="1:26" x14ac:dyDescent="0.3">
      <c r="A898">
        <v>897</v>
      </c>
      <c r="B898" s="2">
        <f t="shared" si="91"/>
        <v>45329.333333333336</v>
      </c>
      <c r="C898" t="s">
        <v>2318</v>
      </c>
      <c r="D898" t="s">
        <v>84</v>
      </c>
      <c r="E898" t="str">
        <f>PROPER(TRIM(CLEAN(Sales_Table[[#This Row],[Region]])))</f>
        <v>South</v>
      </c>
      <c r="F898" t="s">
        <v>46</v>
      </c>
      <c r="G898" t="str">
        <f t="shared" si="92"/>
        <v>Electronics</v>
      </c>
      <c r="H898" t="str">
        <f>PROPER(TRIM(CLEAN(Sales_Table[[#This Row],[Product Name]])))</f>
        <v>Laptop</v>
      </c>
      <c r="I898" t="s">
        <v>52</v>
      </c>
      <c r="J898" t="str">
        <f t="shared" si="93"/>
        <v>CUST0006</v>
      </c>
      <c r="K898" t="s">
        <v>1290</v>
      </c>
      <c r="L898" t="str">
        <f>PROPER(TRIM(CLEAN(Sales_Table[[#This Row],[Salesperson]])))</f>
        <v>Karthik</v>
      </c>
      <c r="M898" t="s">
        <v>70</v>
      </c>
      <c r="N898" t="str">
        <f t="shared" si="94"/>
        <v>Debit Card</v>
      </c>
      <c r="O898" t="s">
        <v>41</v>
      </c>
      <c r="P898">
        <f t="shared" si="95"/>
        <v>13</v>
      </c>
      <c r="Q898" t="s">
        <v>81</v>
      </c>
      <c r="R898">
        <f t="shared" si="96"/>
        <v>4768</v>
      </c>
      <c r="S898" t="s">
        <v>2319</v>
      </c>
      <c r="T898">
        <f t="shared" si="97"/>
        <v>61984</v>
      </c>
      <c r="U898">
        <f>YEAR(Sales_Table[[#This Row],[Date_clean]])</f>
        <v>2024</v>
      </c>
      <c r="V898" t="str">
        <f>TEXT(Sales_Table[[#This Row],[Date_clean]],"mmmm")</f>
        <v>February</v>
      </c>
      <c r="W898">
        <f>WEEKNUM(Sales_Table[[#This Row],[Date_clean]],2)</f>
        <v>6</v>
      </c>
      <c r="X898" t="str" cm="1">
        <f t="array" ref="X898">_xlfn.IFS(Sales_Table[[#This Row],[Revenue]]&gt;=50000,"High",Sales_Table[[#This Row],[Revenue]]&gt;=20000,"Medium",Sales_Table[[#This Row],[Revenue]]&lt;20000,"Low")</f>
        <v>High</v>
      </c>
      <c r="Y898" t="str">
        <f>IF(Sales_Table[[#This Row],[Payment Method_clean]]="cash","Offline","Online")</f>
        <v>Online</v>
      </c>
      <c r="Z898">
        <f>IFERROR(Sales_Table[[#This Row],[Revenue]],0)</f>
        <v>61984</v>
      </c>
    </row>
    <row r="899" spans="1:26" x14ac:dyDescent="0.3">
      <c r="A899">
        <v>898</v>
      </c>
      <c r="B899" s="2">
        <f t="shared" ref="B899:B962" si="98">DATEVALUE(LEFT(C899,10))+TIMEVALUE(MID(C899,12,8))</f>
        <v>45329.375</v>
      </c>
      <c r="C899" t="s">
        <v>2320</v>
      </c>
      <c r="D899" t="s">
        <v>36</v>
      </c>
      <c r="E899" t="str">
        <f>PROPER(TRIM(CLEAN(Sales_Table[[#This Row],[Region]])))</f>
        <v>West</v>
      </c>
      <c r="F899" t="s">
        <v>28</v>
      </c>
      <c r="G899" t="str">
        <f t="shared" ref="G899:G962" si="99">PROPER(TRIM(CLEAN(F899)))</f>
        <v>Clothing</v>
      </c>
      <c r="H899" t="str">
        <f>PROPER(TRIM(CLEAN(Sales_Table[[#This Row],[Product Name]])))</f>
        <v>Mixer Grinder</v>
      </c>
      <c r="I899" t="s">
        <v>29</v>
      </c>
      <c r="J899" t="str">
        <f t="shared" ref="J899:J962" si="100">TRIM(K899)</f>
        <v>CUST0288</v>
      </c>
      <c r="K899" t="s">
        <v>663</v>
      </c>
      <c r="L899" t="str">
        <f>PROPER(TRIM(CLEAN(Sales_Table[[#This Row],[Salesperson]])))</f>
        <v>Suresh</v>
      </c>
      <c r="M899" t="s">
        <v>54</v>
      </c>
      <c r="N899" t="str">
        <f t="shared" ref="N899:N962" si="101">PROPER(TRIM(O899))</f>
        <v>Net Banking</v>
      </c>
      <c r="O899" t="s">
        <v>60</v>
      </c>
      <c r="P899">
        <f t="shared" ref="P899:P962" si="102">VALUE(Q899)</f>
        <v>7</v>
      </c>
      <c r="Q899" t="s">
        <v>49</v>
      </c>
      <c r="R899">
        <f t="shared" ref="R899:R962" si="103">VALUE(S899)</f>
        <v>2129</v>
      </c>
      <c r="S899" t="s">
        <v>2321</v>
      </c>
      <c r="T899">
        <f t="shared" ref="T899:T962" si="104">P899*R899</f>
        <v>14903</v>
      </c>
      <c r="U899">
        <f>YEAR(Sales_Table[[#This Row],[Date_clean]])</f>
        <v>2024</v>
      </c>
      <c r="V899" t="str">
        <f>TEXT(Sales_Table[[#This Row],[Date_clean]],"mmmm")</f>
        <v>February</v>
      </c>
      <c r="W899">
        <f>WEEKNUM(Sales_Table[[#This Row],[Date_clean]],2)</f>
        <v>6</v>
      </c>
      <c r="X899" t="str" cm="1">
        <f t="array" ref="X899">_xlfn.IFS(Sales_Table[[#This Row],[Revenue]]&gt;=50000,"High",Sales_Table[[#This Row],[Revenue]]&gt;=20000,"Medium",Sales_Table[[#This Row],[Revenue]]&lt;20000,"Low")</f>
        <v>Low</v>
      </c>
      <c r="Y899" t="str">
        <f>IF(Sales_Table[[#This Row],[Payment Method_clean]]="cash","Offline","Online")</f>
        <v>Online</v>
      </c>
      <c r="Z899">
        <f>IFERROR(Sales_Table[[#This Row],[Revenue]],0)</f>
        <v>14903</v>
      </c>
    </row>
    <row r="900" spans="1:26" x14ac:dyDescent="0.3">
      <c r="A900">
        <v>899</v>
      </c>
      <c r="B900" s="2">
        <f t="shared" si="98"/>
        <v>45329.416666666664</v>
      </c>
      <c r="C900" t="s">
        <v>2322</v>
      </c>
      <c r="D900" t="s">
        <v>27</v>
      </c>
      <c r="E900" t="str">
        <f>PROPER(TRIM(CLEAN(Sales_Table[[#This Row],[Region]])))</f>
        <v>East</v>
      </c>
      <c r="F900" t="s">
        <v>46</v>
      </c>
      <c r="G900" t="str">
        <f t="shared" si="99"/>
        <v>Electronics</v>
      </c>
      <c r="H900" t="str">
        <f>PROPER(TRIM(CLEAN(Sales_Table[[#This Row],[Product Name]])))</f>
        <v>Washing Machine</v>
      </c>
      <c r="I900" t="s">
        <v>79</v>
      </c>
      <c r="J900" t="str">
        <f t="shared" si="100"/>
        <v>CUST0618</v>
      </c>
      <c r="K900" t="s">
        <v>2323</v>
      </c>
      <c r="L900" t="str">
        <f>PROPER(TRIM(CLEAN(Sales_Table[[#This Row],[Salesperson]])))</f>
        <v>Karthik</v>
      </c>
      <c r="M900" t="s">
        <v>70</v>
      </c>
      <c r="N900" t="str">
        <f t="shared" si="101"/>
        <v>Debit Card</v>
      </c>
      <c r="O900" t="s">
        <v>41</v>
      </c>
      <c r="P900">
        <f t="shared" si="102"/>
        <v>10</v>
      </c>
      <c r="Q900" t="s">
        <v>117</v>
      </c>
      <c r="R900">
        <f t="shared" si="103"/>
        <v>2796</v>
      </c>
      <c r="S900" t="s">
        <v>2324</v>
      </c>
      <c r="T900">
        <f t="shared" si="104"/>
        <v>27960</v>
      </c>
      <c r="U900">
        <f>YEAR(Sales_Table[[#This Row],[Date_clean]])</f>
        <v>2024</v>
      </c>
      <c r="V900" t="str">
        <f>TEXT(Sales_Table[[#This Row],[Date_clean]],"mmmm")</f>
        <v>February</v>
      </c>
      <c r="W900">
        <f>WEEKNUM(Sales_Table[[#This Row],[Date_clean]],2)</f>
        <v>6</v>
      </c>
      <c r="X900" t="str" cm="1">
        <f t="array" ref="X900">_xlfn.IFS(Sales_Table[[#This Row],[Revenue]]&gt;=50000,"High",Sales_Table[[#This Row],[Revenue]]&gt;=20000,"Medium",Sales_Table[[#This Row],[Revenue]]&lt;20000,"Low")</f>
        <v>Medium</v>
      </c>
      <c r="Y900" t="str">
        <f>IF(Sales_Table[[#This Row],[Payment Method_clean]]="cash","Offline","Online")</f>
        <v>Online</v>
      </c>
      <c r="Z900">
        <f>IFERROR(Sales_Table[[#This Row],[Revenue]],0)</f>
        <v>27960</v>
      </c>
    </row>
    <row r="901" spans="1:26" x14ac:dyDescent="0.3">
      <c r="A901">
        <v>900</v>
      </c>
      <c r="B901" s="2">
        <f t="shared" si="98"/>
        <v>45329.458333333336</v>
      </c>
      <c r="C901" t="s">
        <v>2325</v>
      </c>
      <c r="D901" t="s">
        <v>27</v>
      </c>
      <c r="E901" t="str">
        <f>PROPER(TRIM(CLEAN(Sales_Table[[#This Row],[Region]])))</f>
        <v>East</v>
      </c>
      <c r="F901" t="s">
        <v>46</v>
      </c>
      <c r="G901" t="str">
        <f t="shared" si="99"/>
        <v>Electronics</v>
      </c>
      <c r="H901" t="str">
        <f>PROPER(TRIM(CLEAN(Sales_Table[[#This Row],[Product Name]])))</f>
        <v>Men T-Shirt</v>
      </c>
      <c r="I901" t="s">
        <v>38</v>
      </c>
      <c r="J901" t="str">
        <f t="shared" si="100"/>
        <v>CUST0146</v>
      </c>
      <c r="K901" t="s">
        <v>2131</v>
      </c>
      <c r="L901" t="str">
        <f>PROPER(TRIM(CLEAN(Sales_Table[[#This Row],[Salesperson]])))</f>
        <v>Karthik</v>
      </c>
      <c r="M901" t="s">
        <v>70</v>
      </c>
      <c r="N901" t="str">
        <f t="shared" si="101"/>
        <v>Upi</v>
      </c>
      <c r="O901" t="s">
        <v>48</v>
      </c>
      <c r="P901">
        <f t="shared" si="102"/>
        <v>9</v>
      </c>
      <c r="Q901" t="s">
        <v>130</v>
      </c>
      <c r="R901">
        <f t="shared" si="103"/>
        <v>739</v>
      </c>
      <c r="S901" t="s">
        <v>2326</v>
      </c>
      <c r="T901">
        <f t="shared" si="104"/>
        <v>6651</v>
      </c>
      <c r="U901">
        <f>YEAR(Sales_Table[[#This Row],[Date_clean]])</f>
        <v>2024</v>
      </c>
      <c r="V901" t="str">
        <f>TEXT(Sales_Table[[#This Row],[Date_clean]],"mmmm")</f>
        <v>February</v>
      </c>
      <c r="W901">
        <f>WEEKNUM(Sales_Table[[#This Row],[Date_clean]],2)</f>
        <v>6</v>
      </c>
      <c r="X901" t="str" cm="1">
        <f t="array" ref="X901">_xlfn.IFS(Sales_Table[[#This Row],[Revenue]]&gt;=50000,"High",Sales_Table[[#This Row],[Revenue]]&gt;=20000,"Medium",Sales_Table[[#This Row],[Revenue]]&lt;20000,"Low")</f>
        <v>Low</v>
      </c>
      <c r="Y901" t="str">
        <f>IF(Sales_Table[[#This Row],[Payment Method_clean]]="cash","Offline","Online")</f>
        <v>Online</v>
      </c>
      <c r="Z901">
        <f>IFERROR(Sales_Table[[#This Row],[Revenue]],0)</f>
        <v>6651</v>
      </c>
    </row>
    <row r="902" spans="1:26" x14ac:dyDescent="0.3">
      <c r="A902">
        <v>901</v>
      </c>
      <c r="B902" s="2">
        <f t="shared" si="98"/>
        <v>45329.5</v>
      </c>
      <c r="C902" t="s">
        <v>2327</v>
      </c>
      <c r="D902" t="s">
        <v>45</v>
      </c>
      <c r="E902" t="str">
        <f>PROPER(TRIM(CLEAN(Sales_Table[[#This Row],[Region]])))</f>
        <v>North</v>
      </c>
      <c r="F902" t="s">
        <v>46</v>
      </c>
      <c r="G902" t="str">
        <f t="shared" si="99"/>
        <v>Electronics</v>
      </c>
      <c r="H902" t="str">
        <f>PROPER(TRIM(CLEAN(Sales_Table[[#This Row],[Product Name]])))</f>
        <v>Led Tv 42Inch</v>
      </c>
      <c r="I902" t="s">
        <v>58</v>
      </c>
      <c r="J902" t="str">
        <f t="shared" si="100"/>
        <v>CUST0783</v>
      </c>
      <c r="K902" t="s">
        <v>950</v>
      </c>
      <c r="L902" t="str">
        <f>PROPER(TRIM(CLEAN(Sales_Table[[#This Row],[Salesperson]])))</f>
        <v>Anita</v>
      </c>
      <c r="M902" t="s">
        <v>64</v>
      </c>
      <c r="N902" t="str">
        <f t="shared" si="101"/>
        <v>Upi</v>
      </c>
      <c r="O902" t="s">
        <v>48</v>
      </c>
      <c r="P902">
        <f t="shared" si="102"/>
        <v>14</v>
      </c>
      <c r="Q902" t="s">
        <v>55</v>
      </c>
      <c r="R902">
        <f t="shared" si="103"/>
        <v>2763</v>
      </c>
      <c r="S902" t="s">
        <v>2328</v>
      </c>
      <c r="T902">
        <f t="shared" si="104"/>
        <v>38682</v>
      </c>
      <c r="U902">
        <f>YEAR(Sales_Table[[#This Row],[Date_clean]])</f>
        <v>2024</v>
      </c>
      <c r="V902" t="str">
        <f>TEXT(Sales_Table[[#This Row],[Date_clean]],"mmmm")</f>
        <v>February</v>
      </c>
      <c r="W902">
        <f>WEEKNUM(Sales_Table[[#This Row],[Date_clean]],2)</f>
        <v>6</v>
      </c>
      <c r="X902" t="str" cm="1">
        <f t="array" ref="X902">_xlfn.IFS(Sales_Table[[#This Row],[Revenue]]&gt;=50000,"High",Sales_Table[[#This Row],[Revenue]]&gt;=20000,"Medium",Sales_Table[[#This Row],[Revenue]]&lt;20000,"Low")</f>
        <v>Medium</v>
      </c>
      <c r="Y902" t="str">
        <f>IF(Sales_Table[[#This Row],[Payment Method_clean]]="cash","Offline","Online")</f>
        <v>Online</v>
      </c>
      <c r="Z902">
        <f>IFERROR(Sales_Table[[#This Row],[Revenue]],0)</f>
        <v>38682</v>
      </c>
    </row>
    <row r="903" spans="1:26" x14ac:dyDescent="0.3">
      <c r="A903">
        <v>902</v>
      </c>
      <c r="B903" s="2">
        <f t="shared" si="98"/>
        <v>45329.541666666664</v>
      </c>
      <c r="C903" t="s">
        <v>2329</v>
      </c>
      <c r="D903" t="s">
        <v>36</v>
      </c>
      <c r="E903" t="str">
        <f>PROPER(TRIM(CLEAN(Sales_Table[[#This Row],[Region]])))</f>
        <v>West</v>
      </c>
      <c r="F903" t="s">
        <v>46</v>
      </c>
      <c r="G903" t="str">
        <f t="shared" si="99"/>
        <v>Electronics</v>
      </c>
      <c r="H903" t="str">
        <f>PROPER(TRIM(CLEAN(Sales_Table[[#This Row],[Product Name]])))</f>
        <v>Mixer Grinder</v>
      </c>
      <c r="I903" t="s">
        <v>29</v>
      </c>
      <c r="J903" t="str">
        <f t="shared" si="100"/>
        <v>CUST0424</v>
      </c>
      <c r="K903" t="s">
        <v>1065</v>
      </c>
      <c r="L903" t="str">
        <f>PROPER(TRIM(CLEAN(Sales_Table[[#This Row],[Salesperson]])))</f>
        <v>Anita</v>
      </c>
      <c r="M903" t="s">
        <v>64</v>
      </c>
      <c r="N903" t="str">
        <f t="shared" si="101"/>
        <v>Debit Card</v>
      </c>
      <c r="O903" t="s">
        <v>41</v>
      </c>
      <c r="P903">
        <f t="shared" si="102"/>
        <v>6</v>
      </c>
      <c r="Q903" t="s">
        <v>75</v>
      </c>
      <c r="R903">
        <f t="shared" si="103"/>
        <v>2845</v>
      </c>
      <c r="S903" t="s">
        <v>2330</v>
      </c>
      <c r="T903">
        <f t="shared" si="104"/>
        <v>17070</v>
      </c>
      <c r="U903">
        <f>YEAR(Sales_Table[[#This Row],[Date_clean]])</f>
        <v>2024</v>
      </c>
      <c r="V903" t="str">
        <f>TEXT(Sales_Table[[#This Row],[Date_clean]],"mmmm")</f>
        <v>February</v>
      </c>
      <c r="W903">
        <f>WEEKNUM(Sales_Table[[#This Row],[Date_clean]],2)</f>
        <v>6</v>
      </c>
      <c r="X903" t="str" cm="1">
        <f t="array" ref="X903">_xlfn.IFS(Sales_Table[[#This Row],[Revenue]]&gt;=50000,"High",Sales_Table[[#This Row],[Revenue]]&gt;=20000,"Medium",Sales_Table[[#This Row],[Revenue]]&lt;20000,"Low")</f>
        <v>Low</v>
      </c>
      <c r="Y903" t="str">
        <f>IF(Sales_Table[[#This Row],[Payment Method_clean]]="cash","Offline","Online")</f>
        <v>Online</v>
      </c>
      <c r="Z903">
        <f>IFERROR(Sales_Table[[#This Row],[Revenue]],0)</f>
        <v>17070</v>
      </c>
    </row>
    <row r="904" spans="1:26" x14ac:dyDescent="0.3">
      <c r="A904">
        <v>903</v>
      </c>
      <c r="B904" s="2">
        <f t="shared" si="98"/>
        <v>45329.583333333336</v>
      </c>
      <c r="C904" t="s">
        <v>2331</v>
      </c>
      <c r="D904" t="s">
        <v>84</v>
      </c>
      <c r="E904" t="str">
        <f>PROPER(TRIM(CLEAN(Sales_Table[[#This Row],[Region]])))</f>
        <v>South</v>
      </c>
      <c r="F904" t="s">
        <v>78</v>
      </c>
      <c r="G904" t="str">
        <f t="shared" si="99"/>
        <v>Grocery</v>
      </c>
      <c r="H904" t="str">
        <f>PROPER(TRIM(CLEAN(Sales_Table[[#This Row],[Product Name]])))</f>
        <v>Laptop</v>
      </c>
      <c r="I904" t="s">
        <v>52</v>
      </c>
      <c r="J904" t="str">
        <f t="shared" si="100"/>
        <v>CUST0608</v>
      </c>
      <c r="K904" t="s">
        <v>396</v>
      </c>
      <c r="L904" t="str">
        <f>PROPER(TRIM(CLEAN(Sales_Table[[#This Row],[Salesperson]])))</f>
        <v>Anita</v>
      </c>
      <c r="M904" t="s">
        <v>64</v>
      </c>
      <c r="N904" t="str">
        <f t="shared" si="101"/>
        <v>Upi</v>
      </c>
      <c r="O904" t="s">
        <v>48</v>
      </c>
      <c r="P904">
        <f t="shared" si="102"/>
        <v>5</v>
      </c>
      <c r="Q904" t="s">
        <v>89</v>
      </c>
      <c r="R904">
        <f t="shared" si="103"/>
        <v>4502</v>
      </c>
      <c r="S904" t="s">
        <v>2332</v>
      </c>
      <c r="T904">
        <f t="shared" si="104"/>
        <v>22510</v>
      </c>
      <c r="U904">
        <f>YEAR(Sales_Table[[#This Row],[Date_clean]])</f>
        <v>2024</v>
      </c>
      <c r="V904" t="str">
        <f>TEXT(Sales_Table[[#This Row],[Date_clean]],"mmmm")</f>
        <v>February</v>
      </c>
      <c r="W904">
        <f>WEEKNUM(Sales_Table[[#This Row],[Date_clean]],2)</f>
        <v>6</v>
      </c>
      <c r="X904" t="str" cm="1">
        <f t="array" ref="X904">_xlfn.IFS(Sales_Table[[#This Row],[Revenue]]&gt;=50000,"High",Sales_Table[[#This Row],[Revenue]]&gt;=20000,"Medium",Sales_Table[[#This Row],[Revenue]]&lt;20000,"Low")</f>
        <v>Medium</v>
      </c>
      <c r="Y904" t="str">
        <f>IF(Sales_Table[[#This Row],[Payment Method_clean]]="cash","Offline","Online")</f>
        <v>Online</v>
      </c>
      <c r="Z904">
        <f>IFERROR(Sales_Table[[#This Row],[Revenue]],0)</f>
        <v>22510</v>
      </c>
    </row>
    <row r="905" spans="1:26" x14ac:dyDescent="0.3">
      <c r="A905">
        <v>904</v>
      </c>
      <c r="B905" s="2">
        <f t="shared" si="98"/>
        <v>45329.625</v>
      </c>
      <c r="C905" t="s">
        <v>2333</v>
      </c>
      <c r="D905" t="s">
        <v>27</v>
      </c>
      <c r="E905" t="str">
        <f>PROPER(TRIM(CLEAN(Sales_Table[[#This Row],[Region]])))</f>
        <v>East</v>
      </c>
      <c r="F905" t="s">
        <v>46</v>
      </c>
      <c r="G905" t="str">
        <f t="shared" si="99"/>
        <v>Electronics</v>
      </c>
      <c r="H905" t="str">
        <f>PROPER(TRIM(CLEAN(Sales_Table[[#This Row],[Product Name]])))</f>
        <v>Led Tv 42Inch</v>
      </c>
      <c r="I905" t="s">
        <v>58</v>
      </c>
      <c r="J905" t="str">
        <f t="shared" si="100"/>
        <v>CUST0457</v>
      </c>
      <c r="K905" t="s">
        <v>1978</v>
      </c>
      <c r="L905" t="str">
        <f>PROPER(TRIM(CLEAN(Sales_Table[[#This Row],[Salesperson]])))</f>
        <v>Karthik</v>
      </c>
      <c r="M905" t="s">
        <v>70</v>
      </c>
      <c r="N905" t="str">
        <f t="shared" si="101"/>
        <v>Upi</v>
      </c>
      <c r="O905" t="s">
        <v>48</v>
      </c>
      <c r="P905">
        <f t="shared" si="102"/>
        <v>12</v>
      </c>
      <c r="Q905" t="s">
        <v>33</v>
      </c>
      <c r="R905">
        <f t="shared" si="103"/>
        <v>2695</v>
      </c>
      <c r="S905" t="s">
        <v>2334</v>
      </c>
      <c r="T905">
        <f t="shared" si="104"/>
        <v>32340</v>
      </c>
      <c r="U905">
        <f>YEAR(Sales_Table[[#This Row],[Date_clean]])</f>
        <v>2024</v>
      </c>
      <c r="V905" t="str">
        <f>TEXT(Sales_Table[[#This Row],[Date_clean]],"mmmm")</f>
        <v>February</v>
      </c>
      <c r="W905">
        <f>WEEKNUM(Sales_Table[[#This Row],[Date_clean]],2)</f>
        <v>6</v>
      </c>
      <c r="X905" t="str" cm="1">
        <f t="array" ref="X905">_xlfn.IFS(Sales_Table[[#This Row],[Revenue]]&gt;=50000,"High",Sales_Table[[#This Row],[Revenue]]&gt;=20000,"Medium",Sales_Table[[#This Row],[Revenue]]&lt;20000,"Low")</f>
        <v>Medium</v>
      </c>
      <c r="Y905" t="str">
        <f>IF(Sales_Table[[#This Row],[Payment Method_clean]]="cash","Offline","Online")</f>
        <v>Online</v>
      </c>
      <c r="Z905">
        <f>IFERROR(Sales_Table[[#This Row],[Revenue]],0)</f>
        <v>32340</v>
      </c>
    </row>
    <row r="906" spans="1:26" x14ac:dyDescent="0.3">
      <c r="A906">
        <v>905</v>
      </c>
      <c r="B906" s="2">
        <f t="shared" si="98"/>
        <v>45329.666666666664</v>
      </c>
      <c r="C906" t="s">
        <v>2335</v>
      </c>
      <c r="D906" t="s">
        <v>27</v>
      </c>
      <c r="E906" t="str">
        <f>PROPER(TRIM(CLEAN(Sales_Table[[#This Row],[Region]])))</f>
        <v>East</v>
      </c>
      <c r="F906" t="s">
        <v>37</v>
      </c>
      <c r="G906" t="str">
        <f t="shared" si="99"/>
        <v>Home Appliances</v>
      </c>
      <c r="H906" t="str">
        <f>PROPER(TRIM(CLEAN(Sales_Table[[#This Row],[Product Name]])))</f>
        <v>Led Tv 42Inch</v>
      </c>
      <c r="I906" t="s">
        <v>58</v>
      </c>
      <c r="J906" t="str">
        <f t="shared" si="100"/>
        <v>CUST0741</v>
      </c>
      <c r="K906" t="s">
        <v>2336</v>
      </c>
      <c r="L906" t="str">
        <f>PROPER(TRIM(CLEAN(Sales_Table[[#This Row],[Salesperson]])))</f>
        <v>Rahul</v>
      </c>
      <c r="M906" t="s">
        <v>31</v>
      </c>
      <c r="N906" t="str">
        <f t="shared" si="101"/>
        <v>Debit Card</v>
      </c>
      <c r="O906" t="s">
        <v>41</v>
      </c>
      <c r="P906">
        <f t="shared" si="102"/>
        <v>1</v>
      </c>
      <c r="Q906" t="s">
        <v>93</v>
      </c>
      <c r="R906">
        <f t="shared" si="103"/>
        <v>3527</v>
      </c>
      <c r="S906" t="s">
        <v>2337</v>
      </c>
      <c r="T906">
        <f t="shared" si="104"/>
        <v>3527</v>
      </c>
      <c r="U906">
        <f>YEAR(Sales_Table[[#This Row],[Date_clean]])</f>
        <v>2024</v>
      </c>
      <c r="V906" t="str">
        <f>TEXT(Sales_Table[[#This Row],[Date_clean]],"mmmm")</f>
        <v>February</v>
      </c>
      <c r="W906">
        <f>WEEKNUM(Sales_Table[[#This Row],[Date_clean]],2)</f>
        <v>6</v>
      </c>
      <c r="X906" t="str" cm="1">
        <f t="array" ref="X906">_xlfn.IFS(Sales_Table[[#This Row],[Revenue]]&gt;=50000,"High",Sales_Table[[#This Row],[Revenue]]&gt;=20000,"Medium",Sales_Table[[#This Row],[Revenue]]&lt;20000,"Low")</f>
        <v>Low</v>
      </c>
      <c r="Y906" t="str">
        <f>IF(Sales_Table[[#This Row],[Payment Method_clean]]="cash","Offline","Online")</f>
        <v>Online</v>
      </c>
      <c r="Z906">
        <f>IFERROR(Sales_Table[[#This Row],[Revenue]],0)</f>
        <v>3527</v>
      </c>
    </row>
    <row r="907" spans="1:26" x14ac:dyDescent="0.3">
      <c r="A907">
        <v>906</v>
      </c>
      <c r="B907" s="2">
        <f t="shared" si="98"/>
        <v>45329.708333333336</v>
      </c>
      <c r="C907" t="s">
        <v>2338</v>
      </c>
      <c r="D907" t="s">
        <v>84</v>
      </c>
      <c r="E907" t="str">
        <f>PROPER(TRIM(CLEAN(Sales_Table[[#This Row],[Region]])))</f>
        <v>South</v>
      </c>
      <c r="F907" t="s">
        <v>28</v>
      </c>
      <c r="G907" t="str">
        <f t="shared" si="99"/>
        <v>Clothing</v>
      </c>
      <c r="H907" t="str">
        <f>PROPER(TRIM(CLEAN(Sales_Table[[#This Row],[Product Name]])))</f>
        <v>Led Tv 42Inch</v>
      </c>
      <c r="I907" t="s">
        <v>58</v>
      </c>
      <c r="J907" t="str">
        <f t="shared" si="100"/>
        <v>CUST0202</v>
      </c>
      <c r="K907" t="s">
        <v>2339</v>
      </c>
      <c r="L907" t="str">
        <f>PROPER(TRIM(CLEAN(Sales_Table[[#This Row],[Salesperson]])))</f>
        <v>Suresh</v>
      </c>
      <c r="M907" t="s">
        <v>54</v>
      </c>
      <c r="N907" t="str">
        <f t="shared" si="101"/>
        <v>Net Banking</v>
      </c>
      <c r="O907" t="s">
        <v>60</v>
      </c>
      <c r="P907">
        <f t="shared" si="102"/>
        <v>12</v>
      </c>
      <c r="Q907" t="s">
        <v>33</v>
      </c>
      <c r="R907">
        <f t="shared" si="103"/>
        <v>494</v>
      </c>
      <c r="S907" t="s">
        <v>2340</v>
      </c>
      <c r="T907">
        <f t="shared" si="104"/>
        <v>5928</v>
      </c>
      <c r="U907">
        <f>YEAR(Sales_Table[[#This Row],[Date_clean]])</f>
        <v>2024</v>
      </c>
      <c r="V907" t="str">
        <f>TEXT(Sales_Table[[#This Row],[Date_clean]],"mmmm")</f>
        <v>February</v>
      </c>
      <c r="W907">
        <f>WEEKNUM(Sales_Table[[#This Row],[Date_clean]],2)</f>
        <v>6</v>
      </c>
      <c r="X907" t="str" cm="1">
        <f t="array" ref="X907">_xlfn.IFS(Sales_Table[[#This Row],[Revenue]]&gt;=50000,"High",Sales_Table[[#This Row],[Revenue]]&gt;=20000,"Medium",Sales_Table[[#This Row],[Revenue]]&lt;20000,"Low")</f>
        <v>Low</v>
      </c>
      <c r="Y907" t="str">
        <f>IF(Sales_Table[[#This Row],[Payment Method_clean]]="cash","Offline","Online")</f>
        <v>Online</v>
      </c>
      <c r="Z907">
        <f>IFERROR(Sales_Table[[#This Row],[Revenue]],0)</f>
        <v>5928</v>
      </c>
    </row>
    <row r="908" spans="1:26" x14ac:dyDescent="0.3">
      <c r="A908">
        <v>907</v>
      </c>
      <c r="B908" s="2">
        <f t="shared" si="98"/>
        <v>45329.75</v>
      </c>
      <c r="C908" t="s">
        <v>2341</v>
      </c>
      <c r="D908" t="s">
        <v>84</v>
      </c>
      <c r="E908" t="str">
        <f>PROPER(TRIM(CLEAN(Sales_Table[[#This Row],[Region]])))</f>
        <v>South</v>
      </c>
      <c r="F908" t="s">
        <v>37</v>
      </c>
      <c r="G908" t="str">
        <f t="shared" si="99"/>
        <v>Home Appliances</v>
      </c>
      <c r="H908" t="str">
        <f>PROPER(TRIM(CLEAN(Sales_Table[[#This Row],[Product Name]])))</f>
        <v>Men T-Shirt</v>
      </c>
      <c r="I908" t="s">
        <v>38</v>
      </c>
      <c r="J908" t="str">
        <f t="shared" si="100"/>
        <v>CUST0212</v>
      </c>
      <c r="K908" t="s">
        <v>865</v>
      </c>
      <c r="L908" t="str">
        <f>PROPER(TRIM(CLEAN(Sales_Table[[#This Row],[Salesperson]])))</f>
        <v>Suresh</v>
      </c>
      <c r="M908" t="s">
        <v>54</v>
      </c>
      <c r="N908" t="str">
        <f t="shared" si="101"/>
        <v>Upi</v>
      </c>
      <c r="O908" t="s">
        <v>48</v>
      </c>
      <c r="P908">
        <f t="shared" si="102"/>
        <v>6</v>
      </c>
      <c r="Q908" t="s">
        <v>75</v>
      </c>
      <c r="R908">
        <f t="shared" si="103"/>
        <v>3697</v>
      </c>
      <c r="S908" t="s">
        <v>1623</v>
      </c>
      <c r="T908">
        <f t="shared" si="104"/>
        <v>22182</v>
      </c>
      <c r="U908">
        <f>YEAR(Sales_Table[[#This Row],[Date_clean]])</f>
        <v>2024</v>
      </c>
      <c r="V908" t="str">
        <f>TEXT(Sales_Table[[#This Row],[Date_clean]],"mmmm")</f>
        <v>February</v>
      </c>
      <c r="W908">
        <f>WEEKNUM(Sales_Table[[#This Row],[Date_clean]],2)</f>
        <v>6</v>
      </c>
      <c r="X908" t="str" cm="1">
        <f t="array" ref="X908">_xlfn.IFS(Sales_Table[[#This Row],[Revenue]]&gt;=50000,"High",Sales_Table[[#This Row],[Revenue]]&gt;=20000,"Medium",Sales_Table[[#This Row],[Revenue]]&lt;20000,"Low")</f>
        <v>Medium</v>
      </c>
      <c r="Y908" t="str">
        <f>IF(Sales_Table[[#This Row],[Payment Method_clean]]="cash","Offline","Online")</f>
        <v>Online</v>
      </c>
      <c r="Z908">
        <f>IFERROR(Sales_Table[[#This Row],[Revenue]],0)</f>
        <v>22182</v>
      </c>
    </row>
    <row r="909" spans="1:26" x14ac:dyDescent="0.3">
      <c r="A909">
        <v>908</v>
      </c>
      <c r="B909" s="2">
        <f t="shared" si="98"/>
        <v>45329.791666666664</v>
      </c>
      <c r="C909" t="s">
        <v>2342</v>
      </c>
      <c r="D909" t="s">
        <v>27</v>
      </c>
      <c r="E909" t="str">
        <f>PROPER(TRIM(CLEAN(Sales_Table[[#This Row],[Region]])))</f>
        <v>East</v>
      </c>
      <c r="F909" t="s">
        <v>78</v>
      </c>
      <c r="G909" t="str">
        <f t="shared" si="99"/>
        <v>Grocery</v>
      </c>
      <c r="H909" t="str">
        <f>PROPER(TRIM(CLEAN(Sales_Table[[#This Row],[Product Name]])))</f>
        <v>Rice 5Kg</v>
      </c>
      <c r="I909" t="s">
        <v>73</v>
      </c>
      <c r="J909" t="str">
        <f t="shared" si="100"/>
        <v>CUST0006</v>
      </c>
      <c r="K909" t="s">
        <v>1290</v>
      </c>
      <c r="L909" t="str">
        <f>PROPER(TRIM(CLEAN(Sales_Table[[#This Row],[Salesperson]])))</f>
        <v>Rahul</v>
      </c>
      <c r="M909" t="s">
        <v>31</v>
      </c>
      <c r="N909" t="str">
        <f t="shared" si="101"/>
        <v>Upi</v>
      </c>
      <c r="O909" t="s">
        <v>48</v>
      </c>
      <c r="P909">
        <f t="shared" si="102"/>
        <v>6</v>
      </c>
      <c r="Q909" t="s">
        <v>75</v>
      </c>
      <c r="R909">
        <f t="shared" si="103"/>
        <v>4944</v>
      </c>
      <c r="S909" t="s">
        <v>1434</v>
      </c>
      <c r="T909">
        <f t="shared" si="104"/>
        <v>29664</v>
      </c>
      <c r="U909">
        <f>YEAR(Sales_Table[[#This Row],[Date_clean]])</f>
        <v>2024</v>
      </c>
      <c r="V909" t="str">
        <f>TEXT(Sales_Table[[#This Row],[Date_clean]],"mmmm")</f>
        <v>February</v>
      </c>
      <c r="W909">
        <f>WEEKNUM(Sales_Table[[#This Row],[Date_clean]],2)</f>
        <v>6</v>
      </c>
      <c r="X909" t="str" cm="1">
        <f t="array" ref="X909">_xlfn.IFS(Sales_Table[[#This Row],[Revenue]]&gt;=50000,"High",Sales_Table[[#This Row],[Revenue]]&gt;=20000,"Medium",Sales_Table[[#This Row],[Revenue]]&lt;20000,"Low")</f>
        <v>Medium</v>
      </c>
      <c r="Y909" t="str">
        <f>IF(Sales_Table[[#This Row],[Payment Method_clean]]="cash","Offline","Online")</f>
        <v>Online</v>
      </c>
      <c r="Z909">
        <f>IFERROR(Sales_Table[[#This Row],[Revenue]],0)</f>
        <v>29664</v>
      </c>
    </row>
    <row r="910" spans="1:26" x14ac:dyDescent="0.3">
      <c r="A910">
        <v>909</v>
      </c>
      <c r="B910" s="2">
        <f t="shared" si="98"/>
        <v>45329.833333333336</v>
      </c>
      <c r="C910" t="s">
        <v>2343</v>
      </c>
      <c r="D910" t="s">
        <v>27</v>
      </c>
      <c r="E910" t="str">
        <f>PROPER(TRIM(CLEAN(Sales_Table[[#This Row],[Region]])))</f>
        <v>East</v>
      </c>
      <c r="F910" t="s">
        <v>37</v>
      </c>
      <c r="G910" t="str">
        <f t="shared" si="99"/>
        <v>Home Appliances</v>
      </c>
      <c r="H910" t="str">
        <f>PROPER(TRIM(CLEAN(Sales_Table[[#This Row],[Product Name]])))</f>
        <v>Mixer Grinder</v>
      </c>
      <c r="I910" t="s">
        <v>29</v>
      </c>
      <c r="J910" t="str">
        <f t="shared" si="100"/>
        <v>CUST0624</v>
      </c>
      <c r="K910" t="s">
        <v>1467</v>
      </c>
      <c r="L910" t="str">
        <f>PROPER(TRIM(CLEAN(Sales_Table[[#This Row],[Salesperson]])))</f>
        <v>Rahul</v>
      </c>
      <c r="M910" t="s">
        <v>31</v>
      </c>
      <c r="N910" t="str">
        <f t="shared" si="101"/>
        <v>Upi</v>
      </c>
      <c r="O910" t="s">
        <v>48</v>
      </c>
      <c r="P910">
        <f t="shared" si="102"/>
        <v>3</v>
      </c>
      <c r="Q910" t="s">
        <v>66</v>
      </c>
      <c r="R910">
        <f t="shared" si="103"/>
        <v>2432</v>
      </c>
      <c r="S910" t="s">
        <v>2344</v>
      </c>
      <c r="T910">
        <f t="shared" si="104"/>
        <v>7296</v>
      </c>
      <c r="U910">
        <f>YEAR(Sales_Table[[#This Row],[Date_clean]])</f>
        <v>2024</v>
      </c>
      <c r="V910" t="str">
        <f>TEXT(Sales_Table[[#This Row],[Date_clean]],"mmmm")</f>
        <v>February</v>
      </c>
      <c r="W910">
        <f>WEEKNUM(Sales_Table[[#This Row],[Date_clean]],2)</f>
        <v>6</v>
      </c>
      <c r="X910" t="str" cm="1">
        <f t="array" ref="X910">_xlfn.IFS(Sales_Table[[#This Row],[Revenue]]&gt;=50000,"High",Sales_Table[[#This Row],[Revenue]]&gt;=20000,"Medium",Sales_Table[[#This Row],[Revenue]]&lt;20000,"Low")</f>
        <v>Low</v>
      </c>
      <c r="Y910" t="str">
        <f>IF(Sales_Table[[#This Row],[Payment Method_clean]]="cash","Offline","Online")</f>
        <v>Online</v>
      </c>
      <c r="Z910">
        <f>IFERROR(Sales_Table[[#This Row],[Revenue]],0)</f>
        <v>7296</v>
      </c>
    </row>
    <row r="911" spans="1:26" x14ac:dyDescent="0.3">
      <c r="A911">
        <v>910</v>
      </c>
      <c r="B911" s="2">
        <f t="shared" si="98"/>
        <v>45329.875</v>
      </c>
      <c r="C911" t="s">
        <v>2345</v>
      </c>
      <c r="D911" t="s">
        <v>84</v>
      </c>
      <c r="E911" t="str">
        <f>PROPER(TRIM(CLEAN(Sales_Table[[#This Row],[Region]])))</f>
        <v>South</v>
      </c>
      <c r="F911" t="s">
        <v>28</v>
      </c>
      <c r="G911" t="str">
        <f t="shared" si="99"/>
        <v>Clothing</v>
      </c>
      <c r="H911" t="str">
        <f>PROPER(TRIM(CLEAN(Sales_Table[[#This Row],[Product Name]])))</f>
        <v>Rice 5Kg</v>
      </c>
      <c r="I911" t="s">
        <v>73</v>
      </c>
      <c r="J911" t="str">
        <f t="shared" si="100"/>
        <v>CUST0376</v>
      </c>
      <c r="K911" t="s">
        <v>1028</v>
      </c>
      <c r="L911" t="str">
        <f>PROPER(TRIM(CLEAN(Sales_Table[[#This Row],[Salesperson]])))</f>
        <v>Suresh</v>
      </c>
      <c r="M911" t="s">
        <v>54</v>
      </c>
      <c r="N911" t="str">
        <f t="shared" si="101"/>
        <v>Upi</v>
      </c>
      <c r="O911" t="s">
        <v>48</v>
      </c>
      <c r="P911">
        <f t="shared" si="102"/>
        <v>3</v>
      </c>
      <c r="Q911" t="s">
        <v>66</v>
      </c>
      <c r="R911">
        <f t="shared" si="103"/>
        <v>429</v>
      </c>
      <c r="S911" t="s">
        <v>2346</v>
      </c>
      <c r="T911">
        <f t="shared" si="104"/>
        <v>1287</v>
      </c>
      <c r="U911">
        <f>YEAR(Sales_Table[[#This Row],[Date_clean]])</f>
        <v>2024</v>
      </c>
      <c r="V911" t="str">
        <f>TEXT(Sales_Table[[#This Row],[Date_clean]],"mmmm")</f>
        <v>February</v>
      </c>
      <c r="W911">
        <f>WEEKNUM(Sales_Table[[#This Row],[Date_clean]],2)</f>
        <v>6</v>
      </c>
      <c r="X911" t="str" cm="1">
        <f t="array" ref="X911">_xlfn.IFS(Sales_Table[[#This Row],[Revenue]]&gt;=50000,"High",Sales_Table[[#This Row],[Revenue]]&gt;=20000,"Medium",Sales_Table[[#This Row],[Revenue]]&lt;20000,"Low")</f>
        <v>Low</v>
      </c>
      <c r="Y911" t="str">
        <f>IF(Sales_Table[[#This Row],[Payment Method_clean]]="cash","Offline","Online")</f>
        <v>Online</v>
      </c>
      <c r="Z911">
        <f>IFERROR(Sales_Table[[#This Row],[Revenue]],0)</f>
        <v>1287</v>
      </c>
    </row>
    <row r="912" spans="1:26" x14ac:dyDescent="0.3">
      <c r="A912">
        <v>911</v>
      </c>
      <c r="B912" s="2">
        <f t="shared" si="98"/>
        <v>45329.916666666664</v>
      </c>
      <c r="C912" t="s">
        <v>2347</v>
      </c>
      <c r="D912" t="s">
        <v>27</v>
      </c>
      <c r="E912" t="str">
        <f>PROPER(TRIM(CLEAN(Sales_Table[[#This Row],[Region]])))</f>
        <v>East</v>
      </c>
      <c r="F912" t="s">
        <v>37</v>
      </c>
      <c r="G912" t="str">
        <f t="shared" si="99"/>
        <v>Home Appliances</v>
      </c>
      <c r="H912" t="str">
        <f>PROPER(TRIM(CLEAN(Sales_Table[[#This Row],[Product Name]])))</f>
        <v>Rice 5Kg</v>
      </c>
      <c r="I912" t="s">
        <v>73</v>
      </c>
      <c r="J912" t="str">
        <f t="shared" si="100"/>
        <v>CUST0447</v>
      </c>
      <c r="K912" t="s">
        <v>1163</v>
      </c>
      <c r="L912" t="str">
        <f>PROPER(TRIM(CLEAN(Sales_Table[[#This Row],[Salesperson]])))</f>
        <v>Meena</v>
      </c>
      <c r="M912" t="s">
        <v>40</v>
      </c>
      <c r="N912" t="str">
        <f t="shared" si="101"/>
        <v>Debit Card</v>
      </c>
      <c r="O912" t="s">
        <v>41</v>
      </c>
      <c r="P912">
        <f t="shared" si="102"/>
        <v>3</v>
      </c>
      <c r="Q912" t="s">
        <v>66</v>
      </c>
      <c r="R912">
        <f t="shared" si="103"/>
        <v>2197</v>
      </c>
      <c r="S912" t="s">
        <v>2348</v>
      </c>
      <c r="T912">
        <f t="shared" si="104"/>
        <v>6591</v>
      </c>
      <c r="U912">
        <f>YEAR(Sales_Table[[#This Row],[Date_clean]])</f>
        <v>2024</v>
      </c>
      <c r="V912" t="str">
        <f>TEXT(Sales_Table[[#This Row],[Date_clean]],"mmmm")</f>
        <v>February</v>
      </c>
      <c r="W912">
        <f>WEEKNUM(Sales_Table[[#This Row],[Date_clean]],2)</f>
        <v>6</v>
      </c>
      <c r="X912" t="str" cm="1">
        <f t="array" ref="X912">_xlfn.IFS(Sales_Table[[#This Row],[Revenue]]&gt;=50000,"High",Sales_Table[[#This Row],[Revenue]]&gt;=20000,"Medium",Sales_Table[[#This Row],[Revenue]]&lt;20000,"Low")</f>
        <v>Low</v>
      </c>
      <c r="Y912" t="str">
        <f>IF(Sales_Table[[#This Row],[Payment Method_clean]]="cash","Offline","Online")</f>
        <v>Online</v>
      </c>
      <c r="Z912">
        <f>IFERROR(Sales_Table[[#This Row],[Revenue]],0)</f>
        <v>6591</v>
      </c>
    </row>
    <row r="913" spans="1:26" x14ac:dyDescent="0.3">
      <c r="A913">
        <v>912</v>
      </c>
      <c r="B913" s="2">
        <f t="shared" si="98"/>
        <v>45329.958333333336</v>
      </c>
      <c r="C913" t="s">
        <v>2349</v>
      </c>
      <c r="D913" t="s">
        <v>45</v>
      </c>
      <c r="E913" t="str">
        <f>PROPER(TRIM(CLEAN(Sales_Table[[#This Row],[Region]])))</f>
        <v>North</v>
      </c>
      <c r="F913" t="s">
        <v>78</v>
      </c>
      <c r="G913" t="str">
        <f t="shared" si="99"/>
        <v>Grocery</v>
      </c>
      <c r="H913" t="str">
        <f>PROPER(TRIM(CLEAN(Sales_Table[[#This Row],[Product Name]])))</f>
        <v>Rice 5Kg</v>
      </c>
      <c r="I913" t="s">
        <v>73</v>
      </c>
      <c r="J913" t="str">
        <f t="shared" si="100"/>
        <v>CUST0106</v>
      </c>
      <c r="K913" t="s">
        <v>1099</v>
      </c>
      <c r="L913" t="str">
        <f>PROPER(TRIM(CLEAN(Sales_Table[[#This Row],[Salesperson]])))</f>
        <v>Anita</v>
      </c>
      <c r="M913" t="s">
        <v>64</v>
      </c>
      <c r="N913" t="str">
        <f t="shared" si="101"/>
        <v>Net Banking</v>
      </c>
      <c r="O913" t="s">
        <v>60</v>
      </c>
      <c r="P913">
        <f t="shared" si="102"/>
        <v>3</v>
      </c>
      <c r="Q913" t="s">
        <v>66</v>
      </c>
      <c r="R913">
        <f t="shared" si="103"/>
        <v>872</v>
      </c>
      <c r="S913" t="s">
        <v>2350</v>
      </c>
      <c r="T913">
        <f t="shared" si="104"/>
        <v>2616</v>
      </c>
      <c r="U913">
        <f>YEAR(Sales_Table[[#This Row],[Date_clean]])</f>
        <v>2024</v>
      </c>
      <c r="V913" t="str">
        <f>TEXT(Sales_Table[[#This Row],[Date_clean]],"mmmm")</f>
        <v>February</v>
      </c>
      <c r="W913">
        <f>WEEKNUM(Sales_Table[[#This Row],[Date_clean]],2)</f>
        <v>6</v>
      </c>
      <c r="X913" t="str" cm="1">
        <f t="array" ref="X913">_xlfn.IFS(Sales_Table[[#This Row],[Revenue]]&gt;=50000,"High",Sales_Table[[#This Row],[Revenue]]&gt;=20000,"Medium",Sales_Table[[#This Row],[Revenue]]&lt;20000,"Low")</f>
        <v>Low</v>
      </c>
      <c r="Y913" t="str">
        <f>IF(Sales_Table[[#This Row],[Payment Method_clean]]="cash","Offline","Online")</f>
        <v>Online</v>
      </c>
      <c r="Z913">
        <f>IFERROR(Sales_Table[[#This Row],[Revenue]],0)</f>
        <v>2616</v>
      </c>
    </row>
    <row r="914" spans="1:26" x14ac:dyDescent="0.3">
      <c r="A914">
        <v>913</v>
      </c>
      <c r="B914" s="2">
        <f t="shared" si="98"/>
        <v>45330</v>
      </c>
      <c r="C914" t="s">
        <v>2351</v>
      </c>
      <c r="D914" t="s">
        <v>45</v>
      </c>
      <c r="E914" t="str">
        <f>PROPER(TRIM(CLEAN(Sales_Table[[#This Row],[Region]])))</f>
        <v>North</v>
      </c>
      <c r="F914" t="s">
        <v>46</v>
      </c>
      <c r="G914" t="str">
        <f t="shared" si="99"/>
        <v>Electronics</v>
      </c>
      <c r="H914" t="str">
        <f>PROPER(TRIM(CLEAN(Sales_Table[[#This Row],[Product Name]])))</f>
        <v>Led Tv 42Inch</v>
      </c>
      <c r="I914" t="s">
        <v>58</v>
      </c>
      <c r="J914" t="str">
        <f t="shared" si="100"/>
        <v>CUST0651</v>
      </c>
      <c r="K914" t="s">
        <v>615</v>
      </c>
      <c r="L914" t="str">
        <f>PROPER(TRIM(CLEAN(Sales_Table[[#This Row],[Salesperson]])))</f>
        <v>Anita</v>
      </c>
      <c r="M914" t="s">
        <v>64</v>
      </c>
      <c r="N914" t="str">
        <f t="shared" si="101"/>
        <v>Net Banking</v>
      </c>
      <c r="O914" t="s">
        <v>60</v>
      </c>
      <c r="P914">
        <f t="shared" si="102"/>
        <v>7</v>
      </c>
      <c r="Q914" t="s">
        <v>49</v>
      </c>
      <c r="R914">
        <f t="shared" si="103"/>
        <v>1745</v>
      </c>
      <c r="S914" t="s">
        <v>2352</v>
      </c>
      <c r="T914">
        <f t="shared" si="104"/>
        <v>12215</v>
      </c>
      <c r="U914">
        <f>YEAR(Sales_Table[[#This Row],[Date_clean]])</f>
        <v>2024</v>
      </c>
      <c r="V914" t="str">
        <f>TEXT(Sales_Table[[#This Row],[Date_clean]],"mmmm")</f>
        <v>February</v>
      </c>
      <c r="W914">
        <f>WEEKNUM(Sales_Table[[#This Row],[Date_clean]],2)</f>
        <v>6</v>
      </c>
      <c r="X914" t="str" cm="1">
        <f t="array" ref="X914">_xlfn.IFS(Sales_Table[[#This Row],[Revenue]]&gt;=50000,"High",Sales_Table[[#This Row],[Revenue]]&gt;=20000,"Medium",Sales_Table[[#This Row],[Revenue]]&lt;20000,"Low")</f>
        <v>Low</v>
      </c>
      <c r="Y914" t="str">
        <f>IF(Sales_Table[[#This Row],[Payment Method_clean]]="cash","Offline","Online")</f>
        <v>Online</v>
      </c>
      <c r="Z914">
        <f>IFERROR(Sales_Table[[#This Row],[Revenue]],0)</f>
        <v>12215</v>
      </c>
    </row>
    <row r="915" spans="1:26" x14ac:dyDescent="0.3">
      <c r="A915">
        <v>914</v>
      </c>
      <c r="B915" s="2">
        <f t="shared" si="98"/>
        <v>45330.041666666664</v>
      </c>
      <c r="C915" t="s">
        <v>2353</v>
      </c>
      <c r="D915" t="s">
        <v>84</v>
      </c>
      <c r="E915" t="str">
        <f>PROPER(TRIM(CLEAN(Sales_Table[[#This Row],[Region]])))</f>
        <v>South</v>
      </c>
      <c r="F915" t="s">
        <v>37</v>
      </c>
      <c r="G915" t="str">
        <f t="shared" si="99"/>
        <v>Home Appliances</v>
      </c>
      <c r="H915" t="str">
        <f>PROPER(TRIM(CLEAN(Sales_Table[[#This Row],[Product Name]])))</f>
        <v>Washing Machine</v>
      </c>
      <c r="I915" t="s">
        <v>79</v>
      </c>
      <c r="J915" t="str">
        <f t="shared" si="100"/>
        <v>CUST0401</v>
      </c>
      <c r="K915" t="s">
        <v>180</v>
      </c>
      <c r="L915" t="str">
        <f>PROPER(TRIM(CLEAN(Sales_Table[[#This Row],[Salesperson]])))</f>
        <v>Suresh</v>
      </c>
      <c r="M915" t="s">
        <v>54</v>
      </c>
      <c r="N915" t="str">
        <f t="shared" si="101"/>
        <v>Cash</v>
      </c>
      <c r="O915" t="s">
        <v>32</v>
      </c>
      <c r="P915">
        <f t="shared" si="102"/>
        <v>10</v>
      </c>
      <c r="Q915" t="s">
        <v>117</v>
      </c>
      <c r="R915">
        <f t="shared" si="103"/>
        <v>1832</v>
      </c>
      <c r="S915" t="s">
        <v>2354</v>
      </c>
      <c r="T915">
        <f t="shared" si="104"/>
        <v>18320</v>
      </c>
      <c r="U915">
        <f>YEAR(Sales_Table[[#This Row],[Date_clean]])</f>
        <v>2024</v>
      </c>
      <c r="V915" t="str">
        <f>TEXT(Sales_Table[[#This Row],[Date_clean]],"mmmm")</f>
        <v>February</v>
      </c>
      <c r="W915">
        <f>WEEKNUM(Sales_Table[[#This Row],[Date_clean]],2)</f>
        <v>6</v>
      </c>
      <c r="X915" t="str" cm="1">
        <f t="array" ref="X915">_xlfn.IFS(Sales_Table[[#This Row],[Revenue]]&gt;=50000,"High",Sales_Table[[#This Row],[Revenue]]&gt;=20000,"Medium",Sales_Table[[#This Row],[Revenue]]&lt;20000,"Low")</f>
        <v>Low</v>
      </c>
      <c r="Y915" t="str">
        <f>IF(Sales_Table[[#This Row],[Payment Method_clean]]="cash","Offline","Online")</f>
        <v>Offline</v>
      </c>
      <c r="Z915">
        <f>IFERROR(Sales_Table[[#This Row],[Revenue]],0)</f>
        <v>18320</v>
      </c>
    </row>
    <row r="916" spans="1:26" x14ac:dyDescent="0.3">
      <c r="A916">
        <v>915</v>
      </c>
      <c r="B916" s="2">
        <f t="shared" si="98"/>
        <v>45330.083333333336</v>
      </c>
      <c r="C916" t="s">
        <v>2355</v>
      </c>
      <c r="D916" t="s">
        <v>36</v>
      </c>
      <c r="E916" t="str">
        <f>PROPER(TRIM(CLEAN(Sales_Table[[#This Row],[Region]])))</f>
        <v>West</v>
      </c>
      <c r="F916" t="s">
        <v>78</v>
      </c>
      <c r="G916" t="str">
        <f t="shared" si="99"/>
        <v>Grocery</v>
      </c>
      <c r="H916" t="str">
        <f>PROPER(TRIM(CLEAN(Sales_Table[[#This Row],[Product Name]])))</f>
        <v>Led Tv 42Inch</v>
      </c>
      <c r="I916" t="s">
        <v>58</v>
      </c>
      <c r="J916" t="str">
        <f t="shared" si="100"/>
        <v>CUST0096</v>
      </c>
      <c r="K916" t="s">
        <v>47</v>
      </c>
      <c r="L916" t="str">
        <f>PROPER(TRIM(CLEAN(Sales_Table[[#This Row],[Salesperson]])))</f>
        <v>Rahul</v>
      </c>
      <c r="M916" t="s">
        <v>31</v>
      </c>
      <c r="N916" t="str">
        <f t="shared" si="101"/>
        <v>Upi</v>
      </c>
      <c r="O916" t="s">
        <v>48</v>
      </c>
      <c r="P916">
        <f t="shared" si="102"/>
        <v>11</v>
      </c>
      <c r="Q916" t="s">
        <v>97</v>
      </c>
      <c r="R916">
        <f t="shared" si="103"/>
        <v>4573</v>
      </c>
      <c r="S916" t="s">
        <v>1716</v>
      </c>
      <c r="T916">
        <f t="shared" si="104"/>
        <v>50303</v>
      </c>
      <c r="U916">
        <f>YEAR(Sales_Table[[#This Row],[Date_clean]])</f>
        <v>2024</v>
      </c>
      <c r="V916" t="str">
        <f>TEXT(Sales_Table[[#This Row],[Date_clean]],"mmmm")</f>
        <v>February</v>
      </c>
      <c r="W916">
        <f>WEEKNUM(Sales_Table[[#This Row],[Date_clean]],2)</f>
        <v>6</v>
      </c>
      <c r="X916" t="str" cm="1">
        <f t="array" ref="X916">_xlfn.IFS(Sales_Table[[#This Row],[Revenue]]&gt;=50000,"High",Sales_Table[[#This Row],[Revenue]]&gt;=20000,"Medium",Sales_Table[[#This Row],[Revenue]]&lt;20000,"Low")</f>
        <v>High</v>
      </c>
      <c r="Y916" t="str">
        <f>IF(Sales_Table[[#This Row],[Payment Method_clean]]="cash","Offline","Online")</f>
        <v>Online</v>
      </c>
      <c r="Z916">
        <f>IFERROR(Sales_Table[[#This Row],[Revenue]],0)</f>
        <v>50303</v>
      </c>
    </row>
    <row r="917" spans="1:26" x14ac:dyDescent="0.3">
      <c r="A917">
        <v>916</v>
      </c>
      <c r="B917" s="2">
        <f t="shared" si="98"/>
        <v>45330.125</v>
      </c>
      <c r="C917" t="s">
        <v>2356</v>
      </c>
      <c r="D917" t="s">
        <v>84</v>
      </c>
      <c r="E917" t="str">
        <f>PROPER(TRIM(CLEAN(Sales_Table[[#This Row],[Region]])))</f>
        <v>South</v>
      </c>
      <c r="F917" t="s">
        <v>78</v>
      </c>
      <c r="G917" t="str">
        <f t="shared" si="99"/>
        <v>Grocery</v>
      </c>
      <c r="H917" t="str">
        <f>PROPER(TRIM(CLEAN(Sales_Table[[#This Row],[Product Name]])))</f>
        <v>Led Tv 42Inch</v>
      </c>
      <c r="I917" t="s">
        <v>58</v>
      </c>
      <c r="J917" t="str">
        <f t="shared" si="100"/>
        <v>CUST0388</v>
      </c>
      <c r="K917" t="s">
        <v>355</v>
      </c>
      <c r="L917" t="str">
        <f>PROPER(TRIM(CLEAN(Sales_Table[[#This Row],[Salesperson]])))</f>
        <v>Meena</v>
      </c>
      <c r="M917" t="s">
        <v>40</v>
      </c>
      <c r="N917" t="str">
        <f t="shared" si="101"/>
        <v>Upi</v>
      </c>
      <c r="O917" t="s">
        <v>48</v>
      </c>
      <c r="P917">
        <f t="shared" si="102"/>
        <v>2</v>
      </c>
      <c r="Q917" t="s">
        <v>196</v>
      </c>
      <c r="R917">
        <f t="shared" si="103"/>
        <v>1887</v>
      </c>
      <c r="S917" t="s">
        <v>2357</v>
      </c>
      <c r="T917">
        <f t="shared" si="104"/>
        <v>3774</v>
      </c>
      <c r="U917">
        <f>YEAR(Sales_Table[[#This Row],[Date_clean]])</f>
        <v>2024</v>
      </c>
      <c r="V917" t="str">
        <f>TEXT(Sales_Table[[#This Row],[Date_clean]],"mmmm")</f>
        <v>February</v>
      </c>
      <c r="W917">
        <f>WEEKNUM(Sales_Table[[#This Row],[Date_clean]],2)</f>
        <v>6</v>
      </c>
      <c r="X917" t="str" cm="1">
        <f t="array" ref="X917">_xlfn.IFS(Sales_Table[[#This Row],[Revenue]]&gt;=50000,"High",Sales_Table[[#This Row],[Revenue]]&gt;=20000,"Medium",Sales_Table[[#This Row],[Revenue]]&lt;20000,"Low")</f>
        <v>Low</v>
      </c>
      <c r="Y917" t="str">
        <f>IF(Sales_Table[[#This Row],[Payment Method_clean]]="cash","Offline","Online")</f>
        <v>Online</v>
      </c>
      <c r="Z917">
        <f>IFERROR(Sales_Table[[#This Row],[Revenue]],0)</f>
        <v>3774</v>
      </c>
    </row>
    <row r="918" spans="1:26" x14ac:dyDescent="0.3">
      <c r="A918">
        <v>917</v>
      </c>
      <c r="B918" s="2">
        <f t="shared" si="98"/>
        <v>45330.166666666664</v>
      </c>
      <c r="C918" t="s">
        <v>2358</v>
      </c>
      <c r="D918" t="s">
        <v>84</v>
      </c>
      <c r="E918" t="str">
        <f>PROPER(TRIM(CLEAN(Sales_Table[[#This Row],[Region]])))</f>
        <v>South</v>
      </c>
      <c r="F918" t="s">
        <v>28</v>
      </c>
      <c r="G918" t="str">
        <f t="shared" si="99"/>
        <v>Clothing</v>
      </c>
      <c r="H918" t="str">
        <f>PROPER(TRIM(CLEAN(Sales_Table[[#This Row],[Product Name]])))</f>
        <v>Laptop</v>
      </c>
      <c r="I918" t="s">
        <v>52</v>
      </c>
      <c r="J918" t="str">
        <f t="shared" si="100"/>
        <v>CUST0452</v>
      </c>
      <c r="K918" t="s">
        <v>2359</v>
      </c>
      <c r="L918" t="str">
        <f>PROPER(TRIM(CLEAN(Sales_Table[[#This Row],[Salesperson]])))</f>
        <v>Suresh</v>
      </c>
      <c r="M918" t="s">
        <v>54</v>
      </c>
      <c r="N918" t="str">
        <f t="shared" si="101"/>
        <v>Cash</v>
      </c>
      <c r="O918" t="s">
        <v>32</v>
      </c>
      <c r="P918">
        <f t="shared" si="102"/>
        <v>10</v>
      </c>
      <c r="Q918" t="s">
        <v>117</v>
      </c>
      <c r="R918">
        <f t="shared" si="103"/>
        <v>1723</v>
      </c>
      <c r="S918" t="s">
        <v>2016</v>
      </c>
      <c r="T918">
        <f t="shared" si="104"/>
        <v>17230</v>
      </c>
      <c r="U918">
        <f>YEAR(Sales_Table[[#This Row],[Date_clean]])</f>
        <v>2024</v>
      </c>
      <c r="V918" t="str">
        <f>TEXT(Sales_Table[[#This Row],[Date_clean]],"mmmm")</f>
        <v>February</v>
      </c>
      <c r="W918">
        <f>WEEKNUM(Sales_Table[[#This Row],[Date_clean]],2)</f>
        <v>6</v>
      </c>
      <c r="X918" t="str" cm="1">
        <f t="array" ref="X918">_xlfn.IFS(Sales_Table[[#This Row],[Revenue]]&gt;=50000,"High",Sales_Table[[#This Row],[Revenue]]&gt;=20000,"Medium",Sales_Table[[#This Row],[Revenue]]&lt;20000,"Low")</f>
        <v>Low</v>
      </c>
      <c r="Y918" t="str">
        <f>IF(Sales_Table[[#This Row],[Payment Method_clean]]="cash","Offline","Online")</f>
        <v>Offline</v>
      </c>
      <c r="Z918">
        <f>IFERROR(Sales_Table[[#This Row],[Revenue]],0)</f>
        <v>17230</v>
      </c>
    </row>
    <row r="919" spans="1:26" x14ac:dyDescent="0.3">
      <c r="A919">
        <v>918</v>
      </c>
      <c r="B919" s="2">
        <f t="shared" si="98"/>
        <v>45330.208333333336</v>
      </c>
      <c r="C919" t="s">
        <v>2360</v>
      </c>
      <c r="D919" t="s">
        <v>36</v>
      </c>
      <c r="E919" t="str">
        <f>PROPER(TRIM(CLEAN(Sales_Table[[#This Row],[Region]])))</f>
        <v>West</v>
      </c>
      <c r="F919" t="s">
        <v>28</v>
      </c>
      <c r="G919" t="str">
        <f t="shared" si="99"/>
        <v>Clothing</v>
      </c>
      <c r="H919" t="str">
        <f>PROPER(TRIM(CLEAN(Sales_Table[[#This Row],[Product Name]])))</f>
        <v>Laptop</v>
      </c>
      <c r="I919" t="s">
        <v>52</v>
      </c>
      <c r="J919" t="str">
        <f t="shared" si="100"/>
        <v>CUST0416</v>
      </c>
      <c r="K919" t="s">
        <v>1571</v>
      </c>
      <c r="L919" t="str">
        <f>PROPER(TRIM(CLEAN(Sales_Table[[#This Row],[Salesperson]])))</f>
        <v>Anita</v>
      </c>
      <c r="M919" t="s">
        <v>64</v>
      </c>
      <c r="N919" t="str">
        <f t="shared" si="101"/>
        <v>Net Banking</v>
      </c>
      <c r="O919" t="s">
        <v>60</v>
      </c>
      <c r="P919">
        <f t="shared" si="102"/>
        <v>13</v>
      </c>
      <c r="Q919" t="s">
        <v>81</v>
      </c>
      <c r="R919">
        <f t="shared" si="103"/>
        <v>1099</v>
      </c>
      <c r="S919" t="s">
        <v>2361</v>
      </c>
      <c r="T919">
        <f t="shared" si="104"/>
        <v>14287</v>
      </c>
      <c r="U919">
        <f>YEAR(Sales_Table[[#This Row],[Date_clean]])</f>
        <v>2024</v>
      </c>
      <c r="V919" t="str">
        <f>TEXT(Sales_Table[[#This Row],[Date_clean]],"mmmm")</f>
        <v>February</v>
      </c>
      <c r="W919">
        <f>WEEKNUM(Sales_Table[[#This Row],[Date_clean]],2)</f>
        <v>6</v>
      </c>
      <c r="X919" t="str" cm="1">
        <f t="array" ref="X919">_xlfn.IFS(Sales_Table[[#This Row],[Revenue]]&gt;=50000,"High",Sales_Table[[#This Row],[Revenue]]&gt;=20000,"Medium",Sales_Table[[#This Row],[Revenue]]&lt;20000,"Low")</f>
        <v>Low</v>
      </c>
      <c r="Y919" t="str">
        <f>IF(Sales_Table[[#This Row],[Payment Method_clean]]="cash","Offline","Online")</f>
        <v>Online</v>
      </c>
      <c r="Z919">
        <f>IFERROR(Sales_Table[[#This Row],[Revenue]],0)</f>
        <v>14287</v>
      </c>
    </row>
    <row r="920" spans="1:26" x14ac:dyDescent="0.3">
      <c r="A920">
        <v>919</v>
      </c>
      <c r="B920" s="2">
        <f t="shared" si="98"/>
        <v>45330.25</v>
      </c>
      <c r="C920" t="s">
        <v>2362</v>
      </c>
      <c r="D920" t="s">
        <v>36</v>
      </c>
      <c r="E920" t="str">
        <f>PROPER(TRIM(CLEAN(Sales_Table[[#This Row],[Region]])))</f>
        <v>West</v>
      </c>
      <c r="F920" t="s">
        <v>37</v>
      </c>
      <c r="G920" t="str">
        <f t="shared" si="99"/>
        <v>Home Appliances</v>
      </c>
      <c r="H920" t="str">
        <f>PROPER(TRIM(CLEAN(Sales_Table[[#This Row],[Product Name]])))</f>
        <v>Rice 5Kg</v>
      </c>
      <c r="I920" t="s">
        <v>73</v>
      </c>
      <c r="J920" t="str">
        <f t="shared" si="100"/>
        <v>CUST0726</v>
      </c>
      <c r="K920" t="s">
        <v>723</v>
      </c>
      <c r="L920" t="str">
        <f>PROPER(TRIM(CLEAN(Sales_Table[[#This Row],[Salesperson]])))</f>
        <v>Karthik</v>
      </c>
      <c r="M920" t="s">
        <v>70</v>
      </c>
      <c r="N920" t="str">
        <f t="shared" si="101"/>
        <v>Credit Card</v>
      </c>
      <c r="O920" t="s">
        <v>65</v>
      </c>
      <c r="P920">
        <f t="shared" si="102"/>
        <v>10</v>
      </c>
      <c r="Q920" t="s">
        <v>117</v>
      </c>
      <c r="R920">
        <f t="shared" si="103"/>
        <v>1948</v>
      </c>
      <c r="S920" t="s">
        <v>2363</v>
      </c>
      <c r="T920">
        <f t="shared" si="104"/>
        <v>19480</v>
      </c>
      <c r="U920">
        <f>YEAR(Sales_Table[[#This Row],[Date_clean]])</f>
        <v>2024</v>
      </c>
      <c r="V920" t="str">
        <f>TEXT(Sales_Table[[#This Row],[Date_clean]],"mmmm")</f>
        <v>February</v>
      </c>
      <c r="W920">
        <f>WEEKNUM(Sales_Table[[#This Row],[Date_clean]],2)</f>
        <v>6</v>
      </c>
      <c r="X920" t="str" cm="1">
        <f t="array" ref="X920">_xlfn.IFS(Sales_Table[[#This Row],[Revenue]]&gt;=50000,"High",Sales_Table[[#This Row],[Revenue]]&gt;=20000,"Medium",Sales_Table[[#This Row],[Revenue]]&lt;20000,"Low")</f>
        <v>Low</v>
      </c>
      <c r="Y920" t="str">
        <f>IF(Sales_Table[[#This Row],[Payment Method_clean]]="cash","Offline","Online")</f>
        <v>Online</v>
      </c>
      <c r="Z920">
        <f>IFERROR(Sales_Table[[#This Row],[Revenue]],0)</f>
        <v>19480</v>
      </c>
    </row>
    <row r="921" spans="1:26" x14ac:dyDescent="0.3">
      <c r="A921">
        <v>920</v>
      </c>
      <c r="B921" s="2">
        <f t="shared" si="98"/>
        <v>45330.291666666664</v>
      </c>
      <c r="C921" t="s">
        <v>2364</v>
      </c>
      <c r="D921" t="s">
        <v>36</v>
      </c>
      <c r="E921" t="str">
        <f>PROPER(TRIM(CLEAN(Sales_Table[[#This Row],[Region]])))</f>
        <v>West</v>
      </c>
      <c r="F921" t="s">
        <v>46</v>
      </c>
      <c r="G921" t="str">
        <f t="shared" si="99"/>
        <v>Electronics</v>
      </c>
      <c r="H921" t="str">
        <f>PROPER(TRIM(CLEAN(Sales_Table[[#This Row],[Product Name]])))</f>
        <v>Led Tv 42Inch</v>
      </c>
      <c r="I921" t="s">
        <v>58</v>
      </c>
      <c r="J921" t="str">
        <f t="shared" si="100"/>
        <v>CUST0504</v>
      </c>
      <c r="K921" t="s">
        <v>100</v>
      </c>
      <c r="L921" t="str">
        <f>PROPER(TRIM(CLEAN(Sales_Table[[#This Row],[Salesperson]])))</f>
        <v>Rahul</v>
      </c>
      <c r="M921" t="s">
        <v>31</v>
      </c>
      <c r="N921" t="str">
        <f t="shared" si="101"/>
        <v>Credit Card</v>
      </c>
      <c r="O921" t="s">
        <v>65</v>
      </c>
      <c r="P921">
        <f t="shared" si="102"/>
        <v>2</v>
      </c>
      <c r="Q921" t="s">
        <v>196</v>
      </c>
      <c r="R921">
        <f t="shared" si="103"/>
        <v>1661</v>
      </c>
      <c r="S921" t="s">
        <v>2365</v>
      </c>
      <c r="T921">
        <f t="shared" si="104"/>
        <v>3322</v>
      </c>
      <c r="U921">
        <f>YEAR(Sales_Table[[#This Row],[Date_clean]])</f>
        <v>2024</v>
      </c>
      <c r="V921" t="str">
        <f>TEXT(Sales_Table[[#This Row],[Date_clean]],"mmmm")</f>
        <v>February</v>
      </c>
      <c r="W921">
        <f>WEEKNUM(Sales_Table[[#This Row],[Date_clean]],2)</f>
        <v>6</v>
      </c>
      <c r="X921" t="str" cm="1">
        <f t="array" ref="X921">_xlfn.IFS(Sales_Table[[#This Row],[Revenue]]&gt;=50000,"High",Sales_Table[[#This Row],[Revenue]]&gt;=20000,"Medium",Sales_Table[[#This Row],[Revenue]]&lt;20000,"Low")</f>
        <v>Low</v>
      </c>
      <c r="Y921" t="str">
        <f>IF(Sales_Table[[#This Row],[Payment Method_clean]]="cash","Offline","Online")</f>
        <v>Online</v>
      </c>
      <c r="Z921">
        <f>IFERROR(Sales_Table[[#This Row],[Revenue]],0)</f>
        <v>3322</v>
      </c>
    </row>
    <row r="922" spans="1:26" x14ac:dyDescent="0.3">
      <c r="A922">
        <v>921</v>
      </c>
      <c r="B922" s="2">
        <f t="shared" si="98"/>
        <v>45330.333333333336</v>
      </c>
      <c r="C922" t="s">
        <v>2366</v>
      </c>
      <c r="D922" t="s">
        <v>45</v>
      </c>
      <c r="E922" t="str">
        <f>PROPER(TRIM(CLEAN(Sales_Table[[#This Row],[Region]])))</f>
        <v>North</v>
      </c>
      <c r="F922" t="s">
        <v>78</v>
      </c>
      <c r="G922" t="str">
        <f t="shared" si="99"/>
        <v>Grocery</v>
      </c>
      <c r="H922" t="str">
        <f>PROPER(TRIM(CLEAN(Sales_Table[[#This Row],[Product Name]])))</f>
        <v>Rice 5Kg</v>
      </c>
      <c r="I922" t="s">
        <v>73</v>
      </c>
      <c r="J922" t="str">
        <f t="shared" si="100"/>
        <v>CUST0454</v>
      </c>
      <c r="K922" t="s">
        <v>2367</v>
      </c>
      <c r="L922" t="str">
        <f>PROPER(TRIM(CLEAN(Sales_Table[[#This Row],[Salesperson]])))</f>
        <v>Karthik</v>
      </c>
      <c r="M922" t="s">
        <v>70</v>
      </c>
      <c r="N922" t="str">
        <f t="shared" si="101"/>
        <v>Net Banking</v>
      </c>
      <c r="O922" t="s">
        <v>60</v>
      </c>
      <c r="P922">
        <f t="shared" si="102"/>
        <v>3</v>
      </c>
      <c r="Q922" t="s">
        <v>66</v>
      </c>
      <c r="R922">
        <f t="shared" si="103"/>
        <v>873</v>
      </c>
      <c r="S922" t="s">
        <v>2368</v>
      </c>
      <c r="T922">
        <f t="shared" si="104"/>
        <v>2619</v>
      </c>
      <c r="U922">
        <f>YEAR(Sales_Table[[#This Row],[Date_clean]])</f>
        <v>2024</v>
      </c>
      <c r="V922" t="str">
        <f>TEXT(Sales_Table[[#This Row],[Date_clean]],"mmmm")</f>
        <v>February</v>
      </c>
      <c r="W922">
        <f>WEEKNUM(Sales_Table[[#This Row],[Date_clean]],2)</f>
        <v>6</v>
      </c>
      <c r="X922" t="str" cm="1">
        <f t="array" ref="X922">_xlfn.IFS(Sales_Table[[#This Row],[Revenue]]&gt;=50000,"High",Sales_Table[[#This Row],[Revenue]]&gt;=20000,"Medium",Sales_Table[[#This Row],[Revenue]]&lt;20000,"Low")</f>
        <v>Low</v>
      </c>
      <c r="Y922" t="str">
        <f>IF(Sales_Table[[#This Row],[Payment Method_clean]]="cash","Offline","Online")</f>
        <v>Online</v>
      </c>
      <c r="Z922">
        <f>IFERROR(Sales_Table[[#This Row],[Revenue]],0)</f>
        <v>2619</v>
      </c>
    </row>
    <row r="923" spans="1:26" x14ac:dyDescent="0.3">
      <c r="A923">
        <v>922</v>
      </c>
      <c r="B923" s="2">
        <f t="shared" si="98"/>
        <v>45330.375</v>
      </c>
      <c r="C923" t="s">
        <v>2369</v>
      </c>
      <c r="D923" t="s">
        <v>27</v>
      </c>
      <c r="E923" t="str">
        <f>PROPER(TRIM(CLEAN(Sales_Table[[#This Row],[Region]])))</f>
        <v>East</v>
      </c>
      <c r="F923" t="s">
        <v>37</v>
      </c>
      <c r="G923" t="str">
        <f t="shared" si="99"/>
        <v>Home Appliances</v>
      </c>
      <c r="H923" t="str">
        <f>PROPER(TRIM(CLEAN(Sales_Table[[#This Row],[Product Name]])))</f>
        <v>Laptop</v>
      </c>
      <c r="I923" t="s">
        <v>52</v>
      </c>
      <c r="J923" t="str">
        <f t="shared" si="100"/>
        <v>CUST0291</v>
      </c>
      <c r="K923" t="s">
        <v>2370</v>
      </c>
      <c r="L923" t="str">
        <f>PROPER(TRIM(CLEAN(Sales_Table[[#This Row],[Salesperson]])))</f>
        <v>Suresh</v>
      </c>
      <c r="M923" t="s">
        <v>54</v>
      </c>
      <c r="N923" t="str">
        <f t="shared" si="101"/>
        <v>Upi</v>
      </c>
      <c r="O923" t="s">
        <v>48</v>
      </c>
      <c r="P923">
        <f t="shared" si="102"/>
        <v>10</v>
      </c>
      <c r="Q923" t="s">
        <v>117</v>
      </c>
      <c r="R923">
        <f t="shared" si="103"/>
        <v>1903</v>
      </c>
      <c r="S923" t="s">
        <v>2371</v>
      </c>
      <c r="T923">
        <f t="shared" si="104"/>
        <v>19030</v>
      </c>
      <c r="U923">
        <f>YEAR(Sales_Table[[#This Row],[Date_clean]])</f>
        <v>2024</v>
      </c>
      <c r="V923" t="str">
        <f>TEXT(Sales_Table[[#This Row],[Date_clean]],"mmmm")</f>
        <v>February</v>
      </c>
      <c r="W923">
        <f>WEEKNUM(Sales_Table[[#This Row],[Date_clean]],2)</f>
        <v>6</v>
      </c>
      <c r="X923" t="str" cm="1">
        <f t="array" ref="X923">_xlfn.IFS(Sales_Table[[#This Row],[Revenue]]&gt;=50000,"High",Sales_Table[[#This Row],[Revenue]]&gt;=20000,"Medium",Sales_Table[[#This Row],[Revenue]]&lt;20000,"Low")</f>
        <v>Low</v>
      </c>
      <c r="Y923" t="str">
        <f>IF(Sales_Table[[#This Row],[Payment Method_clean]]="cash","Offline","Online")</f>
        <v>Online</v>
      </c>
      <c r="Z923">
        <f>IFERROR(Sales_Table[[#This Row],[Revenue]],0)</f>
        <v>19030</v>
      </c>
    </row>
    <row r="924" spans="1:26" x14ac:dyDescent="0.3">
      <c r="A924">
        <v>923</v>
      </c>
      <c r="B924" s="2">
        <f t="shared" si="98"/>
        <v>45330.416666666664</v>
      </c>
      <c r="C924" t="s">
        <v>2372</v>
      </c>
      <c r="D924" t="s">
        <v>45</v>
      </c>
      <c r="E924" t="str">
        <f>PROPER(TRIM(CLEAN(Sales_Table[[#This Row],[Region]])))</f>
        <v>North</v>
      </c>
      <c r="F924" t="s">
        <v>78</v>
      </c>
      <c r="G924" t="str">
        <f t="shared" si="99"/>
        <v>Grocery</v>
      </c>
      <c r="H924" t="str">
        <f>PROPER(TRIM(CLEAN(Sales_Table[[#This Row],[Product Name]])))</f>
        <v>Washing Machine</v>
      </c>
      <c r="I924" t="s">
        <v>79</v>
      </c>
      <c r="J924" t="str">
        <f t="shared" si="100"/>
        <v>CUST0534</v>
      </c>
      <c r="K924" t="s">
        <v>387</v>
      </c>
      <c r="L924" t="str">
        <f>PROPER(TRIM(CLEAN(Sales_Table[[#This Row],[Salesperson]])))</f>
        <v>Anita</v>
      </c>
      <c r="M924" t="s">
        <v>64</v>
      </c>
      <c r="N924" t="str">
        <f t="shared" si="101"/>
        <v>Credit Card</v>
      </c>
      <c r="O924" t="s">
        <v>65</v>
      </c>
      <c r="P924">
        <f t="shared" si="102"/>
        <v>12</v>
      </c>
      <c r="Q924" t="s">
        <v>33</v>
      </c>
      <c r="R924">
        <f t="shared" si="103"/>
        <v>1198</v>
      </c>
      <c r="S924" t="s">
        <v>2373</v>
      </c>
      <c r="T924">
        <f t="shared" si="104"/>
        <v>14376</v>
      </c>
      <c r="U924">
        <f>YEAR(Sales_Table[[#This Row],[Date_clean]])</f>
        <v>2024</v>
      </c>
      <c r="V924" t="str">
        <f>TEXT(Sales_Table[[#This Row],[Date_clean]],"mmmm")</f>
        <v>February</v>
      </c>
      <c r="W924">
        <f>WEEKNUM(Sales_Table[[#This Row],[Date_clean]],2)</f>
        <v>6</v>
      </c>
      <c r="X924" t="str" cm="1">
        <f t="array" ref="X924">_xlfn.IFS(Sales_Table[[#This Row],[Revenue]]&gt;=50000,"High",Sales_Table[[#This Row],[Revenue]]&gt;=20000,"Medium",Sales_Table[[#This Row],[Revenue]]&lt;20000,"Low")</f>
        <v>Low</v>
      </c>
      <c r="Y924" t="str">
        <f>IF(Sales_Table[[#This Row],[Payment Method_clean]]="cash","Offline","Online")</f>
        <v>Online</v>
      </c>
      <c r="Z924">
        <f>IFERROR(Sales_Table[[#This Row],[Revenue]],0)</f>
        <v>14376</v>
      </c>
    </row>
    <row r="925" spans="1:26" x14ac:dyDescent="0.3">
      <c r="A925">
        <v>924</v>
      </c>
      <c r="B925" s="2">
        <f t="shared" si="98"/>
        <v>45330.458333333336</v>
      </c>
      <c r="C925" t="s">
        <v>2374</v>
      </c>
      <c r="D925" t="s">
        <v>27</v>
      </c>
      <c r="E925" t="str">
        <f>PROPER(TRIM(CLEAN(Sales_Table[[#This Row],[Region]])))</f>
        <v>East</v>
      </c>
      <c r="F925" t="s">
        <v>78</v>
      </c>
      <c r="G925" t="str">
        <f t="shared" si="99"/>
        <v>Grocery</v>
      </c>
      <c r="H925" t="str">
        <f>PROPER(TRIM(CLEAN(Sales_Table[[#This Row],[Product Name]])))</f>
        <v>Mixer Grinder</v>
      </c>
      <c r="I925" t="s">
        <v>29</v>
      </c>
      <c r="J925" t="str">
        <f t="shared" si="100"/>
        <v>CUST0193</v>
      </c>
      <c r="K925" t="s">
        <v>713</v>
      </c>
      <c r="L925" t="str">
        <f>PROPER(TRIM(CLEAN(Sales_Table[[#This Row],[Salesperson]])))</f>
        <v>Meena</v>
      </c>
      <c r="M925" t="s">
        <v>40</v>
      </c>
      <c r="N925" t="str">
        <f t="shared" si="101"/>
        <v>Debit Card</v>
      </c>
      <c r="O925" t="s">
        <v>41</v>
      </c>
      <c r="P925">
        <f t="shared" si="102"/>
        <v>7</v>
      </c>
      <c r="Q925" t="s">
        <v>49</v>
      </c>
      <c r="R925">
        <f t="shared" si="103"/>
        <v>2150</v>
      </c>
      <c r="S925" t="s">
        <v>2375</v>
      </c>
      <c r="T925">
        <f t="shared" si="104"/>
        <v>15050</v>
      </c>
      <c r="U925">
        <f>YEAR(Sales_Table[[#This Row],[Date_clean]])</f>
        <v>2024</v>
      </c>
      <c r="V925" t="str">
        <f>TEXT(Sales_Table[[#This Row],[Date_clean]],"mmmm")</f>
        <v>February</v>
      </c>
      <c r="W925">
        <f>WEEKNUM(Sales_Table[[#This Row],[Date_clean]],2)</f>
        <v>6</v>
      </c>
      <c r="X925" t="str" cm="1">
        <f t="array" ref="X925">_xlfn.IFS(Sales_Table[[#This Row],[Revenue]]&gt;=50000,"High",Sales_Table[[#This Row],[Revenue]]&gt;=20000,"Medium",Sales_Table[[#This Row],[Revenue]]&lt;20000,"Low")</f>
        <v>Low</v>
      </c>
      <c r="Y925" t="str">
        <f>IF(Sales_Table[[#This Row],[Payment Method_clean]]="cash","Offline","Online")</f>
        <v>Online</v>
      </c>
      <c r="Z925">
        <f>IFERROR(Sales_Table[[#This Row],[Revenue]],0)</f>
        <v>15050</v>
      </c>
    </row>
    <row r="926" spans="1:26" x14ac:dyDescent="0.3">
      <c r="A926">
        <v>925</v>
      </c>
      <c r="B926" s="2">
        <f t="shared" si="98"/>
        <v>45330.5</v>
      </c>
      <c r="C926" t="s">
        <v>2376</v>
      </c>
      <c r="D926" t="s">
        <v>45</v>
      </c>
      <c r="E926" t="str">
        <f>PROPER(TRIM(CLEAN(Sales_Table[[#This Row],[Region]])))</f>
        <v>North</v>
      </c>
      <c r="F926" t="s">
        <v>46</v>
      </c>
      <c r="G926" t="str">
        <f t="shared" si="99"/>
        <v>Electronics</v>
      </c>
      <c r="H926" t="str">
        <f>PROPER(TRIM(CLEAN(Sales_Table[[#This Row],[Product Name]])))</f>
        <v>Rice 5Kg</v>
      </c>
      <c r="I926" t="s">
        <v>73</v>
      </c>
      <c r="J926" t="str">
        <f t="shared" si="100"/>
        <v>CUST0150</v>
      </c>
      <c r="K926" t="s">
        <v>805</v>
      </c>
      <c r="L926" t="str">
        <f>PROPER(TRIM(CLEAN(Sales_Table[[#This Row],[Salesperson]])))</f>
        <v>Karthik</v>
      </c>
      <c r="M926" t="s">
        <v>70</v>
      </c>
      <c r="N926" t="str">
        <f t="shared" si="101"/>
        <v>Debit Card</v>
      </c>
      <c r="O926" t="s">
        <v>41</v>
      </c>
      <c r="P926">
        <f t="shared" si="102"/>
        <v>3</v>
      </c>
      <c r="Q926" t="s">
        <v>66</v>
      </c>
      <c r="R926">
        <f t="shared" si="103"/>
        <v>1698</v>
      </c>
      <c r="S926" t="s">
        <v>2377</v>
      </c>
      <c r="T926">
        <f t="shared" si="104"/>
        <v>5094</v>
      </c>
      <c r="U926">
        <f>YEAR(Sales_Table[[#This Row],[Date_clean]])</f>
        <v>2024</v>
      </c>
      <c r="V926" t="str">
        <f>TEXT(Sales_Table[[#This Row],[Date_clean]],"mmmm")</f>
        <v>February</v>
      </c>
      <c r="W926">
        <f>WEEKNUM(Sales_Table[[#This Row],[Date_clean]],2)</f>
        <v>6</v>
      </c>
      <c r="X926" t="str" cm="1">
        <f t="array" ref="X926">_xlfn.IFS(Sales_Table[[#This Row],[Revenue]]&gt;=50000,"High",Sales_Table[[#This Row],[Revenue]]&gt;=20000,"Medium",Sales_Table[[#This Row],[Revenue]]&lt;20000,"Low")</f>
        <v>Low</v>
      </c>
      <c r="Y926" t="str">
        <f>IF(Sales_Table[[#This Row],[Payment Method_clean]]="cash","Offline","Online")</f>
        <v>Online</v>
      </c>
      <c r="Z926">
        <f>IFERROR(Sales_Table[[#This Row],[Revenue]],0)</f>
        <v>5094</v>
      </c>
    </row>
    <row r="927" spans="1:26" x14ac:dyDescent="0.3">
      <c r="A927">
        <v>926</v>
      </c>
      <c r="B927" s="2">
        <f t="shared" si="98"/>
        <v>45330.541666666664</v>
      </c>
      <c r="C927" t="s">
        <v>2378</v>
      </c>
      <c r="D927" t="s">
        <v>27</v>
      </c>
      <c r="E927" t="str">
        <f>PROPER(TRIM(CLEAN(Sales_Table[[#This Row],[Region]])))</f>
        <v>East</v>
      </c>
      <c r="F927" t="s">
        <v>46</v>
      </c>
      <c r="G927" t="str">
        <f t="shared" si="99"/>
        <v>Electronics</v>
      </c>
      <c r="H927" t="str">
        <f>PROPER(TRIM(CLEAN(Sales_Table[[#This Row],[Product Name]])))</f>
        <v>Washing Machine</v>
      </c>
      <c r="I927" t="s">
        <v>79</v>
      </c>
      <c r="J927" t="str">
        <f t="shared" si="100"/>
        <v>CUST0759</v>
      </c>
      <c r="K927" t="s">
        <v>2379</v>
      </c>
      <c r="L927" t="str">
        <f>PROPER(TRIM(CLEAN(Sales_Table[[#This Row],[Salesperson]])))</f>
        <v>Meena</v>
      </c>
      <c r="M927" t="s">
        <v>40</v>
      </c>
      <c r="N927" t="str">
        <f t="shared" si="101"/>
        <v>Cash</v>
      </c>
      <c r="O927" t="s">
        <v>32</v>
      </c>
      <c r="P927">
        <f t="shared" si="102"/>
        <v>7</v>
      </c>
      <c r="Q927" t="s">
        <v>49</v>
      </c>
      <c r="R927">
        <f t="shared" si="103"/>
        <v>847</v>
      </c>
      <c r="S927" t="s">
        <v>1951</v>
      </c>
      <c r="T927">
        <f t="shared" si="104"/>
        <v>5929</v>
      </c>
      <c r="U927">
        <f>YEAR(Sales_Table[[#This Row],[Date_clean]])</f>
        <v>2024</v>
      </c>
      <c r="V927" t="str">
        <f>TEXT(Sales_Table[[#This Row],[Date_clean]],"mmmm")</f>
        <v>February</v>
      </c>
      <c r="W927">
        <f>WEEKNUM(Sales_Table[[#This Row],[Date_clean]],2)</f>
        <v>6</v>
      </c>
      <c r="X927" t="str" cm="1">
        <f t="array" ref="X927">_xlfn.IFS(Sales_Table[[#This Row],[Revenue]]&gt;=50000,"High",Sales_Table[[#This Row],[Revenue]]&gt;=20000,"Medium",Sales_Table[[#This Row],[Revenue]]&lt;20000,"Low")</f>
        <v>Low</v>
      </c>
      <c r="Y927" t="str">
        <f>IF(Sales_Table[[#This Row],[Payment Method_clean]]="cash","Offline","Online")</f>
        <v>Offline</v>
      </c>
      <c r="Z927">
        <f>IFERROR(Sales_Table[[#This Row],[Revenue]],0)</f>
        <v>5929</v>
      </c>
    </row>
    <row r="928" spans="1:26" x14ac:dyDescent="0.3">
      <c r="A928">
        <v>927</v>
      </c>
      <c r="B928" s="2">
        <f t="shared" si="98"/>
        <v>45330.583333333336</v>
      </c>
      <c r="C928" t="s">
        <v>2380</v>
      </c>
      <c r="D928" t="s">
        <v>45</v>
      </c>
      <c r="E928" t="str">
        <f>PROPER(TRIM(CLEAN(Sales_Table[[#This Row],[Region]])))</f>
        <v>North</v>
      </c>
      <c r="F928" t="s">
        <v>37</v>
      </c>
      <c r="G928" t="str">
        <f t="shared" si="99"/>
        <v>Home Appliances</v>
      </c>
      <c r="H928" t="str">
        <f>PROPER(TRIM(CLEAN(Sales_Table[[#This Row],[Product Name]])))</f>
        <v>Mixer Grinder</v>
      </c>
      <c r="I928" t="s">
        <v>29</v>
      </c>
      <c r="J928" t="str">
        <f t="shared" si="100"/>
        <v>CUST0779</v>
      </c>
      <c r="K928" t="s">
        <v>1958</v>
      </c>
      <c r="L928" t="str">
        <f>PROPER(TRIM(CLEAN(Sales_Table[[#This Row],[Salesperson]])))</f>
        <v>Anita</v>
      </c>
      <c r="M928" t="s">
        <v>64</v>
      </c>
      <c r="N928" t="str">
        <f t="shared" si="101"/>
        <v>Net Banking</v>
      </c>
      <c r="O928" t="s">
        <v>60</v>
      </c>
      <c r="P928">
        <f t="shared" si="102"/>
        <v>9</v>
      </c>
      <c r="Q928" t="s">
        <v>130</v>
      </c>
      <c r="R928">
        <f t="shared" si="103"/>
        <v>4073</v>
      </c>
      <c r="S928" t="s">
        <v>2381</v>
      </c>
      <c r="T928">
        <f t="shared" si="104"/>
        <v>36657</v>
      </c>
      <c r="U928">
        <f>YEAR(Sales_Table[[#This Row],[Date_clean]])</f>
        <v>2024</v>
      </c>
      <c r="V928" t="str">
        <f>TEXT(Sales_Table[[#This Row],[Date_clean]],"mmmm")</f>
        <v>February</v>
      </c>
      <c r="W928">
        <f>WEEKNUM(Sales_Table[[#This Row],[Date_clean]],2)</f>
        <v>6</v>
      </c>
      <c r="X928" t="str" cm="1">
        <f t="array" ref="X928">_xlfn.IFS(Sales_Table[[#This Row],[Revenue]]&gt;=50000,"High",Sales_Table[[#This Row],[Revenue]]&gt;=20000,"Medium",Sales_Table[[#This Row],[Revenue]]&lt;20000,"Low")</f>
        <v>Medium</v>
      </c>
      <c r="Y928" t="str">
        <f>IF(Sales_Table[[#This Row],[Payment Method_clean]]="cash","Offline","Online")</f>
        <v>Online</v>
      </c>
      <c r="Z928">
        <f>IFERROR(Sales_Table[[#This Row],[Revenue]],0)</f>
        <v>36657</v>
      </c>
    </row>
    <row r="929" spans="1:26" x14ac:dyDescent="0.3">
      <c r="A929">
        <v>928</v>
      </c>
      <c r="B929" s="2">
        <f t="shared" si="98"/>
        <v>45330.625</v>
      </c>
      <c r="C929" t="s">
        <v>2382</v>
      </c>
      <c r="D929" t="s">
        <v>36</v>
      </c>
      <c r="E929" t="str">
        <f>PROPER(TRIM(CLEAN(Sales_Table[[#This Row],[Region]])))</f>
        <v>West</v>
      </c>
      <c r="F929" t="s">
        <v>46</v>
      </c>
      <c r="G929" t="str">
        <f t="shared" si="99"/>
        <v>Electronics</v>
      </c>
      <c r="H929" t="str">
        <f>PROPER(TRIM(CLEAN(Sales_Table[[#This Row],[Product Name]])))</f>
        <v>Men T-Shirt</v>
      </c>
      <c r="I929" t="s">
        <v>38</v>
      </c>
      <c r="J929" t="str">
        <f t="shared" si="100"/>
        <v>CUST0763</v>
      </c>
      <c r="K929" t="s">
        <v>934</v>
      </c>
      <c r="L929" t="str">
        <f>PROPER(TRIM(CLEAN(Sales_Table[[#This Row],[Salesperson]])))</f>
        <v>Karthik</v>
      </c>
      <c r="M929" t="s">
        <v>70</v>
      </c>
      <c r="N929" t="str">
        <f t="shared" si="101"/>
        <v>Net Banking</v>
      </c>
      <c r="O929" t="s">
        <v>60</v>
      </c>
      <c r="P929">
        <f t="shared" si="102"/>
        <v>11</v>
      </c>
      <c r="Q929" t="s">
        <v>97</v>
      </c>
      <c r="R929">
        <f t="shared" si="103"/>
        <v>2422</v>
      </c>
      <c r="S929" t="s">
        <v>2383</v>
      </c>
      <c r="T929">
        <f t="shared" si="104"/>
        <v>26642</v>
      </c>
      <c r="U929">
        <f>YEAR(Sales_Table[[#This Row],[Date_clean]])</f>
        <v>2024</v>
      </c>
      <c r="V929" t="str">
        <f>TEXT(Sales_Table[[#This Row],[Date_clean]],"mmmm")</f>
        <v>February</v>
      </c>
      <c r="W929">
        <f>WEEKNUM(Sales_Table[[#This Row],[Date_clean]],2)</f>
        <v>6</v>
      </c>
      <c r="X929" t="str" cm="1">
        <f t="array" ref="X929">_xlfn.IFS(Sales_Table[[#This Row],[Revenue]]&gt;=50000,"High",Sales_Table[[#This Row],[Revenue]]&gt;=20000,"Medium",Sales_Table[[#This Row],[Revenue]]&lt;20000,"Low")</f>
        <v>Medium</v>
      </c>
      <c r="Y929" t="str">
        <f>IF(Sales_Table[[#This Row],[Payment Method_clean]]="cash","Offline","Online")</f>
        <v>Online</v>
      </c>
      <c r="Z929">
        <f>IFERROR(Sales_Table[[#This Row],[Revenue]],0)</f>
        <v>26642</v>
      </c>
    </row>
    <row r="930" spans="1:26" x14ac:dyDescent="0.3">
      <c r="A930">
        <v>929</v>
      </c>
      <c r="B930" s="2">
        <f t="shared" si="98"/>
        <v>45330.666666666664</v>
      </c>
      <c r="C930" t="s">
        <v>2384</v>
      </c>
      <c r="D930" t="s">
        <v>84</v>
      </c>
      <c r="E930" t="str">
        <f>PROPER(TRIM(CLEAN(Sales_Table[[#This Row],[Region]])))</f>
        <v>South</v>
      </c>
      <c r="F930" t="s">
        <v>46</v>
      </c>
      <c r="G930" t="str">
        <f t="shared" si="99"/>
        <v>Electronics</v>
      </c>
      <c r="H930" t="str">
        <f>PROPER(TRIM(CLEAN(Sales_Table[[#This Row],[Product Name]])))</f>
        <v>Rice 5Kg</v>
      </c>
      <c r="I930" t="s">
        <v>73</v>
      </c>
      <c r="J930" t="str">
        <f t="shared" si="100"/>
        <v>CUST0515</v>
      </c>
      <c r="K930" t="s">
        <v>563</v>
      </c>
      <c r="L930" t="str">
        <f>PROPER(TRIM(CLEAN(Sales_Table[[#This Row],[Salesperson]])))</f>
        <v>Meena</v>
      </c>
      <c r="M930" t="s">
        <v>40</v>
      </c>
      <c r="N930" t="str">
        <f t="shared" si="101"/>
        <v>Credit Card</v>
      </c>
      <c r="O930" t="s">
        <v>65</v>
      </c>
      <c r="P930">
        <f t="shared" si="102"/>
        <v>10</v>
      </c>
      <c r="Q930" t="s">
        <v>117</v>
      </c>
      <c r="R930">
        <f t="shared" si="103"/>
        <v>1653</v>
      </c>
      <c r="S930" t="s">
        <v>2008</v>
      </c>
      <c r="T930">
        <f t="shared" si="104"/>
        <v>16530</v>
      </c>
      <c r="U930">
        <f>YEAR(Sales_Table[[#This Row],[Date_clean]])</f>
        <v>2024</v>
      </c>
      <c r="V930" t="str">
        <f>TEXT(Sales_Table[[#This Row],[Date_clean]],"mmmm")</f>
        <v>February</v>
      </c>
      <c r="W930">
        <f>WEEKNUM(Sales_Table[[#This Row],[Date_clean]],2)</f>
        <v>6</v>
      </c>
      <c r="X930" t="str" cm="1">
        <f t="array" ref="X930">_xlfn.IFS(Sales_Table[[#This Row],[Revenue]]&gt;=50000,"High",Sales_Table[[#This Row],[Revenue]]&gt;=20000,"Medium",Sales_Table[[#This Row],[Revenue]]&lt;20000,"Low")</f>
        <v>Low</v>
      </c>
      <c r="Y930" t="str">
        <f>IF(Sales_Table[[#This Row],[Payment Method_clean]]="cash","Offline","Online")</f>
        <v>Online</v>
      </c>
      <c r="Z930">
        <f>IFERROR(Sales_Table[[#This Row],[Revenue]],0)</f>
        <v>16530</v>
      </c>
    </row>
    <row r="931" spans="1:26" x14ac:dyDescent="0.3">
      <c r="A931">
        <v>930</v>
      </c>
      <c r="B931" s="2">
        <f t="shared" si="98"/>
        <v>45330.708333333336</v>
      </c>
      <c r="C931" t="s">
        <v>2385</v>
      </c>
      <c r="D931" t="s">
        <v>45</v>
      </c>
      <c r="E931" t="str">
        <f>PROPER(TRIM(CLEAN(Sales_Table[[#This Row],[Region]])))</f>
        <v>North</v>
      </c>
      <c r="F931" t="s">
        <v>37</v>
      </c>
      <c r="G931" t="str">
        <f t="shared" si="99"/>
        <v>Home Appliances</v>
      </c>
      <c r="H931" t="str">
        <f>PROPER(TRIM(CLEAN(Sales_Table[[#This Row],[Product Name]])))</f>
        <v>Rice 5Kg</v>
      </c>
      <c r="I931" t="s">
        <v>73</v>
      </c>
      <c r="J931" t="str">
        <f t="shared" si="100"/>
        <v>CUST0393</v>
      </c>
      <c r="K931" t="s">
        <v>1143</v>
      </c>
      <c r="L931" t="str">
        <f>PROPER(TRIM(CLEAN(Sales_Table[[#This Row],[Salesperson]])))</f>
        <v>Meena</v>
      </c>
      <c r="M931" t="s">
        <v>40</v>
      </c>
      <c r="N931" t="str">
        <f t="shared" si="101"/>
        <v>Upi</v>
      </c>
      <c r="O931" t="s">
        <v>48</v>
      </c>
      <c r="P931">
        <f t="shared" si="102"/>
        <v>12</v>
      </c>
      <c r="Q931" t="s">
        <v>33</v>
      </c>
      <c r="R931">
        <f t="shared" si="103"/>
        <v>1715</v>
      </c>
      <c r="S931" t="s">
        <v>2386</v>
      </c>
      <c r="T931">
        <f t="shared" si="104"/>
        <v>20580</v>
      </c>
      <c r="U931">
        <f>YEAR(Sales_Table[[#This Row],[Date_clean]])</f>
        <v>2024</v>
      </c>
      <c r="V931" t="str">
        <f>TEXT(Sales_Table[[#This Row],[Date_clean]],"mmmm")</f>
        <v>February</v>
      </c>
      <c r="W931">
        <f>WEEKNUM(Sales_Table[[#This Row],[Date_clean]],2)</f>
        <v>6</v>
      </c>
      <c r="X931" t="str" cm="1">
        <f t="array" ref="X931">_xlfn.IFS(Sales_Table[[#This Row],[Revenue]]&gt;=50000,"High",Sales_Table[[#This Row],[Revenue]]&gt;=20000,"Medium",Sales_Table[[#This Row],[Revenue]]&lt;20000,"Low")</f>
        <v>Medium</v>
      </c>
      <c r="Y931" t="str">
        <f>IF(Sales_Table[[#This Row],[Payment Method_clean]]="cash","Offline","Online")</f>
        <v>Online</v>
      </c>
      <c r="Z931">
        <f>IFERROR(Sales_Table[[#This Row],[Revenue]],0)</f>
        <v>20580</v>
      </c>
    </row>
    <row r="932" spans="1:26" x14ac:dyDescent="0.3">
      <c r="A932">
        <v>931</v>
      </c>
      <c r="B932" s="2">
        <f t="shared" si="98"/>
        <v>45330.75</v>
      </c>
      <c r="C932" t="s">
        <v>2387</v>
      </c>
      <c r="D932" t="s">
        <v>27</v>
      </c>
      <c r="E932" t="str">
        <f>PROPER(TRIM(CLEAN(Sales_Table[[#This Row],[Region]])))</f>
        <v>East</v>
      </c>
      <c r="F932" t="s">
        <v>46</v>
      </c>
      <c r="G932" t="str">
        <f t="shared" si="99"/>
        <v>Electronics</v>
      </c>
      <c r="H932" t="str">
        <f>PROPER(TRIM(CLEAN(Sales_Table[[#This Row],[Product Name]])))</f>
        <v>Men T-Shirt</v>
      </c>
      <c r="I932" t="s">
        <v>38</v>
      </c>
      <c r="J932" t="str">
        <f t="shared" si="100"/>
        <v>CUST0316</v>
      </c>
      <c r="K932" t="s">
        <v>2388</v>
      </c>
      <c r="L932" t="str">
        <f>PROPER(TRIM(CLEAN(Sales_Table[[#This Row],[Salesperson]])))</f>
        <v>Karthik</v>
      </c>
      <c r="M932" t="s">
        <v>70</v>
      </c>
      <c r="N932" t="str">
        <f t="shared" si="101"/>
        <v>Net Banking</v>
      </c>
      <c r="O932" t="s">
        <v>60</v>
      </c>
      <c r="P932">
        <f t="shared" si="102"/>
        <v>11</v>
      </c>
      <c r="Q932" t="s">
        <v>97</v>
      </c>
      <c r="R932">
        <f t="shared" si="103"/>
        <v>3854</v>
      </c>
      <c r="S932" t="s">
        <v>2389</v>
      </c>
      <c r="T932">
        <f t="shared" si="104"/>
        <v>42394</v>
      </c>
      <c r="U932">
        <f>YEAR(Sales_Table[[#This Row],[Date_clean]])</f>
        <v>2024</v>
      </c>
      <c r="V932" t="str">
        <f>TEXT(Sales_Table[[#This Row],[Date_clean]],"mmmm")</f>
        <v>February</v>
      </c>
      <c r="W932">
        <f>WEEKNUM(Sales_Table[[#This Row],[Date_clean]],2)</f>
        <v>6</v>
      </c>
      <c r="X932" t="str" cm="1">
        <f t="array" ref="X932">_xlfn.IFS(Sales_Table[[#This Row],[Revenue]]&gt;=50000,"High",Sales_Table[[#This Row],[Revenue]]&gt;=20000,"Medium",Sales_Table[[#This Row],[Revenue]]&lt;20000,"Low")</f>
        <v>Medium</v>
      </c>
      <c r="Y932" t="str">
        <f>IF(Sales_Table[[#This Row],[Payment Method_clean]]="cash","Offline","Online")</f>
        <v>Online</v>
      </c>
      <c r="Z932">
        <f>IFERROR(Sales_Table[[#This Row],[Revenue]],0)</f>
        <v>42394</v>
      </c>
    </row>
    <row r="933" spans="1:26" x14ac:dyDescent="0.3">
      <c r="A933">
        <v>932</v>
      </c>
      <c r="B933" s="2">
        <f t="shared" si="98"/>
        <v>45330.791666666664</v>
      </c>
      <c r="C933" t="s">
        <v>2390</v>
      </c>
      <c r="D933" t="s">
        <v>36</v>
      </c>
      <c r="E933" t="str">
        <f>PROPER(TRIM(CLEAN(Sales_Table[[#This Row],[Region]])))</f>
        <v>West</v>
      </c>
      <c r="F933" t="s">
        <v>28</v>
      </c>
      <c r="G933" t="str">
        <f t="shared" si="99"/>
        <v>Clothing</v>
      </c>
      <c r="H933" t="str">
        <f>PROPER(TRIM(CLEAN(Sales_Table[[#This Row],[Product Name]])))</f>
        <v>Men T-Shirt</v>
      </c>
      <c r="I933" t="s">
        <v>38</v>
      </c>
      <c r="J933" t="str">
        <f t="shared" si="100"/>
        <v>CUST0076</v>
      </c>
      <c r="K933" t="s">
        <v>1309</v>
      </c>
      <c r="L933" t="str">
        <f>PROPER(TRIM(CLEAN(Sales_Table[[#This Row],[Salesperson]])))</f>
        <v>Anita</v>
      </c>
      <c r="M933" t="s">
        <v>64</v>
      </c>
      <c r="N933" t="str">
        <f t="shared" si="101"/>
        <v>Credit Card</v>
      </c>
      <c r="O933" t="s">
        <v>65</v>
      </c>
      <c r="P933">
        <f t="shared" si="102"/>
        <v>4</v>
      </c>
      <c r="Q933" t="s">
        <v>113</v>
      </c>
      <c r="R933">
        <f t="shared" si="103"/>
        <v>4524</v>
      </c>
      <c r="S933" t="s">
        <v>2391</v>
      </c>
      <c r="T933">
        <f t="shared" si="104"/>
        <v>18096</v>
      </c>
      <c r="U933">
        <f>YEAR(Sales_Table[[#This Row],[Date_clean]])</f>
        <v>2024</v>
      </c>
      <c r="V933" t="str">
        <f>TEXT(Sales_Table[[#This Row],[Date_clean]],"mmmm")</f>
        <v>February</v>
      </c>
      <c r="W933">
        <f>WEEKNUM(Sales_Table[[#This Row],[Date_clean]],2)</f>
        <v>6</v>
      </c>
      <c r="X933" t="str" cm="1">
        <f t="array" ref="X933">_xlfn.IFS(Sales_Table[[#This Row],[Revenue]]&gt;=50000,"High",Sales_Table[[#This Row],[Revenue]]&gt;=20000,"Medium",Sales_Table[[#This Row],[Revenue]]&lt;20000,"Low")</f>
        <v>Low</v>
      </c>
      <c r="Y933" t="str">
        <f>IF(Sales_Table[[#This Row],[Payment Method_clean]]="cash","Offline","Online")</f>
        <v>Online</v>
      </c>
      <c r="Z933">
        <f>IFERROR(Sales_Table[[#This Row],[Revenue]],0)</f>
        <v>18096</v>
      </c>
    </row>
    <row r="934" spans="1:26" x14ac:dyDescent="0.3">
      <c r="A934">
        <v>933</v>
      </c>
      <c r="B934" s="2">
        <f t="shared" si="98"/>
        <v>45330.833333333336</v>
      </c>
      <c r="C934" t="s">
        <v>2392</v>
      </c>
      <c r="D934" t="s">
        <v>45</v>
      </c>
      <c r="E934" t="str">
        <f>PROPER(TRIM(CLEAN(Sales_Table[[#This Row],[Region]])))</f>
        <v>North</v>
      </c>
      <c r="F934" t="s">
        <v>78</v>
      </c>
      <c r="G934" t="str">
        <f t="shared" si="99"/>
        <v>Grocery</v>
      </c>
      <c r="H934" t="str">
        <f>PROPER(TRIM(CLEAN(Sales_Table[[#This Row],[Product Name]])))</f>
        <v>Rice 5Kg</v>
      </c>
      <c r="I934" t="s">
        <v>73</v>
      </c>
      <c r="J934" t="str">
        <f t="shared" si="100"/>
        <v>CUST0599</v>
      </c>
      <c r="K934" t="s">
        <v>2393</v>
      </c>
      <c r="L934" t="str">
        <f>PROPER(TRIM(CLEAN(Sales_Table[[#This Row],[Salesperson]])))</f>
        <v>Meena</v>
      </c>
      <c r="M934" t="s">
        <v>40</v>
      </c>
      <c r="N934" t="str">
        <f t="shared" si="101"/>
        <v>Credit Card</v>
      </c>
      <c r="O934" t="s">
        <v>65</v>
      </c>
      <c r="P934">
        <f t="shared" si="102"/>
        <v>7</v>
      </c>
      <c r="Q934" t="s">
        <v>49</v>
      </c>
      <c r="R934">
        <f t="shared" si="103"/>
        <v>2402</v>
      </c>
      <c r="S934" t="s">
        <v>2394</v>
      </c>
      <c r="T934">
        <f t="shared" si="104"/>
        <v>16814</v>
      </c>
      <c r="U934">
        <f>YEAR(Sales_Table[[#This Row],[Date_clean]])</f>
        <v>2024</v>
      </c>
      <c r="V934" t="str">
        <f>TEXT(Sales_Table[[#This Row],[Date_clean]],"mmmm")</f>
        <v>February</v>
      </c>
      <c r="W934">
        <f>WEEKNUM(Sales_Table[[#This Row],[Date_clean]],2)</f>
        <v>6</v>
      </c>
      <c r="X934" t="str" cm="1">
        <f t="array" ref="X934">_xlfn.IFS(Sales_Table[[#This Row],[Revenue]]&gt;=50000,"High",Sales_Table[[#This Row],[Revenue]]&gt;=20000,"Medium",Sales_Table[[#This Row],[Revenue]]&lt;20000,"Low")</f>
        <v>Low</v>
      </c>
      <c r="Y934" t="str">
        <f>IF(Sales_Table[[#This Row],[Payment Method_clean]]="cash","Offline","Online")</f>
        <v>Online</v>
      </c>
      <c r="Z934">
        <f>IFERROR(Sales_Table[[#This Row],[Revenue]],0)</f>
        <v>16814</v>
      </c>
    </row>
    <row r="935" spans="1:26" x14ac:dyDescent="0.3">
      <c r="A935">
        <v>934</v>
      </c>
      <c r="B935" s="2">
        <f t="shared" si="98"/>
        <v>45330.875</v>
      </c>
      <c r="C935" t="s">
        <v>2395</v>
      </c>
      <c r="D935" t="s">
        <v>45</v>
      </c>
      <c r="E935" t="str">
        <f>PROPER(TRIM(CLEAN(Sales_Table[[#This Row],[Region]])))</f>
        <v>North</v>
      </c>
      <c r="F935" t="s">
        <v>78</v>
      </c>
      <c r="G935" t="str">
        <f t="shared" si="99"/>
        <v>Grocery</v>
      </c>
      <c r="H935" t="str">
        <f>PROPER(TRIM(CLEAN(Sales_Table[[#This Row],[Product Name]])))</f>
        <v>Men T-Shirt</v>
      </c>
      <c r="I935" t="s">
        <v>38</v>
      </c>
      <c r="J935" t="str">
        <f t="shared" si="100"/>
        <v>CUST0270</v>
      </c>
      <c r="K935" t="s">
        <v>1220</v>
      </c>
      <c r="L935" t="str">
        <f>PROPER(TRIM(CLEAN(Sales_Table[[#This Row],[Salesperson]])))</f>
        <v>Suresh</v>
      </c>
      <c r="M935" t="s">
        <v>54</v>
      </c>
      <c r="N935" t="str">
        <f t="shared" si="101"/>
        <v>Net Banking</v>
      </c>
      <c r="O935" t="s">
        <v>60</v>
      </c>
      <c r="P935">
        <f t="shared" si="102"/>
        <v>9</v>
      </c>
      <c r="Q935" t="s">
        <v>130</v>
      </c>
      <c r="R935">
        <f t="shared" si="103"/>
        <v>4321</v>
      </c>
      <c r="S935" t="s">
        <v>2396</v>
      </c>
      <c r="T935">
        <f t="shared" si="104"/>
        <v>38889</v>
      </c>
      <c r="U935">
        <f>YEAR(Sales_Table[[#This Row],[Date_clean]])</f>
        <v>2024</v>
      </c>
      <c r="V935" t="str">
        <f>TEXT(Sales_Table[[#This Row],[Date_clean]],"mmmm")</f>
        <v>February</v>
      </c>
      <c r="W935">
        <f>WEEKNUM(Sales_Table[[#This Row],[Date_clean]],2)</f>
        <v>6</v>
      </c>
      <c r="X935" t="str" cm="1">
        <f t="array" ref="X935">_xlfn.IFS(Sales_Table[[#This Row],[Revenue]]&gt;=50000,"High",Sales_Table[[#This Row],[Revenue]]&gt;=20000,"Medium",Sales_Table[[#This Row],[Revenue]]&lt;20000,"Low")</f>
        <v>Medium</v>
      </c>
      <c r="Y935" t="str">
        <f>IF(Sales_Table[[#This Row],[Payment Method_clean]]="cash","Offline","Online")</f>
        <v>Online</v>
      </c>
      <c r="Z935">
        <f>IFERROR(Sales_Table[[#This Row],[Revenue]],0)</f>
        <v>38889</v>
      </c>
    </row>
    <row r="936" spans="1:26" x14ac:dyDescent="0.3">
      <c r="A936">
        <v>935</v>
      </c>
      <c r="B936" s="2">
        <f t="shared" si="98"/>
        <v>45330.916666666664</v>
      </c>
      <c r="C936" t="s">
        <v>2397</v>
      </c>
      <c r="D936" t="s">
        <v>36</v>
      </c>
      <c r="E936" t="str">
        <f>PROPER(TRIM(CLEAN(Sales_Table[[#This Row],[Region]])))</f>
        <v>West</v>
      </c>
      <c r="F936" t="s">
        <v>78</v>
      </c>
      <c r="G936" t="str">
        <f t="shared" si="99"/>
        <v>Grocery</v>
      </c>
      <c r="H936" t="str">
        <f>PROPER(TRIM(CLEAN(Sales_Table[[#This Row],[Product Name]])))</f>
        <v>Led Tv 42Inch</v>
      </c>
      <c r="I936" t="s">
        <v>58</v>
      </c>
      <c r="J936" t="str">
        <f t="shared" si="100"/>
        <v>CUST0225</v>
      </c>
      <c r="K936" t="s">
        <v>2398</v>
      </c>
      <c r="L936" t="str">
        <f>PROPER(TRIM(CLEAN(Sales_Table[[#This Row],[Salesperson]])))</f>
        <v>Karthik</v>
      </c>
      <c r="M936" t="s">
        <v>70</v>
      </c>
      <c r="N936" t="str">
        <f t="shared" si="101"/>
        <v>Credit Card</v>
      </c>
      <c r="O936" t="s">
        <v>65</v>
      </c>
      <c r="P936">
        <f t="shared" si="102"/>
        <v>14</v>
      </c>
      <c r="Q936" t="s">
        <v>55</v>
      </c>
      <c r="R936">
        <f t="shared" si="103"/>
        <v>4962</v>
      </c>
      <c r="S936" t="s">
        <v>1791</v>
      </c>
      <c r="T936">
        <f t="shared" si="104"/>
        <v>69468</v>
      </c>
      <c r="U936">
        <f>YEAR(Sales_Table[[#This Row],[Date_clean]])</f>
        <v>2024</v>
      </c>
      <c r="V936" t="str">
        <f>TEXT(Sales_Table[[#This Row],[Date_clean]],"mmmm")</f>
        <v>February</v>
      </c>
      <c r="W936">
        <f>WEEKNUM(Sales_Table[[#This Row],[Date_clean]],2)</f>
        <v>6</v>
      </c>
      <c r="X936" t="str" cm="1">
        <f t="array" ref="X936">_xlfn.IFS(Sales_Table[[#This Row],[Revenue]]&gt;=50000,"High",Sales_Table[[#This Row],[Revenue]]&gt;=20000,"Medium",Sales_Table[[#This Row],[Revenue]]&lt;20000,"Low")</f>
        <v>High</v>
      </c>
      <c r="Y936" t="str">
        <f>IF(Sales_Table[[#This Row],[Payment Method_clean]]="cash","Offline","Online")</f>
        <v>Online</v>
      </c>
      <c r="Z936">
        <f>IFERROR(Sales_Table[[#This Row],[Revenue]],0)</f>
        <v>69468</v>
      </c>
    </row>
    <row r="937" spans="1:26" x14ac:dyDescent="0.3">
      <c r="A937">
        <v>936</v>
      </c>
      <c r="B937" s="2">
        <f t="shared" si="98"/>
        <v>45330.958333333336</v>
      </c>
      <c r="C937" t="s">
        <v>2399</v>
      </c>
      <c r="D937" t="s">
        <v>45</v>
      </c>
      <c r="E937" t="str">
        <f>PROPER(TRIM(CLEAN(Sales_Table[[#This Row],[Region]])))</f>
        <v>North</v>
      </c>
      <c r="F937" t="s">
        <v>78</v>
      </c>
      <c r="G937" t="str">
        <f t="shared" si="99"/>
        <v>Grocery</v>
      </c>
      <c r="H937" t="str">
        <f>PROPER(TRIM(CLEAN(Sales_Table[[#This Row],[Product Name]])))</f>
        <v>Mixer Grinder</v>
      </c>
      <c r="I937" t="s">
        <v>29</v>
      </c>
      <c r="J937" t="str">
        <f t="shared" si="100"/>
        <v>CUST0530</v>
      </c>
      <c r="K937" t="s">
        <v>1119</v>
      </c>
      <c r="L937" t="str">
        <f>PROPER(TRIM(CLEAN(Sales_Table[[#This Row],[Salesperson]])))</f>
        <v>Rahul</v>
      </c>
      <c r="M937" t="s">
        <v>31</v>
      </c>
      <c r="N937" t="str">
        <f t="shared" si="101"/>
        <v>Cash</v>
      </c>
      <c r="O937" t="s">
        <v>32</v>
      </c>
      <c r="P937">
        <f t="shared" si="102"/>
        <v>8</v>
      </c>
      <c r="Q937" t="s">
        <v>42</v>
      </c>
      <c r="R937">
        <f t="shared" si="103"/>
        <v>3755</v>
      </c>
      <c r="S937" t="s">
        <v>2400</v>
      </c>
      <c r="T937">
        <f t="shared" si="104"/>
        <v>30040</v>
      </c>
      <c r="U937">
        <f>YEAR(Sales_Table[[#This Row],[Date_clean]])</f>
        <v>2024</v>
      </c>
      <c r="V937" t="str">
        <f>TEXT(Sales_Table[[#This Row],[Date_clean]],"mmmm")</f>
        <v>February</v>
      </c>
      <c r="W937">
        <f>WEEKNUM(Sales_Table[[#This Row],[Date_clean]],2)</f>
        <v>6</v>
      </c>
      <c r="X937" t="str" cm="1">
        <f t="array" ref="X937">_xlfn.IFS(Sales_Table[[#This Row],[Revenue]]&gt;=50000,"High",Sales_Table[[#This Row],[Revenue]]&gt;=20000,"Medium",Sales_Table[[#This Row],[Revenue]]&lt;20000,"Low")</f>
        <v>Medium</v>
      </c>
      <c r="Y937" t="str">
        <f>IF(Sales_Table[[#This Row],[Payment Method_clean]]="cash","Offline","Online")</f>
        <v>Offline</v>
      </c>
      <c r="Z937">
        <f>IFERROR(Sales_Table[[#This Row],[Revenue]],0)</f>
        <v>30040</v>
      </c>
    </row>
    <row r="938" spans="1:26" x14ac:dyDescent="0.3">
      <c r="A938">
        <v>937</v>
      </c>
      <c r="B938" s="2">
        <f t="shared" si="98"/>
        <v>45331</v>
      </c>
      <c r="C938" t="s">
        <v>2401</v>
      </c>
      <c r="D938" t="s">
        <v>84</v>
      </c>
      <c r="E938" t="str">
        <f>PROPER(TRIM(CLEAN(Sales_Table[[#This Row],[Region]])))</f>
        <v>South</v>
      </c>
      <c r="F938" t="s">
        <v>37</v>
      </c>
      <c r="G938" t="str">
        <f t="shared" si="99"/>
        <v>Home Appliances</v>
      </c>
      <c r="H938" t="str">
        <f>PROPER(TRIM(CLEAN(Sales_Table[[#This Row],[Product Name]])))</f>
        <v>Mixer Grinder</v>
      </c>
      <c r="I938" t="s">
        <v>29</v>
      </c>
      <c r="J938" t="str">
        <f t="shared" si="100"/>
        <v>CUST0113</v>
      </c>
      <c r="K938" t="s">
        <v>646</v>
      </c>
      <c r="L938" t="str">
        <f>PROPER(TRIM(CLEAN(Sales_Table[[#This Row],[Salesperson]])))</f>
        <v>Rahul</v>
      </c>
      <c r="M938" t="s">
        <v>31</v>
      </c>
      <c r="N938" t="str">
        <f t="shared" si="101"/>
        <v>Cash</v>
      </c>
      <c r="O938" t="s">
        <v>32</v>
      </c>
      <c r="P938">
        <f t="shared" si="102"/>
        <v>8</v>
      </c>
      <c r="Q938" t="s">
        <v>42</v>
      </c>
      <c r="R938">
        <f t="shared" si="103"/>
        <v>3495</v>
      </c>
      <c r="S938" t="s">
        <v>2402</v>
      </c>
      <c r="T938">
        <f t="shared" si="104"/>
        <v>27960</v>
      </c>
      <c r="U938">
        <f>YEAR(Sales_Table[[#This Row],[Date_clean]])</f>
        <v>2024</v>
      </c>
      <c r="V938" t="str">
        <f>TEXT(Sales_Table[[#This Row],[Date_clean]],"mmmm")</f>
        <v>February</v>
      </c>
      <c r="W938">
        <f>WEEKNUM(Sales_Table[[#This Row],[Date_clean]],2)</f>
        <v>6</v>
      </c>
      <c r="X938" t="str" cm="1">
        <f t="array" ref="X938">_xlfn.IFS(Sales_Table[[#This Row],[Revenue]]&gt;=50000,"High",Sales_Table[[#This Row],[Revenue]]&gt;=20000,"Medium",Sales_Table[[#This Row],[Revenue]]&lt;20000,"Low")</f>
        <v>Medium</v>
      </c>
      <c r="Y938" t="str">
        <f>IF(Sales_Table[[#This Row],[Payment Method_clean]]="cash","Offline","Online")</f>
        <v>Offline</v>
      </c>
      <c r="Z938">
        <f>IFERROR(Sales_Table[[#This Row],[Revenue]],0)</f>
        <v>27960</v>
      </c>
    </row>
    <row r="939" spans="1:26" x14ac:dyDescent="0.3">
      <c r="A939">
        <v>938</v>
      </c>
      <c r="B939" s="2">
        <f t="shared" si="98"/>
        <v>45331.041666666664</v>
      </c>
      <c r="C939" t="s">
        <v>2403</v>
      </c>
      <c r="D939" t="s">
        <v>45</v>
      </c>
      <c r="E939" t="str">
        <f>PROPER(TRIM(CLEAN(Sales_Table[[#This Row],[Region]])))</f>
        <v>North</v>
      </c>
      <c r="F939" t="s">
        <v>78</v>
      </c>
      <c r="G939" t="str">
        <f t="shared" si="99"/>
        <v>Grocery</v>
      </c>
      <c r="H939" t="str">
        <f>PROPER(TRIM(CLEAN(Sales_Table[[#This Row],[Product Name]])))</f>
        <v>Mixer Grinder</v>
      </c>
      <c r="I939" t="s">
        <v>29</v>
      </c>
      <c r="J939" t="str">
        <f t="shared" si="100"/>
        <v>CUST0251</v>
      </c>
      <c r="K939" t="s">
        <v>2404</v>
      </c>
      <c r="L939" t="str">
        <f>PROPER(TRIM(CLEAN(Sales_Table[[#This Row],[Salesperson]])))</f>
        <v>Anita</v>
      </c>
      <c r="M939" t="s">
        <v>64</v>
      </c>
      <c r="N939" t="str">
        <f t="shared" si="101"/>
        <v>Net Banking</v>
      </c>
      <c r="O939" t="s">
        <v>60</v>
      </c>
      <c r="P939">
        <f t="shared" si="102"/>
        <v>9</v>
      </c>
      <c r="Q939" t="s">
        <v>130</v>
      </c>
      <c r="R939">
        <f t="shared" si="103"/>
        <v>316</v>
      </c>
      <c r="S939" t="s">
        <v>202</v>
      </c>
      <c r="T939">
        <f t="shared" si="104"/>
        <v>2844</v>
      </c>
      <c r="U939">
        <f>YEAR(Sales_Table[[#This Row],[Date_clean]])</f>
        <v>2024</v>
      </c>
      <c r="V939" t="str">
        <f>TEXT(Sales_Table[[#This Row],[Date_clean]],"mmmm")</f>
        <v>February</v>
      </c>
      <c r="W939">
        <f>WEEKNUM(Sales_Table[[#This Row],[Date_clean]],2)</f>
        <v>6</v>
      </c>
      <c r="X939" t="str" cm="1">
        <f t="array" ref="X939">_xlfn.IFS(Sales_Table[[#This Row],[Revenue]]&gt;=50000,"High",Sales_Table[[#This Row],[Revenue]]&gt;=20000,"Medium",Sales_Table[[#This Row],[Revenue]]&lt;20000,"Low")</f>
        <v>Low</v>
      </c>
      <c r="Y939" t="str">
        <f>IF(Sales_Table[[#This Row],[Payment Method_clean]]="cash","Offline","Online")</f>
        <v>Online</v>
      </c>
      <c r="Z939">
        <f>IFERROR(Sales_Table[[#This Row],[Revenue]],0)</f>
        <v>2844</v>
      </c>
    </row>
    <row r="940" spans="1:26" x14ac:dyDescent="0.3">
      <c r="A940">
        <v>939</v>
      </c>
      <c r="B940" s="2">
        <f t="shared" si="98"/>
        <v>45331.083333333336</v>
      </c>
      <c r="C940" t="s">
        <v>2405</v>
      </c>
      <c r="D940" t="s">
        <v>84</v>
      </c>
      <c r="E940" t="str">
        <f>PROPER(TRIM(CLEAN(Sales_Table[[#This Row],[Region]])))</f>
        <v>South</v>
      </c>
      <c r="F940" t="s">
        <v>78</v>
      </c>
      <c r="G940" t="str">
        <f t="shared" si="99"/>
        <v>Grocery</v>
      </c>
      <c r="H940" t="str">
        <f>PROPER(TRIM(CLEAN(Sales_Table[[#This Row],[Product Name]])))</f>
        <v>Led Tv 42Inch</v>
      </c>
      <c r="I940" t="s">
        <v>58</v>
      </c>
      <c r="J940" t="str">
        <f t="shared" si="100"/>
        <v>CUST0233</v>
      </c>
      <c r="K940" t="s">
        <v>1602</v>
      </c>
      <c r="L940" t="str">
        <f>PROPER(TRIM(CLEAN(Sales_Table[[#This Row],[Salesperson]])))</f>
        <v>Suresh</v>
      </c>
      <c r="M940" t="s">
        <v>54</v>
      </c>
      <c r="N940" t="str">
        <f t="shared" si="101"/>
        <v>Upi</v>
      </c>
      <c r="O940" t="s">
        <v>48</v>
      </c>
      <c r="P940">
        <f t="shared" si="102"/>
        <v>14</v>
      </c>
      <c r="Q940" t="s">
        <v>55</v>
      </c>
      <c r="R940">
        <f t="shared" si="103"/>
        <v>3416</v>
      </c>
      <c r="S940" t="s">
        <v>2406</v>
      </c>
      <c r="T940">
        <f t="shared" si="104"/>
        <v>47824</v>
      </c>
      <c r="U940">
        <f>YEAR(Sales_Table[[#This Row],[Date_clean]])</f>
        <v>2024</v>
      </c>
      <c r="V940" t="str">
        <f>TEXT(Sales_Table[[#This Row],[Date_clean]],"mmmm")</f>
        <v>February</v>
      </c>
      <c r="W940">
        <f>WEEKNUM(Sales_Table[[#This Row],[Date_clean]],2)</f>
        <v>6</v>
      </c>
      <c r="X940" t="str" cm="1">
        <f t="array" ref="X940">_xlfn.IFS(Sales_Table[[#This Row],[Revenue]]&gt;=50000,"High",Sales_Table[[#This Row],[Revenue]]&gt;=20000,"Medium",Sales_Table[[#This Row],[Revenue]]&lt;20000,"Low")</f>
        <v>Medium</v>
      </c>
      <c r="Y940" t="str">
        <f>IF(Sales_Table[[#This Row],[Payment Method_clean]]="cash","Offline","Online")</f>
        <v>Online</v>
      </c>
      <c r="Z940">
        <f>IFERROR(Sales_Table[[#This Row],[Revenue]],0)</f>
        <v>47824</v>
      </c>
    </row>
    <row r="941" spans="1:26" x14ac:dyDescent="0.3">
      <c r="A941">
        <v>940</v>
      </c>
      <c r="B941" s="2">
        <f t="shared" si="98"/>
        <v>45331.125</v>
      </c>
      <c r="C941" t="s">
        <v>2407</v>
      </c>
      <c r="D941" t="s">
        <v>84</v>
      </c>
      <c r="E941" t="str">
        <f>PROPER(TRIM(CLEAN(Sales_Table[[#This Row],[Region]])))</f>
        <v>South</v>
      </c>
      <c r="F941" t="s">
        <v>78</v>
      </c>
      <c r="G941" t="str">
        <f t="shared" si="99"/>
        <v>Grocery</v>
      </c>
      <c r="H941" t="str">
        <f>PROPER(TRIM(CLEAN(Sales_Table[[#This Row],[Product Name]])))</f>
        <v>Men T-Shirt</v>
      </c>
      <c r="I941" t="s">
        <v>38</v>
      </c>
      <c r="J941" t="str">
        <f t="shared" si="100"/>
        <v>CUST0791</v>
      </c>
      <c r="K941" t="s">
        <v>288</v>
      </c>
      <c r="L941" t="str">
        <f>PROPER(TRIM(CLEAN(Sales_Table[[#This Row],[Salesperson]])))</f>
        <v>Meena</v>
      </c>
      <c r="M941" t="s">
        <v>40</v>
      </c>
      <c r="N941" t="str">
        <f t="shared" si="101"/>
        <v>Cash</v>
      </c>
      <c r="O941" t="s">
        <v>32</v>
      </c>
      <c r="P941">
        <f t="shared" si="102"/>
        <v>5</v>
      </c>
      <c r="Q941" t="s">
        <v>89</v>
      </c>
      <c r="R941">
        <f t="shared" si="103"/>
        <v>1459</v>
      </c>
      <c r="S941" t="s">
        <v>2408</v>
      </c>
      <c r="T941">
        <f t="shared" si="104"/>
        <v>7295</v>
      </c>
      <c r="U941">
        <f>YEAR(Sales_Table[[#This Row],[Date_clean]])</f>
        <v>2024</v>
      </c>
      <c r="V941" t="str">
        <f>TEXT(Sales_Table[[#This Row],[Date_clean]],"mmmm")</f>
        <v>February</v>
      </c>
      <c r="W941">
        <f>WEEKNUM(Sales_Table[[#This Row],[Date_clean]],2)</f>
        <v>6</v>
      </c>
      <c r="X941" t="str" cm="1">
        <f t="array" ref="X941">_xlfn.IFS(Sales_Table[[#This Row],[Revenue]]&gt;=50000,"High",Sales_Table[[#This Row],[Revenue]]&gt;=20000,"Medium",Sales_Table[[#This Row],[Revenue]]&lt;20000,"Low")</f>
        <v>Low</v>
      </c>
      <c r="Y941" t="str">
        <f>IF(Sales_Table[[#This Row],[Payment Method_clean]]="cash","Offline","Online")</f>
        <v>Offline</v>
      </c>
      <c r="Z941">
        <f>IFERROR(Sales_Table[[#This Row],[Revenue]],0)</f>
        <v>7295</v>
      </c>
    </row>
    <row r="942" spans="1:26" x14ac:dyDescent="0.3">
      <c r="A942">
        <v>941</v>
      </c>
      <c r="B942" s="2">
        <f t="shared" si="98"/>
        <v>45331.166666666664</v>
      </c>
      <c r="C942" t="s">
        <v>2409</v>
      </c>
      <c r="D942" t="s">
        <v>36</v>
      </c>
      <c r="E942" t="str">
        <f>PROPER(TRIM(CLEAN(Sales_Table[[#This Row],[Region]])))</f>
        <v>West</v>
      </c>
      <c r="F942" t="s">
        <v>78</v>
      </c>
      <c r="G942" t="str">
        <f t="shared" si="99"/>
        <v>Grocery</v>
      </c>
      <c r="H942" t="str">
        <f>PROPER(TRIM(CLEAN(Sales_Table[[#This Row],[Product Name]])))</f>
        <v>Washing Machine</v>
      </c>
      <c r="I942" t="s">
        <v>79</v>
      </c>
      <c r="J942" t="str">
        <f t="shared" si="100"/>
        <v>CUST0714</v>
      </c>
      <c r="K942" t="s">
        <v>1483</v>
      </c>
      <c r="L942" t="str">
        <f>PROPER(TRIM(CLEAN(Sales_Table[[#This Row],[Salesperson]])))</f>
        <v>Rahul</v>
      </c>
      <c r="M942" t="s">
        <v>31</v>
      </c>
      <c r="N942" t="str">
        <f t="shared" si="101"/>
        <v>Cash</v>
      </c>
      <c r="O942" t="s">
        <v>32</v>
      </c>
      <c r="P942">
        <f t="shared" si="102"/>
        <v>14</v>
      </c>
      <c r="Q942" t="s">
        <v>55</v>
      </c>
      <c r="R942">
        <f t="shared" si="103"/>
        <v>3874</v>
      </c>
      <c r="S942" t="s">
        <v>2410</v>
      </c>
      <c r="T942">
        <f t="shared" si="104"/>
        <v>54236</v>
      </c>
      <c r="U942">
        <f>YEAR(Sales_Table[[#This Row],[Date_clean]])</f>
        <v>2024</v>
      </c>
      <c r="V942" t="str">
        <f>TEXT(Sales_Table[[#This Row],[Date_clean]],"mmmm")</f>
        <v>February</v>
      </c>
      <c r="W942">
        <f>WEEKNUM(Sales_Table[[#This Row],[Date_clean]],2)</f>
        <v>6</v>
      </c>
      <c r="X942" t="str" cm="1">
        <f t="array" ref="X942">_xlfn.IFS(Sales_Table[[#This Row],[Revenue]]&gt;=50000,"High",Sales_Table[[#This Row],[Revenue]]&gt;=20000,"Medium",Sales_Table[[#This Row],[Revenue]]&lt;20000,"Low")</f>
        <v>High</v>
      </c>
      <c r="Y942" t="str">
        <f>IF(Sales_Table[[#This Row],[Payment Method_clean]]="cash","Offline","Online")</f>
        <v>Offline</v>
      </c>
      <c r="Z942">
        <f>IFERROR(Sales_Table[[#This Row],[Revenue]],0)</f>
        <v>54236</v>
      </c>
    </row>
    <row r="943" spans="1:26" x14ac:dyDescent="0.3">
      <c r="A943">
        <v>942</v>
      </c>
      <c r="B943" s="2">
        <f t="shared" si="98"/>
        <v>45331.208333333336</v>
      </c>
      <c r="C943" t="s">
        <v>2411</v>
      </c>
      <c r="D943" t="s">
        <v>45</v>
      </c>
      <c r="E943" t="str">
        <f>PROPER(TRIM(CLEAN(Sales_Table[[#This Row],[Region]])))</f>
        <v>North</v>
      </c>
      <c r="F943" t="s">
        <v>28</v>
      </c>
      <c r="G943" t="str">
        <f t="shared" si="99"/>
        <v>Clothing</v>
      </c>
      <c r="H943" t="str">
        <f>PROPER(TRIM(CLEAN(Sales_Table[[#This Row],[Product Name]])))</f>
        <v>Men T-Shirt</v>
      </c>
      <c r="I943" t="s">
        <v>38</v>
      </c>
      <c r="J943" t="str">
        <f t="shared" si="100"/>
        <v>CUST0083</v>
      </c>
      <c r="K943" t="s">
        <v>1684</v>
      </c>
      <c r="L943" t="str">
        <f>PROPER(TRIM(CLEAN(Sales_Table[[#This Row],[Salesperson]])))</f>
        <v>Anita</v>
      </c>
      <c r="M943" t="s">
        <v>64</v>
      </c>
      <c r="N943" t="str">
        <f t="shared" si="101"/>
        <v>Net Banking</v>
      </c>
      <c r="O943" t="s">
        <v>60</v>
      </c>
      <c r="P943">
        <f t="shared" si="102"/>
        <v>5</v>
      </c>
      <c r="Q943" t="s">
        <v>89</v>
      </c>
      <c r="R943">
        <f t="shared" si="103"/>
        <v>4377</v>
      </c>
      <c r="S943" t="s">
        <v>2412</v>
      </c>
      <c r="T943">
        <f t="shared" si="104"/>
        <v>21885</v>
      </c>
      <c r="U943">
        <f>YEAR(Sales_Table[[#This Row],[Date_clean]])</f>
        <v>2024</v>
      </c>
      <c r="V943" t="str">
        <f>TEXT(Sales_Table[[#This Row],[Date_clean]],"mmmm")</f>
        <v>February</v>
      </c>
      <c r="W943">
        <f>WEEKNUM(Sales_Table[[#This Row],[Date_clean]],2)</f>
        <v>6</v>
      </c>
      <c r="X943" t="str" cm="1">
        <f t="array" ref="X943">_xlfn.IFS(Sales_Table[[#This Row],[Revenue]]&gt;=50000,"High",Sales_Table[[#This Row],[Revenue]]&gt;=20000,"Medium",Sales_Table[[#This Row],[Revenue]]&lt;20000,"Low")</f>
        <v>Medium</v>
      </c>
      <c r="Y943" t="str">
        <f>IF(Sales_Table[[#This Row],[Payment Method_clean]]="cash","Offline","Online")</f>
        <v>Online</v>
      </c>
      <c r="Z943">
        <f>IFERROR(Sales_Table[[#This Row],[Revenue]],0)</f>
        <v>21885</v>
      </c>
    </row>
    <row r="944" spans="1:26" x14ac:dyDescent="0.3">
      <c r="A944">
        <v>943</v>
      </c>
      <c r="B944" s="2">
        <f t="shared" si="98"/>
        <v>45331.25</v>
      </c>
      <c r="C944" t="s">
        <v>2413</v>
      </c>
      <c r="D944" t="s">
        <v>36</v>
      </c>
      <c r="E944" t="str">
        <f>PROPER(TRIM(CLEAN(Sales_Table[[#This Row],[Region]])))</f>
        <v>West</v>
      </c>
      <c r="F944" t="s">
        <v>78</v>
      </c>
      <c r="G944" t="str">
        <f t="shared" si="99"/>
        <v>Grocery</v>
      </c>
      <c r="H944" t="str">
        <f>PROPER(TRIM(CLEAN(Sales_Table[[#This Row],[Product Name]])))</f>
        <v>Rice 5Kg</v>
      </c>
      <c r="I944" t="s">
        <v>73</v>
      </c>
      <c r="J944" t="str">
        <f t="shared" si="100"/>
        <v>CUST0125</v>
      </c>
      <c r="K944" t="s">
        <v>572</v>
      </c>
      <c r="L944" t="str">
        <f>PROPER(TRIM(CLEAN(Sales_Table[[#This Row],[Salesperson]])))</f>
        <v>Suresh</v>
      </c>
      <c r="M944" t="s">
        <v>54</v>
      </c>
      <c r="N944" t="str">
        <f t="shared" si="101"/>
        <v>Debit Card</v>
      </c>
      <c r="O944" t="s">
        <v>41</v>
      </c>
      <c r="P944">
        <f t="shared" si="102"/>
        <v>3</v>
      </c>
      <c r="Q944" t="s">
        <v>66</v>
      </c>
      <c r="R944">
        <f t="shared" si="103"/>
        <v>4529</v>
      </c>
      <c r="S944" t="s">
        <v>2414</v>
      </c>
      <c r="T944">
        <f t="shared" si="104"/>
        <v>13587</v>
      </c>
      <c r="U944">
        <f>YEAR(Sales_Table[[#This Row],[Date_clean]])</f>
        <v>2024</v>
      </c>
      <c r="V944" t="str">
        <f>TEXT(Sales_Table[[#This Row],[Date_clean]],"mmmm")</f>
        <v>February</v>
      </c>
      <c r="W944">
        <f>WEEKNUM(Sales_Table[[#This Row],[Date_clean]],2)</f>
        <v>6</v>
      </c>
      <c r="X944" t="str" cm="1">
        <f t="array" ref="X944">_xlfn.IFS(Sales_Table[[#This Row],[Revenue]]&gt;=50000,"High",Sales_Table[[#This Row],[Revenue]]&gt;=20000,"Medium",Sales_Table[[#This Row],[Revenue]]&lt;20000,"Low")</f>
        <v>Low</v>
      </c>
      <c r="Y944" t="str">
        <f>IF(Sales_Table[[#This Row],[Payment Method_clean]]="cash","Offline","Online")</f>
        <v>Online</v>
      </c>
      <c r="Z944">
        <f>IFERROR(Sales_Table[[#This Row],[Revenue]],0)</f>
        <v>13587</v>
      </c>
    </row>
    <row r="945" spans="1:26" x14ac:dyDescent="0.3">
      <c r="A945">
        <v>944</v>
      </c>
      <c r="B945" s="2">
        <f t="shared" si="98"/>
        <v>45331.291666666664</v>
      </c>
      <c r="C945" t="s">
        <v>2415</v>
      </c>
      <c r="D945" t="s">
        <v>45</v>
      </c>
      <c r="E945" t="str">
        <f>PROPER(TRIM(CLEAN(Sales_Table[[#This Row],[Region]])))</f>
        <v>North</v>
      </c>
      <c r="F945" t="s">
        <v>28</v>
      </c>
      <c r="G945" t="str">
        <f t="shared" si="99"/>
        <v>Clothing</v>
      </c>
      <c r="H945" t="str">
        <f>PROPER(TRIM(CLEAN(Sales_Table[[#This Row],[Product Name]])))</f>
        <v>Laptop</v>
      </c>
      <c r="I945" t="s">
        <v>52</v>
      </c>
      <c r="J945" t="str">
        <f t="shared" si="100"/>
        <v>CUST0175</v>
      </c>
      <c r="K945" t="s">
        <v>2416</v>
      </c>
      <c r="L945" t="str">
        <f>PROPER(TRIM(CLEAN(Sales_Table[[#This Row],[Salesperson]])))</f>
        <v>Suresh</v>
      </c>
      <c r="M945" t="s">
        <v>54</v>
      </c>
      <c r="N945" t="str">
        <f t="shared" si="101"/>
        <v>Credit Card</v>
      </c>
      <c r="O945" t="s">
        <v>65</v>
      </c>
      <c r="P945">
        <f t="shared" si="102"/>
        <v>5</v>
      </c>
      <c r="Q945" t="s">
        <v>89</v>
      </c>
      <c r="R945">
        <f t="shared" si="103"/>
        <v>4706</v>
      </c>
      <c r="S945" t="s">
        <v>2417</v>
      </c>
      <c r="T945">
        <f t="shared" si="104"/>
        <v>23530</v>
      </c>
      <c r="U945">
        <f>YEAR(Sales_Table[[#This Row],[Date_clean]])</f>
        <v>2024</v>
      </c>
      <c r="V945" t="str">
        <f>TEXT(Sales_Table[[#This Row],[Date_clean]],"mmmm")</f>
        <v>February</v>
      </c>
      <c r="W945">
        <f>WEEKNUM(Sales_Table[[#This Row],[Date_clean]],2)</f>
        <v>6</v>
      </c>
      <c r="X945" t="str" cm="1">
        <f t="array" ref="X945">_xlfn.IFS(Sales_Table[[#This Row],[Revenue]]&gt;=50000,"High",Sales_Table[[#This Row],[Revenue]]&gt;=20000,"Medium",Sales_Table[[#This Row],[Revenue]]&lt;20000,"Low")</f>
        <v>Medium</v>
      </c>
      <c r="Y945" t="str">
        <f>IF(Sales_Table[[#This Row],[Payment Method_clean]]="cash","Offline","Online")</f>
        <v>Online</v>
      </c>
      <c r="Z945">
        <f>IFERROR(Sales_Table[[#This Row],[Revenue]],0)</f>
        <v>23530</v>
      </c>
    </row>
    <row r="946" spans="1:26" x14ac:dyDescent="0.3">
      <c r="A946">
        <v>945</v>
      </c>
      <c r="B946" s="2">
        <f t="shared" si="98"/>
        <v>45331.333333333336</v>
      </c>
      <c r="C946" t="s">
        <v>2418</v>
      </c>
      <c r="D946" t="s">
        <v>45</v>
      </c>
      <c r="E946" t="str">
        <f>PROPER(TRIM(CLEAN(Sales_Table[[#This Row],[Region]])))</f>
        <v>North</v>
      </c>
      <c r="F946" t="s">
        <v>37</v>
      </c>
      <c r="G946" t="str">
        <f t="shared" si="99"/>
        <v>Home Appliances</v>
      </c>
      <c r="H946" t="str">
        <f>PROPER(TRIM(CLEAN(Sales_Table[[#This Row],[Product Name]])))</f>
        <v>Mixer Grinder</v>
      </c>
      <c r="I946" t="s">
        <v>29</v>
      </c>
      <c r="J946" t="str">
        <f t="shared" si="100"/>
        <v>CUST0069</v>
      </c>
      <c r="K946" t="s">
        <v>2419</v>
      </c>
      <c r="L946" t="str">
        <f>PROPER(TRIM(CLEAN(Sales_Table[[#This Row],[Salesperson]])))</f>
        <v>Anita</v>
      </c>
      <c r="M946" t="s">
        <v>64</v>
      </c>
      <c r="N946" t="str">
        <f t="shared" si="101"/>
        <v>Cash</v>
      </c>
      <c r="O946" t="s">
        <v>32</v>
      </c>
      <c r="P946">
        <f t="shared" si="102"/>
        <v>8</v>
      </c>
      <c r="Q946" t="s">
        <v>42</v>
      </c>
      <c r="R946">
        <f t="shared" si="103"/>
        <v>4578</v>
      </c>
      <c r="S946" t="s">
        <v>2420</v>
      </c>
      <c r="T946">
        <f t="shared" si="104"/>
        <v>36624</v>
      </c>
      <c r="U946">
        <f>YEAR(Sales_Table[[#This Row],[Date_clean]])</f>
        <v>2024</v>
      </c>
      <c r="V946" t="str">
        <f>TEXT(Sales_Table[[#This Row],[Date_clean]],"mmmm")</f>
        <v>February</v>
      </c>
      <c r="W946">
        <f>WEEKNUM(Sales_Table[[#This Row],[Date_clean]],2)</f>
        <v>6</v>
      </c>
      <c r="X946" t="str" cm="1">
        <f t="array" ref="X946">_xlfn.IFS(Sales_Table[[#This Row],[Revenue]]&gt;=50000,"High",Sales_Table[[#This Row],[Revenue]]&gt;=20000,"Medium",Sales_Table[[#This Row],[Revenue]]&lt;20000,"Low")</f>
        <v>Medium</v>
      </c>
      <c r="Y946" t="str">
        <f>IF(Sales_Table[[#This Row],[Payment Method_clean]]="cash","Offline","Online")</f>
        <v>Offline</v>
      </c>
      <c r="Z946">
        <f>IFERROR(Sales_Table[[#This Row],[Revenue]],0)</f>
        <v>36624</v>
      </c>
    </row>
    <row r="947" spans="1:26" x14ac:dyDescent="0.3">
      <c r="A947">
        <v>946</v>
      </c>
      <c r="B947" s="2">
        <f t="shared" si="98"/>
        <v>45331.375</v>
      </c>
      <c r="C947" t="s">
        <v>2421</v>
      </c>
      <c r="D947" t="s">
        <v>27</v>
      </c>
      <c r="E947" t="str">
        <f>PROPER(TRIM(CLEAN(Sales_Table[[#This Row],[Region]])))</f>
        <v>East</v>
      </c>
      <c r="F947" t="s">
        <v>46</v>
      </c>
      <c r="G947" t="str">
        <f t="shared" si="99"/>
        <v>Electronics</v>
      </c>
      <c r="H947" t="str">
        <f>PROPER(TRIM(CLEAN(Sales_Table[[#This Row],[Product Name]])))</f>
        <v>Men T-Shirt</v>
      </c>
      <c r="I947" t="s">
        <v>38</v>
      </c>
      <c r="J947" t="str">
        <f t="shared" si="100"/>
        <v>CUST0047</v>
      </c>
      <c r="K947" t="s">
        <v>2422</v>
      </c>
      <c r="L947" t="str">
        <f>PROPER(TRIM(CLEAN(Sales_Table[[#This Row],[Salesperson]])))</f>
        <v>Anita</v>
      </c>
      <c r="M947" t="s">
        <v>64</v>
      </c>
      <c r="N947" t="str">
        <f t="shared" si="101"/>
        <v>Debit Card</v>
      </c>
      <c r="O947" t="s">
        <v>41</v>
      </c>
      <c r="P947">
        <f t="shared" si="102"/>
        <v>12</v>
      </c>
      <c r="Q947" t="s">
        <v>33</v>
      </c>
      <c r="R947">
        <f t="shared" si="103"/>
        <v>1996</v>
      </c>
      <c r="S947" t="s">
        <v>2423</v>
      </c>
      <c r="T947">
        <f t="shared" si="104"/>
        <v>23952</v>
      </c>
      <c r="U947">
        <f>YEAR(Sales_Table[[#This Row],[Date_clean]])</f>
        <v>2024</v>
      </c>
      <c r="V947" t="str">
        <f>TEXT(Sales_Table[[#This Row],[Date_clean]],"mmmm")</f>
        <v>February</v>
      </c>
      <c r="W947">
        <f>WEEKNUM(Sales_Table[[#This Row],[Date_clean]],2)</f>
        <v>6</v>
      </c>
      <c r="X947" t="str" cm="1">
        <f t="array" ref="X947">_xlfn.IFS(Sales_Table[[#This Row],[Revenue]]&gt;=50000,"High",Sales_Table[[#This Row],[Revenue]]&gt;=20000,"Medium",Sales_Table[[#This Row],[Revenue]]&lt;20000,"Low")</f>
        <v>Medium</v>
      </c>
      <c r="Y947" t="str">
        <f>IF(Sales_Table[[#This Row],[Payment Method_clean]]="cash","Offline","Online")</f>
        <v>Online</v>
      </c>
      <c r="Z947">
        <f>IFERROR(Sales_Table[[#This Row],[Revenue]],0)</f>
        <v>23952</v>
      </c>
    </row>
    <row r="948" spans="1:26" x14ac:dyDescent="0.3">
      <c r="A948">
        <v>947</v>
      </c>
      <c r="B948" s="2">
        <f t="shared" si="98"/>
        <v>45331.416666666664</v>
      </c>
      <c r="C948" t="s">
        <v>2424</v>
      </c>
      <c r="D948" t="s">
        <v>45</v>
      </c>
      <c r="E948" t="str">
        <f>PROPER(TRIM(CLEAN(Sales_Table[[#This Row],[Region]])))</f>
        <v>North</v>
      </c>
      <c r="F948" t="s">
        <v>78</v>
      </c>
      <c r="G948" t="str">
        <f t="shared" si="99"/>
        <v>Grocery</v>
      </c>
      <c r="H948" t="str">
        <f>PROPER(TRIM(CLEAN(Sales_Table[[#This Row],[Product Name]])))</f>
        <v>Washing Machine</v>
      </c>
      <c r="I948" t="s">
        <v>79</v>
      </c>
      <c r="J948" t="str">
        <f t="shared" si="100"/>
        <v>CUST0256</v>
      </c>
      <c r="K948" t="s">
        <v>69</v>
      </c>
      <c r="L948" t="str">
        <f>PROPER(TRIM(CLEAN(Sales_Table[[#This Row],[Salesperson]])))</f>
        <v>Meena</v>
      </c>
      <c r="M948" t="s">
        <v>40</v>
      </c>
      <c r="N948" t="str">
        <f t="shared" si="101"/>
        <v>Upi</v>
      </c>
      <c r="O948" t="s">
        <v>48</v>
      </c>
      <c r="P948">
        <f t="shared" si="102"/>
        <v>5</v>
      </c>
      <c r="Q948" t="s">
        <v>89</v>
      </c>
      <c r="R948">
        <f t="shared" si="103"/>
        <v>4527</v>
      </c>
      <c r="S948" t="s">
        <v>2425</v>
      </c>
      <c r="T948">
        <f t="shared" si="104"/>
        <v>22635</v>
      </c>
      <c r="U948">
        <f>YEAR(Sales_Table[[#This Row],[Date_clean]])</f>
        <v>2024</v>
      </c>
      <c r="V948" t="str">
        <f>TEXT(Sales_Table[[#This Row],[Date_clean]],"mmmm")</f>
        <v>February</v>
      </c>
      <c r="W948">
        <f>WEEKNUM(Sales_Table[[#This Row],[Date_clean]],2)</f>
        <v>6</v>
      </c>
      <c r="X948" t="str" cm="1">
        <f t="array" ref="X948">_xlfn.IFS(Sales_Table[[#This Row],[Revenue]]&gt;=50000,"High",Sales_Table[[#This Row],[Revenue]]&gt;=20000,"Medium",Sales_Table[[#This Row],[Revenue]]&lt;20000,"Low")</f>
        <v>Medium</v>
      </c>
      <c r="Y948" t="str">
        <f>IF(Sales_Table[[#This Row],[Payment Method_clean]]="cash","Offline","Online")</f>
        <v>Online</v>
      </c>
      <c r="Z948">
        <f>IFERROR(Sales_Table[[#This Row],[Revenue]],0)</f>
        <v>22635</v>
      </c>
    </row>
    <row r="949" spans="1:26" x14ac:dyDescent="0.3">
      <c r="A949">
        <v>948</v>
      </c>
      <c r="B949" s="2">
        <f t="shared" si="98"/>
        <v>45331.458333333336</v>
      </c>
      <c r="C949" t="s">
        <v>2426</v>
      </c>
      <c r="D949" t="s">
        <v>36</v>
      </c>
      <c r="E949" t="str">
        <f>PROPER(TRIM(CLEAN(Sales_Table[[#This Row],[Region]])))</f>
        <v>West</v>
      </c>
      <c r="F949" t="s">
        <v>46</v>
      </c>
      <c r="G949" t="str">
        <f t="shared" si="99"/>
        <v>Electronics</v>
      </c>
      <c r="H949" t="str">
        <f>PROPER(TRIM(CLEAN(Sales_Table[[#This Row],[Product Name]])))</f>
        <v>Rice 5Kg</v>
      </c>
      <c r="I949" t="s">
        <v>73</v>
      </c>
      <c r="J949" t="str">
        <f t="shared" si="100"/>
        <v>CUST0727</v>
      </c>
      <c r="K949" t="s">
        <v>186</v>
      </c>
      <c r="L949" t="str">
        <f>PROPER(TRIM(CLEAN(Sales_Table[[#This Row],[Salesperson]])))</f>
        <v>Anita</v>
      </c>
      <c r="M949" t="s">
        <v>64</v>
      </c>
      <c r="N949" t="str">
        <f t="shared" si="101"/>
        <v>Debit Card</v>
      </c>
      <c r="O949" t="s">
        <v>41</v>
      </c>
      <c r="P949">
        <f t="shared" si="102"/>
        <v>4</v>
      </c>
      <c r="Q949" t="s">
        <v>113</v>
      </c>
      <c r="R949">
        <f t="shared" si="103"/>
        <v>999</v>
      </c>
      <c r="S949" t="s">
        <v>2427</v>
      </c>
      <c r="T949">
        <f t="shared" si="104"/>
        <v>3996</v>
      </c>
      <c r="U949">
        <f>YEAR(Sales_Table[[#This Row],[Date_clean]])</f>
        <v>2024</v>
      </c>
      <c r="V949" t="str">
        <f>TEXT(Sales_Table[[#This Row],[Date_clean]],"mmmm")</f>
        <v>February</v>
      </c>
      <c r="W949">
        <f>WEEKNUM(Sales_Table[[#This Row],[Date_clean]],2)</f>
        <v>6</v>
      </c>
      <c r="X949" t="str" cm="1">
        <f t="array" ref="X949">_xlfn.IFS(Sales_Table[[#This Row],[Revenue]]&gt;=50000,"High",Sales_Table[[#This Row],[Revenue]]&gt;=20000,"Medium",Sales_Table[[#This Row],[Revenue]]&lt;20000,"Low")</f>
        <v>Low</v>
      </c>
      <c r="Y949" t="str">
        <f>IF(Sales_Table[[#This Row],[Payment Method_clean]]="cash","Offline","Online")</f>
        <v>Online</v>
      </c>
      <c r="Z949">
        <f>IFERROR(Sales_Table[[#This Row],[Revenue]],0)</f>
        <v>3996</v>
      </c>
    </row>
    <row r="950" spans="1:26" x14ac:dyDescent="0.3">
      <c r="A950">
        <v>949</v>
      </c>
      <c r="B950" s="2">
        <f t="shared" si="98"/>
        <v>45331.5</v>
      </c>
      <c r="C950" t="s">
        <v>2428</v>
      </c>
      <c r="D950" t="s">
        <v>84</v>
      </c>
      <c r="E950" t="str">
        <f>PROPER(TRIM(CLEAN(Sales_Table[[#This Row],[Region]])))</f>
        <v>South</v>
      </c>
      <c r="F950" t="s">
        <v>46</v>
      </c>
      <c r="G950" t="str">
        <f t="shared" si="99"/>
        <v>Electronics</v>
      </c>
      <c r="H950" t="str">
        <f>PROPER(TRIM(CLEAN(Sales_Table[[#This Row],[Product Name]])))</f>
        <v>Led Tv 42Inch</v>
      </c>
      <c r="I950" t="s">
        <v>58</v>
      </c>
      <c r="J950" t="str">
        <f t="shared" si="100"/>
        <v>CUST0030</v>
      </c>
      <c r="K950" t="s">
        <v>1955</v>
      </c>
      <c r="L950" t="str">
        <f>PROPER(TRIM(CLEAN(Sales_Table[[#This Row],[Salesperson]])))</f>
        <v>Meena</v>
      </c>
      <c r="M950" t="s">
        <v>40</v>
      </c>
      <c r="N950" t="str">
        <f t="shared" si="101"/>
        <v>Net Banking</v>
      </c>
      <c r="O950" t="s">
        <v>60</v>
      </c>
      <c r="P950">
        <f t="shared" si="102"/>
        <v>8</v>
      </c>
      <c r="Q950" t="s">
        <v>42</v>
      </c>
      <c r="R950">
        <f t="shared" si="103"/>
        <v>741</v>
      </c>
      <c r="S950" t="s">
        <v>2429</v>
      </c>
      <c r="T950">
        <f t="shared" si="104"/>
        <v>5928</v>
      </c>
      <c r="U950">
        <f>YEAR(Sales_Table[[#This Row],[Date_clean]])</f>
        <v>2024</v>
      </c>
      <c r="V950" t="str">
        <f>TEXT(Sales_Table[[#This Row],[Date_clean]],"mmmm")</f>
        <v>February</v>
      </c>
      <c r="W950">
        <f>WEEKNUM(Sales_Table[[#This Row],[Date_clean]],2)</f>
        <v>6</v>
      </c>
      <c r="X950" t="str" cm="1">
        <f t="array" ref="X950">_xlfn.IFS(Sales_Table[[#This Row],[Revenue]]&gt;=50000,"High",Sales_Table[[#This Row],[Revenue]]&gt;=20000,"Medium",Sales_Table[[#This Row],[Revenue]]&lt;20000,"Low")</f>
        <v>Low</v>
      </c>
      <c r="Y950" t="str">
        <f>IF(Sales_Table[[#This Row],[Payment Method_clean]]="cash","Offline","Online")</f>
        <v>Online</v>
      </c>
      <c r="Z950">
        <f>IFERROR(Sales_Table[[#This Row],[Revenue]],0)</f>
        <v>5928</v>
      </c>
    </row>
    <row r="951" spans="1:26" x14ac:dyDescent="0.3">
      <c r="A951">
        <v>950</v>
      </c>
      <c r="B951" s="2">
        <f t="shared" si="98"/>
        <v>45331.541666666664</v>
      </c>
      <c r="C951" t="s">
        <v>2430</v>
      </c>
      <c r="D951" t="s">
        <v>45</v>
      </c>
      <c r="E951" t="str">
        <f>PROPER(TRIM(CLEAN(Sales_Table[[#This Row],[Region]])))</f>
        <v>North</v>
      </c>
      <c r="F951" t="s">
        <v>37</v>
      </c>
      <c r="G951" t="str">
        <f t="shared" si="99"/>
        <v>Home Appliances</v>
      </c>
      <c r="H951" t="str">
        <f>PROPER(TRIM(CLEAN(Sales_Table[[#This Row],[Product Name]])))</f>
        <v>Led Tv 42Inch</v>
      </c>
      <c r="I951" t="s">
        <v>58</v>
      </c>
      <c r="J951" t="str">
        <f t="shared" si="100"/>
        <v>CUST0281</v>
      </c>
      <c r="K951" t="s">
        <v>2431</v>
      </c>
      <c r="L951" t="str">
        <f>PROPER(TRIM(CLEAN(Sales_Table[[#This Row],[Salesperson]])))</f>
        <v>Meena</v>
      </c>
      <c r="M951" t="s">
        <v>40</v>
      </c>
      <c r="N951" t="str">
        <f t="shared" si="101"/>
        <v>Upi</v>
      </c>
      <c r="O951" t="s">
        <v>48</v>
      </c>
      <c r="P951">
        <f t="shared" si="102"/>
        <v>7</v>
      </c>
      <c r="Q951" t="s">
        <v>49</v>
      </c>
      <c r="R951">
        <f t="shared" si="103"/>
        <v>4829</v>
      </c>
      <c r="S951" t="s">
        <v>2432</v>
      </c>
      <c r="T951">
        <f t="shared" si="104"/>
        <v>33803</v>
      </c>
      <c r="U951">
        <f>YEAR(Sales_Table[[#This Row],[Date_clean]])</f>
        <v>2024</v>
      </c>
      <c r="V951" t="str">
        <f>TEXT(Sales_Table[[#This Row],[Date_clean]],"mmmm")</f>
        <v>February</v>
      </c>
      <c r="W951">
        <f>WEEKNUM(Sales_Table[[#This Row],[Date_clean]],2)</f>
        <v>6</v>
      </c>
      <c r="X951" t="str" cm="1">
        <f t="array" ref="X951">_xlfn.IFS(Sales_Table[[#This Row],[Revenue]]&gt;=50000,"High",Sales_Table[[#This Row],[Revenue]]&gt;=20000,"Medium",Sales_Table[[#This Row],[Revenue]]&lt;20000,"Low")</f>
        <v>Medium</v>
      </c>
      <c r="Y951" t="str">
        <f>IF(Sales_Table[[#This Row],[Payment Method_clean]]="cash","Offline","Online")</f>
        <v>Online</v>
      </c>
      <c r="Z951">
        <f>IFERROR(Sales_Table[[#This Row],[Revenue]],0)</f>
        <v>33803</v>
      </c>
    </row>
    <row r="952" spans="1:26" x14ac:dyDescent="0.3">
      <c r="A952">
        <v>951</v>
      </c>
      <c r="B952" s="2">
        <f t="shared" si="98"/>
        <v>45331.583333333336</v>
      </c>
      <c r="C952" t="s">
        <v>2433</v>
      </c>
      <c r="D952" t="s">
        <v>27</v>
      </c>
      <c r="E952" t="str">
        <f>PROPER(TRIM(CLEAN(Sales_Table[[#This Row],[Region]])))</f>
        <v>East</v>
      </c>
      <c r="F952" t="s">
        <v>46</v>
      </c>
      <c r="G952" t="str">
        <f t="shared" si="99"/>
        <v>Electronics</v>
      </c>
      <c r="H952" t="str">
        <f>PROPER(TRIM(CLEAN(Sales_Table[[#This Row],[Product Name]])))</f>
        <v>Washing Machine</v>
      </c>
      <c r="I952" t="s">
        <v>79</v>
      </c>
      <c r="J952" t="str">
        <f t="shared" si="100"/>
        <v>CUST0237</v>
      </c>
      <c r="K952" t="s">
        <v>240</v>
      </c>
      <c r="L952" t="str">
        <f>PROPER(TRIM(CLEAN(Sales_Table[[#This Row],[Salesperson]])))</f>
        <v>Karthik</v>
      </c>
      <c r="M952" t="s">
        <v>70</v>
      </c>
      <c r="N952" t="str">
        <f t="shared" si="101"/>
        <v>Upi</v>
      </c>
      <c r="O952" t="s">
        <v>48</v>
      </c>
      <c r="P952">
        <f t="shared" si="102"/>
        <v>14</v>
      </c>
      <c r="Q952" t="s">
        <v>55</v>
      </c>
      <c r="R952">
        <f t="shared" si="103"/>
        <v>3727</v>
      </c>
      <c r="S952" t="s">
        <v>2434</v>
      </c>
      <c r="T952">
        <f t="shared" si="104"/>
        <v>52178</v>
      </c>
      <c r="U952">
        <f>YEAR(Sales_Table[[#This Row],[Date_clean]])</f>
        <v>2024</v>
      </c>
      <c r="V952" t="str">
        <f>TEXT(Sales_Table[[#This Row],[Date_clean]],"mmmm")</f>
        <v>February</v>
      </c>
      <c r="W952">
        <f>WEEKNUM(Sales_Table[[#This Row],[Date_clean]],2)</f>
        <v>6</v>
      </c>
      <c r="X952" t="str" cm="1">
        <f t="array" ref="X952">_xlfn.IFS(Sales_Table[[#This Row],[Revenue]]&gt;=50000,"High",Sales_Table[[#This Row],[Revenue]]&gt;=20000,"Medium",Sales_Table[[#This Row],[Revenue]]&lt;20000,"Low")</f>
        <v>High</v>
      </c>
      <c r="Y952" t="str">
        <f>IF(Sales_Table[[#This Row],[Payment Method_clean]]="cash","Offline","Online")</f>
        <v>Online</v>
      </c>
      <c r="Z952">
        <f>IFERROR(Sales_Table[[#This Row],[Revenue]],0)</f>
        <v>52178</v>
      </c>
    </row>
    <row r="953" spans="1:26" x14ac:dyDescent="0.3">
      <c r="A953">
        <v>952</v>
      </c>
      <c r="B953" s="2">
        <f t="shared" si="98"/>
        <v>45331.625</v>
      </c>
      <c r="C953" t="s">
        <v>2435</v>
      </c>
      <c r="D953" t="s">
        <v>36</v>
      </c>
      <c r="E953" t="str">
        <f>PROPER(TRIM(CLEAN(Sales_Table[[#This Row],[Region]])))</f>
        <v>West</v>
      </c>
      <c r="F953" t="s">
        <v>28</v>
      </c>
      <c r="G953" t="str">
        <f t="shared" si="99"/>
        <v>Clothing</v>
      </c>
      <c r="H953" t="str">
        <f>PROPER(TRIM(CLEAN(Sales_Table[[#This Row],[Product Name]])))</f>
        <v>Rice 5Kg</v>
      </c>
      <c r="I953" t="s">
        <v>73</v>
      </c>
      <c r="J953" t="str">
        <f t="shared" si="100"/>
        <v>CUST0248</v>
      </c>
      <c r="K953" t="s">
        <v>2436</v>
      </c>
      <c r="L953" t="str">
        <f>PROPER(TRIM(CLEAN(Sales_Table[[#This Row],[Salesperson]])))</f>
        <v>Suresh</v>
      </c>
      <c r="M953" t="s">
        <v>54</v>
      </c>
      <c r="N953" t="str">
        <f t="shared" si="101"/>
        <v>Debit Card</v>
      </c>
      <c r="O953" t="s">
        <v>41</v>
      </c>
      <c r="P953">
        <f t="shared" si="102"/>
        <v>14</v>
      </c>
      <c r="Q953" t="s">
        <v>55</v>
      </c>
      <c r="R953">
        <f t="shared" si="103"/>
        <v>295</v>
      </c>
      <c r="S953" t="s">
        <v>2437</v>
      </c>
      <c r="T953">
        <f t="shared" si="104"/>
        <v>4130</v>
      </c>
      <c r="U953">
        <f>YEAR(Sales_Table[[#This Row],[Date_clean]])</f>
        <v>2024</v>
      </c>
      <c r="V953" t="str">
        <f>TEXT(Sales_Table[[#This Row],[Date_clean]],"mmmm")</f>
        <v>February</v>
      </c>
      <c r="W953">
        <f>WEEKNUM(Sales_Table[[#This Row],[Date_clean]],2)</f>
        <v>6</v>
      </c>
      <c r="X953" t="str" cm="1">
        <f t="array" ref="X953">_xlfn.IFS(Sales_Table[[#This Row],[Revenue]]&gt;=50000,"High",Sales_Table[[#This Row],[Revenue]]&gt;=20000,"Medium",Sales_Table[[#This Row],[Revenue]]&lt;20000,"Low")</f>
        <v>Low</v>
      </c>
      <c r="Y953" t="str">
        <f>IF(Sales_Table[[#This Row],[Payment Method_clean]]="cash","Offline","Online")</f>
        <v>Online</v>
      </c>
      <c r="Z953">
        <f>IFERROR(Sales_Table[[#This Row],[Revenue]],0)</f>
        <v>4130</v>
      </c>
    </row>
    <row r="954" spans="1:26" x14ac:dyDescent="0.3">
      <c r="A954">
        <v>953</v>
      </c>
      <c r="B954" s="2">
        <f t="shared" si="98"/>
        <v>45331.666666666664</v>
      </c>
      <c r="C954" t="s">
        <v>2438</v>
      </c>
      <c r="D954" t="s">
        <v>45</v>
      </c>
      <c r="E954" t="str">
        <f>PROPER(TRIM(CLEAN(Sales_Table[[#This Row],[Region]])))</f>
        <v>North</v>
      </c>
      <c r="F954" t="s">
        <v>46</v>
      </c>
      <c r="G954" t="str">
        <f t="shared" si="99"/>
        <v>Electronics</v>
      </c>
      <c r="H954" t="str">
        <f>PROPER(TRIM(CLEAN(Sales_Table[[#This Row],[Product Name]])))</f>
        <v>Mixer Grinder</v>
      </c>
      <c r="I954" t="s">
        <v>29</v>
      </c>
      <c r="J954" t="str">
        <f t="shared" si="100"/>
        <v>CUST0368</v>
      </c>
      <c r="K954" t="s">
        <v>126</v>
      </c>
      <c r="L954" t="str">
        <f>PROPER(TRIM(CLEAN(Sales_Table[[#This Row],[Salesperson]])))</f>
        <v>Suresh</v>
      </c>
      <c r="M954" t="s">
        <v>54</v>
      </c>
      <c r="N954" t="str">
        <f t="shared" si="101"/>
        <v>Net Banking</v>
      </c>
      <c r="O954" t="s">
        <v>60</v>
      </c>
      <c r="P954">
        <f t="shared" si="102"/>
        <v>6</v>
      </c>
      <c r="Q954" t="s">
        <v>75</v>
      </c>
      <c r="R954">
        <f t="shared" si="103"/>
        <v>1993</v>
      </c>
      <c r="S954" t="s">
        <v>2439</v>
      </c>
      <c r="T954">
        <f t="shared" si="104"/>
        <v>11958</v>
      </c>
      <c r="U954">
        <f>YEAR(Sales_Table[[#This Row],[Date_clean]])</f>
        <v>2024</v>
      </c>
      <c r="V954" t="str">
        <f>TEXT(Sales_Table[[#This Row],[Date_clean]],"mmmm")</f>
        <v>February</v>
      </c>
      <c r="W954">
        <f>WEEKNUM(Sales_Table[[#This Row],[Date_clean]],2)</f>
        <v>6</v>
      </c>
      <c r="X954" t="str" cm="1">
        <f t="array" ref="X954">_xlfn.IFS(Sales_Table[[#This Row],[Revenue]]&gt;=50000,"High",Sales_Table[[#This Row],[Revenue]]&gt;=20000,"Medium",Sales_Table[[#This Row],[Revenue]]&lt;20000,"Low")</f>
        <v>Low</v>
      </c>
      <c r="Y954" t="str">
        <f>IF(Sales_Table[[#This Row],[Payment Method_clean]]="cash","Offline","Online")</f>
        <v>Online</v>
      </c>
      <c r="Z954">
        <f>IFERROR(Sales_Table[[#This Row],[Revenue]],0)</f>
        <v>11958</v>
      </c>
    </row>
    <row r="955" spans="1:26" x14ac:dyDescent="0.3">
      <c r="A955">
        <v>954</v>
      </c>
      <c r="B955" s="2">
        <f t="shared" si="98"/>
        <v>45331.708333333336</v>
      </c>
      <c r="C955" t="s">
        <v>2440</v>
      </c>
      <c r="D955" t="s">
        <v>36</v>
      </c>
      <c r="E955" t="str">
        <f>PROPER(TRIM(CLEAN(Sales_Table[[#This Row],[Region]])))</f>
        <v>West</v>
      </c>
      <c r="F955" t="s">
        <v>46</v>
      </c>
      <c r="G955" t="str">
        <f t="shared" si="99"/>
        <v>Electronics</v>
      </c>
      <c r="H955" t="str">
        <f>PROPER(TRIM(CLEAN(Sales_Table[[#This Row],[Product Name]])))</f>
        <v>Men T-Shirt</v>
      </c>
      <c r="I955" t="s">
        <v>38</v>
      </c>
      <c r="J955" t="str">
        <f t="shared" si="100"/>
        <v>CUST0495</v>
      </c>
      <c r="K955" t="s">
        <v>1989</v>
      </c>
      <c r="L955" t="str">
        <f>PROPER(TRIM(CLEAN(Sales_Table[[#This Row],[Salesperson]])))</f>
        <v>Suresh</v>
      </c>
      <c r="M955" t="s">
        <v>54</v>
      </c>
      <c r="N955" t="str">
        <f t="shared" si="101"/>
        <v>Cash</v>
      </c>
      <c r="O955" t="s">
        <v>32</v>
      </c>
      <c r="P955">
        <f t="shared" si="102"/>
        <v>5</v>
      </c>
      <c r="Q955" t="s">
        <v>89</v>
      </c>
      <c r="R955">
        <f t="shared" si="103"/>
        <v>3375</v>
      </c>
      <c r="S955" t="s">
        <v>1835</v>
      </c>
      <c r="T955">
        <f t="shared" si="104"/>
        <v>16875</v>
      </c>
      <c r="U955">
        <f>YEAR(Sales_Table[[#This Row],[Date_clean]])</f>
        <v>2024</v>
      </c>
      <c r="V955" t="str">
        <f>TEXT(Sales_Table[[#This Row],[Date_clean]],"mmmm")</f>
        <v>February</v>
      </c>
      <c r="W955">
        <f>WEEKNUM(Sales_Table[[#This Row],[Date_clean]],2)</f>
        <v>6</v>
      </c>
      <c r="X955" t="str" cm="1">
        <f t="array" ref="X955">_xlfn.IFS(Sales_Table[[#This Row],[Revenue]]&gt;=50000,"High",Sales_Table[[#This Row],[Revenue]]&gt;=20000,"Medium",Sales_Table[[#This Row],[Revenue]]&lt;20000,"Low")</f>
        <v>Low</v>
      </c>
      <c r="Y955" t="str">
        <f>IF(Sales_Table[[#This Row],[Payment Method_clean]]="cash","Offline","Online")</f>
        <v>Offline</v>
      </c>
      <c r="Z955">
        <f>IFERROR(Sales_Table[[#This Row],[Revenue]],0)</f>
        <v>16875</v>
      </c>
    </row>
    <row r="956" spans="1:26" x14ac:dyDescent="0.3">
      <c r="A956">
        <v>955</v>
      </c>
      <c r="B956" s="2">
        <f t="shared" si="98"/>
        <v>45331.75</v>
      </c>
      <c r="C956" t="s">
        <v>2441</v>
      </c>
      <c r="D956" t="s">
        <v>27</v>
      </c>
      <c r="E956" t="str">
        <f>PROPER(TRIM(CLEAN(Sales_Table[[#This Row],[Region]])))</f>
        <v>East</v>
      </c>
      <c r="F956" t="s">
        <v>46</v>
      </c>
      <c r="G956" t="str">
        <f t="shared" si="99"/>
        <v>Electronics</v>
      </c>
      <c r="H956" t="str">
        <f>PROPER(TRIM(CLEAN(Sales_Table[[#This Row],[Product Name]])))</f>
        <v>Rice 5Kg</v>
      </c>
      <c r="I956" t="s">
        <v>73</v>
      </c>
      <c r="J956" t="str">
        <f t="shared" si="100"/>
        <v>CUST0025</v>
      </c>
      <c r="K956" t="s">
        <v>1864</v>
      </c>
      <c r="L956" t="str">
        <f>PROPER(TRIM(CLEAN(Sales_Table[[#This Row],[Salesperson]])))</f>
        <v>Karthik</v>
      </c>
      <c r="M956" t="s">
        <v>70</v>
      </c>
      <c r="N956" t="str">
        <f t="shared" si="101"/>
        <v>Debit Card</v>
      </c>
      <c r="O956" t="s">
        <v>41</v>
      </c>
      <c r="P956">
        <f t="shared" si="102"/>
        <v>14</v>
      </c>
      <c r="Q956" t="s">
        <v>55</v>
      </c>
      <c r="R956">
        <f t="shared" si="103"/>
        <v>4150</v>
      </c>
      <c r="S956" t="s">
        <v>2442</v>
      </c>
      <c r="T956">
        <f t="shared" si="104"/>
        <v>58100</v>
      </c>
      <c r="U956">
        <f>YEAR(Sales_Table[[#This Row],[Date_clean]])</f>
        <v>2024</v>
      </c>
      <c r="V956" t="str">
        <f>TEXT(Sales_Table[[#This Row],[Date_clean]],"mmmm")</f>
        <v>February</v>
      </c>
      <c r="W956">
        <f>WEEKNUM(Sales_Table[[#This Row],[Date_clean]],2)</f>
        <v>6</v>
      </c>
      <c r="X956" t="str" cm="1">
        <f t="array" ref="X956">_xlfn.IFS(Sales_Table[[#This Row],[Revenue]]&gt;=50000,"High",Sales_Table[[#This Row],[Revenue]]&gt;=20000,"Medium",Sales_Table[[#This Row],[Revenue]]&lt;20000,"Low")</f>
        <v>High</v>
      </c>
      <c r="Y956" t="str">
        <f>IF(Sales_Table[[#This Row],[Payment Method_clean]]="cash","Offline","Online")</f>
        <v>Online</v>
      </c>
      <c r="Z956">
        <f>IFERROR(Sales_Table[[#This Row],[Revenue]],0)</f>
        <v>58100</v>
      </c>
    </row>
    <row r="957" spans="1:26" x14ac:dyDescent="0.3">
      <c r="A957">
        <v>956</v>
      </c>
      <c r="B957" s="2">
        <f t="shared" si="98"/>
        <v>45331.791666666664</v>
      </c>
      <c r="C957" t="s">
        <v>2443</v>
      </c>
      <c r="D957" t="s">
        <v>27</v>
      </c>
      <c r="E957" t="str">
        <f>PROPER(TRIM(CLEAN(Sales_Table[[#This Row],[Region]])))</f>
        <v>East</v>
      </c>
      <c r="F957" t="s">
        <v>78</v>
      </c>
      <c r="G957" t="str">
        <f t="shared" si="99"/>
        <v>Grocery</v>
      </c>
      <c r="H957" t="str">
        <f>PROPER(TRIM(CLEAN(Sales_Table[[#This Row],[Product Name]])))</f>
        <v>Led Tv 42Inch</v>
      </c>
      <c r="I957" t="s">
        <v>58</v>
      </c>
      <c r="J957" t="str">
        <f t="shared" si="100"/>
        <v>CUST0586</v>
      </c>
      <c r="K957" t="s">
        <v>347</v>
      </c>
      <c r="L957" t="str">
        <f>PROPER(TRIM(CLEAN(Sales_Table[[#This Row],[Salesperson]])))</f>
        <v>Meena</v>
      </c>
      <c r="M957" t="s">
        <v>40</v>
      </c>
      <c r="N957" t="str">
        <f t="shared" si="101"/>
        <v>Cash</v>
      </c>
      <c r="O957" t="s">
        <v>32</v>
      </c>
      <c r="P957">
        <f t="shared" si="102"/>
        <v>5</v>
      </c>
      <c r="Q957" t="s">
        <v>89</v>
      </c>
      <c r="R957">
        <f t="shared" si="103"/>
        <v>4653</v>
      </c>
      <c r="S957" t="s">
        <v>2444</v>
      </c>
      <c r="T957">
        <f t="shared" si="104"/>
        <v>23265</v>
      </c>
      <c r="U957">
        <f>YEAR(Sales_Table[[#This Row],[Date_clean]])</f>
        <v>2024</v>
      </c>
      <c r="V957" t="str">
        <f>TEXT(Sales_Table[[#This Row],[Date_clean]],"mmmm")</f>
        <v>February</v>
      </c>
      <c r="W957">
        <f>WEEKNUM(Sales_Table[[#This Row],[Date_clean]],2)</f>
        <v>6</v>
      </c>
      <c r="X957" t="str" cm="1">
        <f t="array" ref="X957">_xlfn.IFS(Sales_Table[[#This Row],[Revenue]]&gt;=50000,"High",Sales_Table[[#This Row],[Revenue]]&gt;=20000,"Medium",Sales_Table[[#This Row],[Revenue]]&lt;20000,"Low")</f>
        <v>Medium</v>
      </c>
      <c r="Y957" t="str">
        <f>IF(Sales_Table[[#This Row],[Payment Method_clean]]="cash","Offline","Online")</f>
        <v>Offline</v>
      </c>
      <c r="Z957">
        <f>IFERROR(Sales_Table[[#This Row],[Revenue]],0)</f>
        <v>23265</v>
      </c>
    </row>
    <row r="958" spans="1:26" x14ac:dyDescent="0.3">
      <c r="A958">
        <v>957</v>
      </c>
      <c r="B958" s="2">
        <f t="shared" si="98"/>
        <v>45331.833333333336</v>
      </c>
      <c r="C958" t="s">
        <v>2445</v>
      </c>
      <c r="D958" t="s">
        <v>36</v>
      </c>
      <c r="E958" t="str">
        <f>PROPER(TRIM(CLEAN(Sales_Table[[#This Row],[Region]])))</f>
        <v>West</v>
      </c>
      <c r="F958" t="s">
        <v>78</v>
      </c>
      <c r="G958" t="str">
        <f t="shared" si="99"/>
        <v>Grocery</v>
      </c>
      <c r="H958" t="str">
        <f>PROPER(TRIM(CLEAN(Sales_Table[[#This Row],[Product Name]])))</f>
        <v>Washing Machine</v>
      </c>
      <c r="I958" t="s">
        <v>79</v>
      </c>
      <c r="J958" t="str">
        <f t="shared" si="100"/>
        <v>CUST0718</v>
      </c>
      <c r="K958" t="s">
        <v>2446</v>
      </c>
      <c r="L958" t="str">
        <f>PROPER(TRIM(CLEAN(Sales_Table[[#This Row],[Salesperson]])))</f>
        <v>Meena</v>
      </c>
      <c r="M958" t="s">
        <v>40</v>
      </c>
      <c r="N958" t="str">
        <f t="shared" si="101"/>
        <v>Debit Card</v>
      </c>
      <c r="O958" t="s">
        <v>41</v>
      </c>
      <c r="P958">
        <f t="shared" si="102"/>
        <v>13</v>
      </c>
      <c r="Q958" t="s">
        <v>81</v>
      </c>
      <c r="R958">
        <f t="shared" si="103"/>
        <v>2404</v>
      </c>
      <c r="S958" t="s">
        <v>2447</v>
      </c>
      <c r="T958">
        <f t="shared" si="104"/>
        <v>31252</v>
      </c>
      <c r="U958">
        <f>YEAR(Sales_Table[[#This Row],[Date_clean]])</f>
        <v>2024</v>
      </c>
      <c r="V958" t="str">
        <f>TEXT(Sales_Table[[#This Row],[Date_clean]],"mmmm")</f>
        <v>February</v>
      </c>
      <c r="W958">
        <f>WEEKNUM(Sales_Table[[#This Row],[Date_clean]],2)</f>
        <v>6</v>
      </c>
      <c r="X958" t="str" cm="1">
        <f t="array" ref="X958">_xlfn.IFS(Sales_Table[[#This Row],[Revenue]]&gt;=50000,"High",Sales_Table[[#This Row],[Revenue]]&gt;=20000,"Medium",Sales_Table[[#This Row],[Revenue]]&lt;20000,"Low")</f>
        <v>Medium</v>
      </c>
      <c r="Y958" t="str">
        <f>IF(Sales_Table[[#This Row],[Payment Method_clean]]="cash","Offline","Online")</f>
        <v>Online</v>
      </c>
      <c r="Z958">
        <f>IFERROR(Sales_Table[[#This Row],[Revenue]],0)</f>
        <v>31252</v>
      </c>
    </row>
    <row r="959" spans="1:26" x14ac:dyDescent="0.3">
      <c r="A959">
        <v>958</v>
      </c>
      <c r="B959" s="2">
        <f t="shared" si="98"/>
        <v>45331.875</v>
      </c>
      <c r="C959" t="s">
        <v>2448</v>
      </c>
      <c r="D959" t="s">
        <v>45</v>
      </c>
      <c r="E959" t="str">
        <f>PROPER(TRIM(CLEAN(Sales_Table[[#This Row],[Region]])))</f>
        <v>North</v>
      </c>
      <c r="F959" t="s">
        <v>28</v>
      </c>
      <c r="G959" t="str">
        <f t="shared" si="99"/>
        <v>Clothing</v>
      </c>
      <c r="H959" t="str">
        <f>PROPER(TRIM(CLEAN(Sales_Table[[#This Row],[Product Name]])))</f>
        <v>Washing Machine</v>
      </c>
      <c r="I959" t="s">
        <v>79</v>
      </c>
      <c r="J959" t="str">
        <f t="shared" si="100"/>
        <v>CUST0490</v>
      </c>
      <c r="K959" t="s">
        <v>195</v>
      </c>
      <c r="L959" t="str">
        <f>PROPER(TRIM(CLEAN(Sales_Table[[#This Row],[Salesperson]])))</f>
        <v>Anita</v>
      </c>
      <c r="M959" t="s">
        <v>64</v>
      </c>
      <c r="N959" t="str">
        <f t="shared" si="101"/>
        <v>Cash</v>
      </c>
      <c r="O959" t="s">
        <v>32</v>
      </c>
      <c r="P959">
        <f t="shared" si="102"/>
        <v>10</v>
      </c>
      <c r="Q959" t="s">
        <v>117</v>
      </c>
      <c r="R959">
        <f t="shared" si="103"/>
        <v>3700</v>
      </c>
      <c r="S959" t="s">
        <v>2449</v>
      </c>
      <c r="T959">
        <f t="shared" si="104"/>
        <v>37000</v>
      </c>
      <c r="U959">
        <f>YEAR(Sales_Table[[#This Row],[Date_clean]])</f>
        <v>2024</v>
      </c>
      <c r="V959" t="str">
        <f>TEXT(Sales_Table[[#This Row],[Date_clean]],"mmmm")</f>
        <v>February</v>
      </c>
      <c r="W959">
        <f>WEEKNUM(Sales_Table[[#This Row],[Date_clean]],2)</f>
        <v>6</v>
      </c>
      <c r="X959" t="str" cm="1">
        <f t="array" ref="X959">_xlfn.IFS(Sales_Table[[#This Row],[Revenue]]&gt;=50000,"High",Sales_Table[[#This Row],[Revenue]]&gt;=20000,"Medium",Sales_Table[[#This Row],[Revenue]]&lt;20000,"Low")</f>
        <v>Medium</v>
      </c>
      <c r="Y959" t="str">
        <f>IF(Sales_Table[[#This Row],[Payment Method_clean]]="cash","Offline","Online")</f>
        <v>Offline</v>
      </c>
      <c r="Z959">
        <f>IFERROR(Sales_Table[[#This Row],[Revenue]],0)</f>
        <v>37000</v>
      </c>
    </row>
    <row r="960" spans="1:26" x14ac:dyDescent="0.3">
      <c r="A960">
        <v>959</v>
      </c>
      <c r="B960" s="2">
        <f t="shared" si="98"/>
        <v>45331.916666666664</v>
      </c>
      <c r="C960" t="s">
        <v>2450</v>
      </c>
      <c r="D960" t="s">
        <v>84</v>
      </c>
      <c r="E960" t="str">
        <f>PROPER(TRIM(CLEAN(Sales_Table[[#This Row],[Region]])))</f>
        <v>South</v>
      </c>
      <c r="F960" t="s">
        <v>28</v>
      </c>
      <c r="G960" t="str">
        <f t="shared" si="99"/>
        <v>Clothing</v>
      </c>
      <c r="H960" t="str">
        <f>PROPER(TRIM(CLEAN(Sales_Table[[#This Row],[Product Name]])))</f>
        <v>Men T-Shirt</v>
      </c>
      <c r="I960" t="s">
        <v>38</v>
      </c>
      <c r="J960" t="str">
        <f t="shared" si="100"/>
        <v>CUST0494</v>
      </c>
      <c r="K960" t="s">
        <v>916</v>
      </c>
      <c r="L960" t="str">
        <f>PROPER(TRIM(CLEAN(Sales_Table[[#This Row],[Salesperson]])))</f>
        <v>Karthik</v>
      </c>
      <c r="M960" t="s">
        <v>70</v>
      </c>
      <c r="N960" t="str">
        <f t="shared" si="101"/>
        <v>Debit Card</v>
      </c>
      <c r="O960" t="s">
        <v>41</v>
      </c>
      <c r="P960">
        <f t="shared" si="102"/>
        <v>2</v>
      </c>
      <c r="Q960" t="s">
        <v>196</v>
      </c>
      <c r="R960">
        <f t="shared" si="103"/>
        <v>3443</v>
      </c>
      <c r="S960" t="s">
        <v>2451</v>
      </c>
      <c r="T960">
        <f t="shared" si="104"/>
        <v>6886</v>
      </c>
      <c r="U960">
        <f>YEAR(Sales_Table[[#This Row],[Date_clean]])</f>
        <v>2024</v>
      </c>
      <c r="V960" t="str">
        <f>TEXT(Sales_Table[[#This Row],[Date_clean]],"mmmm")</f>
        <v>February</v>
      </c>
      <c r="W960">
        <f>WEEKNUM(Sales_Table[[#This Row],[Date_clean]],2)</f>
        <v>6</v>
      </c>
      <c r="X960" t="str" cm="1">
        <f t="array" ref="X960">_xlfn.IFS(Sales_Table[[#This Row],[Revenue]]&gt;=50000,"High",Sales_Table[[#This Row],[Revenue]]&gt;=20000,"Medium",Sales_Table[[#This Row],[Revenue]]&lt;20000,"Low")</f>
        <v>Low</v>
      </c>
      <c r="Y960" t="str">
        <f>IF(Sales_Table[[#This Row],[Payment Method_clean]]="cash","Offline","Online")</f>
        <v>Online</v>
      </c>
      <c r="Z960">
        <f>IFERROR(Sales_Table[[#This Row],[Revenue]],0)</f>
        <v>6886</v>
      </c>
    </row>
    <row r="961" spans="1:26" x14ac:dyDescent="0.3">
      <c r="A961">
        <v>960</v>
      </c>
      <c r="B961" s="2">
        <f t="shared" si="98"/>
        <v>45331.958333333336</v>
      </c>
      <c r="C961" t="s">
        <v>2452</v>
      </c>
      <c r="D961" t="s">
        <v>27</v>
      </c>
      <c r="E961" t="str">
        <f>PROPER(TRIM(CLEAN(Sales_Table[[#This Row],[Region]])))</f>
        <v>East</v>
      </c>
      <c r="F961" t="s">
        <v>78</v>
      </c>
      <c r="G961" t="str">
        <f t="shared" si="99"/>
        <v>Grocery</v>
      </c>
      <c r="H961" t="str">
        <f>PROPER(TRIM(CLEAN(Sales_Table[[#This Row],[Product Name]])))</f>
        <v>Washing Machine</v>
      </c>
      <c r="I961" t="s">
        <v>79</v>
      </c>
      <c r="J961" t="str">
        <f t="shared" si="100"/>
        <v>CUST0314</v>
      </c>
      <c r="K961" t="s">
        <v>123</v>
      </c>
      <c r="L961" t="str">
        <f>PROPER(TRIM(CLEAN(Sales_Table[[#This Row],[Salesperson]])))</f>
        <v>Anita</v>
      </c>
      <c r="M961" t="s">
        <v>64</v>
      </c>
      <c r="N961" t="str">
        <f t="shared" si="101"/>
        <v>Upi</v>
      </c>
      <c r="O961" t="s">
        <v>48</v>
      </c>
      <c r="P961">
        <f t="shared" si="102"/>
        <v>13</v>
      </c>
      <c r="Q961" t="s">
        <v>81</v>
      </c>
      <c r="R961">
        <f t="shared" si="103"/>
        <v>2156</v>
      </c>
      <c r="S961" t="s">
        <v>2453</v>
      </c>
      <c r="T961">
        <f t="shared" si="104"/>
        <v>28028</v>
      </c>
      <c r="U961">
        <f>YEAR(Sales_Table[[#This Row],[Date_clean]])</f>
        <v>2024</v>
      </c>
      <c r="V961" t="str">
        <f>TEXT(Sales_Table[[#This Row],[Date_clean]],"mmmm")</f>
        <v>February</v>
      </c>
      <c r="W961">
        <f>WEEKNUM(Sales_Table[[#This Row],[Date_clean]],2)</f>
        <v>6</v>
      </c>
      <c r="X961" t="str" cm="1">
        <f t="array" ref="X961">_xlfn.IFS(Sales_Table[[#This Row],[Revenue]]&gt;=50000,"High",Sales_Table[[#This Row],[Revenue]]&gt;=20000,"Medium",Sales_Table[[#This Row],[Revenue]]&lt;20000,"Low")</f>
        <v>Medium</v>
      </c>
      <c r="Y961" t="str">
        <f>IF(Sales_Table[[#This Row],[Payment Method_clean]]="cash","Offline","Online")</f>
        <v>Online</v>
      </c>
      <c r="Z961">
        <f>IFERROR(Sales_Table[[#This Row],[Revenue]],0)</f>
        <v>28028</v>
      </c>
    </row>
    <row r="962" spans="1:26" x14ac:dyDescent="0.3">
      <c r="A962">
        <v>961</v>
      </c>
      <c r="B962" s="2">
        <f t="shared" si="98"/>
        <v>45332</v>
      </c>
      <c r="C962" t="s">
        <v>2454</v>
      </c>
      <c r="D962" t="s">
        <v>45</v>
      </c>
      <c r="E962" t="str">
        <f>PROPER(TRIM(CLEAN(Sales_Table[[#This Row],[Region]])))</f>
        <v>North</v>
      </c>
      <c r="F962" t="s">
        <v>28</v>
      </c>
      <c r="G962" t="str">
        <f t="shared" si="99"/>
        <v>Clothing</v>
      </c>
      <c r="H962" t="str">
        <f>PROPER(TRIM(CLEAN(Sales_Table[[#This Row],[Product Name]])))</f>
        <v>Washing Machine</v>
      </c>
      <c r="I962" t="s">
        <v>79</v>
      </c>
      <c r="J962" t="str">
        <f t="shared" si="100"/>
        <v>CUST0606</v>
      </c>
      <c r="K962" t="s">
        <v>246</v>
      </c>
      <c r="L962" t="str">
        <f>PROPER(TRIM(CLEAN(Sales_Table[[#This Row],[Salesperson]])))</f>
        <v>Karthik</v>
      </c>
      <c r="M962" t="s">
        <v>70</v>
      </c>
      <c r="N962" t="str">
        <f t="shared" si="101"/>
        <v>Credit Card</v>
      </c>
      <c r="O962" t="s">
        <v>65</v>
      </c>
      <c r="P962">
        <f t="shared" si="102"/>
        <v>4</v>
      </c>
      <c r="Q962" t="s">
        <v>113</v>
      </c>
      <c r="R962">
        <f t="shared" si="103"/>
        <v>2908</v>
      </c>
      <c r="S962" t="s">
        <v>2455</v>
      </c>
      <c r="T962">
        <f t="shared" si="104"/>
        <v>11632</v>
      </c>
      <c r="U962">
        <f>YEAR(Sales_Table[[#This Row],[Date_clean]])</f>
        <v>2024</v>
      </c>
      <c r="V962" t="str">
        <f>TEXT(Sales_Table[[#This Row],[Date_clean]],"mmmm")</f>
        <v>February</v>
      </c>
      <c r="W962">
        <f>WEEKNUM(Sales_Table[[#This Row],[Date_clean]],2)</f>
        <v>6</v>
      </c>
      <c r="X962" t="str" cm="1">
        <f t="array" ref="X962">_xlfn.IFS(Sales_Table[[#This Row],[Revenue]]&gt;=50000,"High",Sales_Table[[#This Row],[Revenue]]&gt;=20000,"Medium",Sales_Table[[#This Row],[Revenue]]&lt;20000,"Low")</f>
        <v>Low</v>
      </c>
      <c r="Y962" t="str">
        <f>IF(Sales_Table[[#This Row],[Payment Method_clean]]="cash","Offline","Online")</f>
        <v>Online</v>
      </c>
      <c r="Z962">
        <f>IFERROR(Sales_Table[[#This Row],[Revenue]],0)</f>
        <v>11632</v>
      </c>
    </row>
    <row r="963" spans="1:26" x14ac:dyDescent="0.3">
      <c r="A963">
        <v>962</v>
      </c>
      <c r="B963" s="2">
        <f t="shared" ref="B963:B1026" si="105">DATEVALUE(LEFT(C963,10))+TIMEVALUE(MID(C963,12,8))</f>
        <v>45332.041666666664</v>
      </c>
      <c r="C963" t="s">
        <v>2456</v>
      </c>
      <c r="D963" t="s">
        <v>45</v>
      </c>
      <c r="E963" t="str">
        <f>PROPER(TRIM(CLEAN(Sales_Table[[#This Row],[Region]])))</f>
        <v>North</v>
      </c>
      <c r="F963" t="s">
        <v>78</v>
      </c>
      <c r="G963" t="str">
        <f t="shared" ref="G963:G1026" si="106">PROPER(TRIM(CLEAN(F963)))</f>
        <v>Grocery</v>
      </c>
      <c r="H963" t="str">
        <f>PROPER(TRIM(CLEAN(Sales_Table[[#This Row],[Product Name]])))</f>
        <v>Rice 5Kg</v>
      </c>
      <c r="I963" t="s">
        <v>73</v>
      </c>
      <c r="J963" t="str">
        <f t="shared" ref="J963:J1026" si="107">TRIM(K963)</f>
        <v>CUST0375</v>
      </c>
      <c r="K963" t="s">
        <v>751</v>
      </c>
      <c r="L963" t="str">
        <f>PROPER(TRIM(CLEAN(Sales_Table[[#This Row],[Salesperson]])))</f>
        <v>Anita</v>
      </c>
      <c r="M963" t="s">
        <v>64</v>
      </c>
      <c r="N963" t="str">
        <f t="shared" ref="N963:N1026" si="108">PROPER(TRIM(O963))</f>
        <v>Upi</v>
      </c>
      <c r="O963" t="s">
        <v>48</v>
      </c>
      <c r="P963">
        <f t="shared" ref="P963:P1026" si="109">VALUE(Q963)</f>
        <v>8</v>
      </c>
      <c r="Q963" t="s">
        <v>42</v>
      </c>
      <c r="R963">
        <f t="shared" ref="R963:R1026" si="110">VALUE(S963)</f>
        <v>1324</v>
      </c>
      <c r="S963" t="s">
        <v>2457</v>
      </c>
      <c r="T963">
        <f t="shared" ref="T963:T1026" si="111">P963*R963</f>
        <v>10592</v>
      </c>
      <c r="U963">
        <f>YEAR(Sales_Table[[#This Row],[Date_clean]])</f>
        <v>2024</v>
      </c>
      <c r="V963" t="str">
        <f>TEXT(Sales_Table[[#This Row],[Date_clean]],"mmmm")</f>
        <v>February</v>
      </c>
      <c r="W963">
        <f>WEEKNUM(Sales_Table[[#This Row],[Date_clean]],2)</f>
        <v>6</v>
      </c>
      <c r="X963" t="str" cm="1">
        <f t="array" ref="X963">_xlfn.IFS(Sales_Table[[#This Row],[Revenue]]&gt;=50000,"High",Sales_Table[[#This Row],[Revenue]]&gt;=20000,"Medium",Sales_Table[[#This Row],[Revenue]]&lt;20000,"Low")</f>
        <v>Low</v>
      </c>
      <c r="Y963" t="str">
        <f>IF(Sales_Table[[#This Row],[Payment Method_clean]]="cash","Offline","Online")</f>
        <v>Online</v>
      </c>
      <c r="Z963">
        <f>IFERROR(Sales_Table[[#This Row],[Revenue]],0)</f>
        <v>10592</v>
      </c>
    </row>
    <row r="964" spans="1:26" x14ac:dyDescent="0.3">
      <c r="A964">
        <v>963</v>
      </c>
      <c r="B964" s="2">
        <f t="shared" si="105"/>
        <v>45332.083333333336</v>
      </c>
      <c r="C964" t="s">
        <v>2458</v>
      </c>
      <c r="D964" t="s">
        <v>84</v>
      </c>
      <c r="E964" t="str">
        <f>PROPER(TRIM(CLEAN(Sales_Table[[#This Row],[Region]])))</f>
        <v>South</v>
      </c>
      <c r="F964" t="s">
        <v>37</v>
      </c>
      <c r="G964" t="str">
        <f t="shared" si="106"/>
        <v>Home Appliances</v>
      </c>
      <c r="H964" t="str">
        <f>PROPER(TRIM(CLEAN(Sales_Table[[#This Row],[Product Name]])))</f>
        <v>Mixer Grinder</v>
      </c>
      <c r="I964" t="s">
        <v>29</v>
      </c>
      <c r="J964" t="str">
        <f t="shared" si="107"/>
        <v>CUST0639</v>
      </c>
      <c r="K964" t="s">
        <v>1360</v>
      </c>
      <c r="L964" t="str">
        <f>PROPER(TRIM(CLEAN(Sales_Table[[#This Row],[Salesperson]])))</f>
        <v>Rahul</v>
      </c>
      <c r="M964" t="s">
        <v>31</v>
      </c>
      <c r="N964" t="str">
        <f t="shared" si="108"/>
        <v>Cash</v>
      </c>
      <c r="O964" t="s">
        <v>32</v>
      </c>
      <c r="P964">
        <f t="shared" si="109"/>
        <v>8</v>
      </c>
      <c r="Q964" t="s">
        <v>42</v>
      </c>
      <c r="R964">
        <f t="shared" si="110"/>
        <v>986</v>
      </c>
      <c r="S964" t="s">
        <v>2459</v>
      </c>
      <c r="T964">
        <f t="shared" si="111"/>
        <v>7888</v>
      </c>
      <c r="U964">
        <f>YEAR(Sales_Table[[#This Row],[Date_clean]])</f>
        <v>2024</v>
      </c>
      <c r="V964" t="str">
        <f>TEXT(Sales_Table[[#This Row],[Date_clean]],"mmmm")</f>
        <v>February</v>
      </c>
      <c r="W964">
        <f>WEEKNUM(Sales_Table[[#This Row],[Date_clean]],2)</f>
        <v>6</v>
      </c>
      <c r="X964" t="str" cm="1">
        <f t="array" ref="X964">_xlfn.IFS(Sales_Table[[#This Row],[Revenue]]&gt;=50000,"High",Sales_Table[[#This Row],[Revenue]]&gt;=20000,"Medium",Sales_Table[[#This Row],[Revenue]]&lt;20000,"Low")</f>
        <v>Low</v>
      </c>
      <c r="Y964" t="str">
        <f>IF(Sales_Table[[#This Row],[Payment Method_clean]]="cash","Offline","Online")</f>
        <v>Offline</v>
      </c>
      <c r="Z964">
        <f>IFERROR(Sales_Table[[#This Row],[Revenue]],0)</f>
        <v>7888</v>
      </c>
    </row>
    <row r="965" spans="1:26" x14ac:dyDescent="0.3">
      <c r="A965">
        <v>964</v>
      </c>
      <c r="B965" s="2">
        <f t="shared" si="105"/>
        <v>45332.125</v>
      </c>
      <c r="C965" t="s">
        <v>2460</v>
      </c>
      <c r="D965" t="s">
        <v>27</v>
      </c>
      <c r="E965" t="str">
        <f>PROPER(TRIM(CLEAN(Sales_Table[[#This Row],[Region]])))</f>
        <v>East</v>
      </c>
      <c r="F965" t="s">
        <v>46</v>
      </c>
      <c r="G965" t="str">
        <f t="shared" si="106"/>
        <v>Electronics</v>
      </c>
      <c r="H965" t="str">
        <f>PROPER(TRIM(CLEAN(Sales_Table[[#This Row],[Product Name]])))</f>
        <v>Men T-Shirt</v>
      </c>
      <c r="I965" t="s">
        <v>38</v>
      </c>
      <c r="J965" t="str">
        <f t="shared" si="107"/>
        <v>CUST0025</v>
      </c>
      <c r="K965" t="s">
        <v>1864</v>
      </c>
      <c r="L965" t="str">
        <f>PROPER(TRIM(CLEAN(Sales_Table[[#This Row],[Salesperson]])))</f>
        <v>Suresh</v>
      </c>
      <c r="M965" t="s">
        <v>54</v>
      </c>
      <c r="N965" t="str">
        <f t="shared" si="108"/>
        <v>Net Banking</v>
      </c>
      <c r="O965" t="s">
        <v>60</v>
      </c>
      <c r="P965">
        <f t="shared" si="109"/>
        <v>11</v>
      </c>
      <c r="Q965" t="s">
        <v>97</v>
      </c>
      <c r="R965">
        <f t="shared" si="110"/>
        <v>492</v>
      </c>
      <c r="S965" t="s">
        <v>2461</v>
      </c>
      <c r="T965">
        <f t="shared" si="111"/>
        <v>5412</v>
      </c>
      <c r="U965">
        <f>YEAR(Sales_Table[[#This Row],[Date_clean]])</f>
        <v>2024</v>
      </c>
      <c r="V965" t="str">
        <f>TEXT(Sales_Table[[#This Row],[Date_clean]],"mmmm")</f>
        <v>February</v>
      </c>
      <c r="W965">
        <f>WEEKNUM(Sales_Table[[#This Row],[Date_clean]],2)</f>
        <v>6</v>
      </c>
      <c r="X965" t="str" cm="1">
        <f t="array" ref="X965">_xlfn.IFS(Sales_Table[[#This Row],[Revenue]]&gt;=50000,"High",Sales_Table[[#This Row],[Revenue]]&gt;=20000,"Medium",Sales_Table[[#This Row],[Revenue]]&lt;20000,"Low")</f>
        <v>Low</v>
      </c>
      <c r="Y965" t="str">
        <f>IF(Sales_Table[[#This Row],[Payment Method_clean]]="cash","Offline","Online")</f>
        <v>Online</v>
      </c>
      <c r="Z965">
        <f>IFERROR(Sales_Table[[#This Row],[Revenue]],0)</f>
        <v>5412</v>
      </c>
    </row>
    <row r="966" spans="1:26" x14ac:dyDescent="0.3">
      <c r="A966">
        <v>965</v>
      </c>
      <c r="B966" s="2">
        <f t="shared" si="105"/>
        <v>45332.166666666664</v>
      </c>
      <c r="C966" t="s">
        <v>2462</v>
      </c>
      <c r="D966" t="s">
        <v>27</v>
      </c>
      <c r="E966" t="str">
        <f>PROPER(TRIM(CLEAN(Sales_Table[[#This Row],[Region]])))</f>
        <v>East</v>
      </c>
      <c r="F966" t="s">
        <v>46</v>
      </c>
      <c r="G966" t="str">
        <f t="shared" si="106"/>
        <v>Electronics</v>
      </c>
      <c r="H966" t="str">
        <f>PROPER(TRIM(CLEAN(Sales_Table[[#This Row],[Product Name]])))</f>
        <v>Rice 5Kg</v>
      </c>
      <c r="I966" t="s">
        <v>73</v>
      </c>
      <c r="J966" t="str">
        <f t="shared" si="107"/>
        <v>CUST0334</v>
      </c>
      <c r="K966" t="s">
        <v>2463</v>
      </c>
      <c r="L966" t="str">
        <f>PROPER(TRIM(CLEAN(Sales_Table[[#This Row],[Salesperson]])))</f>
        <v>Suresh</v>
      </c>
      <c r="M966" t="s">
        <v>54</v>
      </c>
      <c r="N966" t="str">
        <f t="shared" si="108"/>
        <v>Upi</v>
      </c>
      <c r="O966" t="s">
        <v>48</v>
      </c>
      <c r="P966">
        <f t="shared" si="109"/>
        <v>1</v>
      </c>
      <c r="Q966" t="s">
        <v>93</v>
      </c>
      <c r="R966">
        <f t="shared" si="110"/>
        <v>1775</v>
      </c>
      <c r="S966" t="s">
        <v>2464</v>
      </c>
      <c r="T966">
        <f t="shared" si="111"/>
        <v>1775</v>
      </c>
      <c r="U966">
        <f>YEAR(Sales_Table[[#This Row],[Date_clean]])</f>
        <v>2024</v>
      </c>
      <c r="V966" t="str">
        <f>TEXT(Sales_Table[[#This Row],[Date_clean]],"mmmm")</f>
        <v>February</v>
      </c>
      <c r="W966">
        <f>WEEKNUM(Sales_Table[[#This Row],[Date_clean]],2)</f>
        <v>6</v>
      </c>
      <c r="X966" t="str" cm="1">
        <f t="array" ref="X966">_xlfn.IFS(Sales_Table[[#This Row],[Revenue]]&gt;=50000,"High",Sales_Table[[#This Row],[Revenue]]&gt;=20000,"Medium",Sales_Table[[#This Row],[Revenue]]&lt;20000,"Low")</f>
        <v>Low</v>
      </c>
      <c r="Y966" t="str">
        <f>IF(Sales_Table[[#This Row],[Payment Method_clean]]="cash","Offline","Online")</f>
        <v>Online</v>
      </c>
      <c r="Z966">
        <f>IFERROR(Sales_Table[[#This Row],[Revenue]],0)</f>
        <v>1775</v>
      </c>
    </row>
    <row r="967" spans="1:26" x14ac:dyDescent="0.3">
      <c r="A967">
        <v>966</v>
      </c>
      <c r="B967" s="2">
        <f t="shared" si="105"/>
        <v>45332.208333333336</v>
      </c>
      <c r="C967" t="s">
        <v>2465</v>
      </c>
      <c r="D967" t="s">
        <v>45</v>
      </c>
      <c r="E967" t="str">
        <f>PROPER(TRIM(CLEAN(Sales_Table[[#This Row],[Region]])))</f>
        <v>North</v>
      </c>
      <c r="F967" t="s">
        <v>28</v>
      </c>
      <c r="G967" t="str">
        <f t="shared" si="106"/>
        <v>Clothing</v>
      </c>
      <c r="H967" t="str">
        <f>PROPER(TRIM(CLEAN(Sales_Table[[#This Row],[Product Name]])))</f>
        <v>Mixer Grinder</v>
      </c>
      <c r="I967" t="s">
        <v>29</v>
      </c>
      <c r="J967" t="str">
        <f t="shared" si="107"/>
        <v>CUST0355</v>
      </c>
      <c r="K967" t="s">
        <v>144</v>
      </c>
      <c r="L967" t="str">
        <f>PROPER(TRIM(CLEAN(Sales_Table[[#This Row],[Salesperson]])))</f>
        <v>Meena</v>
      </c>
      <c r="M967" t="s">
        <v>40</v>
      </c>
      <c r="N967" t="str">
        <f t="shared" si="108"/>
        <v>Credit Card</v>
      </c>
      <c r="O967" t="s">
        <v>65</v>
      </c>
      <c r="P967">
        <f t="shared" si="109"/>
        <v>2</v>
      </c>
      <c r="Q967" t="s">
        <v>196</v>
      </c>
      <c r="R967">
        <f t="shared" si="110"/>
        <v>3290</v>
      </c>
      <c r="S967" t="s">
        <v>2466</v>
      </c>
      <c r="T967">
        <f t="shared" si="111"/>
        <v>6580</v>
      </c>
      <c r="U967">
        <f>YEAR(Sales_Table[[#This Row],[Date_clean]])</f>
        <v>2024</v>
      </c>
      <c r="V967" t="str">
        <f>TEXT(Sales_Table[[#This Row],[Date_clean]],"mmmm")</f>
        <v>February</v>
      </c>
      <c r="W967">
        <f>WEEKNUM(Sales_Table[[#This Row],[Date_clean]],2)</f>
        <v>6</v>
      </c>
      <c r="X967" t="str" cm="1">
        <f t="array" ref="X967">_xlfn.IFS(Sales_Table[[#This Row],[Revenue]]&gt;=50000,"High",Sales_Table[[#This Row],[Revenue]]&gt;=20000,"Medium",Sales_Table[[#This Row],[Revenue]]&lt;20000,"Low")</f>
        <v>Low</v>
      </c>
      <c r="Y967" t="str">
        <f>IF(Sales_Table[[#This Row],[Payment Method_clean]]="cash","Offline","Online")</f>
        <v>Online</v>
      </c>
      <c r="Z967">
        <f>IFERROR(Sales_Table[[#This Row],[Revenue]],0)</f>
        <v>6580</v>
      </c>
    </row>
    <row r="968" spans="1:26" x14ac:dyDescent="0.3">
      <c r="A968">
        <v>967</v>
      </c>
      <c r="B968" s="2">
        <f t="shared" si="105"/>
        <v>45332.25</v>
      </c>
      <c r="C968" t="s">
        <v>2467</v>
      </c>
      <c r="D968" t="s">
        <v>45</v>
      </c>
      <c r="E968" t="str">
        <f>PROPER(TRIM(CLEAN(Sales_Table[[#This Row],[Region]])))</f>
        <v>North</v>
      </c>
      <c r="F968" t="s">
        <v>78</v>
      </c>
      <c r="G968" t="str">
        <f t="shared" si="106"/>
        <v>Grocery</v>
      </c>
      <c r="H968" t="str">
        <f>PROPER(TRIM(CLEAN(Sales_Table[[#This Row],[Product Name]])))</f>
        <v>Rice 5Kg</v>
      </c>
      <c r="I968" t="s">
        <v>73</v>
      </c>
      <c r="J968" t="str">
        <f t="shared" si="107"/>
        <v>CUST0116</v>
      </c>
      <c r="K968" t="s">
        <v>2468</v>
      </c>
      <c r="L968" t="str">
        <f>PROPER(TRIM(CLEAN(Sales_Table[[#This Row],[Salesperson]])))</f>
        <v>Rahul</v>
      </c>
      <c r="M968" t="s">
        <v>31</v>
      </c>
      <c r="N968" t="str">
        <f t="shared" si="108"/>
        <v>Cash</v>
      </c>
      <c r="O968" t="s">
        <v>32</v>
      </c>
      <c r="P968">
        <f t="shared" si="109"/>
        <v>5</v>
      </c>
      <c r="Q968" t="s">
        <v>89</v>
      </c>
      <c r="R968">
        <f t="shared" si="110"/>
        <v>2546</v>
      </c>
      <c r="S968" t="s">
        <v>2469</v>
      </c>
      <c r="T968">
        <f t="shared" si="111"/>
        <v>12730</v>
      </c>
      <c r="U968">
        <f>YEAR(Sales_Table[[#This Row],[Date_clean]])</f>
        <v>2024</v>
      </c>
      <c r="V968" t="str">
        <f>TEXT(Sales_Table[[#This Row],[Date_clean]],"mmmm")</f>
        <v>February</v>
      </c>
      <c r="W968">
        <f>WEEKNUM(Sales_Table[[#This Row],[Date_clean]],2)</f>
        <v>6</v>
      </c>
      <c r="X968" t="str" cm="1">
        <f t="array" ref="X968">_xlfn.IFS(Sales_Table[[#This Row],[Revenue]]&gt;=50000,"High",Sales_Table[[#This Row],[Revenue]]&gt;=20000,"Medium",Sales_Table[[#This Row],[Revenue]]&lt;20000,"Low")</f>
        <v>Low</v>
      </c>
      <c r="Y968" t="str">
        <f>IF(Sales_Table[[#This Row],[Payment Method_clean]]="cash","Offline","Online")</f>
        <v>Offline</v>
      </c>
      <c r="Z968">
        <f>IFERROR(Sales_Table[[#This Row],[Revenue]],0)</f>
        <v>12730</v>
      </c>
    </row>
    <row r="969" spans="1:26" x14ac:dyDescent="0.3">
      <c r="A969">
        <v>968</v>
      </c>
      <c r="B969" s="2">
        <f t="shared" si="105"/>
        <v>45332.291666666664</v>
      </c>
      <c r="C969" t="s">
        <v>2470</v>
      </c>
      <c r="D969" t="s">
        <v>84</v>
      </c>
      <c r="E969" t="str">
        <f>PROPER(TRIM(CLEAN(Sales_Table[[#This Row],[Region]])))</f>
        <v>South</v>
      </c>
      <c r="F969" t="s">
        <v>78</v>
      </c>
      <c r="G969" t="str">
        <f t="shared" si="106"/>
        <v>Grocery</v>
      </c>
      <c r="H969" t="str">
        <f>PROPER(TRIM(CLEAN(Sales_Table[[#This Row],[Product Name]])))</f>
        <v>Laptop</v>
      </c>
      <c r="I969" t="s">
        <v>52</v>
      </c>
      <c r="J969" t="str">
        <f t="shared" si="107"/>
        <v>CUST0048</v>
      </c>
      <c r="K969" t="s">
        <v>106</v>
      </c>
      <c r="L969" t="str">
        <f>PROPER(TRIM(CLEAN(Sales_Table[[#This Row],[Salesperson]])))</f>
        <v>Suresh</v>
      </c>
      <c r="M969" t="s">
        <v>54</v>
      </c>
      <c r="N969" t="str">
        <f t="shared" si="108"/>
        <v>Upi</v>
      </c>
      <c r="O969" t="s">
        <v>48</v>
      </c>
      <c r="P969">
        <f t="shared" si="109"/>
        <v>9</v>
      </c>
      <c r="Q969" t="s">
        <v>130</v>
      </c>
      <c r="R969">
        <f t="shared" si="110"/>
        <v>4005</v>
      </c>
      <c r="S969" t="s">
        <v>2471</v>
      </c>
      <c r="T969">
        <f t="shared" si="111"/>
        <v>36045</v>
      </c>
      <c r="U969">
        <f>YEAR(Sales_Table[[#This Row],[Date_clean]])</f>
        <v>2024</v>
      </c>
      <c r="V969" t="str">
        <f>TEXT(Sales_Table[[#This Row],[Date_clean]],"mmmm")</f>
        <v>February</v>
      </c>
      <c r="W969">
        <f>WEEKNUM(Sales_Table[[#This Row],[Date_clean]],2)</f>
        <v>6</v>
      </c>
      <c r="X969" t="str" cm="1">
        <f t="array" ref="X969">_xlfn.IFS(Sales_Table[[#This Row],[Revenue]]&gt;=50000,"High",Sales_Table[[#This Row],[Revenue]]&gt;=20000,"Medium",Sales_Table[[#This Row],[Revenue]]&lt;20000,"Low")</f>
        <v>Medium</v>
      </c>
      <c r="Y969" t="str">
        <f>IF(Sales_Table[[#This Row],[Payment Method_clean]]="cash","Offline","Online")</f>
        <v>Online</v>
      </c>
      <c r="Z969">
        <f>IFERROR(Sales_Table[[#This Row],[Revenue]],0)</f>
        <v>36045</v>
      </c>
    </row>
    <row r="970" spans="1:26" x14ac:dyDescent="0.3">
      <c r="A970">
        <v>969</v>
      </c>
      <c r="B970" s="2">
        <f t="shared" si="105"/>
        <v>45332.333333333336</v>
      </c>
      <c r="C970" t="s">
        <v>2472</v>
      </c>
      <c r="D970" t="s">
        <v>84</v>
      </c>
      <c r="E970" t="str">
        <f>PROPER(TRIM(CLEAN(Sales_Table[[#This Row],[Region]])))</f>
        <v>South</v>
      </c>
      <c r="F970" t="s">
        <v>28</v>
      </c>
      <c r="G970" t="str">
        <f t="shared" si="106"/>
        <v>Clothing</v>
      </c>
      <c r="H970" t="str">
        <f>PROPER(TRIM(CLEAN(Sales_Table[[#This Row],[Product Name]])))</f>
        <v>Rice 5Kg</v>
      </c>
      <c r="I970" t="s">
        <v>73</v>
      </c>
      <c r="J970" t="str">
        <f t="shared" si="107"/>
        <v>CUST0738</v>
      </c>
      <c r="K970" t="s">
        <v>1270</v>
      </c>
      <c r="L970" t="str">
        <f>PROPER(TRIM(CLEAN(Sales_Table[[#This Row],[Salesperson]])))</f>
        <v>Meena</v>
      </c>
      <c r="M970" t="s">
        <v>40</v>
      </c>
      <c r="N970" t="str">
        <f t="shared" si="108"/>
        <v>Debit Card</v>
      </c>
      <c r="O970" t="s">
        <v>41</v>
      </c>
      <c r="P970">
        <f t="shared" si="109"/>
        <v>10</v>
      </c>
      <c r="Q970" t="s">
        <v>117</v>
      </c>
      <c r="R970">
        <f t="shared" si="110"/>
        <v>3438</v>
      </c>
      <c r="S970" t="s">
        <v>655</v>
      </c>
      <c r="T970">
        <f t="shared" si="111"/>
        <v>34380</v>
      </c>
      <c r="U970">
        <f>YEAR(Sales_Table[[#This Row],[Date_clean]])</f>
        <v>2024</v>
      </c>
      <c r="V970" t="str">
        <f>TEXT(Sales_Table[[#This Row],[Date_clean]],"mmmm")</f>
        <v>February</v>
      </c>
      <c r="W970">
        <f>WEEKNUM(Sales_Table[[#This Row],[Date_clean]],2)</f>
        <v>6</v>
      </c>
      <c r="X970" t="str" cm="1">
        <f t="array" ref="X970">_xlfn.IFS(Sales_Table[[#This Row],[Revenue]]&gt;=50000,"High",Sales_Table[[#This Row],[Revenue]]&gt;=20000,"Medium",Sales_Table[[#This Row],[Revenue]]&lt;20000,"Low")</f>
        <v>Medium</v>
      </c>
      <c r="Y970" t="str">
        <f>IF(Sales_Table[[#This Row],[Payment Method_clean]]="cash","Offline","Online")</f>
        <v>Online</v>
      </c>
      <c r="Z970">
        <f>IFERROR(Sales_Table[[#This Row],[Revenue]],0)</f>
        <v>34380</v>
      </c>
    </row>
    <row r="971" spans="1:26" x14ac:dyDescent="0.3">
      <c r="A971">
        <v>970</v>
      </c>
      <c r="B971" s="2">
        <f t="shared" si="105"/>
        <v>45332.375</v>
      </c>
      <c r="C971" t="s">
        <v>2473</v>
      </c>
      <c r="D971" t="s">
        <v>27</v>
      </c>
      <c r="E971" t="str">
        <f>PROPER(TRIM(CLEAN(Sales_Table[[#This Row],[Region]])))</f>
        <v>East</v>
      </c>
      <c r="F971" t="s">
        <v>78</v>
      </c>
      <c r="G971" t="str">
        <f t="shared" si="106"/>
        <v>Grocery</v>
      </c>
      <c r="H971" t="str">
        <f>PROPER(TRIM(CLEAN(Sales_Table[[#This Row],[Product Name]])))</f>
        <v>Washing Machine</v>
      </c>
      <c r="I971" t="s">
        <v>79</v>
      </c>
      <c r="J971" t="str">
        <f t="shared" si="107"/>
        <v>CUST0778</v>
      </c>
      <c r="K971" t="s">
        <v>2474</v>
      </c>
      <c r="L971" t="str">
        <f>PROPER(TRIM(CLEAN(Sales_Table[[#This Row],[Salesperson]])))</f>
        <v>Rahul</v>
      </c>
      <c r="M971" t="s">
        <v>31</v>
      </c>
      <c r="N971" t="str">
        <f t="shared" si="108"/>
        <v>Net Banking</v>
      </c>
      <c r="O971" t="s">
        <v>60</v>
      </c>
      <c r="P971">
        <f t="shared" si="109"/>
        <v>11</v>
      </c>
      <c r="Q971" t="s">
        <v>97</v>
      </c>
      <c r="R971">
        <f t="shared" si="110"/>
        <v>3691</v>
      </c>
      <c r="S971" t="s">
        <v>2475</v>
      </c>
      <c r="T971">
        <f t="shared" si="111"/>
        <v>40601</v>
      </c>
      <c r="U971">
        <f>YEAR(Sales_Table[[#This Row],[Date_clean]])</f>
        <v>2024</v>
      </c>
      <c r="V971" t="str">
        <f>TEXT(Sales_Table[[#This Row],[Date_clean]],"mmmm")</f>
        <v>February</v>
      </c>
      <c r="W971">
        <f>WEEKNUM(Sales_Table[[#This Row],[Date_clean]],2)</f>
        <v>6</v>
      </c>
      <c r="X971" t="str" cm="1">
        <f t="array" ref="X971">_xlfn.IFS(Sales_Table[[#This Row],[Revenue]]&gt;=50000,"High",Sales_Table[[#This Row],[Revenue]]&gt;=20000,"Medium",Sales_Table[[#This Row],[Revenue]]&lt;20000,"Low")</f>
        <v>Medium</v>
      </c>
      <c r="Y971" t="str">
        <f>IF(Sales_Table[[#This Row],[Payment Method_clean]]="cash","Offline","Online")</f>
        <v>Online</v>
      </c>
      <c r="Z971">
        <f>IFERROR(Sales_Table[[#This Row],[Revenue]],0)</f>
        <v>40601</v>
      </c>
    </row>
    <row r="972" spans="1:26" x14ac:dyDescent="0.3">
      <c r="A972">
        <v>971</v>
      </c>
      <c r="B972" s="2">
        <f t="shared" si="105"/>
        <v>45332.416666666664</v>
      </c>
      <c r="C972" t="s">
        <v>2476</v>
      </c>
      <c r="D972" t="s">
        <v>36</v>
      </c>
      <c r="E972" t="str">
        <f>PROPER(TRIM(CLEAN(Sales_Table[[#This Row],[Region]])))</f>
        <v>West</v>
      </c>
      <c r="F972" t="s">
        <v>37</v>
      </c>
      <c r="G972" t="str">
        <f t="shared" si="106"/>
        <v>Home Appliances</v>
      </c>
      <c r="H972" t="str">
        <f>PROPER(TRIM(CLEAN(Sales_Table[[#This Row],[Product Name]])))</f>
        <v>Mixer Grinder</v>
      </c>
      <c r="I972" t="s">
        <v>29</v>
      </c>
      <c r="J972" t="str">
        <f t="shared" si="107"/>
        <v>CUST0099</v>
      </c>
      <c r="K972" t="s">
        <v>2477</v>
      </c>
      <c r="L972" t="str">
        <f>PROPER(TRIM(CLEAN(Sales_Table[[#This Row],[Salesperson]])))</f>
        <v>Suresh</v>
      </c>
      <c r="M972" t="s">
        <v>54</v>
      </c>
      <c r="N972" t="str">
        <f t="shared" si="108"/>
        <v>Cash</v>
      </c>
      <c r="O972" t="s">
        <v>32</v>
      </c>
      <c r="P972">
        <f t="shared" si="109"/>
        <v>12</v>
      </c>
      <c r="Q972" t="s">
        <v>33</v>
      </c>
      <c r="R972">
        <f t="shared" si="110"/>
        <v>3866</v>
      </c>
      <c r="S972" t="s">
        <v>423</v>
      </c>
      <c r="T972">
        <f t="shared" si="111"/>
        <v>46392</v>
      </c>
      <c r="U972">
        <f>YEAR(Sales_Table[[#This Row],[Date_clean]])</f>
        <v>2024</v>
      </c>
      <c r="V972" t="str">
        <f>TEXT(Sales_Table[[#This Row],[Date_clean]],"mmmm")</f>
        <v>February</v>
      </c>
      <c r="W972">
        <f>WEEKNUM(Sales_Table[[#This Row],[Date_clean]],2)</f>
        <v>6</v>
      </c>
      <c r="X972" t="str" cm="1">
        <f t="array" ref="X972">_xlfn.IFS(Sales_Table[[#This Row],[Revenue]]&gt;=50000,"High",Sales_Table[[#This Row],[Revenue]]&gt;=20000,"Medium",Sales_Table[[#This Row],[Revenue]]&lt;20000,"Low")</f>
        <v>Medium</v>
      </c>
      <c r="Y972" t="str">
        <f>IF(Sales_Table[[#This Row],[Payment Method_clean]]="cash","Offline","Online")</f>
        <v>Offline</v>
      </c>
      <c r="Z972">
        <f>IFERROR(Sales_Table[[#This Row],[Revenue]],0)</f>
        <v>46392</v>
      </c>
    </row>
    <row r="973" spans="1:26" x14ac:dyDescent="0.3">
      <c r="A973">
        <v>972</v>
      </c>
      <c r="B973" s="2">
        <f t="shared" si="105"/>
        <v>45332.458333333336</v>
      </c>
      <c r="C973" t="s">
        <v>2478</v>
      </c>
      <c r="D973" t="s">
        <v>27</v>
      </c>
      <c r="E973" t="str">
        <f>PROPER(TRIM(CLEAN(Sales_Table[[#This Row],[Region]])))</f>
        <v>East</v>
      </c>
      <c r="F973" t="s">
        <v>46</v>
      </c>
      <c r="G973" t="str">
        <f t="shared" si="106"/>
        <v>Electronics</v>
      </c>
      <c r="H973" t="str">
        <f>PROPER(TRIM(CLEAN(Sales_Table[[#This Row],[Product Name]])))</f>
        <v>Men T-Shirt</v>
      </c>
      <c r="I973" t="s">
        <v>38</v>
      </c>
      <c r="J973" t="str">
        <f t="shared" si="107"/>
        <v>CUST0459</v>
      </c>
      <c r="K973" t="s">
        <v>513</v>
      </c>
      <c r="L973" t="str">
        <f>PROPER(TRIM(CLEAN(Sales_Table[[#This Row],[Salesperson]])))</f>
        <v>Anita</v>
      </c>
      <c r="M973" t="s">
        <v>64</v>
      </c>
      <c r="N973" t="str">
        <f t="shared" si="108"/>
        <v>Upi</v>
      </c>
      <c r="O973" t="s">
        <v>48</v>
      </c>
      <c r="P973">
        <f t="shared" si="109"/>
        <v>13</v>
      </c>
      <c r="Q973" t="s">
        <v>81</v>
      </c>
      <c r="R973">
        <f t="shared" si="110"/>
        <v>2627</v>
      </c>
      <c r="S973" t="s">
        <v>2479</v>
      </c>
      <c r="T973">
        <f t="shared" si="111"/>
        <v>34151</v>
      </c>
      <c r="U973">
        <f>YEAR(Sales_Table[[#This Row],[Date_clean]])</f>
        <v>2024</v>
      </c>
      <c r="V973" t="str">
        <f>TEXT(Sales_Table[[#This Row],[Date_clean]],"mmmm")</f>
        <v>February</v>
      </c>
      <c r="W973">
        <f>WEEKNUM(Sales_Table[[#This Row],[Date_clean]],2)</f>
        <v>6</v>
      </c>
      <c r="X973" t="str" cm="1">
        <f t="array" ref="X973">_xlfn.IFS(Sales_Table[[#This Row],[Revenue]]&gt;=50000,"High",Sales_Table[[#This Row],[Revenue]]&gt;=20000,"Medium",Sales_Table[[#This Row],[Revenue]]&lt;20000,"Low")</f>
        <v>Medium</v>
      </c>
      <c r="Y973" t="str">
        <f>IF(Sales_Table[[#This Row],[Payment Method_clean]]="cash","Offline","Online")</f>
        <v>Online</v>
      </c>
      <c r="Z973">
        <f>IFERROR(Sales_Table[[#This Row],[Revenue]],0)</f>
        <v>34151</v>
      </c>
    </row>
    <row r="974" spans="1:26" x14ac:dyDescent="0.3">
      <c r="A974">
        <v>973</v>
      </c>
      <c r="B974" s="2">
        <f t="shared" si="105"/>
        <v>45332.5</v>
      </c>
      <c r="C974" t="s">
        <v>2480</v>
      </c>
      <c r="D974" t="s">
        <v>45</v>
      </c>
      <c r="E974" t="str">
        <f>PROPER(TRIM(CLEAN(Sales_Table[[#This Row],[Region]])))</f>
        <v>North</v>
      </c>
      <c r="F974" t="s">
        <v>28</v>
      </c>
      <c r="G974" t="str">
        <f t="shared" si="106"/>
        <v>Clothing</v>
      </c>
      <c r="H974" t="str">
        <f>PROPER(TRIM(CLEAN(Sales_Table[[#This Row],[Product Name]])))</f>
        <v>Men T-Shirt</v>
      </c>
      <c r="I974" t="s">
        <v>38</v>
      </c>
      <c r="J974" t="str">
        <f t="shared" si="107"/>
        <v>CUST0523</v>
      </c>
      <c r="K974" t="s">
        <v>919</v>
      </c>
      <c r="L974" t="str">
        <f>PROPER(TRIM(CLEAN(Sales_Table[[#This Row],[Salesperson]])))</f>
        <v>Karthik</v>
      </c>
      <c r="M974" t="s">
        <v>70</v>
      </c>
      <c r="N974" t="str">
        <f t="shared" si="108"/>
        <v>Cash</v>
      </c>
      <c r="O974" t="s">
        <v>32</v>
      </c>
      <c r="P974">
        <f t="shared" si="109"/>
        <v>11</v>
      </c>
      <c r="Q974" t="s">
        <v>97</v>
      </c>
      <c r="R974">
        <f t="shared" si="110"/>
        <v>2281</v>
      </c>
      <c r="S974" t="s">
        <v>2481</v>
      </c>
      <c r="T974">
        <f t="shared" si="111"/>
        <v>25091</v>
      </c>
      <c r="U974">
        <f>YEAR(Sales_Table[[#This Row],[Date_clean]])</f>
        <v>2024</v>
      </c>
      <c r="V974" t="str">
        <f>TEXT(Sales_Table[[#This Row],[Date_clean]],"mmmm")</f>
        <v>February</v>
      </c>
      <c r="W974">
        <f>WEEKNUM(Sales_Table[[#This Row],[Date_clean]],2)</f>
        <v>6</v>
      </c>
      <c r="X974" t="str" cm="1">
        <f t="array" ref="X974">_xlfn.IFS(Sales_Table[[#This Row],[Revenue]]&gt;=50000,"High",Sales_Table[[#This Row],[Revenue]]&gt;=20000,"Medium",Sales_Table[[#This Row],[Revenue]]&lt;20000,"Low")</f>
        <v>Medium</v>
      </c>
      <c r="Y974" t="str">
        <f>IF(Sales_Table[[#This Row],[Payment Method_clean]]="cash","Offline","Online")</f>
        <v>Offline</v>
      </c>
      <c r="Z974">
        <f>IFERROR(Sales_Table[[#This Row],[Revenue]],0)</f>
        <v>25091</v>
      </c>
    </row>
    <row r="975" spans="1:26" x14ac:dyDescent="0.3">
      <c r="A975">
        <v>974</v>
      </c>
      <c r="B975" s="2">
        <f t="shared" si="105"/>
        <v>45332.541666666664</v>
      </c>
      <c r="C975" t="s">
        <v>2482</v>
      </c>
      <c r="D975" t="s">
        <v>27</v>
      </c>
      <c r="E975" t="str">
        <f>PROPER(TRIM(CLEAN(Sales_Table[[#This Row],[Region]])))</f>
        <v>East</v>
      </c>
      <c r="F975" t="s">
        <v>28</v>
      </c>
      <c r="G975" t="str">
        <f t="shared" si="106"/>
        <v>Clothing</v>
      </c>
      <c r="H975" t="str">
        <f>PROPER(TRIM(CLEAN(Sales_Table[[#This Row],[Product Name]])))</f>
        <v>Mixer Grinder</v>
      </c>
      <c r="I975" t="s">
        <v>29</v>
      </c>
      <c r="J975" t="str">
        <f t="shared" si="107"/>
        <v>CUST0597</v>
      </c>
      <c r="K975" t="s">
        <v>2483</v>
      </c>
      <c r="L975" t="str">
        <f>PROPER(TRIM(CLEAN(Sales_Table[[#This Row],[Salesperson]])))</f>
        <v>Rahul</v>
      </c>
      <c r="M975" t="s">
        <v>31</v>
      </c>
      <c r="N975" t="str">
        <f t="shared" si="108"/>
        <v>Debit Card</v>
      </c>
      <c r="O975" t="s">
        <v>41</v>
      </c>
      <c r="P975">
        <f t="shared" si="109"/>
        <v>7</v>
      </c>
      <c r="Q975" t="s">
        <v>49</v>
      </c>
      <c r="R975">
        <f t="shared" si="110"/>
        <v>3864</v>
      </c>
      <c r="S975" t="s">
        <v>2484</v>
      </c>
      <c r="T975">
        <f t="shared" si="111"/>
        <v>27048</v>
      </c>
      <c r="U975">
        <f>YEAR(Sales_Table[[#This Row],[Date_clean]])</f>
        <v>2024</v>
      </c>
      <c r="V975" t="str">
        <f>TEXT(Sales_Table[[#This Row],[Date_clean]],"mmmm")</f>
        <v>February</v>
      </c>
      <c r="W975">
        <f>WEEKNUM(Sales_Table[[#This Row],[Date_clean]],2)</f>
        <v>6</v>
      </c>
      <c r="X975" t="str" cm="1">
        <f t="array" ref="X975">_xlfn.IFS(Sales_Table[[#This Row],[Revenue]]&gt;=50000,"High",Sales_Table[[#This Row],[Revenue]]&gt;=20000,"Medium",Sales_Table[[#This Row],[Revenue]]&lt;20000,"Low")</f>
        <v>Medium</v>
      </c>
      <c r="Y975" t="str">
        <f>IF(Sales_Table[[#This Row],[Payment Method_clean]]="cash","Offline","Online")</f>
        <v>Online</v>
      </c>
      <c r="Z975">
        <f>IFERROR(Sales_Table[[#This Row],[Revenue]],0)</f>
        <v>27048</v>
      </c>
    </row>
    <row r="976" spans="1:26" x14ac:dyDescent="0.3">
      <c r="A976">
        <v>975</v>
      </c>
      <c r="B976" s="2">
        <f t="shared" si="105"/>
        <v>45332.583333333336</v>
      </c>
      <c r="C976" t="s">
        <v>2485</v>
      </c>
      <c r="D976" t="s">
        <v>36</v>
      </c>
      <c r="E976" t="str">
        <f>PROPER(TRIM(CLEAN(Sales_Table[[#This Row],[Region]])))</f>
        <v>West</v>
      </c>
      <c r="F976" t="s">
        <v>78</v>
      </c>
      <c r="G976" t="str">
        <f t="shared" si="106"/>
        <v>Grocery</v>
      </c>
      <c r="H976" t="str">
        <f>PROPER(TRIM(CLEAN(Sales_Table[[#This Row],[Product Name]])))</f>
        <v>Washing Machine</v>
      </c>
      <c r="I976" t="s">
        <v>79</v>
      </c>
      <c r="J976" t="str">
        <f t="shared" si="107"/>
        <v>CUST0405</v>
      </c>
      <c r="K976" t="s">
        <v>393</v>
      </c>
      <c r="L976" t="str">
        <f>PROPER(TRIM(CLEAN(Sales_Table[[#This Row],[Salesperson]])))</f>
        <v>Meena</v>
      </c>
      <c r="M976" t="s">
        <v>40</v>
      </c>
      <c r="N976" t="str">
        <f t="shared" si="108"/>
        <v>Credit Card</v>
      </c>
      <c r="O976" t="s">
        <v>65</v>
      </c>
      <c r="P976">
        <f t="shared" si="109"/>
        <v>10</v>
      </c>
      <c r="Q976" t="s">
        <v>117</v>
      </c>
      <c r="R976">
        <f t="shared" si="110"/>
        <v>454</v>
      </c>
      <c r="S976" t="s">
        <v>948</v>
      </c>
      <c r="T976">
        <f t="shared" si="111"/>
        <v>4540</v>
      </c>
      <c r="U976">
        <f>YEAR(Sales_Table[[#This Row],[Date_clean]])</f>
        <v>2024</v>
      </c>
      <c r="V976" t="str">
        <f>TEXT(Sales_Table[[#This Row],[Date_clean]],"mmmm")</f>
        <v>February</v>
      </c>
      <c r="W976">
        <f>WEEKNUM(Sales_Table[[#This Row],[Date_clean]],2)</f>
        <v>6</v>
      </c>
      <c r="X976" t="str" cm="1">
        <f t="array" ref="X976">_xlfn.IFS(Sales_Table[[#This Row],[Revenue]]&gt;=50000,"High",Sales_Table[[#This Row],[Revenue]]&gt;=20000,"Medium",Sales_Table[[#This Row],[Revenue]]&lt;20000,"Low")</f>
        <v>Low</v>
      </c>
      <c r="Y976" t="str">
        <f>IF(Sales_Table[[#This Row],[Payment Method_clean]]="cash","Offline","Online")</f>
        <v>Online</v>
      </c>
      <c r="Z976">
        <f>IFERROR(Sales_Table[[#This Row],[Revenue]],0)</f>
        <v>4540</v>
      </c>
    </row>
    <row r="977" spans="1:26" x14ac:dyDescent="0.3">
      <c r="A977">
        <v>976</v>
      </c>
      <c r="B977" s="2">
        <f t="shared" si="105"/>
        <v>45332.625</v>
      </c>
      <c r="C977" t="s">
        <v>2486</v>
      </c>
      <c r="D977" t="s">
        <v>84</v>
      </c>
      <c r="E977" t="str">
        <f>PROPER(TRIM(CLEAN(Sales_Table[[#This Row],[Region]])))</f>
        <v>South</v>
      </c>
      <c r="F977" t="s">
        <v>28</v>
      </c>
      <c r="G977" t="str">
        <f t="shared" si="106"/>
        <v>Clothing</v>
      </c>
      <c r="H977" t="str">
        <f>PROPER(TRIM(CLEAN(Sales_Table[[#This Row],[Product Name]])))</f>
        <v>Led Tv 42Inch</v>
      </c>
      <c r="I977" t="s">
        <v>58</v>
      </c>
      <c r="J977" t="str">
        <f t="shared" si="107"/>
        <v>CUST0214</v>
      </c>
      <c r="K977" t="s">
        <v>2487</v>
      </c>
      <c r="L977" t="str">
        <f>PROPER(TRIM(CLEAN(Sales_Table[[#This Row],[Salesperson]])))</f>
        <v>Rahul</v>
      </c>
      <c r="M977" t="s">
        <v>31</v>
      </c>
      <c r="N977" t="str">
        <f t="shared" si="108"/>
        <v>Upi</v>
      </c>
      <c r="O977" t="s">
        <v>48</v>
      </c>
      <c r="P977">
        <f t="shared" si="109"/>
        <v>5</v>
      </c>
      <c r="Q977" t="s">
        <v>89</v>
      </c>
      <c r="R977">
        <f t="shared" si="110"/>
        <v>2731</v>
      </c>
      <c r="S977" t="s">
        <v>1194</v>
      </c>
      <c r="T977">
        <f t="shared" si="111"/>
        <v>13655</v>
      </c>
      <c r="U977">
        <f>YEAR(Sales_Table[[#This Row],[Date_clean]])</f>
        <v>2024</v>
      </c>
      <c r="V977" t="str">
        <f>TEXT(Sales_Table[[#This Row],[Date_clean]],"mmmm")</f>
        <v>February</v>
      </c>
      <c r="W977">
        <f>WEEKNUM(Sales_Table[[#This Row],[Date_clean]],2)</f>
        <v>6</v>
      </c>
      <c r="X977" t="str" cm="1">
        <f t="array" ref="X977">_xlfn.IFS(Sales_Table[[#This Row],[Revenue]]&gt;=50000,"High",Sales_Table[[#This Row],[Revenue]]&gt;=20000,"Medium",Sales_Table[[#This Row],[Revenue]]&lt;20000,"Low")</f>
        <v>Low</v>
      </c>
      <c r="Y977" t="str">
        <f>IF(Sales_Table[[#This Row],[Payment Method_clean]]="cash","Offline","Online")</f>
        <v>Online</v>
      </c>
      <c r="Z977">
        <f>IFERROR(Sales_Table[[#This Row],[Revenue]],0)</f>
        <v>13655</v>
      </c>
    </row>
    <row r="978" spans="1:26" x14ac:dyDescent="0.3">
      <c r="A978">
        <v>977</v>
      </c>
      <c r="B978" s="2">
        <f t="shared" si="105"/>
        <v>45332.666666666664</v>
      </c>
      <c r="C978" t="s">
        <v>2488</v>
      </c>
      <c r="D978" t="s">
        <v>36</v>
      </c>
      <c r="E978" t="str">
        <f>PROPER(TRIM(CLEAN(Sales_Table[[#This Row],[Region]])))</f>
        <v>West</v>
      </c>
      <c r="F978" t="s">
        <v>37</v>
      </c>
      <c r="G978" t="str">
        <f t="shared" si="106"/>
        <v>Home Appliances</v>
      </c>
      <c r="H978" t="str">
        <f>PROPER(TRIM(CLEAN(Sales_Table[[#This Row],[Product Name]])))</f>
        <v>Rice 5Kg</v>
      </c>
      <c r="I978" t="s">
        <v>73</v>
      </c>
      <c r="J978" t="str">
        <f t="shared" si="107"/>
        <v>CUST0685</v>
      </c>
      <c r="K978" t="s">
        <v>329</v>
      </c>
      <c r="L978" t="str">
        <f>PROPER(TRIM(CLEAN(Sales_Table[[#This Row],[Salesperson]])))</f>
        <v>Meena</v>
      </c>
      <c r="M978" t="s">
        <v>40</v>
      </c>
      <c r="N978" t="str">
        <f t="shared" si="108"/>
        <v>Cash</v>
      </c>
      <c r="O978" t="s">
        <v>32</v>
      </c>
      <c r="P978">
        <f t="shared" si="109"/>
        <v>1</v>
      </c>
      <c r="Q978" t="s">
        <v>93</v>
      </c>
      <c r="R978">
        <f t="shared" si="110"/>
        <v>1621</v>
      </c>
      <c r="S978" t="s">
        <v>2489</v>
      </c>
      <c r="T978">
        <f t="shared" si="111"/>
        <v>1621</v>
      </c>
      <c r="U978">
        <f>YEAR(Sales_Table[[#This Row],[Date_clean]])</f>
        <v>2024</v>
      </c>
      <c r="V978" t="str">
        <f>TEXT(Sales_Table[[#This Row],[Date_clean]],"mmmm")</f>
        <v>February</v>
      </c>
      <c r="W978">
        <f>WEEKNUM(Sales_Table[[#This Row],[Date_clean]],2)</f>
        <v>6</v>
      </c>
      <c r="X978" t="str" cm="1">
        <f t="array" ref="X978">_xlfn.IFS(Sales_Table[[#This Row],[Revenue]]&gt;=50000,"High",Sales_Table[[#This Row],[Revenue]]&gt;=20000,"Medium",Sales_Table[[#This Row],[Revenue]]&lt;20000,"Low")</f>
        <v>Low</v>
      </c>
      <c r="Y978" t="str">
        <f>IF(Sales_Table[[#This Row],[Payment Method_clean]]="cash","Offline","Online")</f>
        <v>Offline</v>
      </c>
      <c r="Z978">
        <f>IFERROR(Sales_Table[[#This Row],[Revenue]],0)</f>
        <v>1621</v>
      </c>
    </row>
    <row r="979" spans="1:26" x14ac:dyDescent="0.3">
      <c r="A979">
        <v>978</v>
      </c>
      <c r="B979" s="2">
        <f t="shared" si="105"/>
        <v>45332.708333333336</v>
      </c>
      <c r="C979" t="s">
        <v>2490</v>
      </c>
      <c r="D979" t="s">
        <v>36</v>
      </c>
      <c r="E979" t="str">
        <f>PROPER(TRIM(CLEAN(Sales_Table[[#This Row],[Region]])))</f>
        <v>West</v>
      </c>
      <c r="F979" t="s">
        <v>78</v>
      </c>
      <c r="G979" t="str">
        <f t="shared" si="106"/>
        <v>Grocery</v>
      </c>
      <c r="H979" t="str">
        <f>PROPER(TRIM(CLEAN(Sales_Table[[#This Row],[Product Name]])))</f>
        <v>Washing Machine</v>
      </c>
      <c r="I979" t="s">
        <v>79</v>
      </c>
      <c r="J979" t="str">
        <f t="shared" si="107"/>
        <v>CUST0503</v>
      </c>
      <c r="K979" t="s">
        <v>1131</v>
      </c>
      <c r="L979" t="str">
        <f>PROPER(TRIM(CLEAN(Sales_Table[[#This Row],[Salesperson]])))</f>
        <v>Rahul</v>
      </c>
      <c r="M979" t="s">
        <v>31</v>
      </c>
      <c r="N979" t="str">
        <f t="shared" si="108"/>
        <v>Cash</v>
      </c>
      <c r="O979" t="s">
        <v>32</v>
      </c>
      <c r="P979">
        <f t="shared" si="109"/>
        <v>6</v>
      </c>
      <c r="Q979" t="s">
        <v>75</v>
      </c>
      <c r="R979">
        <f t="shared" si="110"/>
        <v>2772</v>
      </c>
      <c r="S979" t="s">
        <v>2491</v>
      </c>
      <c r="T979">
        <f t="shared" si="111"/>
        <v>16632</v>
      </c>
      <c r="U979">
        <f>YEAR(Sales_Table[[#This Row],[Date_clean]])</f>
        <v>2024</v>
      </c>
      <c r="V979" t="str">
        <f>TEXT(Sales_Table[[#This Row],[Date_clean]],"mmmm")</f>
        <v>February</v>
      </c>
      <c r="W979">
        <f>WEEKNUM(Sales_Table[[#This Row],[Date_clean]],2)</f>
        <v>6</v>
      </c>
      <c r="X979" t="str" cm="1">
        <f t="array" ref="X979">_xlfn.IFS(Sales_Table[[#This Row],[Revenue]]&gt;=50000,"High",Sales_Table[[#This Row],[Revenue]]&gt;=20000,"Medium",Sales_Table[[#This Row],[Revenue]]&lt;20000,"Low")</f>
        <v>Low</v>
      </c>
      <c r="Y979" t="str">
        <f>IF(Sales_Table[[#This Row],[Payment Method_clean]]="cash","Offline","Online")</f>
        <v>Offline</v>
      </c>
      <c r="Z979">
        <f>IFERROR(Sales_Table[[#This Row],[Revenue]],0)</f>
        <v>16632</v>
      </c>
    </row>
    <row r="980" spans="1:26" x14ac:dyDescent="0.3">
      <c r="A980">
        <v>979</v>
      </c>
      <c r="B980" s="2">
        <f t="shared" si="105"/>
        <v>45332.75</v>
      </c>
      <c r="C980" t="s">
        <v>2492</v>
      </c>
      <c r="D980" t="s">
        <v>36</v>
      </c>
      <c r="E980" t="str">
        <f>PROPER(TRIM(CLEAN(Sales_Table[[#This Row],[Region]])))</f>
        <v>West</v>
      </c>
      <c r="F980" t="s">
        <v>78</v>
      </c>
      <c r="G980" t="str">
        <f t="shared" si="106"/>
        <v>Grocery</v>
      </c>
      <c r="H980" t="str">
        <f>PROPER(TRIM(CLEAN(Sales_Table[[#This Row],[Product Name]])))</f>
        <v>Laptop</v>
      </c>
      <c r="I980" t="s">
        <v>52</v>
      </c>
      <c r="J980" t="str">
        <f t="shared" si="107"/>
        <v>CUST0721</v>
      </c>
      <c r="K980" t="s">
        <v>141</v>
      </c>
      <c r="L980" t="str">
        <f>PROPER(TRIM(CLEAN(Sales_Table[[#This Row],[Salesperson]])))</f>
        <v>Meena</v>
      </c>
      <c r="M980" t="s">
        <v>40</v>
      </c>
      <c r="N980" t="str">
        <f t="shared" si="108"/>
        <v>Cash</v>
      </c>
      <c r="O980" t="s">
        <v>32</v>
      </c>
      <c r="P980">
        <f t="shared" si="109"/>
        <v>12</v>
      </c>
      <c r="Q980" t="s">
        <v>33</v>
      </c>
      <c r="R980">
        <f t="shared" si="110"/>
        <v>3278</v>
      </c>
      <c r="S980" t="s">
        <v>791</v>
      </c>
      <c r="T980">
        <f t="shared" si="111"/>
        <v>39336</v>
      </c>
      <c r="U980">
        <f>YEAR(Sales_Table[[#This Row],[Date_clean]])</f>
        <v>2024</v>
      </c>
      <c r="V980" t="str">
        <f>TEXT(Sales_Table[[#This Row],[Date_clean]],"mmmm")</f>
        <v>February</v>
      </c>
      <c r="W980">
        <f>WEEKNUM(Sales_Table[[#This Row],[Date_clean]],2)</f>
        <v>6</v>
      </c>
      <c r="X980" t="str" cm="1">
        <f t="array" ref="X980">_xlfn.IFS(Sales_Table[[#This Row],[Revenue]]&gt;=50000,"High",Sales_Table[[#This Row],[Revenue]]&gt;=20000,"Medium",Sales_Table[[#This Row],[Revenue]]&lt;20000,"Low")</f>
        <v>Medium</v>
      </c>
      <c r="Y980" t="str">
        <f>IF(Sales_Table[[#This Row],[Payment Method_clean]]="cash","Offline","Online")</f>
        <v>Offline</v>
      </c>
      <c r="Z980">
        <f>IFERROR(Sales_Table[[#This Row],[Revenue]],0)</f>
        <v>39336</v>
      </c>
    </row>
    <row r="981" spans="1:26" x14ac:dyDescent="0.3">
      <c r="A981">
        <v>980</v>
      </c>
      <c r="B981" s="2">
        <f t="shared" si="105"/>
        <v>45332.791666666664</v>
      </c>
      <c r="C981" t="s">
        <v>2493</v>
      </c>
      <c r="D981" t="s">
        <v>84</v>
      </c>
      <c r="E981" t="str">
        <f>PROPER(TRIM(CLEAN(Sales_Table[[#This Row],[Region]])))</f>
        <v>South</v>
      </c>
      <c r="F981" t="s">
        <v>78</v>
      </c>
      <c r="G981" t="str">
        <f t="shared" si="106"/>
        <v>Grocery</v>
      </c>
      <c r="H981" t="str">
        <f>PROPER(TRIM(CLEAN(Sales_Table[[#This Row],[Product Name]])))</f>
        <v>Mixer Grinder</v>
      </c>
      <c r="I981" t="s">
        <v>29</v>
      </c>
      <c r="J981" t="str">
        <f t="shared" si="107"/>
        <v>CUST0448</v>
      </c>
      <c r="K981" t="s">
        <v>2127</v>
      </c>
      <c r="L981" t="str">
        <f>PROPER(TRIM(CLEAN(Sales_Table[[#This Row],[Salesperson]])))</f>
        <v>Suresh</v>
      </c>
      <c r="M981" t="s">
        <v>54</v>
      </c>
      <c r="N981" t="str">
        <f t="shared" si="108"/>
        <v>Credit Card</v>
      </c>
      <c r="O981" t="s">
        <v>65</v>
      </c>
      <c r="P981">
        <f t="shared" si="109"/>
        <v>8</v>
      </c>
      <c r="Q981" t="s">
        <v>42</v>
      </c>
      <c r="R981">
        <f t="shared" si="110"/>
        <v>2437</v>
      </c>
      <c r="S981" t="s">
        <v>491</v>
      </c>
      <c r="T981">
        <f t="shared" si="111"/>
        <v>19496</v>
      </c>
      <c r="U981">
        <f>YEAR(Sales_Table[[#This Row],[Date_clean]])</f>
        <v>2024</v>
      </c>
      <c r="V981" t="str">
        <f>TEXT(Sales_Table[[#This Row],[Date_clean]],"mmmm")</f>
        <v>February</v>
      </c>
      <c r="W981">
        <f>WEEKNUM(Sales_Table[[#This Row],[Date_clean]],2)</f>
        <v>6</v>
      </c>
      <c r="X981" t="str" cm="1">
        <f t="array" ref="X981">_xlfn.IFS(Sales_Table[[#This Row],[Revenue]]&gt;=50000,"High",Sales_Table[[#This Row],[Revenue]]&gt;=20000,"Medium",Sales_Table[[#This Row],[Revenue]]&lt;20000,"Low")</f>
        <v>Low</v>
      </c>
      <c r="Y981" t="str">
        <f>IF(Sales_Table[[#This Row],[Payment Method_clean]]="cash","Offline","Online")</f>
        <v>Online</v>
      </c>
      <c r="Z981">
        <f>IFERROR(Sales_Table[[#This Row],[Revenue]],0)</f>
        <v>19496</v>
      </c>
    </row>
    <row r="982" spans="1:26" x14ac:dyDescent="0.3">
      <c r="A982">
        <v>981</v>
      </c>
      <c r="B982" s="2">
        <f t="shared" si="105"/>
        <v>45332.833333333336</v>
      </c>
      <c r="C982" t="s">
        <v>2494</v>
      </c>
      <c r="D982" t="s">
        <v>36</v>
      </c>
      <c r="E982" t="str">
        <f>PROPER(TRIM(CLEAN(Sales_Table[[#This Row],[Region]])))</f>
        <v>West</v>
      </c>
      <c r="F982" t="s">
        <v>78</v>
      </c>
      <c r="G982" t="str">
        <f t="shared" si="106"/>
        <v>Grocery</v>
      </c>
      <c r="H982" t="str">
        <f>PROPER(TRIM(CLEAN(Sales_Table[[#This Row],[Product Name]])))</f>
        <v>Rice 5Kg</v>
      </c>
      <c r="I982" t="s">
        <v>73</v>
      </c>
      <c r="J982" t="str">
        <f t="shared" si="107"/>
        <v>CUST0576</v>
      </c>
      <c r="K982" t="s">
        <v>192</v>
      </c>
      <c r="L982" t="str">
        <f>PROPER(TRIM(CLEAN(Sales_Table[[#This Row],[Salesperson]])))</f>
        <v>Anita</v>
      </c>
      <c r="M982" t="s">
        <v>64</v>
      </c>
      <c r="N982" t="str">
        <f t="shared" si="108"/>
        <v>Cash</v>
      </c>
      <c r="O982" t="s">
        <v>32</v>
      </c>
      <c r="P982">
        <f t="shared" si="109"/>
        <v>7</v>
      </c>
      <c r="Q982" t="s">
        <v>49</v>
      </c>
      <c r="R982">
        <f t="shared" si="110"/>
        <v>728</v>
      </c>
      <c r="S982" t="s">
        <v>2495</v>
      </c>
      <c r="T982">
        <f t="shared" si="111"/>
        <v>5096</v>
      </c>
      <c r="U982">
        <f>YEAR(Sales_Table[[#This Row],[Date_clean]])</f>
        <v>2024</v>
      </c>
      <c r="V982" t="str">
        <f>TEXT(Sales_Table[[#This Row],[Date_clean]],"mmmm")</f>
        <v>February</v>
      </c>
      <c r="W982">
        <f>WEEKNUM(Sales_Table[[#This Row],[Date_clean]],2)</f>
        <v>6</v>
      </c>
      <c r="X982" t="str" cm="1">
        <f t="array" ref="X982">_xlfn.IFS(Sales_Table[[#This Row],[Revenue]]&gt;=50000,"High",Sales_Table[[#This Row],[Revenue]]&gt;=20000,"Medium",Sales_Table[[#This Row],[Revenue]]&lt;20000,"Low")</f>
        <v>Low</v>
      </c>
      <c r="Y982" t="str">
        <f>IF(Sales_Table[[#This Row],[Payment Method_clean]]="cash","Offline","Online")</f>
        <v>Offline</v>
      </c>
      <c r="Z982">
        <f>IFERROR(Sales_Table[[#This Row],[Revenue]],0)</f>
        <v>5096</v>
      </c>
    </row>
    <row r="983" spans="1:26" x14ac:dyDescent="0.3">
      <c r="A983">
        <v>982</v>
      </c>
      <c r="B983" s="2">
        <f t="shared" si="105"/>
        <v>45332.875</v>
      </c>
      <c r="C983" t="s">
        <v>2496</v>
      </c>
      <c r="D983" t="s">
        <v>36</v>
      </c>
      <c r="E983" t="str">
        <f>PROPER(TRIM(CLEAN(Sales_Table[[#This Row],[Region]])))</f>
        <v>West</v>
      </c>
      <c r="F983" t="s">
        <v>37</v>
      </c>
      <c r="G983" t="str">
        <f t="shared" si="106"/>
        <v>Home Appliances</v>
      </c>
      <c r="H983" t="str">
        <f>PROPER(TRIM(CLEAN(Sales_Table[[#This Row],[Product Name]])))</f>
        <v>Men T-Shirt</v>
      </c>
      <c r="I983" t="s">
        <v>38</v>
      </c>
      <c r="J983" t="str">
        <f t="shared" si="107"/>
        <v>CUST0258</v>
      </c>
      <c r="K983" t="s">
        <v>447</v>
      </c>
      <c r="L983" t="str">
        <f>PROPER(TRIM(CLEAN(Sales_Table[[#This Row],[Salesperson]])))</f>
        <v>Suresh</v>
      </c>
      <c r="M983" t="s">
        <v>54</v>
      </c>
      <c r="N983" t="str">
        <f t="shared" si="108"/>
        <v>Net Banking</v>
      </c>
      <c r="O983" t="s">
        <v>60</v>
      </c>
      <c r="P983">
        <f t="shared" si="109"/>
        <v>2</v>
      </c>
      <c r="Q983" t="s">
        <v>196</v>
      </c>
      <c r="R983">
        <f t="shared" si="110"/>
        <v>2779</v>
      </c>
      <c r="S983" t="s">
        <v>2497</v>
      </c>
      <c r="T983">
        <f t="shared" si="111"/>
        <v>5558</v>
      </c>
      <c r="U983">
        <f>YEAR(Sales_Table[[#This Row],[Date_clean]])</f>
        <v>2024</v>
      </c>
      <c r="V983" t="str">
        <f>TEXT(Sales_Table[[#This Row],[Date_clean]],"mmmm")</f>
        <v>February</v>
      </c>
      <c r="W983">
        <f>WEEKNUM(Sales_Table[[#This Row],[Date_clean]],2)</f>
        <v>6</v>
      </c>
      <c r="X983" t="str" cm="1">
        <f t="array" ref="X983">_xlfn.IFS(Sales_Table[[#This Row],[Revenue]]&gt;=50000,"High",Sales_Table[[#This Row],[Revenue]]&gt;=20000,"Medium",Sales_Table[[#This Row],[Revenue]]&lt;20000,"Low")</f>
        <v>Low</v>
      </c>
      <c r="Y983" t="str">
        <f>IF(Sales_Table[[#This Row],[Payment Method_clean]]="cash","Offline","Online")</f>
        <v>Online</v>
      </c>
      <c r="Z983">
        <f>IFERROR(Sales_Table[[#This Row],[Revenue]],0)</f>
        <v>5558</v>
      </c>
    </row>
    <row r="984" spans="1:26" x14ac:dyDescent="0.3">
      <c r="A984">
        <v>983</v>
      </c>
      <c r="B984" s="2">
        <f t="shared" si="105"/>
        <v>45332.916666666664</v>
      </c>
      <c r="C984" t="s">
        <v>2498</v>
      </c>
      <c r="D984" t="s">
        <v>36</v>
      </c>
      <c r="E984" t="str">
        <f>PROPER(TRIM(CLEAN(Sales_Table[[#This Row],[Region]])))</f>
        <v>West</v>
      </c>
      <c r="F984" t="s">
        <v>78</v>
      </c>
      <c r="G984" t="str">
        <f t="shared" si="106"/>
        <v>Grocery</v>
      </c>
      <c r="H984" t="str">
        <f>PROPER(TRIM(CLEAN(Sales_Table[[#This Row],[Product Name]])))</f>
        <v>Led Tv 42Inch</v>
      </c>
      <c r="I984" t="s">
        <v>58</v>
      </c>
      <c r="J984" t="str">
        <f t="shared" si="107"/>
        <v>CUST0121</v>
      </c>
      <c r="K984" t="s">
        <v>2499</v>
      </c>
      <c r="L984" t="str">
        <f>PROPER(TRIM(CLEAN(Sales_Table[[#This Row],[Salesperson]])))</f>
        <v>Anita</v>
      </c>
      <c r="M984" t="s">
        <v>64</v>
      </c>
      <c r="N984" t="str">
        <f t="shared" si="108"/>
        <v>Net Banking</v>
      </c>
      <c r="O984" t="s">
        <v>60</v>
      </c>
      <c r="P984">
        <f t="shared" si="109"/>
        <v>12</v>
      </c>
      <c r="Q984" t="s">
        <v>33</v>
      </c>
      <c r="R984">
        <f t="shared" si="110"/>
        <v>4522</v>
      </c>
      <c r="S984" t="s">
        <v>2500</v>
      </c>
      <c r="T984">
        <f t="shared" si="111"/>
        <v>54264</v>
      </c>
      <c r="U984">
        <f>YEAR(Sales_Table[[#This Row],[Date_clean]])</f>
        <v>2024</v>
      </c>
      <c r="V984" t="str">
        <f>TEXT(Sales_Table[[#This Row],[Date_clean]],"mmmm")</f>
        <v>February</v>
      </c>
      <c r="W984">
        <f>WEEKNUM(Sales_Table[[#This Row],[Date_clean]],2)</f>
        <v>6</v>
      </c>
      <c r="X984" t="str" cm="1">
        <f t="array" ref="X984">_xlfn.IFS(Sales_Table[[#This Row],[Revenue]]&gt;=50000,"High",Sales_Table[[#This Row],[Revenue]]&gt;=20000,"Medium",Sales_Table[[#This Row],[Revenue]]&lt;20000,"Low")</f>
        <v>High</v>
      </c>
      <c r="Y984" t="str">
        <f>IF(Sales_Table[[#This Row],[Payment Method_clean]]="cash","Offline","Online")</f>
        <v>Online</v>
      </c>
      <c r="Z984">
        <f>IFERROR(Sales_Table[[#This Row],[Revenue]],0)</f>
        <v>54264</v>
      </c>
    </row>
    <row r="985" spans="1:26" x14ac:dyDescent="0.3">
      <c r="A985">
        <v>984</v>
      </c>
      <c r="B985" s="2">
        <f t="shared" si="105"/>
        <v>45332.958333333336</v>
      </c>
      <c r="C985" t="s">
        <v>2501</v>
      </c>
      <c r="D985" t="s">
        <v>45</v>
      </c>
      <c r="E985" t="str">
        <f>PROPER(TRIM(CLEAN(Sales_Table[[#This Row],[Region]])))</f>
        <v>North</v>
      </c>
      <c r="F985" t="s">
        <v>28</v>
      </c>
      <c r="G985" t="str">
        <f t="shared" si="106"/>
        <v>Clothing</v>
      </c>
      <c r="H985" t="str">
        <f>PROPER(TRIM(CLEAN(Sales_Table[[#This Row],[Product Name]])))</f>
        <v>Laptop</v>
      </c>
      <c r="I985" t="s">
        <v>52</v>
      </c>
      <c r="J985" t="str">
        <f t="shared" si="107"/>
        <v>CUST0054</v>
      </c>
      <c r="K985" t="s">
        <v>222</v>
      </c>
      <c r="L985" t="str">
        <f>PROPER(TRIM(CLEAN(Sales_Table[[#This Row],[Salesperson]])))</f>
        <v>Suresh</v>
      </c>
      <c r="M985" t="s">
        <v>54</v>
      </c>
      <c r="N985" t="str">
        <f t="shared" si="108"/>
        <v>Cash</v>
      </c>
      <c r="O985" t="s">
        <v>32</v>
      </c>
      <c r="P985">
        <f t="shared" si="109"/>
        <v>5</v>
      </c>
      <c r="Q985" t="s">
        <v>89</v>
      </c>
      <c r="R985">
        <f t="shared" si="110"/>
        <v>1538</v>
      </c>
      <c r="S985" t="s">
        <v>835</v>
      </c>
      <c r="T985">
        <f t="shared" si="111"/>
        <v>7690</v>
      </c>
      <c r="U985">
        <f>YEAR(Sales_Table[[#This Row],[Date_clean]])</f>
        <v>2024</v>
      </c>
      <c r="V985" t="str">
        <f>TEXT(Sales_Table[[#This Row],[Date_clean]],"mmmm")</f>
        <v>February</v>
      </c>
      <c r="W985">
        <f>WEEKNUM(Sales_Table[[#This Row],[Date_clean]],2)</f>
        <v>6</v>
      </c>
      <c r="X985" t="str" cm="1">
        <f t="array" ref="X985">_xlfn.IFS(Sales_Table[[#This Row],[Revenue]]&gt;=50000,"High",Sales_Table[[#This Row],[Revenue]]&gt;=20000,"Medium",Sales_Table[[#This Row],[Revenue]]&lt;20000,"Low")</f>
        <v>Low</v>
      </c>
      <c r="Y985" t="str">
        <f>IF(Sales_Table[[#This Row],[Payment Method_clean]]="cash","Offline","Online")</f>
        <v>Offline</v>
      </c>
      <c r="Z985">
        <f>IFERROR(Sales_Table[[#This Row],[Revenue]],0)</f>
        <v>7690</v>
      </c>
    </row>
    <row r="986" spans="1:26" x14ac:dyDescent="0.3">
      <c r="A986">
        <v>985</v>
      </c>
      <c r="B986" s="2">
        <f t="shared" si="105"/>
        <v>45333</v>
      </c>
      <c r="C986" t="s">
        <v>2502</v>
      </c>
      <c r="D986" t="s">
        <v>36</v>
      </c>
      <c r="E986" t="str">
        <f>PROPER(TRIM(CLEAN(Sales_Table[[#This Row],[Region]])))</f>
        <v>West</v>
      </c>
      <c r="F986" t="s">
        <v>37</v>
      </c>
      <c r="G986" t="str">
        <f t="shared" si="106"/>
        <v>Home Appliances</v>
      </c>
      <c r="H986" t="str">
        <f>PROPER(TRIM(CLEAN(Sales_Table[[#This Row],[Product Name]])))</f>
        <v>Men T-Shirt</v>
      </c>
      <c r="I986" t="s">
        <v>38</v>
      </c>
      <c r="J986" t="str">
        <f t="shared" si="107"/>
        <v>CUST0331</v>
      </c>
      <c r="K986" t="s">
        <v>453</v>
      </c>
      <c r="L986" t="str">
        <f>PROPER(TRIM(CLEAN(Sales_Table[[#This Row],[Salesperson]])))</f>
        <v>Suresh</v>
      </c>
      <c r="M986" t="s">
        <v>54</v>
      </c>
      <c r="N986" t="str">
        <f t="shared" si="108"/>
        <v>Net Banking</v>
      </c>
      <c r="O986" t="s">
        <v>60</v>
      </c>
      <c r="P986">
        <f t="shared" si="109"/>
        <v>14</v>
      </c>
      <c r="Q986" t="s">
        <v>55</v>
      </c>
      <c r="R986">
        <f t="shared" si="110"/>
        <v>1521</v>
      </c>
      <c r="S986" t="s">
        <v>2503</v>
      </c>
      <c r="T986">
        <f t="shared" si="111"/>
        <v>21294</v>
      </c>
      <c r="U986">
        <f>YEAR(Sales_Table[[#This Row],[Date_clean]])</f>
        <v>2024</v>
      </c>
      <c r="V986" t="str">
        <f>TEXT(Sales_Table[[#This Row],[Date_clean]],"mmmm")</f>
        <v>February</v>
      </c>
      <c r="W986">
        <f>WEEKNUM(Sales_Table[[#This Row],[Date_clean]],2)</f>
        <v>6</v>
      </c>
      <c r="X986" t="str" cm="1">
        <f t="array" ref="X986">_xlfn.IFS(Sales_Table[[#This Row],[Revenue]]&gt;=50000,"High",Sales_Table[[#This Row],[Revenue]]&gt;=20000,"Medium",Sales_Table[[#This Row],[Revenue]]&lt;20000,"Low")</f>
        <v>Medium</v>
      </c>
      <c r="Y986" t="str">
        <f>IF(Sales_Table[[#This Row],[Payment Method_clean]]="cash","Offline","Online")</f>
        <v>Online</v>
      </c>
      <c r="Z986">
        <f>IFERROR(Sales_Table[[#This Row],[Revenue]],0)</f>
        <v>21294</v>
      </c>
    </row>
    <row r="987" spans="1:26" x14ac:dyDescent="0.3">
      <c r="A987">
        <v>986</v>
      </c>
      <c r="B987" s="2">
        <f t="shared" si="105"/>
        <v>45333.041666666664</v>
      </c>
      <c r="C987" t="s">
        <v>2504</v>
      </c>
      <c r="D987" t="s">
        <v>84</v>
      </c>
      <c r="E987" t="str">
        <f>PROPER(TRIM(CLEAN(Sales_Table[[#This Row],[Region]])))</f>
        <v>South</v>
      </c>
      <c r="F987" t="s">
        <v>46</v>
      </c>
      <c r="G987" t="str">
        <f t="shared" si="106"/>
        <v>Electronics</v>
      </c>
      <c r="H987" t="str">
        <f>PROPER(TRIM(CLEAN(Sales_Table[[#This Row],[Product Name]])))</f>
        <v>Mixer Grinder</v>
      </c>
      <c r="I987" t="s">
        <v>29</v>
      </c>
      <c r="J987" t="str">
        <f t="shared" si="107"/>
        <v>CUST0784</v>
      </c>
      <c r="K987" t="s">
        <v>2505</v>
      </c>
      <c r="L987" t="str">
        <f>PROPER(TRIM(CLEAN(Sales_Table[[#This Row],[Salesperson]])))</f>
        <v>Rahul</v>
      </c>
      <c r="M987" t="s">
        <v>31</v>
      </c>
      <c r="N987" t="str">
        <f t="shared" si="108"/>
        <v>Upi</v>
      </c>
      <c r="O987" t="s">
        <v>48</v>
      </c>
      <c r="P987">
        <f t="shared" si="109"/>
        <v>11</v>
      </c>
      <c r="Q987" t="s">
        <v>97</v>
      </c>
      <c r="R987">
        <f t="shared" si="110"/>
        <v>1226</v>
      </c>
      <c r="S987" t="s">
        <v>2506</v>
      </c>
      <c r="T987">
        <f t="shared" si="111"/>
        <v>13486</v>
      </c>
      <c r="U987">
        <f>YEAR(Sales_Table[[#This Row],[Date_clean]])</f>
        <v>2024</v>
      </c>
      <c r="V987" t="str">
        <f>TEXT(Sales_Table[[#This Row],[Date_clean]],"mmmm")</f>
        <v>February</v>
      </c>
      <c r="W987">
        <f>WEEKNUM(Sales_Table[[#This Row],[Date_clean]],2)</f>
        <v>6</v>
      </c>
      <c r="X987" t="str" cm="1">
        <f t="array" ref="X987">_xlfn.IFS(Sales_Table[[#This Row],[Revenue]]&gt;=50000,"High",Sales_Table[[#This Row],[Revenue]]&gt;=20000,"Medium",Sales_Table[[#This Row],[Revenue]]&lt;20000,"Low")</f>
        <v>Low</v>
      </c>
      <c r="Y987" t="str">
        <f>IF(Sales_Table[[#This Row],[Payment Method_clean]]="cash","Offline","Online")</f>
        <v>Online</v>
      </c>
      <c r="Z987">
        <f>IFERROR(Sales_Table[[#This Row],[Revenue]],0)</f>
        <v>13486</v>
      </c>
    </row>
    <row r="988" spans="1:26" x14ac:dyDescent="0.3">
      <c r="A988">
        <v>987</v>
      </c>
      <c r="B988" s="2">
        <f t="shared" si="105"/>
        <v>45333.083333333336</v>
      </c>
      <c r="C988" t="s">
        <v>2507</v>
      </c>
      <c r="D988" t="s">
        <v>36</v>
      </c>
      <c r="E988" t="str">
        <f>PROPER(TRIM(CLEAN(Sales_Table[[#This Row],[Region]])))</f>
        <v>West</v>
      </c>
      <c r="F988" t="s">
        <v>46</v>
      </c>
      <c r="G988" t="str">
        <f t="shared" si="106"/>
        <v>Electronics</v>
      </c>
      <c r="H988" t="str">
        <f>PROPER(TRIM(CLEAN(Sales_Table[[#This Row],[Product Name]])))</f>
        <v>Rice 5Kg</v>
      </c>
      <c r="I988" t="s">
        <v>73</v>
      </c>
      <c r="J988" t="str">
        <f t="shared" si="107"/>
        <v>CUST0241</v>
      </c>
      <c r="K988" t="s">
        <v>2508</v>
      </c>
      <c r="L988" t="str">
        <f>PROPER(TRIM(CLEAN(Sales_Table[[#This Row],[Salesperson]])))</f>
        <v>Karthik</v>
      </c>
      <c r="M988" t="s">
        <v>70</v>
      </c>
      <c r="N988" t="str">
        <f t="shared" si="108"/>
        <v>Net Banking</v>
      </c>
      <c r="O988" t="s">
        <v>60</v>
      </c>
      <c r="P988">
        <f t="shared" si="109"/>
        <v>4</v>
      </c>
      <c r="Q988" t="s">
        <v>113</v>
      </c>
      <c r="R988">
        <f t="shared" si="110"/>
        <v>2783</v>
      </c>
      <c r="S988" t="s">
        <v>2509</v>
      </c>
      <c r="T988">
        <f t="shared" si="111"/>
        <v>11132</v>
      </c>
      <c r="U988">
        <f>YEAR(Sales_Table[[#This Row],[Date_clean]])</f>
        <v>2024</v>
      </c>
      <c r="V988" t="str">
        <f>TEXT(Sales_Table[[#This Row],[Date_clean]],"mmmm")</f>
        <v>February</v>
      </c>
      <c r="W988">
        <f>WEEKNUM(Sales_Table[[#This Row],[Date_clean]],2)</f>
        <v>6</v>
      </c>
      <c r="X988" t="str" cm="1">
        <f t="array" ref="X988">_xlfn.IFS(Sales_Table[[#This Row],[Revenue]]&gt;=50000,"High",Sales_Table[[#This Row],[Revenue]]&gt;=20000,"Medium",Sales_Table[[#This Row],[Revenue]]&lt;20000,"Low")</f>
        <v>Low</v>
      </c>
      <c r="Y988" t="str">
        <f>IF(Sales_Table[[#This Row],[Payment Method_clean]]="cash","Offline","Online")</f>
        <v>Online</v>
      </c>
      <c r="Z988">
        <f>IFERROR(Sales_Table[[#This Row],[Revenue]],0)</f>
        <v>11132</v>
      </c>
    </row>
    <row r="989" spans="1:26" x14ac:dyDescent="0.3">
      <c r="A989">
        <v>988</v>
      </c>
      <c r="B989" s="2">
        <f t="shared" si="105"/>
        <v>45333.125</v>
      </c>
      <c r="C989" t="s">
        <v>2510</v>
      </c>
      <c r="D989" t="s">
        <v>36</v>
      </c>
      <c r="E989" t="str">
        <f>PROPER(TRIM(CLEAN(Sales_Table[[#This Row],[Region]])))</f>
        <v>West</v>
      </c>
      <c r="F989" t="s">
        <v>28</v>
      </c>
      <c r="G989" t="str">
        <f t="shared" si="106"/>
        <v>Clothing</v>
      </c>
      <c r="H989" t="str">
        <f>PROPER(TRIM(CLEAN(Sales_Table[[#This Row],[Product Name]])))</f>
        <v>Mixer Grinder</v>
      </c>
      <c r="I989" t="s">
        <v>29</v>
      </c>
      <c r="J989" t="str">
        <f t="shared" si="107"/>
        <v>CUST0755</v>
      </c>
      <c r="K989" t="s">
        <v>2511</v>
      </c>
      <c r="L989" t="str">
        <f>PROPER(TRIM(CLEAN(Sales_Table[[#This Row],[Salesperson]])))</f>
        <v>Meena</v>
      </c>
      <c r="M989" t="s">
        <v>40</v>
      </c>
      <c r="N989" t="str">
        <f t="shared" si="108"/>
        <v>Cash</v>
      </c>
      <c r="O989" t="s">
        <v>32</v>
      </c>
      <c r="P989">
        <f t="shared" si="109"/>
        <v>9</v>
      </c>
      <c r="Q989" t="s">
        <v>130</v>
      </c>
      <c r="R989">
        <f t="shared" si="110"/>
        <v>1880</v>
      </c>
      <c r="S989" t="s">
        <v>2512</v>
      </c>
      <c r="T989">
        <f t="shared" si="111"/>
        <v>16920</v>
      </c>
      <c r="U989">
        <f>YEAR(Sales_Table[[#This Row],[Date_clean]])</f>
        <v>2024</v>
      </c>
      <c r="V989" t="str">
        <f>TEXT(Sales_Table[[#This Row],[Date_clean]],"mmmm")</f>
        <v>February</v>
      </c>
      <c r="W989">
        <f>WEEKNUM(Sales_Table[[#This Row],[Date_clean]],2)</f>
        <v>6</v>
      </c>
      <c r="X989" t="str" cm="1">
        <f t="array" ref="X989">_xlfn.IFS(Sales_Table[[#This Row],[Revenue]]&gt;=50000,"High",Sales_Table[[#This Row],[Revenue]]&gt;=20000,"Medium",Sales_Table[[#This Row],[Revenue]]&lt;20000,"Low")</f>
        <v>Low</v>
      </c>
      <c r="Y989" t="str">
        <f>IF(Sales_Table[[#This Row],[Payment Method_clean]]="cash","Offline","Online")</f>
        <v>Offline</v>
      </c>
      <c r="Z989">
        <f>IFERROR(Sales_Table[[#This Row],[Revenue]],0)</f>
        <v>16920</v>
      </c>
    </row>
    <row r="990" spans="1:26" x14ac:dyDescent="0.3">
      <c r="A990">
        <v>989</v>
      </c>
      <c r="B990" s="2">
        <f t="shared" si="105"/>
        <v>45333.166666666664</v>
      </c>
      <c r="C990" t="s">
        <v>2513</v>
      </c>
      <c r="D990" t="s">
        <v>84</v>
      </c>
      <c r="E990" t="str">
        <f>PROPER(TRIM(CLEAN(Sales_Table[[#This Row],[Region]])))</f>
        <v>South</v>
      </c>
      <c r="F990" t="s">
        <v>28</v>
      </c>
      <c r="G990" t="str">
        <f t="shared" si="106"/>
        <v>Clothing</v>
      </c>
      <c r="H990" t="str">
        <f>PROPER(TRIM(CLEAN(Sales_Table[[#This Row],[Product Name]])))</f>
        <v>Rice 5Kg</v>
      </c>
      <c r="I990" t="s">
        <v>73</v>
      </c>
      <c r="J990" t="str">
        <f t="shared" si="107"/>
        <v>CUST0530</v>
      </c>
      <c r="K990" t="s">
        <v>1119</v>
      </c>
      <c r="L990" t="str">
        <f>PROPER(TRIM(CLEAN(Sales_Table[[#This Row],[Salesperson]])))</f>
        <v>Meena</v>
      </c>
      <c r="M990" t="s">
        <v>40</v>
      </c>
      <c r="N990" t="str">
        <f t="shared" si="108"/>
        <v>Debit Card</v>
      </c>
      <c r="O990" t="s">
        <v>41</v>
      </c>
      <c r="P990">
        <f t="shared" si="109"/>
        <v>10</v>
      </c>
      <c r="Q990" t="s">
        <v>117</v>
      </c>
      <c r="R990">
        <f t="shared" si="110"/>
        <v>1631</v>
      </c>
      <c r="S990" t="s">
        <v>2514</v>
      </c>
      <c r="T990">
        <f t="shared" si="111"/>
        <v>16310</v>
      </c>
      <c r="U990">
        <f>YEAR(Sales_Table[[#This Row],[Date_clean]])</f>
        <v>2024</v>
      </c>
      <c r="V990" t="str">
        <f>TEXT(Sales_Table[[#This Row],[Date_clean]],"mmmm")</f>
        <v>February</v>
      </c>
      <c r="W990">
        <f>WEEKNUM(Sales_Table[[#This Row],[Date_clean]],2)</f>
        <v>6</v>
      </c>
      <c r="X990" t="str" cm="1">
        <f t="array" ref="X990">_xlfn.IFS(Sales_Table[[#This Row],[Revenue]]&gt;=50000,"High",Sales_Table[[#This Row],[Revenue]]&gt;=20000,"Medium",Sales_Table[[#This Row],[Revenue]]&lt;20000,"Low")</f>
        <v>Low</v>
      </c>
      <c r="Y990" t="str">
        <f>IF(Sales_Table[[#This Row],[Payment Method_clean]]="cash","Offline","Online")</f>
        <v>Online</v>
      </c>
      <c r="Z990">
        <f>IFERROR(Sales_Table[[#This Row],[Revenue]],0)</f>
        <v>16310</v>
      </c>
    </row>
    <row r="991" spans="1:26" x14ac:dyDescent="0.3">
      <c r="A991">
        <v>990</v>
      </c>
      <c r="B991" s="2">
        <f t="shared" si="105"/>
        <v>45333.208333333336</v>
      </c>
      <c r="C991" t="s">
        <v>2515</v>
      </c>
      <c r="D991" t="s">
        <v>36</v>
      </c>
      <c r="E991" t="str">
        <f>PROPER(TRIM(CLEAN(Sales_Table[[#This Row],[Region]])))</f>
        <v>West</v>
      </c>
      <c r="F991" t="s">
        <v>37</v>
      </c>
      <c r="G991" t="str">
        <f t="shared" si="106"/>
        <v>Home Appliances</v>
      </c>
      <c r="H991" t="str">
        <f>PROPER(TRIM(CLEAN(Sales_Table[[#This Row],[Product Name]])))</f>
        <v>Washing Machine</v>
      </c>
      <c r="I991" t="s">
        <v>79</v>
      </c>
      <c r="J991" t="str">
        <f t="shared" si="107"/>
        <v>CUST0483</v>
      </c>
      <c r="K991" t="s">
        <v>2516</v>
      </c>
      <c r="L991" t="str">
        <f>PROPER(TRIM(CLEAN(Sales_Table[[#This Row],[Salesperson]])))</f>
        <v>Meena</v>
      </c>
      <c r="M991" t="s">
        <v>40</v>
      </c>
      <c r="N991" t="str">
        <f t="shared" si="108"/>
        <v>Upi</v>
      </c>
      <c r="O991" t="s">
        <v>48</v>
      </c>
      <c r="P991">
        <f t="shared" si="109"/>
        <v>1</v>
      </c>
      <c r="Q991" t="s">
        <v>93</v>
      </c>
      <c r="R991">
        <f t="shared" si="110"/>
        <v>2014</v>
      </c>
      <c r="S991" t="s">
        <v>2517</v>
      </c>
      <c r="T991">
        <f t="shared" si="111"/>
        <v>2014</v>
      </c>
      <c r="U991">
        <f>YEAR(Sales_Table[[#This Row],[Date_clean]])</f>
        <v>2024</v>
      </c>
      <c r="V991" t="str">
        <f>TEXT(Sales_Table[[#This Row],[Date_clean]],"mmmm")</f>
        <v>February</v>
      </c>
      <c r="W991">
        <f>WEEKNUM(Sales_Table[[#This Row],[Date_clean]],2)</f>
        <v>6</v>
      </c>
      <c r="X991" t="str" cm="1">
        <f t="array" ref="X991">_xlfn.IFS(Sales_Table[[#This Row],[Revenue]]&gt;=50000,"High",Sales_Table[[#This Row],[Revenue]]&gt;=20000,"Medium",Sales_Table[[#This Row],[Revenue]]&lt;20000,"Low")</f>
        <v>Low</v>
      </c>
      <c r="Y991" t="str">
        <f>IF(Sales_Table[[#This Row],[Payment Method_clean]]="cash","Offline","Online")</f>
        <v>Online</v>
      </c>
      <c r="Z991">
        <f>IFERROR(Sales_Table[[#This Row],[Revenue]],0)</f>
        <v>2014</v>
      </c>
    </row>
    <row r="992" spans="1:26" x14ac:dyDescent="0.3">
      <c r="A992">
        <v>991</v>
      </c>
      <c r="B992" s="2">
        <f t="shared" si="105"/>
        <v>45333.25</v>
      </c>
      <c r="C992" t="s">
        <v>2518</v>
      </c>
      <c r="D992" t="s">
        <v>84</v>
      </c>
      <c r="E992" t="str">
        <f>PROPER(TRIM(CLEAN(Sales_Table[[#This Row],[Region]])))</f>
        <v>South</v>
      </c>
      <c r="F992" t="s">
        <v>46</v>
      </c>
      <c r="G992" t="str">
        <f t="shared" si="106"/>
        <v>Electronics</v>
      </c>
      <c r="H992" t="str">
        <f>PROPER(TRIM(CLEAN(Sales_Table[[#This Row],[Product Name]])))</f>
        <v>Led Tv 42Inch</v>
      </c>
      <c r="I992" t="s">
        <v>58</v>
      </c>
      <c r="J992" t="str">
        <f t="shared" si="107"/>
        <v>CUST0187</v>
      </c>
      <c r="K992" t="s">
        <v>1196</v>
      </c>
      <c r="L992" t="str">
        <f>PROPER(TRIM(CLEAN(Sales_Table[[#This Row],[Salesperson]])))</f>
        <v>Anita</v>
      </c>
      <c r="M992" t="s">
        <v>64</v>
      </c>
      <c r="N992" t="str">
        <f t="shared" si="108"/>
        <v>Credit Card</v>
      </c>
      <c r="O992" t="s">
        <v>65</v>
      </c>
      <c r="P992">
        <f t="shared" si="109"/>
        <v>12</v>
      </c>
      <c r="Q992" t="s">
        <v>33</v>
      </c>
      <c r="R992">
        <f t="shared" si="110"/>
        <v>1332</v>
      </c>
      <c r="S992" t="s">
        <v>2519</v>
      </c>
      <c r="T992">
        <f t="shared" si="111"/>
        <v>15984</v>
      </c>
      <c r="U992">
        <f>YEAR(Sales_Table[[#This Row],[Date_clean]])</f>
        <v>2024</v>
      </c>
      <c r="V992" t="str">
        <f>TEXT(Sales_Table[[#This Row],[Date_clean]],"mmmm")</f>
        <v>February</v>
      </c>
      <c r="W992">
        <f>WEEKNUM(Sales_Table[[#This Row],[Date_clean]],2)</f>
        <v>6</v>
      </c>
      <c r="X992" t="str" cm="1">
        <f t="array" ref="X992">_xlfn.IFS(Sales_Table[[#This Row],[Revenue]]&gt;=50000,"High",Sales_Table[[#This Row],[Revenue]]&gt;=20000,"Medium",Sales_Table[[#This Row],[Revenue]]&lt;20000,"Low")</f>
        <v>Low</v>
      </c>
      <c r="Y992" t="str">
        <f>IF(Sales_Table[[#This Row],[Payment Method_clean]]="cash","Offline","Online")</f>
        <v>Online</v>
      </c>
      <c r="Z992">
        <f>IFERROR(Sales_Table[[#This Row],[Revenue]],0)</f>
        <v>15984</v>
      </c>
    </row>
    <row r="993" spans="1:26" x14ac:dyDescent="0.3">
      <c r="A993">
        <v>992</v>
      </c>
      <c r="B993" s="2">
        <f t="shared" si="105"/>
        <v>45333.291666666664</v>
      </c>
      <c r="C993" t="s">
        <v>2520</v>
      </c>
      <c r="D993" t="s">
        <v>36</v>
      </c>
      <c r="E993" t="str">
        <f>PROPER(TRIM(CLEAN(Sales_Table[[#This Row],[Region]])))</f>
        <v>West</v>
      </c>
      <c r="F993" t="s">
        <v>46</v>
      </c>
      <c r="G993" t="str">
        <f t="shared" si="106"/>
        <v>Electronics</v>
      </c>
      <c r="H993" t="str">
        <f>PROPER(TRIM(CLEAN(Sales_Table[[#This Row],[Product Name]])))</f>
        <v>Washing Machine</v>
      </c>
      <c r="I993" t="s">
        <v>79</v>
      </c>
      <c r="J993" t="str">
        <f t="shared" si="107"/>
        <v>CUST0656</v>
      </c>
      <c r="K993" t="s">
        <v>2521</v>
      </c>
      <c r="L993" t="str">
        <f>PROPER(TRIM(CLEAN(Sales_Table[[#This Row],[Salesperson]])))</f>
        <v>Meena</v>
      </c>
      <c r="M993" t="s">
        <v>40</v>
      </c>
      <c r="N993" t="str">
        <f t="shared" si="108"/>
        <v>Cash</v>
      </c>
      <c r="O993" t="s">
        <v>32</v>
      </c>
      <c r="P993">
        <f t="shared" si="109"/>
        <v>6</v>
      </c>
      <c r="Q993" t="s">
        <v>75</v>
      </c>
      <c r="R993">
        <f t="shared" si="110"/>
        <v>2056</v>
      </c>
      <c r="S993" t="s">
        <v>2522</v>
      </c>
      <c r="T993">
        <f t="shared" si="111"/>
        <v>12336</v>
      </c>
      <c r="U993">
        <f>YEAR(Sales_Table[[#This Row],[Date_clean]])</f>
        <v>2024</v>
      </c>
      <c r="V993" t="str">
        <f>TEXT(Sales_Table[[#This Row],[Date_clean]],"mmmm")</f>
        <v>February</v>
      </c>
      <c r="W993">
        <f>WEEKNUM(Sales_Table[[#This Row],[Date_clean]],2)</f>
        <v>6</v>
      </c>
      <c r="X993" t="str" cm="1">
        <f t="array" ref="X993">_xlfn.IFS(Sales_Table[[#This Row],[Revenue]]&gt;=50000,"High",Sales_Table[[#This Row],[Revenue]]&gt;=20000,"Medium",Sales_Table[[#This Row],[Revenue]]&lt;20000,"Low")</f>
        <v>Low</v>
      </c>
      <c r="Y993" t="str">
        <f>IF(Sales_Table[[#This Row],[Payment Method_clean]]="cash","Offline","Online")</f>
        <v>Offline</v>
      </c>
      <c r="Z993">
        <f>IFERROR(Sales_Table[[#This Row],[Revenue]],0)</f>
        <v>12336</v>
      </c>
    </row>
    <row r="994" spans="1:26" x14ac:dyDescent="0.3">
      <c r="A994">
        <v>993</v>
      </c>
      <c r="B994" s="2">
        <f t="shared" si="105"/>
        <v>45333.333333333336</v>
      </c>
      <c r="C994" t="s">
        <v>2523</v>
      </c>
      <c r="D994" t="s">
        <v>84</v>
      </c>
      <c r="E994" t="str">
        <f>PROPER(TRIM(CLEAN(Sales_Table[[#This Row],[Region]])))</f>
        <v>South</v>
      </c>
      <c r="F994" t="s">
        <v>46</v>
      </c>
      <c r="G994" t="str">
        <f t="shared" si="106"/>
        <v>Electronics</v>
      </c>
      <c r="H994" t="str">
        <f>PROPER(TRIM(CLEAN(Sales_Table[[#This Row],[Product Name]])))</f>
        <v>Washing Machine</v>
      </c>
      <c r="I994" t="s">
        <v>79</v>
      </c>
      <c r="J994" t="str">
        <f t="shared" si="107"/>
        <v>CUST0262</v>
      </c>
      <c r="K994" t="s">
        <v>2524</v>
      </c>
      <c r="L994" t="str">
        <f>PROPER(TRIM(CLEAN(Sales_Table[[#This Row],[Salesperson]])))</f>
        <v>Meena</v>
      </c>
      <c r="M994" t="s">
        <v>40</v>
      </c>
      <c r="N994" t="str">
        <f t="shared" si="108"/>
        <v>Credit Card</v>
      </c>
      <c r="O994" t="s">
        <v>65</v>
      </c>
      <c r="P994">
        <f t="shared" si="109"/>
        <v>3</v>
      </c>
      <c r="Q994" t="s">
        <v>66</v>
      </c>
      <c r="R994">
        <f t="shared" si="110"/>
        <v>492</v>
      </c>
      <c r="S994" t="s">
        <v>2461</v>
      </c>
      <c r="T994">
        <f t="shared" si="111"/>
        <v>1476</v>
      </c>
      <c r="U994">
        <f>YEAR(Sales_Table[[#This Row],[Date_clean]])</f>
        <v>2024</v>
      </c>
      <c r="V994" t="str">
        <f>TEXT(Sales_Table[[#This Row],[Date_clean]],"mmmm")</f>
        <v>February</v>
      </c>
      <c r="W994">
        <f>WEEKNUM(Sales_Table[[#This Row],[Date_clean]],2)</f>
        <v>6</v>
      </c>
      <c r="X994" t="str" cm="1">
        <f t="array" ref="X994">_xlfn.IFS(Sales_Table[[#This Row],[Revenue]]&gt;=50000,"High",Sales_Table[[#This Row],[Revenue]]&gt;=20000,"Medium",Sales_Table[[#This Row],[Revenue]]&lt;20000,"Low")</f>
        <v>Low</v>
      </c>
      <c r="Y994" t="str">
        <f>IF(Sales_Table[[#This Row],[Payment Method_clean]]="cash","Offline","Online")</f>
        <v>Online</v>
      </c>
      <c r="Z994">
        <f>IFERROR(Sales_Table[[#This Row],[Revenue]],0)</f>
        <v>1476</v>
      </c>
    </row>
    <row r="995" spans="1:26" x14ac:dyDescent="0.3">
      <c r="A995">
        <v>994</v>
      </c>
      <c r="B995" s="2">
        <f t="shared" si="105"/>
        <v>45333.375</v>
      </c>
      <c r="C995" t="s">
        <v>2525</v>
      </c>
      <c r="D995" t="s">
        <v>36</v>
      </c>
      <c r="E995" t="str">
        <f>PROPER(TRIM(CLEAN(Sales_Table[[#This Row],[Region]])))</f>
        <v>West</v>
      </c>
      <c r="F995" t="s">
        <v>46</v>
      </c>
      <c r="G995" t="str">
        <f t="shared" si="106"/>
        <v>Electronics</v>
      </c>
      <c r="H995" t="str">
        <f>PROPER(TRIM(CLEAN(Sales_Table[[#This Row],[Product Name]])))</f>
        <v>Mixer Grinder</v>
      </c>
      <c r="I995" t="s">
        <v>29</v>
      </c>
      <c r="J995" t="str">
        <f t="shared" si="107"/>
        <v>CUST0364</v>
      </c>
      <c r="K995" t="s">
        <v>928</v>
      </c>
      <c r="L995" t="str">
        <f>PROPER(TRIM(CLEAN(Sales_Table[[#This Row],[Salesperson]])))</f>
        <v>Rahul</v>
      </c>
      <c r="M995" t="s">
        <v>31</v>
      </c>
      <c r="N995" t="str">
        <f t="shared" si="108"/>
        <v>Debit Card</v>
      </c>
      <c r="O995" t="s">
        <v>41</v>
      </c>
      <c r="P995">
        <f t="shared" si="109"/>
        <v>11</v>
      </c>
      <c r="Q995" t="s">
        <v>97</v>
      </c>
      <c r="R995">
        <f t="shared" si="110"/>
        <v>925</v>
      </c>
      <c r="S995" t="s">
        <v>522</v>
      </c>
      <c r="T995">
        <f t="shared" si="111"/>
        <v>10175</v>
      </c>
      <c r="U995">
        <f>YEAR(Sales_Table[[#This Row],[Date_clean]])</f>
        <v>2024</v>
      </c>
      <c r="V995" t="str">
        <f>TEXT(Sales_Table[[#This Row],[Date_clean]],"mmmm")</f>
        <v>February</v>
      </c>
      <c r="W995">
        <f>WEEKNUM(Sales_Table[[#This Row],[Date_clean]],2)</f>
        <v>6</v>
      </c>
      <c r="X995" t="str" cm="1">
        <f t="array" ref="X995">_xlfn.IFS(Sales_Table[[#This Row],[Revenue]]&gt;=50000,"High",Sales_Table[[#This Row],[Revenue]]&gt;=20000,"Medium",Sales_Table[[#This Row],[Revenue]]&lt;20000,"Low")</f>
        <v>Low</v>
      </c>
      <c r="Y995" t="str">
        <f>IF(Sales_Table[[#This Row],[Payment Method_clean]]="cash","Offline","Online")</f>
        <v>Online</v>
      </c>
      <c r="Z995">
        <f>IFERROR(Sales_Table[[#This Row],[Revenue]],0)</f>
        <v>10175</v>
      </c>
    </row>
    <row r="996" spans="1:26" x14ac:dyDescent="0.3">
      <c r="A996">
        <v>995</v>
      </c>
      <c r="B996" s="2">
        <f t="shared" si="105"/>
        <v>45333.416666666664</v>
      </c>
      <c r="C996" t="s">
        <v>2526</v>
      </c>
      <c r="D996" t="s">
        <v>36</v>
      </c>
      <c r="E996" t="str">
        <f>PROPER(TRIM(CLEAN(Sales_Table[[#This Row],[Region]])))</f>
        <v>West</v>
      </c>
      <c r="F996" t="s">
        <v>46</v>
      </c>
      <c r="G996" t="str">
        <f t="shared" si="106"/>
        <v>Electronics</v>
      </c>
      <c r="H996" t="str">
        <f>PROPER(TRIM(CLEAN(Sales_Table[[#This Row],[Product Name]])))</f>
        <v>Led Tv 42Inch</v>
      </c>
      <c r="I996" t="s">
        <v>58</v>
      </c>
      <c r="J996" t="str">
        <f t="shared" si="107"/>
        <v>CUST0491</v>
      </c>
      <c r="K996" t="s">
        <v>2157</v>
      </c>
      <c r="L996" t="str">
        <f>PROPER(TRIM(CLEAN(Sales_Table[[#This Row],[Salesperson]])))</f>
        <v>Suresh</v>
      </c>
      <c r="M996" t="s">
        <v>54</v>
      </c>
      <c r="N996" t="str">
        <f t="shared" si="108"/>
        <v>Credit Card</v>
      </c>
      <c r="O996" t="s">
        <v>65</v>
      </c>
      <c r="P996">
        <f t="shared" si="109"/>
        <v>9</v>
      </c>
      <c r="Q996" t="s">
        <v>130</v>
      </c>
      <c r="R996">
        <f t="shared" si="110"/>
        <v>3063</v>
      </c>
      <c r="S996" t="s">
        <v>2527</v>
      </c>
      <c r="T996">
        <f t="shared" si="111"/>
        <v>27567</v>
      </c>
      <c r="U996">
        <f>YEAR(Sales_Table[[#This Row],[Date_clean]])</f>
        <v>2024</v>
      </c>
      <c r="V996" t="str">
        <f>TEXT(Sales_Table[[#This Row],[Date_clean]],"mmmm")</f>
        <v>February</v>
      </c>
      <c r="W996">
        <f>WEEKNUM(Sales_Table[[#This Row],[Date_clean]],2)</f>
        <v>6</v>
      </c>
      <c r="X996" t="str" cm="1">
        <f t="array" ref="X996">_xlfn.IFS(Sales_Table[[#This Row],[Revenue]]&gt;=50000,"High",Sales_Table[[#This Row],[Revenue]]&gt;=20000,"Medium",Sales_Table[[#This Row],[Revenue]]&lt;20000,"Low")</f>
        <v>Medium</v>
      </c>
      <c r="Y996" t="str">
        <f>IF(Sales_Table[[#This Row],[Payment Method_clean]]="cash","Offline","Online")</f>
        <v>Online</v>
      </c>
      <c r="Z996">
        <f>IFERROR(Sales_Table[[#This Row],[Revenue]],0)</f>
        <v>27567</v>
      </c>
    </row>
    <row r="997" spans="1:26" x14ac:dyDescent="0.3">
      <c r="A997">
        <v>996</v>
      </c>
      <c r="B997" s="2">
        <f t="shared" si="105"/>
        <v>45333.458333333336</v>
      </c>
      <c r="C997" t="s">
        <v>2528</v>
      </c>
      <c r="D997" t="s">
        <v>45</v>
      </c>
      <c r="E997" t="str">
        <f>PROPER(TRIM(CLEAN(Sales_Table[[#This Row],[Region]])))</f>
        <v>North</v>
      </c>
      <c r="F997" t="s">
        <v>78</v>
      </c>
      <c r="G997" t="str">
        <f t="shared" si="106"/>
        <v>Grocery</v>
      </c>
      <c r="H997" t="str">
        <f>PROPER(TRIM(CLEAN(Sales_Table[[#This Row],[Product Name]])))</f>
        <v>Rice 5Kg</v>
      </c>
      <c r="I997" t="s">
        <v>73</v>
      </c>
      <c r="J997" t="str">
        <f t="shared" si="107"/>
        <v>CUST0431</v>
      </c>
      <c r="K997" t="s">
        <v>2529</v>
      </c>
      <c r="L997" t="str">
        <f>PROPER(TRIM(CLEAN(Sales_Table[[#This Row],[Salesperson]])))</f>
        <v>Meena</v>
      </c>
      <c r="M997" t="s">
        <v>40</v>
      </c>
      <c r="N997" t="str">
        <f t="shared" si="108"/>
        <v>Cash</v>
      </c>
      <c r="O997" t="s">
        <v>32</v>
      </c>
      <c r="P997">
        <f t="shared" si="109"/>
        <v>5</v>
      </c>
      <c r="Q997" t="s">
        <v>89</v>
      </c>
      <c r="R997">
        <f t="shared" si="110"/>
        <v>2495</v>
      </c>
      <c r="S997" t="s">
        <v>2530</v>
      </c>
      <c r="T997">
        <f t="shared" si="111"/>
        <v>12475</v>
      </c>
      <c r="U997">
        <f>YEAR(Sales_Table[[#This Row],[Date_clean]])</f>
        <v>2024</v>
      </c>
      <c r="V997" t="str">
        <f>TEXT(Sales_Table[[#This Row],[Date_clean]],"mmmm")</f>
        <v>February</v>
      </c>
      <c r="W997">
        <f>WEEKNUM(Sales_Table[[#This Row],[Date_clean]],2)</f>
        <v>6</v>
      </c>
      <c r="X997" t="str" cm="1">
        <f t="array" ref="X997">_xlfn.IFS(Sales_Table[[#This Row],[Revenue]]&gt;=50000,"High",Sales_Table[[#This Row],[Revenue]]&gt;=20000,"Medium",Sales_Table[[#This Row],[Revenue]]&lt;20000,"Low")</f>
        <v>Low</v>
      </c>
      <c r="Y997" t="str">
        <f>IF(Sales_Table[[#This Row],[Payment Method_clean]]="cash","Offline","Online")</f>
        <v>Offline</v>
      </c>
      <c r="Z997">
        <f>IFERROR(Sales_Table[[#This Row],[Revenue]],0)</f>
        <v>12475</v>
      </c>
    </row>
    <row r="998" spans="1:26" x14ac:dyDescent="0.3">
      <c r="A998">
        <v>997</v>
      </c>
      <c r="B998" s="2">
        <f t="shared" si="105"/>
        <v>45333.5</v>
      </c>
      <c r="C998" t="s">
        <v>2531</v>
      </c>
      <c r="D998" t="s">
        <v>45</v>
      </c>
      <c r="E998" t="str">
        <f>PROPER(TRIM(CLEAN(Sales_Table[[#This Row],[Region]])))</f>
        <v>North</v>
      </c>
      <c r="F998" t="s">
        <v>28</v>
      </c>
      <c r="G998" t="str">
        <f t="shared" si="106"/>
        <v>Clothing</v>
      </c>
      <c r="H998" t="str">
        <f>PROPER(TRIM(CLEAN(Sales_Table[[#This Row],[Product Name]])))</f>
        <v>Rice 5Kg</v>
      </c>
      <c r="I998" t="s">
        <v>73</v>
      </c>
      <c r="J998" t="str">
        <f t="shared" si="107"/>
        <v>CUST0239</v>
      </c>
      <c r="K998" t="s">
        <v>311</v>
      </c>
      <c r="L998" t="str">
        <f>PROPER(TRIM(CLEAN(Sales_Table[[#This Row],[Salesperson]])))</f>
        <v>Karthik</v>
      </c>
      <c r="M998" t="s">
        <v>70</v>
      </c>
      <c r="N998" t="str">
        <f t="shared" si="108"/>
        <v>Cash</v>
      </c>
      <c r="O998" t="s">
        <v>32</v>
      </c>
      <c r="P998">
        <f t="shared" si="109"/>
        <v>13</v>
      </c>
      <c r="Q998" t="s">
        <v>81</v>
      </c>
      <c r="R998">
        <f t="shared" si="110"/>
        <v>4245</v>
      </c>
      <c r="S998" t="s">
        <v>2532</v>
      </c>
      <c r="T998">
        <f t="shared" si="111"/>
        <v>55185</v>
      </c>
      <c r="U998">
        <f>YEAR(Sales_Table[[#This Row],[Date_clean]])</f>
        <v>2024</v>
      </c>
      <c r="V998" t="str">
        <f>TEXT(Sales_Table[[#This Row],[Date_clean]],"mmmm")</f>
        <v>February</v>
      </c>
      <c r="W998">
        <f>WEEKNUM(Sales_Table[[#This Row],[Date_clean]],2)</f>
        <v>6</v>
      </c>
      <c r="X998" t="str" cm="1">
        <f t="array" ref="X998">_xlfn.IFS(Sales_Table[[#This Row],[Revenue]]&gt;=50000,"High",Sales_Table[[#This Row],[Revenue]]&gt;=20000,"Medium",Sales_Table[[#This Row],[Revenue]]&lt;20000,"Low")</f>
        <v>High</v>
      </c>
      <c r="Y998" t="str">
        <f>IF(Sales_Table[[#This Row],[Payment Method_clean]]="cash","Offline","Online")</f>
        <v>Offline</v>
      </c>
      <c r="Z998">
        <f>IFERROR(Sales_Table[[#This Row],[Revenue]],0)</f>
        <v>55185</v>
      </c>
    </row>
    <row r="999" spans="1:26" x14ac:dyDescent="0.3">
      <c r="A999">
        <v>998</v>
      </c>
      <c r="B999" s="2">
        <f t="shared" si="105"/>
        <v>45333.541666666664</v>
      </c>
      <c r="C999" t="s">
        <v>2533</v>
      </c>
      <c r="D999" t="s">
        <v>36</v>
      </c>
      <c r="E999" t="str">
        <f>PROPER(TRIM(CLEAN(Sales_Table[[#This Row],[Region]])))</f>
        <v>West</v>
      </c>
      <c r="F999" t="s">
        <v>78</v>
      </c>
      <c r="G999" t="str">
        <f t="shared" si="106"/>
        <v>Grocery</v>
      </c>
      <c r="H999" t="str">
        <f>PROPER(TRIM(CLEAN(Sales_Table[[#This Row],[Product Name]])))</f>
        <v>Laptop</v>
      </c>
      <c r="I999" t="s">
        <v>52</v>
      </c>
      <c r="J999" t="str">
        <f t="shared" si="107"/>
        <v>CUST0304</v>
      </c>
      <c r="K999" t="s">
        <v>524</v>
      </c>
      <c r="L999" t="str">
        <f>PROPER(TRIM(CLEAN(Sales_Table[[#This Row],[Salesperson]])))</f>
        <v>Meena</v>
      </c>
      <c r="M999" t="s">
        <v>40</v>
      </c>
      <c r="N999" t="str">
        <f t="shared" si="108"/>
        <v>Debit Card</v>
      </c>
      <c r="O999" t="s">
        <v>41</v>
      </c>
      <c r="P999">
        <f t="shared" si="109"/>
        <v>6</v>
      </c>
      <c r="Q999" t="s">
        <v>75</v>
      </c>
      <c r="R999">
        <f t="shared" si="110"/>
        <v>4995</v>
      </c>
      <c r="S999" t="s">
        <v>2534</v>
      </c>
      <c r="T999">
        <f t="shared" si="111"/>
        <v>29970</v>
      </c>
      <c r="U999">
        <f>YEAR(Sales_Table[[#This Row],[Date_clean]])</f>
        <v>2024</v>
      </c>
      <c r="V999" t="str">
        <f>TEXT(Sales_Table[[#This Row],[Date_clean]],"mmmm")</f>
        <v>February</v>
      </c>
      <c r="W999">
        <f>WEEKNUM(Sales_Table[[#This Row],[Date_clean]],2)</f>
        <v>6</v>
      </c>
      <c r="X999" t="str" cm="1">
        <f t="array" ref="X999">_xlfn.IFS(Sales_Table[[#This Row],[Revenue]]&gt;=50000,"High",Sales_Table[[#This Row],[Revenue]]&gt;=20000,"Medium",Sales_Table[[#This Row],[Revenue]]&lt;20000,"Low")</f>
        <v>Medium</v>
      </c>
      <c r="Y999" t="str">
        <f>IF(Sales_Table[[#This Row],[Payment Method_clean]]="cash","Offline","Online")</f>
        <v>Online</v>
      </c>
      <c r="Z999">
        <f>IFERROR(Sales_Table[[#This Row],[Revenue]],0)</f>
        <v>29970</v>
      </c>
    </row>
    <row r="1000" spans="1:26" x14ac:dyDescent="0.3">
      <c r="A1000">
        <v>999</v>
      </c>
      <c r="B1000" s="2">
        <f t="shared" si="105"/>
        <v>45333.583333333336</v>
      </c>
      <c r="C1000" t="s">
        <v>2535</v>
      </c>
      <c r="D1000" t="s">
        <v>36</v>
      </c>
      <c r="E1000" t="str">
        <f>PROPER(TRIM(CLEAN(Sales_Table[[#This Row],[Region]])))</f>
        <v>West</v>
      </c>
      <c r="F1000" t="s">
        <v>46</v>
      </c>
      <c r="G1000" t="str">
        <f t="shared" si="106"/>
        <v>Electronics</v>
      </c>
      <c r="H1000" t="str">
        <f>PROPER(TRIM(CLEAN(Sales_Table[[#This Row],[Product Name]])))</f>
        <v>Men T-Shirt</v>
      </c>
      <c r="I1000" t="s">
        <v>38</v>
      </c>
      <c r="J1000" t="str">
        <f t="shared" si="107"/>
        <v>CUST0298</v>
      </c>
      <c r="K1000" t="s">
        <v>2536</v>
      </c>
      <c r="L1000" t="str">
        <f>PROPER(TRIM(CLEAN(Sales_Table[[#This Row],[Salesperson]])))</f>
        <v>Anita</v>
      </c>
      <c r="M1000" t="s">
        <v>64</v>
      </c>
      <c r="N1000" t="str">
        <f t="shared" si="108"/>
        <v>Cash</v>
      </c>
      <c r="O1000" t="s">
        <v>32</v>
      </c>
      <c r="P1000">
        <f t="shared" si="109"/>
        <v>11</v>
      </c>
      <c r="Q1000" t="s">
        <v>97</v>
      </c>
      <c r="R1000">
        <f t="shared" si="110"/>
        <v>1892</v>
      </c>
      <c r="S1000" t="s">
        <v>2537</v>
      </c>
      <c r="T1000">
        <f t="shared" si="111"/>
        <v>20812</v>
      </c>
      <c r="U1000">
        <f>YEAR(Sales_Table[[#This Row],[Date_clean]])</f>
        <v>2024</v>
      </c>
      <c r="V1000" t="str">
        <f>TEXT(Sales_Table[[#This Row],[Date_clean]],"mmmm")</f>
        <v>February</v>
      </c>
      <c r="W1000">
        <f>WEEKNUM(Sales_Table[[#This Row],[Date_clean]],2)</f>
        <v>6</v>
      </c>
      <c r="X1000" t="str" cm="1">
        <f t="array" ref="X1000">_xlfn.IFS(Sales_Table[[#This Row],[Revenue]]&gt;=50000,"High",Sales_Table[[#This Row],[Revenue]]&gt;=20000,"Medium",Sales_Table[[#This Row],[Revenue]]&lt;20000,"Low")</f>
        <v>Medium</v>
      </c>
      <c r="Y1000" t="str">
        <f>IF(Sales_Table[[#This Row],[Payment Method_clean]]="cash","Offline","Online")</f>
        <v>Offline</v>
      </c>
      <c r="Z1000">
        <f>IFERROR(Sales_Table[[#This Row],[Revenue]],0)</f>
        <v>20812</v>
      </c>
    </row>
    <row r="1001" spans="1:26" x14ac:dyDescent="0.3">
      <c r="A1001">
        <v>1000</v>
      </c>
      <c r="B1001" s="2">
        <f t="shared" si="105"/>
        <v>45333.625</v>
      </c>
      <c r="C1001" t="s">
        <v>2538</v>
      </c>
      <c r="D1001" t="s">
        <v>27</v>
      </c>
      <c r="E1001" t="str">
        <f>PROPER(TRIM(CLEAN(Sales_Table[[#This Row],[Region]])))</f>
        <v>East</v>
      </c>
      <c r="F1001" t="s">
        <v>37</v>
      </c>
      <c r="G1001" t="str">
        <f t="shared" si="106"/>
        <v>Home Appliances</v>
      </c>
      <c r="H1001" t="str">
        <f>PROPER(TRIM(CLEAN(Sales_Table[[#This Row],[Product Name]])))</f>
        <v>Laptop</v>
      </c>
      <c r="I1001" t="s">
        <v>52</v>
      </c>
      <c r="J1001" t="str">
        <f t="shared" si="107"/>
        <v>CUST0076</v>
      </c>
      <c r="K1001" t="s">
        <v>1309</v>
      </c>
      <c r="L1001" t="str">
        <f>PROPER(TRIM(CLEAN(Sales_Table[[#This Row],[Salesperson]])))</f>
        <v>Anita</v>
      </c>
      <c r="M1001" t="s">
        <v>64</v>
      </c>
      <c r="N1001" t="str">
        <f t="shared" si="108"/>
        <v>Debit Card</v>
      </c>
      <c r="O1001" t="s">
        <v>41</v>
      </c>
      <c r="P1001">
        <f t="shared" si="109"/>
        <v>9</v>
      </c>
      <c r="Q1001" t="s">
        <v>130</v>
      </c>
      <c r="R1001">
        <f t="shared" si="110"/>
        <v>3164</v>
      </c>
      <c r="S1001" t="s">
        <v>2539</v>
      </c>
      <c r="T1001">
        <f t="shared" si="111"/>
        <v>28476</v>
      </c>
      <c r="U1001">
        <f>YEAR(Sales_Table[[#This Row],[Date_clean]])</f>
        <v>2024</v>
      </c>
      <c r="V1001" t="str">
        <f>TEXT(Sales_Table[[#This Row],[Date_clean]],"mmmm")</f>
        <v>February</v>
      </c>
      <c r="W1001">
        <f>WEEKNUM(Sales_Table[[#This Row],[Date_clean]],2)</f>
        <v>6</v>
      </c>
      <c r="X1001" t="str" cm="1">
        <f t="array" ref="X1001">_xlfn.IFS(Sales_Table[[#This Row],[Revenue]]&gt;=50000,"High",Sales_Table[[#This Row],[Revenue]]&gt;=20000,"Medium",Sales_Table[[#This Row],[Revenue]]&lt;20000,"Low")</f>
        <v>Medium</v>
      </c>
      <c r="Y1001" t="str">
        <f>IF(Sales_Table[[#This Row],[Payment Method_clean]]="cash","Offline","Online")</f>
        <v>Online</v>
      </c>
      <c r="Z1001">
        <f>IFERROR(Sales_Table[[#This Row],[Revenue]],0)</f>
        <v>28476</v>
      </c>
    </row>
    <row r="1002" spans="1:26" x14ac:dyDescent="0.3">
      <c r="A1002">
        <v>1001</v>
      </c>
      <c r="B1002" s="2">
        <f t="shared" si="105"/>
        <v>45333.666666666664</v>
      </c>
      <c r="C1002" t="s">
        <v>2540</v>
      </c>
      <c r="D1002" t="s">
        <v>84</v>
      </c>
      <c r="E1002" t="str">
        <f>PROPER(TRIM(CLEAN(Sales_Table[[#This Row],[Region]])))</f>
        <v>South</v>
      </c>
      <c r="F1002" t="s">
        <v>37</v>
      </c>
      <c r="G1002" t="str">
        <f t="shared" si="106"/>
        <v>Home Appliances</v>
      </c>
      <c r="H1002" t="str">
        <f>PROPER(TRIM(CLEAN(Sales_Table[[#This Row],[Product Name]])))</f>
        <v>Laptop</v>
      </c>
      <c r="I1002" t="s">
        <v>52</v>
      </c>
      <c r="J1002" t="str">
        <f t="shared" si="107"/>
        <v>CUST0700</v>
      </c>
      <c r="K1002" t="s">
        <v>1680</v>
      </c>
      <c r="L1002" t="str">
        <f>PROPER(TRIM(CLEAN(Sales_Table[[#This Row],[Salesperson]])))</f>
        <v>Anita</v>
      </c>
      <c r="M1002" t="s">
        <v>64</v>
      </c>
      <c r="N1002" t="str">
        <f t="shared" si="108"/>
        <v>Debit Card</v>
      </c>
      <c r="O1002" t="s">
        <v>41</v>
      </c>
      <c r="P1002">
        <f t="shared" si="109"/>
        <v>9</v>
      </c>
      <c r="Q1002" t="s">
        <v>130</v>
      </c>
      <c r="R1002">
        <f t="shared" si="110"/>
        <v>1463</v>
      </c>
      <c r="S1002" t="s">
        <v>2541</v>
      </c>
      <c r="T1002">
        <f t="shared" si="111"/>
        <v>13167</v>
      </c>
      <c r="U1002">
        <f>YEAR(Sales_Table[[#This Row],[Date_clean]])</f>
        <v>2024</v>
      </c>
      <c r="V1002" t="str">
        <f>TEXT(Sales_Table[[#This Row],[Date_clean]],"mmmm")</f>
        <v>February</v>
      </c>
      <c r="W1002">
        <f>WEEKNUM(Sales_Table[[#This Row],[Date_clean]],2)</f>
        <v>6</v>
      </c>
      <c r="X1002" t="str" cm="1">
        <f t="array" ref="X1002">_xlfn.IFS(Sales_Table[[#This Row],[Revenue]]&gt;=50000,"High",Sales_Table[[#This Row],[Revenue]]&gt;=20000,"Medium",Sales_Table[[#This Row],[Revenue]]&lt;20000,"Low")</f>
        <v>Low</v>
      </c>
      <c r="Y1002" t="str">
        <f>IF(Sales_Table[[#This Row],[Payment Method_clean]]="cash","Offline","Online")</f>
        <v>Online</v>
      </c>
      <c r="Z1002">
        <f>IFERROR(Sales_Table[[#This Row],[Revenue]],0)</f>
        <v>13167</v>
      </c>
    </row>
    <row r="1003" spans="1:26" x14ac:dyDescent="0.3">
      <c r="A1003">
        <v>1002</v>
      </c>
      <c r="B1003" s="2">
        <f t="shared" si="105"/>
        <v>45333.708333333336</v>
      </c>
      <c r="C1003" t="s">
        <v>2542</v>
      </c>
      <c r="D1003" t="s">
        <v>27</v>
      </c>
      <c r="E1003" t="str">
        <f>PROPER(TRIM(CLEAN(Sales_Table[[#This Row],[Region]])))</f>
        <v>East</v>
      </c>
      <c r="F1003" t="s">
        <v>46</v>
      </c>
      <c r="G1003" t="str">
        <f t="shared" si="106"/>
        <v>Electronics</v>
      </c>
      <c r="H1003" t="str">
        <f>PROPER(TRIM(CLEAN(Sales_Table[[#This Row],[Product Name]])))</f>
        <v>Rice 5Kg</v>
      </c>
      <c r="I1003" t="s">
        <v>73</v>
      </c>
      <c r="J1003" t="str">
        <f t="shared" si="107"/>
        <v>CUST0333</v>
      </c>
      <c r="K1003" t="s">
        <v>2543</v>
      </c>
      <c r="L1003" t="str">
        <f>PROPER(TRIM(CLEAN(Sales_Table[[#This Row],[Salesperson]])))</f>
        <v>Meena</v>
      </c>
      <c r="M1003" t="s">
        <v>40</v>
      </c>
      <c r="N1003" t="str">
        <f t="shared" si="108"/>
        <v>Cash</v>
      </c>
      <c r="O1003" t="s">
        <v>32</v>
      </c>
      <c r="P1003">
        <f t="shared" si="109"/>
        <v>8</v>
      </c>
      <c r="Q1003" t="s">
        <v>42</v>
      </c>
      <c r="R1003">
        <f t="shared" si="110"/>
        <v>2448</v>
      </c>
      <c r="S1003" t="s">
        <v>2544</v>
      </c>
      <c r="T1003">
        <f t="shared" si="111"/>
        <v>19584</v>
      </c>
      <c r="U1003">
        <f>YEAR(Sales_Table[[#This Row],[Date_clean]])</f>
        <v>2024</v>
      </c>
      <c r="V1003" t="str">
        <f>TEXT(Sales_Table[[#This Row],[Date_clean]],"mmmm")</f>
        <v>February</v>
      </c>
      <c r="W1003">
        <f>WEEKNUM(Sales_Table[[#This Row],[Date_clean]],2)</f>
        <v>6</v>
      </c>
      <c r="X1003" t="str" cm="1">
        <f t="array" ref="X1003">_xlfn.IFS(Sales_Table[[#This Row],[Revenue]]&gt;=50000,"High",Sales_Table[[#This Row],[Revenue]]&gt;=20000,"Medium",Sales_Table[[#This Row],[Revenue]]&lt;20000,"Low")</f>
        <v>Low</v>
      </c>
      <c r="Y1003" t="str">
        <f>IF(Sales_Table[[#This Row],[Payment Method_clean]]="cash","Offline","Online")</f>
        <v>Offline</v>
      </c>
      <c r="Z1003">
        <f>IFERROR(Sales_Table[[#This Row],[Revenue]],0)</f>
        <v>19584</v>
      </c>
    </row>
    <row r="1004" spans="1:26" x14ac:dyDescent="0.3">
      <c r="A1004">
        <v>1003</v>
      </c>
      <c r="B1004" s="2">
        <f t="shared" si="105"/>
        <v>45333.75</v>
      </c>
      <c r="C1004" t="s">
        <v>2545</v>
      </c>
      <c r="D1004" t="s">
        <v>45</v>
      </c>
      <c r="E1004" t="str">
        <f>PROPER(TRIM(CLEAN(Sales_Table[[#This Row],[Region]])))</f>
        <v>North</v>
      </c>
      <c r="F1004" t="s">
        <v>46</v>
      </c>
      <c r="G1004" t="str">
        <f t="shared" si="106"/>
        <v>Electronics</v>
      </c>
      <c r="H1004" t="str">
        <f>PROPER(TRIM(CLEAN(Sales_Table[[#This Row],[Product Name]])))</f>
        <v>Mixer Grinder</v>
      </c>
      <c r="I1004" t="s">
        <v>29</v>
      </c>
      <c r="J1004" t="str">
        <f t="shared" si="107"/>
        <v>CUST0758</v>
      </c>
      <c r="K1004" t="s">
        <v>643</v>
      </c>
      <c r="L1004" t="str">
        <f>PROPER(TRIM(CLEAN(Sales_Table[[#This Row],[Salesperson]])))</f>
        <v>Rahul</v>
      </c>
      <c r="M1004" t="s">
        <v>31</v>
      </c>
      <c r="N1004" t="str">
        <f t="shared" si="108"/>
        <v>Net Banking</v>
      </c>
      <c r="O1004" t="s">
        <v>60</v>
      </c>
      <c r="P1004">
        <f t="shared" si="109"/>
        <v>9</v>
      </c>
      <c r="Q1004" t="s">
        <v>130</v>
      </c>
      <c r="R1004">
        <f t="shared" si="110"/>
        <v>3651</v>
      </c>
      <c r="S1004" t="s">
        <v>2546</v>
      </c>
      <c r="T1004">
        <f t="shared" si="111"/>
        <v>32859</v>
      </c>
      <c r="U1004">
        <f>YEAR(Sales_Table[[#This Row],[Date_clean]])</f>
        <v>2024</v>
      </c>
      <c r="V1004" t="str">
        <f>TEXT(Sales_Table[[#This Row],[Date_clean]],"mmmm")</f>
        <v>February</v>
      </c>
      <c r="W1004">
        <f>WEEKNUM(Sales_Table[[#This Row],[Date_clean]],2)</f>
        <v>6</v>
      </c>
      <c r="X1004" t="str" cm="1">
        <f t="array" ref="X1004">_xlfn.IFS(Sales_Table[[#This Row],[Revenue]]&gt;=50000,"High",Sales_Table[[#This Row],[Revenue]]&gt;=20000,"Medium",Sales_Table[[#This Row],[Revenue]]&lt;20000,"Low")</f>
        <v>Medium</v>
      </c>
      <c r="Y1004" t="str">
        <f>IF(Sales_Table[[#This Row],[Payment Method_clean]]="cash","Offline","Online")</f>
        <v>Online</v>
      </c>
      <c r="Z1004">
        <f>IFERROR(Sales_Table[[#This Row],[Revenue]],0)</f>
        <v>32859</v>
      </c>
    </row>
    <row r="1005" spans="1:26" x14ac:dyDescent="0.3">
      <c r="A1005">
        <v>1004</v>
      </c>
      <c r="B1005" s="2">
        <f t="shared" si="105"/>
        <v>45333.791666666664</v>
      </c>
      <c r="C1005" t="s">
        <v>2547</v>
      </c>
      <c r="D1005" t="s">
        <v>45</v>
      </c>
      <c r="E1005" t="str">
        <f>PROPER(TRIM(CLEAN(Sales_Table[[#This Row],[Region]])))</f>
        <v>North</v>
      </c>
      <c r="F1005" t="s">
        <v>37</v>
      </c>
      <c r="G1005" t="str">
        <f t="shared" si="106"/>
        <v>Home Appliances</v>
      </c>
      <c r="H1005" t="str">
        <f>PROPER(TRIM(CLEAN(Sales_Table[[#This Row],[Product Name]])))</f>
        <v>Washing Machine</v>
      </c>
      <c r="I1005" t="s">
        <v>79</v>
      </c>
      <c r="J1005" t="str">
        <f t="shared" si="107"/>
        <v>CUST0642</v>
      </c>
      <c r="K1005" t="s">
        <v>1035</v>
      </c>
      <c r="L1005" t="str">
        <f>PROPER(TRIM(CLEAN(Sales_Table[[#This Row],[Salesperson]])))</f>
        <v>Karthik</v>
      </c>
      <c r="M1005" t="s">
        <v>70</v>
      </c>
      <c r="N1005" t="str">
        <f t="shared" si="108"/>
        <v>Debit Card</v>
      </c>
      <c r="O1005" t="s">
        <v>41</v>
      </c>
      <c r="P1005">
        <f t="shared" si="109"/>
        <v>4</v>
      </c>
      <c r="Q1005" t="s">
        <v>113</v>
      </c>
      <c r="R1005">
        <f t="shared" si="110"/>
        <v>3728</v>
      </c>
      <c r="S1005" t="s">
        <v>2128</v>
      </c>
      <c r="T1005">
        <f t="shared" si="111"/>
        <v>14912</v>
      </c>
      <c r="U1005">
        <f>YEAR(Sales_Table[[#This Row],[Date_clean]])</f>
        <v>2024</v>
      </c>
      <c r="V1005" t="str">
        <f>TEXT(Sales_Table[[#This Row],[Date_clean]],"mmmm")</f>
        <v>February</v>
      </c>
      <c r="W1005">
        <f>WEEKNUM(Sales_Table[[#This Row],[Date_clean]],2)</f>
        <v>6</v>
      </c>
      <c r="X1005" t="str" cm="1">
        <f t="array" ref="X1005">_xlfn.IFS(Sales_Table[[#This Row],[Revenue]]&gt;=50000,"High",Sales_Table[[#This Row],[Revenue]]&gt;=20000,"Medium",Sales_Table[[#This Row],[Revenue]]&lt;20000,"Low")</f>
        <v>Low</v>
      </c>
      <c r="Y1005" t="str">
        <f>IF(Sales_Table[[#This Row],[Payment Method_clean]]="cash","Offline","Online")</f>
        <v>Online</v>
      </c>
      <c r="Z1005">
        <f>IFERROR(Sales_Table[[#This Row],[Revenue]],0)</f>
        <v>14912</v>
      </c>
    </row>
    <row r="1006" spans="1:26" x14ac:dyDescent="0.3">
      <c r="A1006">
        <v>1005</v>
      </c>
      <c r="B1006" s="2">
        <f t="shared" si="105"/>
        <v>45333.833333333336</v>
      </c>
      <c r="C1006" t="s">
        <v>2548</v>
      </c>
      <c r="D1006" t="s">
        <v>45</v>
      </c>
      <c r="E1006" t="str">
        <f>PROPER(TRIM(CLEAN(Sales_Table[[#This Row],[Region]])))</f>
        <v>North</v>
      </c>
      <c r="F1006" t="s">
        <v>78</v>
      </c>
      <c r="G1006" t="str">
        <f t="shared" si="106"/>
        <v>Grocery</v>
      </c>
      <c r="H1006" t="str">
        <f>PROPER(TRIM(CLEAN(Sales_Table[[#This Row],[Product Name]])))</f>
        <v>Washing Machine</v>
      </c>
      <c r="I1006" t="s">
        <v>79</v>
      </c>
      <c r="J1006" t="str">
        <f t="shared" si="107"/>
        <v>CUST0474</v>
      </c>
      <c r="K1006" t="s">
        <v>1405</v>
      </c>
      <c r="L1006" t="str">
        <f>PROPER(TRIM(CLEAN(Sales_Table[[#This Row],[Salesperson]])))</f>
        <v>Meena</v>
      </c>
      <c r="M1006" t="s">
        <v>40</v>
      </c>
      <c r="N1006" t="str">
        <f t="shared" si="108"/>
        <v>Cash</v>
      </c>
      <c r="O1006" t="s">
        <v>32</v>
      </c>
      <c r="P1006">
        <f t="shared" si="109"/>
        <v>6</v>
      </c>
      <c r="Q1006" t="s">
        <v>75</v>
      </c>
      <c r="R1006">
        <f t="shared" si="110"/>
        <v>3436</v>
      </c>
      <c r="S1006" t="s">
        <v>2549</v>
      </c>
      <c r="T1006">
        <f t="shared" si="111"/>
        <v>20616</v>
      </c>
      <c r="U1006">
        <f>YEAR(Sales_Table[[#This Row],[Date_clean]])</f>
        <v>2024</v>
      </c>
      <c r="V1006" t="str">
        <f>TEXT(Sales_Table[[#This Row],[Date_clean]],"mmmm")</f>
        <v>February</v>
      </c>
      <c r="W1006">
        <f>WEEKNUM(Sales_Table[[#This Row],[Date_clean]],2)</f>
        <v>6</v>
      </c>
      <c r="X1006" t="str" cm="1">
        <f t="array" ref="X1006">_xlfn.IFS(Sales_Table[[#This Row],[Revenue]]&gt;=50000,"High",Sales_Table[[#This Row],[Revenue]]&gt;=20000,"Medium",Sales_Table[[#This Row],[Revenue]]&lt;20000,"Low")</f>
        <v>Medium</v>
      </c>
      <c r="Y1006" t="str">
        <f>IF(Sales_Table[[#This Row],[Payment Method_clean]]="cash","Offline","Online")</f>
        <v>Offline</v>
      </c>
      <c r="Z1006">
        <f>IFERROR(Sales_Table[[#This Row],[Revenue]],0)</f>
        <v>20616</v>
      </c>
    </row>
    <row r="1007" spans="1:26" x14ac:dyDescent="0.3">
      <c r="A1007">
        <v>1006</v>
      </c>
      <c r="B1007" s="2">
        <f t="shared" si="105"/>
        <v>45333.875</v>
      </c>
      <c r="C1007" t="s">
        <v>2550</v>
      </c>
      <c r="D1007" t="s">
        <v>45</v>
      </c>
      <c r="E1007" t="str">
        <f>PROPER(TRIM(CLEAN(Sales_Table[[#This Row],[Region]])))</f>
        <v>North</v>
      </c>
      <c r="F1007" t="s">
        <v>78</v>
      </c>
      <c r="G1007" t="str">
        <f t="shared" si="106"/>
        <v>Grocery</v>
      </c>
      <c r="H1007" t="str">
        <f>PROPER(TRIM(CLEAN(Sales_Table[[#This Row],[Product Name]])))</f>
        <v>Washing Machine</v>
      </c>
      <c r="I1007" t="s">
        <v>79</v>
      </c>
      <c r="J1007" t="str">
        <f t="shared" si="107"/>
        <v>CUST0283</v>
      </c>
      <c r="K1007" t="s">
        <v>1776</v>
      </c>
      <c r="L1007" t="str">
        <f>PROPER(TRIM(CLEAN(Sales_Table[[#This Row],[Salesperson]])))</f>
        <v>Rahul</v>
      </c>
      <c r="M1007" t="s">
        <v>31</v>
      </c>
      <c r="N1007" t="str">
        <f t="shared" si="108"/>
        <v>Net Banking</v>
      </c>
      <c r="O1007" t="s">
        <v>60</v>
      </c>
      <c r="P1007">
        <f t="shared" si="109"/>
        <v>5</v>
      </c>
      <c r="Q1007" t="s">
        <v>89</v>
      </c>
      <c r="R1007">
        <f t="shared" si="110"/>
        <v>1665</v>
      </c>
      <c r="S1007" t="s">
        <v>2551</v>
      </c>
      <c r="T1007">
        <f t="shared" si="111"/>
        <v>8325</v>
      </c>
      <c r="U1007">
        <f>YEAR(Sales_Table[[#This Row],[Date_clean]])</f>
        <v>2024</v>
      </c>
      <c r="V1007" t="str">
        <f>TEXT(Sales_Table[[#This Row],[Date_clean]],"mmmm")</f>
        <v>February</v>
      </c>
      <c r="W1007">
        <f>WEEKNUM(Sales_Table[[#This Row],[Date_clean]],2)</f>
        <v>6</v>
      </c>
      <c r="X1007" t="str" cm="1">
        <f t="array" ref="X1007">_xlfn.IFS(Sales_Table[[#This Row],[Revenue]]&gt;=50000,"High",Sales_Table[[#This Row],[Revenue]]&gt;=20000,"Medium",Sales_Table[[#This Row],[Revenue]]&lt;20000,"Low")</f>
        <v>Low</v>
      </c>
      <c r="Y1007" t="str">
        <f>IF(Sales_Table[[#This Row],[Payment Method_clean]]="cash","Offline","Online")</f>
        <v>Online</v>
      </c>
      <c r="Z1007">
        <f>IFERROR(Sales_Table[[#This Row],[Revenue]],0)</f>
        <v>8325</v>
      </c>
    </row>
    <row r="1008" spans="1:26" x14ac:dyDescent="0.3">
      <c r="A1008">
        <v>1007</v>
      </c>
      <c r="B1008" s="2">
        <f t="shared" si="105"/>
        <v>45333.916666666664</v>
      </c>
      <c r="C1008" t="s">
        <v>2552</v>
      </c>
      <c r="D1008" t="s">
        <v>36</v>
      </c>
      <c r="E1008" t="str">
        <f>PROPER(TRIM(CLEAN(Sales_Table[[#This Row],[Region]])))</f>
        <v>West</v>
      </c>
      <c r="F1008" t="s">
        <v>46</v>
      </c>
      <c r="G1008" t="str">
        <f t="shared" si="106"/>
        <v>Electronics</v>
      </c>
      <c r="H1008" t="str">
        <f>PROPER(TRIM(CLEAN(Sales_Table[[#This Row],[Product Name]])))</f>
        <v>Led Tv 42Inch</v>
      </c>
      <c r="I1008" t="s">
        <v>58</v>
      </c>
      <c r="J1008" t="str">
        <f t="shared" si="107"/>
        <v>CUST0591</v>
      </c>
      <c r="K1008" t="s">
        <v>402</v>
      </c>
      <c r="L1008" t="str">
        <f>PROPER(TRIM(CLEAN(Sales_Table[[#This Row],[Salesperson]])))</f>
        <v>Rahul</v>
      </c>
      <c r="M1008" t="s">
        <v>31</v>
      </c>
      <c r="N1008" t="str">
        <f t="shared" si="108"/>
        <v>Debit Card</v>
      </c>
      <c r="O1008" t="s">
        <v>41</v>
      </c>
      <c r="P1008">
        <f t="shared" si="109"/>
        <v>5</v>
      </c>
      <c r="Q1008" t="s">
        <v>89</v>
      </c>
      <c r="R1008">
        <f t="shared" si="110"/>
        <v>3767</v>
      </c>
      <c r="S1008" t="s">
        <v>1805</v>
      </c>
      <c r="T1008">
        <f t="shared" si="111"/>
        <v>18835</v>
      </c>
      <c r="U1008">
        <f>YEAR(Sales_Table[[#This Row],[Date_clean]])</f>
        <v>2024</v>
      </c>
      <c r="V1008" t="str">
        <f>TEXT(Sales_Table[[#This Row],[Date_clean]],"mmmm")</f>
        <v>February</v>
      </c>
      <c r="W1008">
        <f>WEEKNUM(Sales_Table[[#This Row],[Date_clean]],2)</f>
        <v>6</v>
      </c>
      <c r="X1008" t="str" cm="1">
        <f t="array" ref="X1008">_xlfn.IFS(Sales_Table[[#This Row],[Revenue]]&gt;=50000,"High",Sales_Table[[#This Row],[Revenue]]&gt;=20000,"Medium",Sales_Table[[#This Row],[Revenue]]&lt;20000,"Low")</f>
        <v>Low</v>
      </c>
      <c r="Y1008" t="str">
        <f>IF(Sales_Table[[#This Row],[Payment Method_clean]]="cash","Offline","Online")</f>
        <v>Online</v>
      </c>
      <c r="Z1008">
        <f>IFERROR(Sales_Table[[#This Row],[Revenue]],0)</f>
        <v>18835</v>
      </c>
    </row>
    <row r="1009" spans="1:26" x14ac:dyDescent="0.3">
      <c r="A1009">
        <v>1008</v>
      </c>
      <c r="B1009" s="2">
        <f t="shared" si="105"/>
        <v>45333.958333333336</v>
      </c>
      <c r="C1009" t="s">
        <v>2553</v>
      </c>
      <c r="D1009" t="s">
        <v>45</v>
      </c>
      <c r="E1009" t="str">
        <f>PROPER(TRIM(CLEAN(Sales_Table[[#This Row],[Region]])))</f>
        <v>North</v>
      </c>
      <c r="F1009" t="s">
        <v>78</v>
      </c>
      <c r="G1009" t="str">
        <f t="shared" si="106"/>
        <v>Grocery</v>
      </c>
      <c r="H1009" t="str">
        <f>PROPER(TRIM(CLEAN(Sales_Table[[#This Row],[Product Name]])))</f>
        <v>Rice 5Kg</v>
      </c>
      <c r="I1009" t="s">
        <v>73</v>
      </c>
      <c r="J1009" t="str">
        <f t="shared" si="107"/>
        <v>CUST0072</v>
      </c>
      <c r="K1009" t="s">
        <v>1234</v>
      </c>
      <c r="L1009" t="str">
        <f>PROPER(TRIM(CLEAN(Sales_Table[[#This Row],[Salesperson]])))</f>
        <v>Meena</v>
      </c>
      <c r="M1009" t="s">
        <v>40</v>
      </c>
      <c r="N1009" t="str">
        <f t="shared" si="108"/>
        <v>Net Banking</v>
      </c>
      <c r="O1009" t="s">
        <v>60</v>
      </c>
      <c r="P1009">
        <f t="shared" si="109"/>
        <v>4</v>
      </c>
      <c r="Q1009" t="s">
        <v>113</v>
      </c>
      <c r="R1009">
        <f t="shared" si="110"/>
        <v>2313</v>
      </c>
      <c r="S1009" t="s">
        <v>2554</v>
      </c>
      <c r="T1009">
        <f t="shared" si="111"/>
        <v>9252</v>
      </c>
      <c r="U1009">
        <f>YEAR(Sales_Table[[#This Row],[Date_clean]])</f>
        <v>2024</v>
      </c>
      <c r="V1009" t="str">
        <f>TEXT(Sales_Table[[#This Row],[Date_clean]],"mmmm")</f>
        <v>February</v>
      </c>
      <c r="W1009">
        <f>WEEKNUM(Sales_Table[[#This Row],[Date_clean]],2)</f>
        <v>6</v>
      </c>
      <c r="X1009" t="str" cm="1">
        <f t="array" ref="X1009">_xlfn.IFS(Sales_Table[[#This Row],[Revenue]]&gt;=50000,"High",Sales_Table[[#This Row],[Revenue]]&gt;=20000,"Medium",Sales_Table[[#This Row],[Revenue]]&lt;20000,"Low")</f>
        <v>Low</v>
      </c>
      <c r="Y1009" t="str">
        <f>IF(Sales_Table[[#This Row],[Payment Method_clean]]="cash","Offline","Online")</f>
        <v>Online</v>
      </c>
      <c r="Z1009">
        <f>IFERROR(Sales_Table[[#This Row],[Revenue]],0)</f>
        <v>9252</v>
      </c>
    </row>
    <row r="1010" spans="1:26" x14ac:dyDescent="0.3">
      <c r="A1010">
        <v>1009</v>
      </c>
      <c r="B1010" s="2">
        <f t="shared" si="105"/>
        <v>45334</v>
      </c>
      <c r="C1010" t="s">
        <v>2555</v>
      </c>
      <c r="D1010" t="s">
        <v>36</v>
      </c>
      <c r="E1010" t="str">
        <f>PROPER(TRIM(CLEAN(Sales_Table[[#This Row],[Region]])))</f>
        <v>West</v>
      </c>
      <c r="F1010" t="s">
        <v>37</v>
      </c>
      <c r="G1010" t="str">
        <f t="shared" si="106"/>
        <v>Home Appliances</v>
      </c>
      <c r="H1010" t="str">
        <f>PROPER(TRIM(CLEAN(Sales_Table[[#This Row],[Product Name]])))</f>
        <v>Mixer Grinder</v>
      </c>
      <c r="I1010" t="s">
        <v>29</v>
      </c>
      <c r="J1010" t="str">
        <f t="shared" si="107"/>
        <v>CUST0263</v>
      </c>
      <c r="K1010" t="s">
        <v>2556</v>
      </c>
      <c r="L1010" t="str">
        <f>PROPER(TRIM(CLEAN(Sales_Table[[#This Row],[Salesperson]])))</f>
        <v>Meena</v>
      </c>
      <c r="M1010" t="s">
        <v>40</v>
      </c>
      <c r="N1010" t="str">
        <f t="shared" si="108"/>
        <v>Upi</v>
      </c>
      <c r="O1010" t="s">
        <v>48</v>
      </c>
      <c r="P1010">
        <f t="shared" si="109"/>
        <v>2</v>
      </c>
      <c r="Q1010" t="s">
        <v>196</v>
      </c>
      <c r="R1010">
        <f t="shared" si="110"/>
        <v>4196</v>
      </c>
      <c r="S1010" t="s">
        <v>2557</v>
      </c>
      <c r="T1010">
        <f t="shared" si="111"/>
        <v>8392</v>
      </c>
      <c r="U1010">
        <f>YEAR(Sales_Table[[#This Row],[Date_clean]])</f>
        <v>2024</v>
      </c>
      <c r="V1010" t="str">
        <f>TEXT(Sales_Table[[#This Row],[Date_clean]],"mmmm")</f>
        <v>February</v>
      </c>
      <c r="W1010">
        <f>WEEKNUM(Sales_Table[[#This Row],[Date_clean]],2)</f>
        <v>7</v>
      </c>
      <c r="X1010" t="str" cm="1">
        <f t="array" ref="X1010">_xlfn.IFS(Sales_Table[[#This Row],[Revenue]]&gt;=50000,"High",Sales_Table[[#This Row],[Revenue]]&gt;=20000,"Medium",Sales_Table[[#This Row],[Revenue]]&lt;20000,"Low")</f>
        <v>Low</v>
      </c>
      <c r="Y1010" t="str">
        <f>IF(Sales_Table[[#This Row],[Payment Method_clean]]="cash","Offline","Online")</f>
        <v>Online</v>
      </c>
      <c r="Z1010">
        <f>IFERROR(Sales_Table[[#This Row],[Revenue]],0)</f>
        <v>8392</v>
      </c>
    </row>
    <row r="1011" spans="1:26" x14ac:dyDescent="0.3">
      <c r="A1011">
        <v>1010</v>
      </c>
      <c r="B1011" s="2">
        <f t="shared" si="105"/>
        <v>45334.041666666664</v>
      </c>
      <c r="C1011" t="s">
        <v>2558</v>
      </c>
      <c r="D1011" t="s">
        <v>36</v>
      </c>
      <c r="E1011" t="str">
        <f>PROPER(TRIM(CLEAN(Sales_Table[[#This Row],[Region]])))</f>
        <v>West</v>
      </c>
      <c r="F1011" t="s">
        <v>78</v>
      </c>
      <c r="G1011" t="str">
        <f t="shared" si="106"/>
        <v>Grocery</v>
      </c>
      <c r="H1011" t="str">
        <f>PROPER(TRIM(CLEAN(Sales_Table[[#This Row],[Product Name]])))</f>
        <v>Led Tv 42Inch</v>
      </c>
      <c r="I1011" t="s">
        <v>58</v>
      </c>
      <c r="J1011" t="str">
        <f t="shared" si="107"/>
        <v>CUST0703</v>
      </c>
      <c r="K1011" t="s">
        <v>2559</v>
      </c>
      <c r="L1011" t="str">
        <f>PROPER(TRIM(CLEAN(Sales_Table[[#This Row],[Salesperson]])))</f>
        <v>Rahul</v>
      </c>
      <c r="M1011" t="s">
        <v>31</v>
      </c>
      <c r="N1011" t="str">
        <f t="shared" si="108"/>
        <v>Upi</v>
      </c>
      <c r="O1011" t="s">
        <v>48</v>
      </c>
      <c r="P1011">
        <f t="shared" si="109"/>
        <v>12</v>
      </c>
      <c r="Q1011" t="s">
        <v>33</v>
      </c>
      <c r="R1011">
        <f t="shared" si="110"/>
        <v>1119</v>
      </c>
      <c r="S1011" t="s">
        <v>2560</v>
      </c>
      <c r="T1011">
        <f t="shared" si="111"/>
        <v>13428</v>
      </c>
      <c r="U1011">
        <f>YEAR(Sales_Table[[#This Row],[Date_clean]])</f>
        <v>2024</v>
      </c>
      <c r="V1011" t="str">
        <f>TEXT(Sales_Table[[#This Row],[Date_clean]],"mmmm")</f>
        <v>February</v>
      </c>
      <c r="W1011">
        <f>WEEKNUM(Sales_Table[[#This Row],[Date_clean]],2)</f>
        <v>7</v>
      </c>
      <c r="X1011" t="str" cm="1">
        <f t="array" ref="X1011">_xlfn.IFS(Sales_Table[[#This Row],[Revenue]]&gt;=50000,"High",Sales_Table[[#This Row],[Revenue]]&gt;=20000,"Medium",Sales_Table[[#This Row],[Revenue]]&lt;20000,"Low")</f>
        <v>Low</v>
      </c>
      <c r="Y1011" t="str">
        <f>IF(Sales_Table[[#This Row],[Payment Method_clean]]="cash","Offline","Online")</f>
        <v>Online</v>
      </c>
      <c r="Z1011">
        <f>IFERROR(Sales_Table[[#This Row],[Revenue]],0)</f>
        <v>13428</v>
      </c>
    </row>
    <row r="1012" spans="1:26" x14ac:dyDescent="0.3">
      <c r="A1012">
        <v>1011</v>
      </c>
      <c r="B1012" s="2">
        <f t="shared" si="105"/>
        <v>45334.083333333336</v>
      </c>
      <c r="C1012" t="s">
        <v>2561</v>
      </c>
      <c r="D1012" t="s">
        <v>45</v>
      </c>
      <c r="E1012" t="str">
        <f>PROPER(TRIM(CLEAN(Sales_Table[[#This Row],[Region]])))</f>
        <v>North</v>
      </c>
      <c r="F1012" t="s">
        <v>46</v>
      </c>
      <c r="G1012" t="str">
        <f t="shared" si="106"/>
        <v>Electronics</v>
      </c>
      <c r="H1012" t="str">
        <f>PROPER(TRIM(CLEAN(Sales_Table[[#This Row],[Product Name]])))</f>
        <v>Men T-Shirt</v>
      </c>
      <c r="I1012" t="s">
        <v>38</v>
      </c>
      <c r="J1012" t="str">
        <f t="shared" si="107"/>
        <v>CUST0575</v>
      </c>
      <c r="K1012" t="s">
        <v>384</v>
      </c>
      <c r="L1012" t="str">
        <f>PROPER(TRIM(CLEAN(Sales_Table[[#This Row],[Salesperson]])))</f>
        <v>Rahul</v>
      </c>
      <c r="M1012" t="s">
        <v>31</v>
      </c>
      <c r="N1012" t="str">
        <f t="shared" si="108"/>
        <v>Net Banking</v>
      </c>
      <c r="O1012" t="s">
        <v>60</v>
      </c>
      <c r="P1012">
        <f t="shared" si="109"/>
        <v>6</v>
      </c>
      <c r="Q1012" t="s">
        <v>75</v>
      </c>
      <c r="R1012">
        <f t="shared" si="110"/>
        <v>1384</v>
      </c>
      <c r="S1012" t="s">
        <v>2562</v>
      </c>
      <c r="T1012">
        <f t="shared" si="111"/>
        <v>8304</v>
      </c>
      <c r="U1012">
        <f>YEAR(Sales_Table[[#This Row],[Date_clean]])</f>
        <v>2024</v>
      </c>
      <c r="V1012" t="str">
        <f>TEXT(Sales_Table[[#This Row],[Date_clean]],"mmmm")</f>
        <v>February</v>
      </c>
      <c r="W1012">
        <f>WEEKNUM(Sales_Table[[#This Row],[Date_clean]],2)</f>
        <v>7</v>
      </c>
      <c r="X1012" t="str" cm="1">
        <f t="array" ref="X1012">_xlfn.IFS(Sales_Table[[#This Row],[Revenue]]&gt;=50000,"High",Sales_Table[[#This Row],[Revenue]]&gt;=20000,"Medium",Sales_Table[[#This Row],[Revenue]]&lt;20000,"Low")</f>
        <v>Low</v>
      </c>
      <c r="Y1012" t="str">
        <f>IF(Sales_Table[[#This Row],[Payment Method_clean]]="cash","Offline","Online")</f>
        <v>Online</v>
      </c>
      <c r="Z1012">
        <f>IFERROR(Sales_Table[[#This Row],[Revenue]],0)</f>
        <v>8304</v>
      </c>
    </row>
    <row r="1013" spans="1:26" x14ac:dyDescent="0.3">
      <c r="A1013">
        <v>1012</v>
      </c>
      <c r="B1013" s="2">
        <f t="shared" si="105"/>
        <v>45334.125</v>
      </c>
      <c r="C1013" t="s">
        <v>2563</v>
      </c>
      <c r="D1013" t="s">
        <v>45</v>
      </c>
      <c r="E1013" t="str">
        <f>PROPER(TRIM(CLEAN(Sales_Table[[#This Row],[Region]])))</f>
        <v>North</v>
      </c>
      <c r="F1013" t="s">
        <v>37</v>
      </c>
      <c r="G1013" t="str">
        <f t="shared" si="106"/>
        <v>Home Appliances</v>
      </c>
      <c r="H1013" t="str">
        <f>PROPER(TRIM(CLEAN(Sales_Table[[#This Row],[Product Name]])))</f>
        <v>Mixer Grinder</v>
      </c>
      <c r="I1013" t="s">
        <v>29</v>
      </c>
      <c r="J1013" t="str">
        <f t="shared" si="107"/>
        <v>CUST0012</v>
      </c>
      <c r="K1013" t="s">
        <v>2564</v>
      </c>
      <c r="L1013" t="str">
        <f>PROPER(TRIM(CLEAN(Sales_Table[[#This Row],[Salesperson]])))</f>
        <v>Rahul</v>
      </c>
      <c r="M1013" t="s">
        <v>31</v>
      </c>
      <c r="N1013" t="str">
        <f t="shared" si="108"/>
        <v>Debit Card</v>
      </c>
      <c r="O1013" t="s">
        <v>41</v>
      </c>
      <c r="P1013">
        <f t="shared" si="109"/>
        <v>9</v>
      </c>
      <c r="Q1013" t="s">
        <v>130</v>
      </c>
      <c r="R1013">
        <f t="shared" si="110"/>
        <v>162</v>
      </c>
      <c r="S1013" t="s">
        <v>2565</v>
      </c>
      <c r="T1013">
        <f t="shared" si="111"/>
        <v>1458</v>
      </c>
      <c r="U1013">
        <f>YEAR(Sales_Table[[#This Row],[Date_clean]])</f>
        <v>2024</v>
      </c>
      <c r="V1013" t="str">
        <f>TEXT(Sales_Table[[#This Row],[Date_clean]],"mmmm")</f>
        <v>February</v>
      </c>
      <c r="W1013">
        <f>WEEKNUM(Sales_Table[[#This Row],[Date_clean]],2)</f>
        <v>7</v>
      </c>
      <c r="X1013" t="str" cm="1">
        <f t="array" ref="X1013">_xlfn.IFS(Sales_Table[[#This Row],[Revenue]]&gt;=50000,"High",Sales_Table[[#This Row],[Revenue]]&gt;=20000,"Medium",Sales_Table[[#This Row],[Revenue]]&lt;20000,"Low")</f>
        <v>Low</v>
      </c>
      <c r="Y1013" t="str">
        <f>IF(Sales_Table[[#This Row],[Payment Method_clean]]="cash","Offline","Online")</f>
        <v>Online</v>
      </c>
      <c r="Z1013">
        <f>IFERROR(Sales_Table[[#This Row],[Revenue]],0)</f>
        <v>1458</v>
      </c>
    </row>
    <row r="1014" spans="1:26" x14ac:dyDescent="0.3">
      <c r="A1014">
        <v>1013</v>
      </c>
      <c r="B1014" s="2">
        <f t="shared" si="105"/>
        <v>45334.166666666664</v>
      </c>
      <c r="C1014" t="s">
        <v>2566</v>
      </c>
      <c r="D1014" t="s">
        <v>84</v>
      </c>
      <c r="E1014" t="str">
        <f>PROPER(TRIM(CLEAN(Sales_Table[[#This Row],[Region]])))</f>
        <v>South</v>
      </c>
      <c r="F1014" t="s">
        <v>78</v>
      </c>
      <c r="G1014" t="str">
        <f t="shared" si="106"/>
        <v>Grocery</v>
      </c>
      <c r="H1014" t="str">
        <f>PROPER(TRIM(CLEAN(Sales_Table[[#This Row],[Product Name]])))</f>
        <v>Laptop</v>
      </c>
      <c r="I1014" t="s">
        <v>52</v>
      </c>
      <c r="J1014" t="str">
        <f t="shared" si="107"/>
        <v>CUST0141</v>
      </c>
      <c r="K1014" t="s">
        <v>2201</v>
      </c>
      <c r="L1014" t="str">
        <f>PROPER(TRIM(CLEAN(Sales_Table[[#This Row],[Salesperson]])))</f>
        <v>Meena</v>
      </c>
      <c r="M1014" t="s">
        <v>40</v>
      </c>
      <c r="N1014" t="str">
        <f t="shared" si="108"/>
        <v>Cash</v>
      </c>
      <c r="O1014" t="s">
        <v>32</v>
      </c>
      <c r="P1014">
        <f t="shared" si="109"/>
        <v>12</v>
      </c>
      <c r="Q1014" t="s">
        <v>33</v>
      </c>
      <c r="R1014">
        <f t="shared" si="110"/>
        <v>2630</v>
      </c>
      <c r="S1014" t="s">
        <v>2567</v>
      </c>
      <c r="T1014">
        <f t="shared" si="111"/>
        <v>31560</v>
      </c>
      <c r="U1014">
        <f>YEAR(Sales_Table[[#This Row],[Date_clean]])</f>
        <v>2024</v>
      </c>
      <c r="V1014" t="str">
        <f>TEXT(Sales_Table[[#This Row],[Date_clean]],"mmmm")</f>
        <v>February</v>
      </c>
      <c r="W1014">
        <f>WEEKNUM(Sales_Table[[#This Row],[Date_clean]],2)</f>
        <v>7</v>
      </c>
      <c r="X1014" t="str" cm="1">
        <f t="array" ref="X1014">_xlfn.IFS(Sales_Table[[#This Row],[Revenue]]&gt;=50000,"High",Sales_Table[[#This Row],[Revenue]]&gt;=20000,"Medium",Sales_Table[[#This Row],[Revenue]]&lt;20000,"Low")</f>
        <v>Medium</v>
      </c>
      <c r="Y1014" t="str">
        <f>IF(Sales_Table[[#This Row],[Payment Method_clean]]="cash","Offline","Online")</f>
        <v>Offline</v>
      </c>
      <c r="Z1014">
        <f>IFERROR(Sales_Table[[#This Row],[Revenue]],0)</f>
        <v>31560</v>
      </c>
    </row>
    <row r="1015" spans="1:26" x14ac:dyDescent="0.3">
      <c r="A1015">
        <v>1014</v>
      </c>
      <c r="B1015" s="2">
        <f t="shared" si="105"/>
        <v>45334.208333333336</v>
      </c>
      <c r="C1015" t="s">
        <v>2568</v>
      </c>
      <c r="D1015" t="s">
        <v>27</v>
      </c>
      <c r="E1015" t="str">
        <f>PROPER(TRIM(CLEAN(Sales_Table[[#This Row],[Region]])))</f>
        <v>East</v>
      </c>
      <c r="F1015" t="s">
        <v>28</v>
      </c>
      <c r="G1015" t="str">
        <f t="shared" si="106"/>
        <v>Clothing</v>
      </c>
      <c r="H1015" t="str">
        <f>PROPER(TRIM(CLEAN(Sales_Table[[#This Row],[Product Name]])))</f>
        <v>Mixer Grinder</v>
      </c>
      <c r="I1015" t="s">
        <v>29</v>
      </c>
      <c r="J1015" t="str">
        <f t="shared" si="107"/>
        <v>CUST0766</v>
      </c>
      <c r="K1015" t="s">
        <v>1335</v>
      </c>
      <c r="L1015" t="str">
        <f>PROPER(TRIM(CLEAN(Sales_Table[[#This Row],[Salesperson]])))</f>
        <v>Rahul</v>
      </c>
      <c r="M1015" t="s">
        <v>31</v>
      </c>
      <c r="N1015" t="str">
        <f t="shared" si="108"/>
        <v>Credit Card</v>
      </c>
      <c r="O1015" t="s">
        <v>65</v>
      </c>
      <c r="P1015">
        <f t="shared" si="109"/>
        <v>1</v>
      </c>
      <c r="Q1015" t="s">
        <v>93</v>
      </c>
      <c r="R1015">
        <f t="shared" si="110"/>
        <v>3492</v>
      </c>
      <c r="S1015" t="s">
        <v>2569</v>
      </c>
      <c r="T1015">
        <f t="shared" si="111"/>
        <v>3492</v>
      </c>
      <c r="U1015">
        <f>YEAR(Sales_Table[[#This Row],[Date_clean]])</f>
        <v>2024</v>
      </c>
      <c r="V1015" t="str">
        <f>TEXT(Sales_Table[[#This Row],[Date_clean]],"mmmm")</f>
        <v>February</v>
      </c>
      <c r="W1015">
        <f>WEEKNUM(Sales_Table[[#This Row],[Date_clean]],2)</f>
        <v>7</v>
      </c>
      <c r="X1015" t="str" cm="1">
        <f t="array" ref="X1015">_xlfn.IFS(Sales_Table[[#This Row],[Revenue]]&gt;=50000,"High",Sales_Table[[#This Row],[Revenue]]&gt;=20000,"Medium",Sales_Table[[#This Row],[Revenue]]&lt;20000,"Low")</f>
        <v>Low</v>
      </c>
      <c r="Y1015" t="str">
        <f>IF(Sales_Table[[#This Row],[Payment Method_clean]]="cash","Offline","Online")</f>
        <v>Online</v>
      </c>
      <c r="Z1015">
        <f>IFERROR(Sales_Table[[#This Row],[Revenue]],0)</f>
        <v>3492</v>
      </c>
    </row>
    <row r="1016" spans="1:26" x14ac:dyDescent="0.3">
      <c r="A1016">
        <v>1015</v>
      </c>
      <c r="B1016" s="2">
        <f t="shared" si="105"/>
        <v>45334.25</v>
      </c>
      <c r="C1016" t="s">
        <v>2570</v>
      </c>
      <c r="D1016" t="s">
        <v>45</v>
      </c>
      <c r="E1016" t="str">
        <f>PROPER(TRIM(CLEAN(Sales_Table[[#This Row],[Region]])))</f>
        <v>North</v>
      </c>
      <c r="F1016" t="s">
        <v>37</v>
      </c>
      <c r="G1016" t="str">
        <f t="shared" si="106"/>
        <v>Home Appliances</v>
      </c>
      <c r="H1016" t="str">
        <f>PROPER(TRIM(CLEAN(Sales_Table[[#This Row],[Product Name]])))</f>
        <v>Mixer Grinder</v>
      </c>
      <c r="I1016" t="s">
        <v>29</v>
      </c>
      <c r="J1016" t="str">
        <f t="shared" si="107"/>
        <v>CUST0555</v>
      </c>
      <c r="K1016" t="s">
        <v>2571</v>
      </c>
      <c r="L1016" t="str">
        <f>PROPER(TRIM(CLEAN(Sales_Table[[#This Row],[Salesperson]])))</f>
        <v>Anita</v>
      </c>
      <c r="M1016" t="s">
        <v>64</v>
      </c>
      <c r="N1016" t="str">
        <f t="shared" si="108"/>
        <v>Cash</v>
      </c>
      <c r="O1016" t="s">
        <v>32</v>
      </c>
      <c r="P1016">
        <f t="shared" si="109"/>
        <v>14</v>
      </c>
      <c r="Q1016" t="s">
        <v>55</v>
      </c>
      <c r="R1016">
        <f t="shared" si="110"/>
        <v>3372</v>
      </c>
      <c r="S1016" t="s">
        <v>2572</v>
      </c>
      <c r="T1016">
        <f t="shared" si="111"/>
        <v>47208</v>
      </c>
      <c r="U1016">
        <f>YEAR(Sales_Table[[#This Row],[Date_clean]])</f>
        <v>2024</v>
      </c>
      <c r="V1016" t="str">
        <f>TEXT(Sales_Table[[#This Row],[Date_clean]],"mmmm")</f>
        <v>February</v>
      </c>
      <c r="W1016">
        <f>WEEKNUM(Sales_Table[[#This Row],[Date_clean]],2)</f>
        <v>7</v>
      </c>
      <c r="X1016" t="str" cm="1">
        <f t="array" ref="X1016">_xlfn.IFS(Sales_Table[[#This Row],[Revenue]]&gt;=50000,"High",Sales_Table[[#This Row],[Revenue]]&gt;=20000,"Medium",Sales_Table[[#This Row],[Revenue]]&lt;20000,"Low")</f>
        <v>Medium</v>
      </c>
      <c r="Y1016" t="str">
        <f>IF(Sales_Table[[#This Row],[Payment Method_clean]]="cash","Offline","Online")</f>
        <v>Offline</v>
      </c>
      <c r="Z1016">
        <f>IFERROR(Sales_Table[[#This Row],[Revenue]],0)</f>
        <v>47208</v>
      </c>
    </row>
    <row r="1017" spans="1:26" x14ac:dyDescent="0.3">
      <c r="A1017">
        <v>1016</v>
      </c>
      <c r="B1017" s="2">
        <f t="shared" si="105"/>
        <v>45334.291666666664</v>
      </c>
      <c r="C1017" t="s">
        <v>2573</v>
      </c>
      <c r="D1017" t="s">
        <v>84</v>
      </c>
      <c r="E1017" t="str">
        <f>PROPER(TRIM(CLEAN(Sales_Table[[#This Row],[Region]])))</f>
        <v>South</v>
      </c>
      <c r="F1017" t="s">
        <v>37</v>
      </c>
      <c r="G1017" t="str">
        <f t="shared" si="106"/>
        <v>Home Appliances</v>
      </c>
      <c r="H1017" t="str">
        <f>PROPER(TRIM(CLEAN(Sales_Table[[#This Row],[Product Name]])))</f>
        <v>Washing Machine</v>
      </c>
      <c r="I1017" t="s">
        <v>79</v>
      </c>
      <c r="J1017" t="str">
        <f t="shared" si="107"/>
        <v>CUST0017</v>
      </c>
      <c r="K1017" t="s">
        <v>2574</v>
      </c>
      <c r="L1017" t="str">
        <f>PROPER(TRIM(CLEAN(Sales_Table[[#This Row],[Salesperson]])))</f>
        <v>Meena</v>
      </c>
      <c r="M1017" t="s">
        <v>40</v>
      </c>
      <c r="N1017" t="str">
        <f t="shared" si="108"/>
        <v>Credit Card</v>
      </c>
      <c r="O1017" t="s">
        <v>65</v>
      </c>
      <c r="P1017">
        <f t="shared" si="109"/>
        <v>7</v>
      </c>
      <c r="Q1017" t="s">
        <v>49</v>
      </c>
      <c r="R1017">
        <f t="shared" si="110"/>
        <v>2369</v>
      </c>
      <c r="S1017" t="s">
        <v>2575</v>
      </c>
      <c r="T1017">
        <f t="shared" si="111"/>
        <v>16583</v>
      </c>
      <c r="U1017">
        <f>YEAR(Sales_Table[[#This Row],[Date_clean]])</f>
        <v>2024</v>
      </c>
      <c r="V1017" t="str">
        <f>TEXT(Sales_Table[[#This Row],[Date_clean]],"mmmm")</f>
        <v>February</v>
      </c>
      <c r="W1017">
        <f>WEEKNUM(Sales_Table[[#This Row],[Date_clean]],2)</f>
        <v>7</v>
      </c>
      <c r="X1017" t="str" cm="1">
        <f t="array" ref="X1017">_xlfn.IFS(Sales_Table[[#This Row],[Revenue]]&gt;=50000,"High",Sales_Table[[#This Row],[Revenue]]&gt;=20000,"Medium",Sales_Table[[#This Row],[Revenue]]&lt;20000,"Low")</f>
        <v>Low</v>
      </c>
      <c r="Y1017" t="str">
        <f>IF(Sales_Table[[#This Row],[Payment Method_clean]]="cash","Offline","Online")</f>
        <v>Online</v>
      </c>
      <c r="Z1017">
        <f>IFERROR(Sales_Table[[#This Row],[Revenue]],0)</f>
        <v>16583</v>
      </c>
    </row>
    <row r="1018" spans="1:26" x14ac:dyDescent="0.3">
      <c r="A1018">
        <v>1017</v>
      </c>
      <c r="B1018" s="2">
        <f t="shared" si="105"/>
        <v>45334.333333333336</v>
      </c>
      <c r="C1018" t="s">
        <v>2576</v>
      </c>
      <c r="D1018" t="s">
        <v>84</v>
      </c>
      <c r="E1018" t="str">
        <f>PROPER(TRIM(CLEAN(Sales_Table[[#This Row],[Region]])))</f>
        <v>South</v>
      </c>
      <c r="F1018" t="s">
        <v>28</v>
      </c>
      <c r="G1018" t="str">
        <f t="shared" si="106"/>
        <v>Clothing</v>
      </c>
      <c r="H1018" t="str">
        <f>PROPER(TRIM(CLEAN(Sales_Table[[#This Row],[Product Name]])))</f>
        <v>Mixer Grinder</v>
      </c>
      <c r="I1018" t="s">
        <v>29</v>
      </c>
      <c r="J1018" t="str">
        <f t="shared" si="107"/>
        <v>CUST0063</v>
      </c>
      <c r="K1018" t="s">
        <v>1618</v>
      </c>
      <c r="L1018" t="str">
        <f>PROPER(TRIM(CLEAN(Sales_Table[[#This Row],[Salesperson]])))</f>
        <v>Anita</v>
      </c>
      <c r="M1018" t="s">
        <v>64</v>
      </c>
      <c r="N1018" t="str">
        <f t="shared" si="108"/>
        <v>Credit Card</v>
      </c>
      <c r="O1018" t="s">
        <v>65</v>
      </c>
      <c r="P1018">
        <f t="shared" si="109"/>
        <v>6</v>
      </c>
      <c r="Q1018" t="s">
        <v>75</v>
      </c>
      <c r="R1018">
        <f t="shared" si="110"/>
        <v>4347</v>
      </c>
      <c r="S1018" t="s">
        <v>2577</v>
      </c>
      <c r="T1018">
        <f t="shared" si="111"/>
        <v>26082</v>
      </c>
      <c r="U1018">
        <f>YEAR(Sales_Table[[#This Row],[Date_clean]])</f>
        <v>2024</v>
      </c>
      <c r="V1018" t="str">
        <f>TEXT(Sales_Table[[#This Row],[Date_clean]],"mmmm")</f>
        <v>February</v>
      </c>
      <c r="W1018">
        <f>WEEKNUM(Sales_Table[[#This Row],[Date_clean]],2)</f>
        <v>7</v>
      </c>
      <c r="X1018" t="str" cm="1">
        <f t="array" ref="X1018">_xlfn.IFS(Sales_Table[[#This Row],[Revenue]]&gt;=50000,"High",Sales_Table[[#This Row],[Revenue]]&gt;=20000,"Medium",Sales_Table[[#This Row],[Revenue]]&lt;20000,"Low")</f>
        <v>Medium</v>
      </c>
      <c r="Y1018" t="str">
        <f>IF(Sales_Table[[#This Row],[Payment Method_clean]]="cash","Offline","Online")</f>
        <v>Online</v>
      </c>
      <c r="Z1018">
        <f>IFERROR(Sales_Table[[#This Row],[Revenue]],0)</f>
        <v>26082</v>
      </c>
    </row>
    <row r="1019" spans="1:26" x14ac:dyDescent="0.3">
      <c r="A1019">
        <v>1018</v>
      </c>
      <c r="B1019" s="2">
        <f t="shared" si="105"/>
        <v>45334.375</v>
      </c>
      <c r="C1019" t="s">
        <v>2578</v>
      </c>
      <c r="D1019" t="s">
        <v>27</v>
      </c>
      <c r="E1019" t="str">
        <f>PROPER(TRIM(CLEAN(Sales_Table[[#This Row],[Region]])))</f>
        <v>East</v>
      </c>
      <c r="F1019" t="s">
        <v>28</v>
      </c>
      <c r="G1019" t="str">
        <f t="shared" si="106"/>
        <v>Clothing</v>
      </c>
      <c r="H1019" t="str">
        <f>PROPER(TRIM(CLEAN(Sales_Table[[#This Row],[Product Name]])))</f>
        <v>Laptop</v>
      </c>
      <c r="I1019" t="s">
        <v>52</v>
      </c>
      <c r="J1019" t="str">
        <f t="shared" si="107"/>
        <v>CUST0253</v>
      </c>
      <c r="K1019" t="s">
        <v>508</v>
      </c>
      <c r="L1019" t="str">
        <f>PROPER(TRIM(CLEAN(Sales_Table[[#This Row],[Salesperson]])))</f>
        <v>Suresh</v>
      </c>
      <c r="M1019" t="s">
        <v>54</v>
      </c>
      <c r="N1019" t="str">
        <f t="shared" si="108"/>
        <v>Debit Card</v>
      </c>
      <c r="O1019" t="s">
        <v>41</v>
      </c>
      <c r="P1019">
        <f t="shared" si="109"/>
        <v>3</v>
      </c>
      <c r="Q1019" t="s">
        <v>66</v>
      </c>
      <c r="R1019">
        <f t="shared" si="110"/>
        <v>743</v>
      </c>
      <c r="S1019" t="s">
        <v>2579</v>
      </c>
      <c r="T1019">
        <f t="shared" si="111"/>
        <v>2229</v>
      </c>
      <c r="U1019">
        <f>YEAR(Sales_Table[[#This Row],[Date_clean]])</f>
        <v>2024</v>
      </c>
      <c r="V1019" t="str">
        <f>TEXT(Sales_Table[[#This Row],[Date_clean]],"mmmm")</f>
        <v>February</v>
      </c>
      <c r="W1019">
        <f>WEEKNUM(Sales_Table[[#This Row],[Date_clean]],2)</f>
        <v>7</v>
      </c>
      <c r="X1019" t="str" cm="1">
        <f t="array" ref="X1019">_xlfn.IFS(Sales_Table[[#This Row],[Revenue]]&gt;=50000,"High",Sales_Table[[#This Row],[Revenue]]&gt;=20000,"Medium",Sales_Table[[#This Row],[Revenue]]&lt;20000,"Low")</f>
        <v>Low</v>
      </c>
      <c r="Y1019" t="str">
        <f>IF(Sales_Table[[#This Row],[Payment Method_clean]]="cash","Offline","Online")</f>
        <v>Online</v>
      </c>
      <c r="Z1019">
        <f>IFERROR(Sales_Table[[#This Row],[Revenue]],0)</f>
        <v>2229</v>
      </c>
    </row>
    <row r="1020" spans="1:26" x14ac:dyDescent="0.3">
      <c r="A1020">
        <v>1019</v>
      </c>
      <c r="B1020" s="2">
        <f t="shared" si="105"/>
        <v>45334.416666666664</v>
      </c>
      <c r="C1020" t="s">
        <v>2580</v>
      </c>
      <c r="D1020" t="s">
        <v>36</v>
      </c>
      <c r="E1020" t="str">
        <f>PROPER(TRIM(CLEAN(Sales_Table[[#This Row],[Region]])))</f>
        <v>West</v>
      </c>
      <c r="F1020" t="s">
        <v>37</v>
      </c>
      <c r="G1020" t="str">
        <f t="shared" si="106"/>
        <v>Home Appliances</v>
      </c>
      <c r="H1020" t="str">
        <f>PROPER(TRIM(CLEAN(Sales_Table[[#This Row],[Product Name]])))</f>
        <v>Laptop</v>
      </c>
      <c r="I1020" t="s">
        <v>52</v>
      </c>
      <c r="J1020" t="str">
        <f t="shared" si="107"/>
        <v>CUST0465</v>
      </c>
      <c r="K1020" t="s">
        <v>871</v>
      </c>
      <c r="L1020" t="str">
        <f>PROPER(TRIM(CLEAN(Sales_Table[[#This Row],[Salesperson]])))</f>
        <v>Meena</v>
      </c>
      <c r="M1020" t="s">
        <v>40</v>
      </c>
      <c r="N1020" t="str">
        <f t="shared" si="108"/>
        <v>Net Banking</v>
      </c>
      <c r="O1020" t="s">
        <v>60</v>
      </c>
      <c r="P1020">
        <f t="shared" si="109"/>
        <v>1</v>
      </c>
      <c r="Q1020" t="s">
        <v>93</v>
      </c>
      <c r="R1020">
        <f t="shared" si="110"/>
        <v>4821</v>
      </c>
      <c r="S1020" t="s">
        <v>2581</v>
      </c>
      <c r="T1020">
        <f t="shared" si="111"/>
        <v>4821</v>
      </c>
      <c r="U1020">
        <f>YEAR(Sales_Table[[#This Row],[Date_clean]])</f>
        <v>2024</v>
      </c>
      <c r="V1020" t="str">
        <f>TEXT(Sales_Table[[#This Row],[Date_clean]],"mmmm")</f>
        <v>February</v>
      </c>
      <c r="W1020">
        <f>WEEKNUM(Sales_Table[[#This Row],[Date_clean]],2)</f>
        <v>7</v>
      </c>
      <c r="X1020" t="str" cm="1">
        <f t="array" ref="X1020">_xlfn.IFS(Sales_Table[[#This Row],[Revenue]]&gt;=50000,"High",Sales_Table[[#This Row],[Revenue]]&gt;=20000,"Medium",Sales_Table[[#This Row],[Revenue]]&lt;20000,"Low")</f>
        <v>Low</v>
      </c>
      <c r="Y1020" t="str">
        <f>IF(Sales_Table[[#This Row],[Payment Method_clean]]="cash","Offline","Online")</f>
        <v>Online</v>
      </c>
      <c r="Z1020">
        <f>IFERROR(Sales_Table[[#This Row],[Revenue]],0)</f>
        <v>4821</v>
      </c>
    </row>
    <row r="1021" spans="1:26" x14ac:dyDescent="0.3">
      <c r="A1021">
        <v>1020</v>
      </c>
      <c r="B1021" s="2">
        <f t="shared" si="105"/>
        <v>45334.458333333336</v>
      </c>
      <c r="C1021" t="s">
        <v>2582</v>
      </c>
      <c r="D1021" t="s">
        <v>45</v>
      </c>
      <c r="E1021" t="str">
        <f>PROPER(TRIM(CLEAN(Sales_Table[[#This Row],[Region]])))</f>
        <v>North</v>
      </c>
      <c r="F1021" t="s">
        <v>28</v>
      </c>
      <c r="G1021" t="str">
        <f t="shared" si="106"/>
        <v>Clothing</v>
      </c>
      <c r="H1021" t="str">
        <f>PROPER(TRIM(CLEAN(Sales_Table[[#This Row],[Product Name]])))</f>
        <v>Rice 5Kg</v>
      </c>
      <c r="I1021" t="s">
        <v>73</v>
      </c>
      <c r="J1021" t="str">
        <f t="shared" si="107"/>
        <v>CUST0376</v>
      </c>
      <c r="K1021" t="s">
        <v>1028</v>
      </c>
      <c r="L1021" t="str">
        <f>PROPER(TRIM(CLEAN(Sales_Table[[#This Row],[Salesperson]])))</f>
        <v>Suresh</v>
      </c>
      <c r="M1021" t="s">
        <v>54</v>
      </c>
      <c r="N1021" t="str">
        <f t="shared" si="108"/>
        <v>Cash</v>
      </c>
      <c r="O1021" t="s">
        <v>32</v>
      </c>
      <c r="P1021">
        <f t="shared" si="109"/>
        <v>13</v>
      </c>
      <c r="Q1021" t="s">
        <v>81</v>
      </c>
      <c r="R1021">
        <f t="shared" si="110"/>
        <v>316</v>
      </c>
      <c r="S1021" t="s">
        <v>202</v>
      </c>
      <c r="T1021">
        <f t="shared" si="111"/>
        <v>4108</v>
      </c>
      <c r="U1021">
        <f>YEAR(Sales_Table[[#This Row],[Date_clean]])</f>
        <v>2024</v>
      </c>
      <c r="V1021" t="str">
        <f>TEXT(Sales_Table[[#This Row],[Date_clean]],"mmmm")</f>
        <v>February</v>
      </c>
      <c r="W1021">
        <f>WEEKNUM(Sales_Table[[#This Row],[Date_clean]],2)</f>
        <v>7</v>
      </c>
      <c r="X1021" t="str" cm="1">
        <f t="array" ref="X1021">_xlfn.IFS(Sales_Table[[#This Row],[Revenue]]&gt;=50000,"High",Sales_Table[[#This Row],[Revenue]]&gt;=20000,"Medium",Sales_Table[[#This Row],[Revenue]]&lt;20000,"Low")</f>
        <v>Low</v>
      </c>
      <c r="Y1021" t="str">
        <f>IF(Sales_Table[[#This Row],[Payment Method_clean]]="cash","Offline","Online")</f>
        <v>Offline</v>
      </c>
      <c r="Z1021">
        <f>IFERROR(Sales_Table[[#This Row],[Revenue]],0)</f>
        <v>4108</v>
      </c>
    </row>
    <row r="1022" spans="1:26" x14ac:dyDescent="0.3">
      <c r="A1022">
        <v>1021</v>
      </c>
      <c r="B1022" s="2">
        <f t="shared" si="105"/>
        <v>45334.5</v>
      </c>
      <c r="C1022" t="s">
        <v>2583</v>
      </c>
      <c r="D1022" t="s">
        <v>27</v>
      </c>
      <c r="E1022" t="str">
        <f>PROPER(TRIM(CLEAN(Sales_Table[[#This Row],[Region]])))</f>
        <v>East</v>
      </c>
      <c r="F1022" t="s">
        <v>46</v>
      </c>
      <c r="G1022" t="str">
        <f t="shared" si="106"/>
        <v>Electronics</v>
      </c>
      <c r="H1022" t="str">
        <f>PROPER(TRIM(CLEAN(Sales_Table[[#This Row],[Product Name]])))</f>
        <v>Mixer Grinder</v>
      </c>
      <c r="I1022" t="s">
        <v>29</v>
      </c>
      <c r="J1022" t="str">
        <f t="shared" si="107"/>
        <v>CUST0520</v>
      </c>
      <c r="K1022" t="s">
        <v>228</v>
      </c>
      <c r="L1022" t="str">
        <f>PROPER(TRIM(CLEAN(Sales_Table[[#This Row],[Salesperson]])))</f>
        <v>Rahul</v>
      </c>
      <c r="M1022" t="s">
        <v>31</v>
      </c>
      <c r="N1022" t="str">
        <f t="shared" si="108"/>
        <v>Net Banking</v>
      </c>
      <c r="O1022" t="s">
        <v>60</v>
      </c>
      <c r="P1022">
        <f t="shared" si="109"/>
        <v>4</v>
      </c>
      <c r="Q1022" t="s">
        <v>113</v>
      </c>
      <c r="R1022">
        <f t="shared" si="110"/>
        <v>295</v>
      </c>
      <c r="S1022" t="s">
        <v>2437</v>
      </c>
      <c r="T1022">
        <f t="shared" si="111"/>
        <v>1180</v>
      </c>
      <c r="U1022">
        <f>YEAR(Sales_Table[[#This Row],[Date_clean]])</f>
        <v>2024</v>
      </c>
      <c r="V1022" t="str">
        <f>TEXT(Sales_Table[[#This Row],[Date_clean]],"mmmm")</f>
        <v>February</v>
      </c>
      <c r="W1022">
        <f>WEEKNUM(Sales_Table[[#This Row],[Date_clean]],2)</f>
        <v>7</v>
      </c>
      <c r="X1022" t="str" cm="1">
        <f t="array" ref="X1022">_xlfn.IFS(Sales_Table[[#This Row],[Revenue]]&gt;=50000,"High",Sales_Table[[#This Row],[Revenue]]&gt;=20000,"Medium",Sales_Table[[#This Row],[Revenue]]&lt;20000,"Low")</f>
        <v>Low</v>
      </c>
      <c r="Y1022" t="str">
        <f>IF(Sales_Table[[#This Row],[Payment Method_clean]]="cash","Offline","Online")</f>
        <v>Online</v>
      </c>
      <c r="Z1022">
        <f>IFERROR(Sales_Table[[#This Row],[Revenue]],0)</f>
        <v>1180</v>
      </c>
    </row>
    <row r="1023" spans="1:26" x14ac:dyDescent="0.3">
      <c r="A1023">
        <v>1022</v>
      </c>
      <c r="B1023" s="2">
        <f t="shared" si="105"/>
        <v>45334.541666666664</v>
      </c>
      <c r="C1023" t="s">
        <v>2584</v>
      </c>
      <c r="D1023" t="s">
        <v>45</v>
      </c>
      <c r="E1023" t="str">
        <f>PROPER(TRIM(CLEAN(Sales_Table[[#This Row],[Region]])))</f>
        <v>North</v>
      </c>
      <c r="F1023" t="s">
        <v>46</v>
      </c>
      <c r="G1023" t="str">
        <f t="shared" si="106"/>
        <v>Electronics</v>
      </c>
      <c r="H1023" t="str">
        <f>PROPER(TRIM(CLEAN(Sales_Table[[#This Row],[Product Name]])))</f>
        <v>Washing Machine</v>
      </c>
      <c r="I1023" t="s">
        <v>79</v>
      </c>
      <c r="J1023" t="str">
        <f t="shared" si="107"/>
        <v>CUST0090</v>
      </c>
      <c r="K1023" t="s">
        <v>784</v>
      </c>
      <c r="L1023" t="str">
        <f>PROPER(TRIM(CLEAN(Sales_Table[[#This Row],[Salesperson]])))</f>
        <v>Rahul</v>
      </c>
      <c r="M1023" t="s">
        <v>31</v>
      </c>
      <c r="N1023" t="str">
        <f t="shared" si="108"/>
        <v>Upi</v>
      </c>
      <c r="O1023" t="s">
        <v>48</v>
      </c>
      <c r="P1023">
        <f t="shared" si="109"/>
        <v>14</v>
      </c>
      <c r="Q1023" t="s">
        <v>55</v>
      </c>
      <c r="R1023">
        <f t="shared" si="110"/>
        <v>3964</v>
      </c>
      <c r="S1023" t="s">
        <v>2585</v>
      </c>
      <c r="T1023">
        <f t="shared" si="111"/>
        <v>55496</v>
      </c>
      <c r="U1023">
        <f>YEAR(Sales_Table[[#This Row],[Date_clean]])</f>
        <v>2024</v>
      </c>
      <c r="V1023" t="str">
        <f>TEXT(Sales_Table[[#This Row],[Date_clean]],"mmmm")</f>
        <v>February</v>
      </c>
      <c r="W1023">
        <f>WEEKNUM(Sales_Table[[#This Row],[Date_clean]],2)</f>
        <v>7</v>
      </c>
      <c r="X1023" t="str" cm="1">
        <f t="array" ref="X1023">_xlfn.IFS(Sales_Table[[#This Row],[Revenue]]&gt;=50000,"High",Sales_Table[[#This Row],[Revenue]]&gt;=20000,"Medium",Sales_Table[[#This Row],[Revenue]]&lt;20000,"Low")</f>
        <v>High</v>
      </c>
      <c r="Y1023" t="str">
        <f>IF(Sales_Table[[#This Row],[Payment Method_clean]]="cash","Offline","Online")</f>
        <v>Online</v>
      </c>
      <c r="Z1023">
        <f>IFERROR(Sales_Table[[#This Row],[Revenue]],0)</f>
        <v>55496</v>
      </c>
    </row>
    <row r="1024" spans="1:26" x14ac:dyDescent="0.3">
      <c r="A1024">
        <v>1023</v>
      </c>
      <c r="B1024" s="2">
        <f t="shared" si="105"/>
        <v>45334.583333333336</v>
      </c>
      <c r="C1024" t="s">
        <v>2586</v>
      </c>
      <c r="D1024" t="s">
        <v>84</v>
      </c>
      <c r="E1024" t="str">
        <f>PROPER(TRIM(CLEAN(Sales_Table[[#This Row],[Region]])))</f>
        <v>South</v>
      </c>
      <c r="F1024" t="s">
        <v>46</v>
      </c>
      <c r="G1024" t="str">
        <f t="shared" si="106"/>
        <v>Electronics</v>
      </c>
      <c r="H1024" t="str">
        <f>PROPER(TRIM(CLEAN(Sales_Table[[#This Row],[Product Name]])))</f>
        <v>Mixer Grinder</v>
      </c>
      <c r="I1024" t="s">
        <v>29</v>
      </c>
      <c r="J1024" t="str">
        <f t="shared" si="107"/>
        <v>CUST0720</v>
      </c>
      <c r="K1024" t="s">
        <v>1158</v>
      </c>
      <c r="L1024" t="str">
        <f>PROPER(TRIM(CLEAN(Sales_Table[[#This Row],[Salesperson]])))</f>
        <v>Karthik</v>
      </c>
      <c r="M1024" t="s">
        <v>70</v>
      </c>
      <c r="N1024" t="str">
        <f t="shared" si="108"/>
        <v>Debit Card</v>
      </c>
      <c r="O1024" t="s">
        <v>41</v>
      </c>
      <c r="P1024">
        <f t="shared" si="109"/>
        <v>9</v>
      </c>
      <c r="Q1024" t="s">
        <v>130</v>
      </c>
      <c r="R1024">
        <f t="shared" si="110"/>
        <v>3373</v>
      </c>
      <c r="S1024" t="s">
        <v>2587</v>
      </c>
      <c r="T1024">
        <f t="shared" si="111"/>
        <v>30357</v>
      </c>
      <c r="U1024">
        <f>YEAR(Sales_Table[[#This Row],[Date_clean]])</f>
        <v>2024</v>
      </c>
      <c r="V1024" t="str">
        <f>TEXT(Sales_Table[[#This Row],[Date_clean]],"mmmm")</f>
        <v>February</v>
      </c>
      <c r="W1024">
        <f>WEEKNUM(Sales_Table[[#This Row],[Date_clean]],2)</f>
        <v>7</v>
      </c>
      <c r="X1024" t="str" cm="1">
        <f t="array" ref="X1024">_xlfn.IFS(Sales_Table[[#This Row],[Revenue]]&gt;=50000,"High",Sales_Table[[#This Row],[Revenue]]&gt;=20000,"Medium",Sales_Table[[#This Row],[Revenue]]&lt;20000,"Low")</f>
        <v>Medium</v>
      </c>
      <c r="Y1024" t="str">
        <f>IF(Sales_Table[[#This Row],[Payment Method_clean]]="cash","Offline","Online")</f>
        <v>Online</v>
      </c>
      <c r="Z1024">
        <f>IFERROR(Sales_Table[[#This Row],[Revenue]],0)</f>
        <v>30357</v>
      </c>
    </row>
    <row r="1025" spans="1:26" x14ac:dyDescent="0.3">
      <c r="A1025">
        <v>1024</v>
      </c>
      <c r="B1025" s="2">
        <f t="shared" si="105"/>
        <v>45334.625</v>
      </c>
      <c r="C1025" t="s">
        <v>2588</v>
      </c>
      <c r="D1025" t="s">
        <v>84</v>
      </c>
      <c r="E1025" t="str">
        <f>PROPER(TRIM(CLEAN(Sales_Table[[#This Row],[Region]])))</f>
        <v>South</v>
      </c>
      <c r="F1025" t="s">
        <v>37</v>
      </c>
      <c r="G1025" t="str">
        <f t="shared" si="106"/>
        <v>Home Appliances</v>
      </c>
      <c r="H1025" t="str">
        <f>PROPER(TRIM(CLEAN(Sales_Table[[#This Row],[Product Name]])))</f>
        <v>Men T-Shirt</v>
      </c>
      <c r="I1025" t="s">
        <v>38</v>
      </c>
      <c r="J1025" t="str">
        <f t="shared" si="107"/>
        <v>CUST0796</v>
      </c>
      <c r="K1025" t="s">
        <v>1701</v>
      </c>
      <c r="L1025" t="str">
        <f>PROPER(TRIM(CLEAN(Sales_Table[[#This Row],[Salesperson]])))</f>
        <v>Rahul</v>
      </c>
      <c r="M1025" t="s">
        <v>31</v>
      </c>
      <c r="N1025" t="str">
        <f t="shared" si="108"/>
        <v>Debit Card</v>
      </c>
      <c r="O1025" t="s">
        <v>41</v>
      </c>
      <c r="P1025">
        <f t="shared" si="109"/>
        <v>2</v>
      </c>
      <c r="Q1025" t="s">
        <v>196</v>
      </c>
      <c r="R1025">
        <f t="shared" si="110"/>
        <v>2794</v>
      </c>
      <c r="S1025" t="s">
        <v>2589</v>
      </c>
      <c r="T1025">
        <f t="shared" si="111"/>
        <v>5588</v>
      </c>
      <c r="U1025">
        <f>YEAR(Sales_Table[[#This Row],[Date_clean]])</f>
        <v>2024</v>
      </c>
      <c r="V1025" t="str">
        <f>TEXT(Sales_Table[[#This Row],[Date_clean]],"mmmm")</f>
        <v>February</v>
      </c>
      <c r="W1025">
        <f>WEEKNUM(Sales_Table[[#This Row],[Date_clean]],2)</f>
        <v>7</v>
      </c>
      <c r="X1025" t="str" cm="1">
        <f t="array" ref="X1025">_xlfn.IFS(Sales_Table[[#This Row],[Revenue]]&gt;=50000,"High",Sales_Table[[#This Row],[Revenue]]&gt;=20000,"Medium",Sales_Table[[#This Row],[Revenue]]&lt;20000,"Low")</f>
        <v>Low</v>
      </c>
      <c r="Y1025" t="str">
        <f>IF(Sales_Table[[#This Row],[Payment Method_clean]]="cash","Offline","Online")</f>
        <v>Online</v>
      </c>
      <c r="Z1025">
        <f>IFERROR(Sales_Table[[#This Row],[Revenue]],0)</f>
        <v>5588</v>
      </c>
    </row>
    <row r="1026" spans="1:26" x14ac:dyDescent="0.3">
      <c r="A1026">
        <v>1025</v>
      </c>
      <c r="B1026" s="2">
        <f t="shared" si="105"/>
        <v>45334.666666666664</v>
      </c>
      <c r="C1026" t="s">
        <v>2590</v>
      </c>
      <c r="D1026" t="s">
        <v>36</v>
      </c>
      <c r="E1026" t="str">
        <f>PROPER(TRIM(CLEAN(Sales_Table[[#This Row],[Region]])))</f>
        <v>West</v>
      </c>
      <c r="F1026" t="s">
        <v>28</v>
      </c>
      <c r="G1026" t="str">
        <f t="shared" si="106"/>
        <v>Clothing</v>
      </c>
      <c r="H1026" t="str">
        <f>PROPER(TRIM(CLEAN(Sales_Table[[#This Row],[Product Name]])))</f>
        <v>Men T-Shirt</v>
      </c>
      <c r="I1026" t="s">
        <v>38</v>
      </c>
      <c r="J1026" t="str">
        <f t="shared" si="107"/>
        <v>CUST0630</v>
      </c>
      <c r="K1026" t="s">
        <v>1755</v>
      </c>
      <c r="L1026" t="str">
        <f>PROPER(TRIM(CLEAN(Sales_Table[[#This Row],[Salesperson]])))</f>
        <v>Suresh</v>
      </c>
      <c r="M1026" t="s">
        <v>54</v>
      </c>
      <c r="N1026" t="str">
        <f t="shared" si="108"/>
        <v>Upi</v>
      </c>
      <c r="O1026" t="s">
        <v>48</v>
      </c>
      <c r="P1026">
        <f t="shared" si="109"/>
        <v>3</v>
      </c>
      <c r="Q1026" t="s">
        <v>66</v>
      </c>
      <c r="R1026">
        <f t="shared" si="110"/>
        <v>3312</v>
      </c>
      <c r="S1026" t="s">
        <v>2591</v>
      </c>
      <c r="T1026">
        <f t="shared" si="111"/>
        <v>9936</v>
      </c>
      <c r="U1026">
        <f>YEAR(Sales_Table[[#This Row],[Date_clean]])</f>
        <v>2024</v>
      </c>
      <c r="V1026" t="str">
        <f>TEXT(Sales_Table[[#This Row],[Date_clean]],"mmmm")</f>
        <v>February</v>
      </c>
      <c r="W1026">
        <f>WEEKNUM(Sales_Table[[#This Row],[Date_clean]],2)</f>
        <v>7</v>
      </c>
      <c r="X1026" t="str" cm="1">
        <f t="array" ref="X1026">_xlfn.IFS(Sales_Table[[#This Row],[Revenue]]&gt;=50000,"High",Sales_Table[[#This Row],[Revenue]]&gt;=20000,"Medium",Sales_Table[[#This Row],[Revenue]]&lt;20000,"Low")</f>
        <v>Low</v>
      </c>
      <c r="Y1026" t="str">
        <f>IF(Sales_Table[[#This Row],[Payment Method_clean]]="cash","Offline","Online")</f>
        <v>Online</v>
      </c>
      <c r="Z1026">
        <f>IFERROR(Sales_Table[[#This Row],[Revenue]],0)</f>
        <v>9936</v>
      </c>
    </row>
    <row r="1027" spans="1:26" x14ac:dyDescent="0.3">
      <c r="A1027">
        <v>1026</v>
      </c>
      <c r="B1027" s="2">
        <f t="shared" ref="B1027:B1090" si="112">DATEVALUE(LEFT(C1027,10))+TIMEVALUE(MID(C1027,12,8))</f>
        <v>45334.708333333336</v>
      </c>
      <c r="C1027" t="s">
        <v>2592</v>
      </c>
      <c r="D1027" t="s">
        <v>84</v>
      </c>
      <c r="E1027" t="str">
        <f>PROPER(TRIM(CLEAN(Sales_Table[[#This Row],[Region]])))</f>
        <v>South</v>
      </c>
      <c r="F1027" t="s">
        <v>28</v>
      </c>
      <c r="G1027" t="str">
        <f t="shared" ref="G1027:G1090" si="113">PROPER(TRIM(CLEAN(F1027)))</f>
        <v>Clothing</v>
      </c>
      <c r="H1027" t="str">
        <f>PROPER(TRIM(CLEAN(Sales_Table[[#This Row],[Product Name]])))</f>
        <v>Washing Machine</v>
      </c>
      <c r="I1027" t="s">
        <v>79</v>
      </c>
      <c r="J1027" t="str">
        <f t="shared" ref="J1027:J1090" si="114">TRIM(K1027)</f>
        <v>CUST0175</v>
      </c>
      <c r="K1027" t="s">
        <v>2416</v>
      </c>
      <c r="L1027" t="str">
        <f>PROPER(TRIM(CLEAN(Sales_Table[[#This Row],[Salesperson]])))</f>
        <v>Rahul</v>
      </c>
      <c r="M1027" t="s">
        <v>31</v>
      </c>
      <c r="N1027" t="str">
        <f t="shared" ref="N1027:N1090" si="115">PROPER(TRIM(O1027))</f>
        <v>Cash</v>
      </c>
      <c r="O1027" t="s">
        <v>32</v>
      </c>
      <c r="P1027">
        <f t="shared" ref="P1027:P1090" si="116">VALUE(Q1027)</f>
        <v>2</v>
      </c>
      <c r="Q1027" t="s">
        <v>196</v>
      </c>
      <c r="R1027">
        <f t="shared" ref="R1027:R1090" si="117">VALUE(S1027)</f>
        <v>2855</v>
      </c>
      <c r="S1027" t="s">
        <v>2593</v>
      </c>
      <c r="T1027">
        <f t="shared" ref="T1027:T1090" si="118">P1027*R1027</f>
        <v>5710</v>
      </c>
      <c r="U1027">
        <f>YEAR(Sales_Table[[#This Row],[Date_clean]])</f>
        <v>2024</v>
      </c>
      <c r="V1027" t="str">
        <f>TEXT(Sales_Table[[#This Row],[Date_clean]],"mmmm")</f>
        <v>February</v>
      </c>
      <c r="W1027">
        <f>WEEKNUM(Sales_Table[[#This Row],[Date_clean]],2)</f>
        <v>7</v>
      </c>
      <c r="X1027" t="str" cm="1">
        <f t="array" ref="X1027">_xlfn.IFS(Sales_Table[[#This Row],[Revenue]]&gt;=50000,"High",Sales_Table[[#This Row],[Revenue]]&gt;=20000,"Medium",Sales_Table[[#This Row],[Revenue]]&lt;20000,"Low")</f>
        <v>Low</v>
      </c>
      <c r="Y1027" t="str">
        <f>IF(Sales_Table[[#This Row],[Payment Method_clean]]="cash","Offline","Online")</f>
        <v>Offline</v>
      </c>
      <c r="Z1027">
        <f>IFERROR(Sales_Table[[#This Row],[Revenue]],0)</f>
        <v>5710</v>
      </c>
    </row>
    <row r="1028" spans="1:26" x14ac:dyDescent="0.3">
      <c r="A1028">
        <v>1027</v>
      </c>
      <c r="B1028" s="2">
        <f t="shared" si="112"/>
        <v>45334.75</v>
      </c>
      <c r="C1028" t="s">
        <v>2594</v>
      </c>
      <c r="D1028" t="s">
        <v>84</v>
      </c>
      <c r="E1028" t="str">
        <f>PROPER(TRIM(CLEAN(Sales_Table[[#This Row],[Region]])))</f>
        <v>South</v>
      </c>
      <c r="F1028" t="s">
        <v>78</v>
      </c>
      <c r="G1028" t="str">
        <f t="shared" si="113"/>
        <v>Grocery</v>
      </c>
      <c r="H1028" t="str">
        <f>PROPER(TRIM(CLEAN(Sales_Table[[#This Row],[Product Name]])))</f>
        <v>Rice 5Kg</v>
      </c>
      <c r="I1028" t="s">
        <v>73</v>
      </c>
      <c r="J1028" t="str">
        <f t="shared" si="114"/>
        <v>CUST0076</v>
      </c>
      <c r="K1028" t="s">
        <v>1309</v>
      </c>
      <c r="L1028" t="str">
        <f>PROPER(TRIM(CLEAN(Sales_Table[[#This Row],[Salesperson]])))</f>
        <v>Meena</v>
      </c>
      <c r="M1028" t="s">
        <v>40</v>
      </c>
      <c r="N1028" t="str">
        <f t="shared" si="115"/>
        <v>Upi</v>
      </c>
      <c r="O1028" t="s">
        <v>48</v>
      </c>
      <c r="P1028">
        <f t="shared" si="116"/>
        <v>14</v>
      </c>
      <c r="Q1028" t="s">
        <v>55</v>
      </c>
      <c r="R1028">
        <f t="shared" si="117"/>
        <v>1621</v>
      </c>
      <c r="S1028" t="s">
        <v>2489</v>
      </c>
      <c r="T1028">
        <f t="shared" si="118"/>
        <v>22694</v>
      </c>
      <c r="U1028">
        <f>YEAR(Sales_Table[[#This Row],[Date_clean]])</f>
        <v>2024</v>
      </c>
      <c r="V1028" t="str">
        <f>TEXT(Sales_Table[[#This Row],[Date_clean]],"mmmm")</f>
        <v>February</v>
      </c>
      <c r="W1028">
        <f>WEEKNUM(Sales_Table[[#This Row],[Date_clean]],2)</f>
        <v>7</v>
      </c>
      <c r="X1028" t="str" cm="1">
        <f t="array" ref="X1028">_xlfn.IFS(Sales_Table[[#This Row],[Revenue]]&gt;=50000,"High",Sales_Table[[#This Row],[Revenue]]&gt;=20000,"Medium",Sales_Table[[#This Row],[Revenue]]&lt;20000,"Low")</f>
        <v>Medium</v>
      </c>
      <c r="Y1028" t="str">
        <f>IF(Sales_Table[[#This Row],[Payment Method_clean]]="cash","Offline","Online")</f>
        <v>Online</v>
      </c>
      <c r="Z1028">
        <f>IFERROR(Sales_Table[[#This Row],[Revenue]],0)</f>
        <v>22694</v>
      </c>
    </row>
    <row r="1029" spans="1:26" x14ac:dyDescent="0.3">
      <c r="A1029">
        <v>1028</v>
      </c>
      <c r="B1029" s="2">
        <f t="shared" si="112"/>
        <v>45334.791666666664</v>
      </c>
      <c r="C1029" t="s">
        <v>2595</v>
      </c>
      <c r="D1029" t="s">
        <v>27</v>
      </c>
      <c r="E1029" t="str">
        <f>PROPER(TRIM(CLEAN(Sales_Table[[#This Row],[Region]])))</f>
        <v>East</v>
      </c>
      <c r="F1029" t="s">
        <v>78</v>
      </c>
      <c r="G1029" t="str">
        <f t="shared" si="113"/>
        <v>Grocery</v>
      </c>
      <c r="H1029" t="str">
        <f>PROPER(TRIM(CLEAN(Sales_Table[[#This Row],[Product Name]])))</f>
        <v>Rice 5Kg</v>
      </c>
      <c r="I1029" t="s">
        <v>73</v>
      </c>
      <c r="J1029" t="str">
        <f t="shared" si="114"/>
        <v>CUST0613</v>
      </c>
      <c r="K1029" t="s">
        <v>2010</v>
      </c>
      <c r="L1029" t="str">
        <f>PROPER(TRIM(CLEAN(Sales_Table[[#This Row],[Salesperson]])))</f>
        <v>Rahul</v>
      </c>
      <c r="M1029" t="s">
        <v>31</v>
      </c>
      <c r="N1029" t="str">
        <f t="shared" si="115"/>
        <v>Cash</v>
      </c>
      <c r="O1029" t="s">
        <v>32</v>
      </c>
      <c r="P1029">
        <f t="shared" si="116"/>
        <v>2</v>
      </c>
      <c r="Q1029" t="s">
        <v>196</v>
      </c>
      <c r="R1029">
        <f t="shared" si="117"/>
        <v>1180</v>
      </c>
      <c r="S1029" t="s">
        <v>2596</v>
      </c>
      <c r="T1029">
        <f t="shared" si="118"/>
        <v>2360</v>
      </c>
      <c r="U1029">
        <f>YEAR(Sales_Table[[#This Row],[Date_clean]])</f>
        <v>2024</v>
      </c>
      <c r="V1029" t="str">
        <f>TEXT(Sales_Table[[#This Row],[Date_clean]],"mmmm")</f>
        <v>February</v>
      </c>
      <c r="W1029">
        <f>WEEKNUM(Sales_Table[[#This Row],[Date_clean]],2)</f>
        <v>7</v>
      </c>
      <c r="X1029" t="str" cm="1">
        <f t="array" ref="X1029">_xlfn.IFS(Sales_Table[[#This Row],[Revenue]]&gt;=50000,"High",Sales_Table[[#This Row],[Revenue]]&gt;=20000,"Medium",Sales_Table[[#This Row],[Revenue]]&lt;20000,"Low")</f>
        <v>Low</v>
      </c>
      <c r="Y1029" t="str">
        <f>IF(Sales_Table[[#This Row],[Payment Method_clean]]="cash","Offline","Online")</f>
        <v>Offline</v>
      </c>
      <c r="Z1029">
        <f>IFERROR(Sales_Table[[#This Row],[Revenue]],0)</f>
        <v>2360</v>
      </c>
    </row>
    <row r="1030" spans="1:26" x14ac:dyDescent="0.3">
      <c r="A1030">
        <v>1029</v>
      </c>
      <c r="B1030" s="2">
        <f t="shared" si="112"/>
        <v>45334.833333333336</v>
      </c>
      <c r="C1030" t="s">
        <v>2597</v>
      </c>
      <c r="D1030" t="s">
        <v>45</v>
      </c>
      <c r="E1030" t="str">
        <f>PROPER(TRIM(CLEAN(Sales_Table[[#This Row],[Region]])))</f>
        <v>North</v>
      </c>
      <c r="F1030" t="s">
        <v>28</v>
      </c>
      <c r="G1030" t="str">
        <f t="shared" si="113"/>
        <v>Clothing</v>
      </c>
      <c r="H1030" t="str">
        <f>PROPER(TRIM(CLEAN(Sales_Table[[#This Row],[Product Name]])))</f>
        <v>Laptop</v>
      </c>
      <c r="I1030" t="s">
        <v>52</v>
      </c>
      <c r="J1030" t="str">
        <f t="shared" si="114"/>
        <v>CUST0663</v>
      </c>
      <c r="K1030" t="s">
        <v>1890</v>
      </c>
      <c r="L1030" t="str">
        <f>PROPER(TRIM(CLEAN(Sales_Table[[#This Row],[Salesperson]])))</f>
        <v>Karthik</v>
      </c>
      <c r="M1030" t="s">
        <v>70</v>
      </c>
      <c r="N1030" t="str">
        <f t="shared" si="115"/>
        <v>Credit Card</v>
      </c>
      <c r="O1030" t="s">
        <v>65</v>
      </c>
      <c r="P1030">
        <f t="shared" si="116"/>
        <v>10</v>
      </c>
      <c r="Q1030" t="s">
        <v>117</v>
      </c>
      <c r="R1030">
        <f t="shared" si="117"/>
        <v>821</v>
      </c>
      <c r="S1030" t="s">
        <v>2598</v>
      </c>
      <c r="T1030">
        <f t="shared" si="118"/>
        <v>8210</v>
      </c>
      <c r="U1030">
        <f>YEAR(Sales_Table[[#This Row],[Date_clean]])</f>
        <v>2024</v>
      </c>
      <c r="V1030" t="str">
        <f>TEXT(Sales_Table[[#This Row],[Date_clean]],"mmmm")</f>
        <v>February</v>
      </c>
      <c r="W1030">
        <f>WEEKNUM(Sales_Table[[#This Row],[Date_clean]],2)</f>
        <v>7</v>
      </c>
      <c r="X1030" t="str" cm="1">
        <f t="array" ref="X1030">_xlfn.IFS(Sales_Table[[#This Row],[Revenue]]&gt;=50000,"High",Sales_Table[[#This Row],[Revenue]]&gt;=20000,"Medium",Sales_Table[[#This Row],[Revenue]]&lt;20000,"Low")</f>
        <v>Low</v>
      </c>
      <c r="Y1030" t="str">
        <f>IF(Sales_Table[[#This Row],[Payment Method_clean]]="cash","Offline","Online")</f>
        <v>Online</v>
      </c>
      <c r="Z1030">
        <f>IFERROR(Sales_Table[[#This Row],[Revenue]],0)</f>
        <v>8210</v>
      </c>
    </row>
    <row r="1031" spans="1:26" x14ac:dyDescent="0.3">
      <c r="A1031">
        <v>1030</v>
      </c>
      <c r="B1031" s="2">
        <f t="shared" si="112"/>
        <v>45334.875</v>
      </c>
      <c r="C1031" t="s">
        <v>2599</v>
      </c>
      <c r="D1031" t="s">
        <v>45</v>
      </c>
      <c r="E1031" t="str">
        <f>PROPER(TRIM(CLEAN(Sales_Table[[#This Row],[Region]])))</f>
        <v>North</v>
      </c>
      <c r="F1031" t="s">
        <v>28</v>
      </c>
      <c r="G1031" t="str">
        <f t="shared" si="113"/>
        <v>Clothing</v>
      </c>
      <c r="H1031" t="str">
        <f>PROPER(TRIM(CLEAN(Sales_Table[[#This Row],[Product Name]])))</f>
        <v>Laptop</v>
      </c>
      <c r="I1031" t="s">
        <v>52</v>
      </c>
      <c r="J1031" t="str">
        <f t="shared" si="114"/>
        <v>CUST0400</v>
      </c>
      <c r="K1031" t="s">
        <v>183</v>
      </c>
      <c r="L1031" t="str">
        <f>PROPER(TRIM(CLEAN(Sales_Table[[#This Row],[Salesperson]])))</f>
        <v>Rahul</v>
      </c>
      <c r="M1031" t="s">
        <v>31</v>
      </c>
      <c r="N1031" t="str">
        <f t="shared" si="115"/>
        <v>Debit Card</v>
      </c>
      <c r="O1031" t="s">
        <v>41</v>
      </c>
      <c r="P1031">
        <f t="shared" si="116"/>
        <v>11</v>
      </c>
      <c r="Q1031" t="s">
        <v>97</v>
      </c>
      <c r="R1031">
        <f t="shared" si="117"/>
        <v>1662</v>
      </c>
      <c r="S1031" t="s">
        <v>2600</v>
      </c>
      <c r="T1031">
        <f t="shared" si="118"/>
        <v>18282</v>
      </c>
      <c r="U1031">
        <f>YEAR(Sales_Table[[#This Row],[Date_clean]])</f>
        <v>2024</v>
      </c>
      <c r="V1031" t="str">
        <f>TEXT(Sales_Table[[#This Row],[Date_clean]],"mmmm")</f>
        <v>February</v>
      </c>
      <c r="W1031">
        <f>WEEKNUM(Sales_Table[[#This Row],[Date_clean]],2)</f>
        <v>7</v>
      </c>
      <c r="X1031" t="str" cm="1">
        <f t="array" ref="X1031">_xlfn.IFS(Sales_Table[[#This Row],[Revenue]]&gt;=50000,"High",Sales_Table[[#This Row],[Revenue]]&gt;=20000,"Medium",Sales_Table[[#This Row],[Revenue]]&lt;20000,"Low")</f>
        <v>Low</v>
      </c>
      <c r="Y1031" t="str">
        <f>IF(Sales_Table[[#This Row],[Payment Method_clean]]="cash","Offline","Online")</f>
        <v>Online</v>
      </c>
      <c r="Z1031">
        <f>IFERROR(Sales_Table[[#This Row],[Revenue]],0)</f>
        <v>18282</v>
      </c>
    </row>
    <row r="1032" spans="1:26" x14ac:dyDescent="0.3">
      <c r="A1032">
        <v>1031</v>
      </c>
      <c r="B1032" s="2">
        <f t="shared" si="112"/>
        <v>45334.916666666664</v>
      </c>
      <c r="C1032" t="s">
        <v>2601</v>
      </c>
      <c r="D1032" t="s">
        <v>27</v>
      </c>
      <c r="E1032" t="str">
        <f>PROPER(TRIM(CLEAN(Sales_Table[[#This Row],[Region]])))</f>
        <v>East</v>
      </c>
      <c r="F1032" t="s">
        <v>28</v>
      </c>
      <c r="G1032" t="str">
        <f t="shared" si="113"/>
        <v>Clothing</v>
      </c>
      <c r="H1032" t="str">
        <f>PROPER(TRIM(CLEAN(Sales_Table[[#This Row],[Product Name]])))</f>
        <v>Led Tv 42Inch</v>
      </c>
      <c r="I1032" t="s">
        <v>58</v>
      </c>
      <c r="J1032" t="str">
        <f t="shared" si="114"/>
        <v>CUST0782</v>
      </c>
      <c r="K1032" t="s">
        <v>2602</v>
      </c>
      <c r="L1032" t="str">
        <f>PROPER(TRIM(CLEAN(Sales_Table[[#This Row],[Salesperson]])))</f>
        <v>Suresh</v>
      </c>
      <c r="M1032" t="s">
        <v>54</v>
      </c>
      <c r="N1032" t="str">
        <f t="shared" si="115"/>
        <v>Cash</v>
      </c>
      <c r="O1032" t="s">
        <v>32</v>
      </c>
      <c r="P1032">
        <f t="shared" si="116"/>
        <v>11</v>
      </c>
      <c r="Q1032" t="s">
        <v>97</v>
      </c>
      <c r="R1032">
        <f t="shared" si="117"/>
        <v>739</v>
      </c>
      <c r="S1032" t="s">
        <v>2326</v>
      </c>
      <c r="T1032">
        <f t="shared" si="118"/>
        <v>8129</v>
      </c>
      <c r="U1032">
        <f>YEAR(Sales_Table[[#This Row],[Date_clean]])</f>
        <v>2024</v>
      </c>
      <c r="V1032" t="str">
        <f>TEXT(Sales_Table[[#This Row],[Date_clean]],"mmmm")</f>
        <v>February</v>
      </c>
      <c r="W1032">
        <f>WEEKNUM(Sales_Table[[#This Row],[Date_clean]],2)</f>
        <v>7</v>
      </c>
      <c r="X1032" t="str" cm="1">
        <f t="array" ref="X1032">_xlfn.IFS(Sales_Table[[#This Row],[Revenue]]&gt;=50000,"High",Sales_Table[[#This Row],[Revenue]]&gt;=20000,"Medium",Sales_Table[[#This Row],[Revenue]]&lt;20000,"Low")</f>
        <v>Low</v>
      </c>
      <c r="Y1032" t="str">
        <f>IF(Sales_Table[[#This Row],[Payment Method_clean]]="cash","Offline","Online")</f>
        <v>Offline</v>
      </c>
      <c r="Z1032">
        <f>IFERROR(Sales_Table[[#This Row],[Revenue]],0)</f>
        <v>8129</v>
      </c>
    </row>
    <row r="1033" spans="1:26" x14ac:dyDescent="0.3">
      <c r="A1033">
        <v>1032</v>
      </c>
      <c r="B1033" s="2">
        <f t="shared" si="112"/>
        <v>45334.958333333336</v>
      </c>
      <c r="C1033" t="s">
        <v>2603</v>
      </c>
      <c r="D1033" t="s">
        <v>36</v>
      </c>
      <c r="E1033" t="str">
        <f>PROPER(TRIM(CLEAN(Sales_Table[[#This Row],[Region]])))</f>
        <v>West</v>
      </c>
      <c r="F1033" t="s">
        <v>37</v>
      </c>
      <c r="G1033" t="str">
        <f t="shared" si="113"/>
        <v>Home Appliances</v>
      </c>
      <c r="H1033" t="str">
        <f>PROPER(TRIM(CLEAN(Sales_Table[[#This Row],[Product Name]])))</f>
        <v>Washing Machine</v>
      </c>
      <c r="I1033" t="s">
        <v>79</v>
      </c>
      <c r="J1033" t="str">
        <f t="shared" si="114"/>
        <v>CUST0071</v>
      </c>
      <c r="K1033" t="s">
        <v>925</v>
      </c>
      <c r="L1033" t="str">
        <f>PROPER(TRIM(CLEAN(Sales_Table[[#This Row],[Salesperson]])))</f>
        <v>Suresh</v>
      </c>
      <c r="M1033" t="s">
        <v>54</v>
      </c>
      <c r="N1033" t="str">
        <f t="shared" si="115"/>
        <v>Net Banking</v>
      </c>
      <c r="O1033" t="s">
        <v>60</v>
      </c>
      <c r="P1033">
        <f t="shared" si="116"/>
        <v>8</v>
      </c>
      <c r="Q1033" t="s">
        <v>42</v>
      </c>
      <c r="R1033">
        <f t="shared" si="117"/>
        <v>4360</v>
      </c>
      <c r="S1033" t="s">
        <v>2604</v>
      </c>
      <c r="T1033">
        <f t="shared" si="118"/>
        <v>34880</v>
      </c>
      <c r="U1033">
        <f>YEAR(Sales_Table[[#This Row],[Date_clean]])</f>
        <v>2024</v>
      </c>
      <c r="V1033" t="str">
        <f>TEXT(Sales_Table[[#This Row],[Date_clean]],"mmmm")</f>
        <v>February</v>
      </c>
      <c r="W1033">
        <f>WEEKNUM(Sales_Table[[#This Row],[Date_clean]],2)</f>
        <v>7</v>
      </c>
      <c r="X1033" t="str" cm="1">
        <f t="array" ref="X1033">_xlfn.IFS(Sales_Table[[#This Row],[Revenue]]&gt;=50000,"High",Sales_Table[[#This Row],[Revenue]]&gt;=20000,"Medium",Sales_Table[[#This Row],[Revenue]]&lt;20000,"Low")</f>
        <v>Medium</v>
      </c>
      <c r="Y1033" t="str">
        <f>IF(Sales_Table[[#This Row],[Payment Method_clean]]="cash","Offline","Online")</f>
        <v>Online</v>
      </c>
      <c r="Z1033">
        <f>IFERROR(Sales_Table[[#This Row],[Revenue]],0)</f>
        <v>34880</v>
      </c>
    </row>
    <row r="1034" spans="1:26" x14ac:dyDescent="0.3">
      <c r="A1034">
        <v>1033</v>
      </c>
      <c r="B1034" s="2">
        <f t="shared" si="112"/>
        <v>45335</v>
      </c>
      <c r="C1034" t="s">
        <v>2605</v>
      </c>
      <c r="D1034" t="s">
        <v>45</v>
      </c>
      <c r="E1034" t="str">
        <f>PROPER(TRIM(CLEAN(Sales_Table[[#This Row],[Region]])))</f>
        <v>North</v>
      </c>
      <c r="F1034" t="s">
        <v>28</v>
      </c>
      <c r="G1034" t="str">
        <f t="shared" si="113"/>
        <v>Clothing</v>
      </c>
      <c r="H1034" t="str">
        <f>PROPER(TRIM(CLEAN(Sales_Table[[#This Row],[Product Name]])))</f>
        <v>Mixer Grinder</v>
      </c>
      <c r="I1034" t="s">
        <v>29</v>
      </c>
      <c r="J1034" t="str">
        <f t="shared" si="114"/>
        <v>CUST0180</v>
      </c>
      <c r="K1034" t="s">
        <v>1480</v>
      </c>
      <c r="L1034" t="str">
        <f>PROPER(TRIM(CLEAN(Sales_Table[[#This Row],[Salesperson]])))</f>
        <v>Rahul</v>
      </c>
      <c r="M1034" t="s">
        <v>31</v>
      </c>
      <c r="N1034" t="str">
        <f t="shared" si="115"/>
        <v>Net Banking</v>
      </c>
      <c r="O1034" t="s">
        <v>60</v>
      </c>
      <c r="P1034">
        <f t="shared" si="116"/>
        <v>3</v>
      </c>
      <c r="Q1034" t="s">
        <v>66</v>
      </c>
      <c r="R1034">
        <f t="shared" si="117"/>
        <v>4410</v>
      </c>
      <c r="S1034" t="s">
        <v>2606</v>
      </c>
      <c r="T1034">
        <f t="shared" si="118"/>
        <v>13230</v>
      </c>
      <c r="U1034">
        <f>YEAR(Sales_Table[[#This Row],[Date_clean]])</f>
        <v>2024</v>
      </c>
      <c r="V1034" t="str">
        <f>TEXT(Sales_Table[[#This Row],[Date_clean]],"mmmm")</f>
        <v>February</v>
      </c>
      <c r="W1034">
        <f>WEEKNUM(Sales_Table[[#This Row],[Date_clean]],2)</f>
        <v>7</v>
      </c>
      <c r="X1034" t="str" cm="1">
        <f t="array" ref="X1034">_xlfn.IFS(Sales_Table[[#This Row],[Revenue]]&gt;=50000,"High",Sales_Table[[#This Row],[Revenue]]&gt;=20000,"Medium",Sales_Table[[#This Row],[Revenue]]&lt;20000,"Low")</f>
        <v>Low</v>
      </c>
      <c r="Y1034" t="str">
        <f>IF(Sales_Table[[#This Row],[Payment Method_clean]]="cash","Offline","Online")</f>
        <v>Online</v>
      </c>
      <c r="Z1034">
        <f>IFERROR(Sales_Table[[#This Row],[Revenue]],0)</f>
        <v>13230</v>
      </c>
    </row>
    <row r="1035" spans="1:26" x14ac:dyDescent="0.3">
      <c r="A1035">
        <v>1034</v>
      </c>
      <c r="B1035" s="2">
        <f t="shared" si="112"/>
        <v>45335.041666666664</v>
      </c>
      <c r="C1035" t="s">
        <v>2607</v>
      </c>
      <c r="D1035" t="s">
        <v>84</v>
      </c>
      <c r="E1035" t="str">
        <f>PROPER(TRIM(CLEAN(Sales_Table[[#This Row],[Region]])))</f>
        <v>South</v>
      </c>
      <c r="F1035" t="s">
        <v>78</v>
      </c>
      <c r="G1035" t="str">
        <f t="shared" si="113"/>
        <v>Grocery</v>
      </c>
      <c r="H1035" t="str">
        <f>PROPER(TRIM(CLEAN(Sales_Table[[#This Row],[Product Name]])))</f>
        <v>Washing Machine</v>
      </c>
      <c r="I1035" t="s">
        <v>79</v>
      </c>
      <c r="J1035" t="str">
        <f t="shared" si="114"/>
        <v>CUST0124</v>
      </c>
      <c r="K1035" t="s">
        <v>88</v>
      </c>
      <c r="L1035" t="str">
        <f>PROPER(TRIM(CLEAN(Sales_Table[[#This Row],[Salesperson]])))</f>
        <v>Suresh</v>
      </c>
      <c r="M1035" t="s">
        <v>54</v>
      </c>
      <c r="N1035" t="str">
        <f t="shared" si="115"/>
        <v>Debit Card</v>
      </c>
      <c r="O1035" t="s">
        <v>41</v>
      </c>
      <c r="P1035">
        <f t="shared" si="116"/>
        <v>7</v>
      </c>
      <c r="Q1035" t="s">
        <v>49</v>
      </c>
      <c r="R1035">
        <f t="shared" si="117"/>
        <v>3887</v>
      </c>
      <c r="S1035" t="s">
        <v>2608</v>
      </c>
      <c r="T1035">
        <f t="shared" si="118"/>
        <v>27209</v>
      </c>
      <c r="U1035">
        <f>YEAR(Sales_Table[[#This Row],[Date_clean]])</f>
        <v>2024</v>
      </c>
      <c r="V1035" t="str">
        <f>TEXT(Sales_Table[[#This Row],[Date_clean]],"mmmm")</f>
        <v>February</v>
      </c>
      <c r="W1035">
        <f>WEEKNUM(Sales_Table[[#This Row],[Date_clean]],2)</f>
        <v>7</v>
      </c>
      <c r="X1035" t="str" cm="1">
        <f t="array" ref="X1035">_xlfn.IFS(Sales_Table[[#This Row],[Revenue]]&gt;=50000,"High",Sales_Table[[#This Row],[Revenue]]&gt;=20000,"Medium",Sales_Table[[#This Row],[Revenue]]&lt;20000,"Low")</f>
        <v>Medium</v>
      </c>
      <c r="Y1035" t="str">
        <f>IF(Sales_Table[[#This Row],[Payment Method_clean]]="cash","Offline","Online")</f>
        <v>Online</v>
      </c>
      <c r="Z1035">
        <f>IFERROR(Sales_Table[[#This Row],[Revenue]],0)</f>
        <v>27209</v>
      </c>
    </row>
    <row r="1036" spans="1:26" x14ac:dyDescent="0.3">
      <c r="A1036">
        <v>1035</v>
      </c>
      <c r="B1036" s="2">
        <f t="shared" si="112"/>
        <v>45335.083333333336</v>
      </c>
      <c r="C1036" t="s">
        <v>2609</v>
      </c>
      <c r="D1036" t="s">
        <v>45</v>
      </c>
      <c r="E1036" t="str">
        <f>PROPER(TRIM(CLEAN(Sales_Table[[#This Row],[Region]])))</f>
        <v>North</v>
      </c>
      <c r="F1036" t="s">
        <v>37</v>
      </c>
      <c r="G1036" t="str">
        <f t="shared" si="113"/>
        <v>Home Appliances</v>
      </c>
      <c r="H1036" t="str">
        <f>PROPER(TRIM(CLEAN(Sales_Table[[#This Row],[Product Name]])))</f>
        <v>Led Tv 42Inch</v>
      </c>
      <c r="I1036" t="s">
        <v>58</v>
      </c>
      <c r="J1036" t="str">
        <f t="shared" si="114"/>
        <v>CUST0381</v>
      </c>
      <c r="K1036" t="s">
        <v>2180</v>
      </c>
      <c r="L1036" t="str">
        <f>PROPER(TRIM(CLEAN(Sales_Table[[#This Row],[Salesperson]])))</f>
        <v>Suresh</v>
      </c>
      <c r="M1036" t="s">
        <v>54</v>
      </c>
      <c r="N1036" t="str">
        <f t="shared" si="115"/>
        <v>Upi</v>
      </c>
      <c r="O1036" t="s">
        <v>48</v>
      </c>
      <c r="P1036">
        <f t="shared" si="116"/>
        <v>8</v>
      </c>
      <c r="Q1036" t="s">
        <v>42</v>
      </c>
      <c r="R1036">
        <f t="shared" si="117"/>
        <v>3836</v>
      </c>
      <c r="S1036" t="s">
        <v>2610</v>
      </c>
      <c r="T1036">
        <f t="shared" si="118"/>
        <v>30688</v>
      </c>
      <c r="U1036">
        <f>YEAR(Sales_Table[[#This Row],[Date_clean]])</f>
        <v>2024</v>
      </c>
      <c r="V1036" t="str">
        <f>TEXT(Sales_Table[[#This Row],[Date_clean]],"mmmm")</f>
        <v>February</v>
      </c>
      <c r="W1036">
        <f>WEEKNUM(Sales_Table[[#This Row],[Date_clean]],2)</f>
        <v>7</v>
      </c>
      <c r="X1036" t="str" cm="1">
        <f t="array" ref="X1036">_xlfn.IFS(Sales_Table[[#This Row],[Revenue]]&gt;=50000,"High",Sales_Table[[#This Row],[Revenue]]&gt;=20000,"Medium",Sales_Table[[#This Row],[Revenue]]&lt;20000,"Low")</f>
        <v>Medium</v>
      </c>
      <c r="Y1036" t="str">
        <f>IF(Sales_Table[[#This Row],[Payment Method_clean]]="cash","Offline","Online")</f>
        <v>Online</v>
      </c>
      <c r="Z1036">
        <f>IFERROR(Sales_Table[[#This Row],[Revenue]],0)</f>
        <v>30688</v>
      </c>
    </row>
    <row r="1037" spans="1:26" x14ac:dyDescent="0.3">
      <c r="A1037">
        <v>1036</v>
      </c>
      <c r="B1037" s="2">
        <f t="shared" si="112"/>
        <v>45335.125</v>
      </c>
      <c r="C1037" t="s">
        <v>2611</v>
      </c>
      <c r="D1037" t="s">
        <v>84</v>
      </c>
      <c r="E1037" t="str">
        <f>PROPER(TRIM(CLEAN(Sales_Table[[#This Row],[Region]])))</f>
        <v>South</v>
      </c>
      <c r="F1037" t="s">
        <v>28</v>
      </c>
      <c r="G1037" t="str">
        <f t="shared" si="113"/>
        <v>Clothing</v>
      </c>
      <c r="H1037" t="str">
        <f>PROPER(TRIM(CLEAN(Sales_Table[[#This Row],[Product Name]])))</f>
        <v>Laptop</v>
      </c>
      <c r="I1037" t="s">
        <v>52</v>
      </c>
      <c r="J1037" t="str">
        <f t="shared" si="114"/>
        <v>CUST0293</v>
      </c>
      <c r="K1037" t="s">
        <v>1641</v>
      </c>
      <c r="L1037" t="str">
        <f>PROPER(TRIM(CLEAN(Sales_Table[[#This Row],[Salesperson]])))</f>
        <v>Karthik</v>
      </c>
      <c r="M1037" t="s">
        <v>70</v>
      </c>
      <c r="N1037" t="str">
        <f t="shared" si="115"/>
        <v>Upi</v>
      </c>
      <c r="O1037" t="s">
        <v>48</v>
      </c>
      <c r="P1037">
        <f t="shared" si="116"/>
        <v>3</v>
      </c>
      <c r="Q1037" t="s">
        <v>66</v>
      </c>
      <c r="R1037">
        <f t="shared" si="117"/>
        <v>189</v>
      </c>
      <c r="S1037" t="s">
        <v>2612</v>
      </c>
      <c r="T1037">
        <f t="shared" si="118"/>
        <v>567</v>
      </c>
      <c r="U1037">
        <f>YEAR(Sales_Table[[#This Row],[Date_clean]])</f>
        <v>2024</v>
      </c>
      <c r="V1037" t="str">
        <f>TEXT(Sales_Table[[#This Row],[Date_clean]],"mmmm")</f>
        <v>February</v>
      </c>
      <c r="W1037">
        <f>WEEKNUM(Sales_Table[[#This Row],[Date_clean]],2)</f>
        <v>7</v>
      </c>
      <c r="X1037" t="str" cm="1">
        <f t="array" ref="X1037">_xlfn.IFS(Sales_Table[[#This Row],[Revenue]]&gt;=50000,"High",Sales_Table[[#This Row],[Revenue]]&gt;=20000,"Medium",Sales_Table[[#This Row],[Revenue]]&lt;20000,"Low")</f>
        <v>Low</v>
      </c>
      <c r="Y1037" t="str">
        <f>IF(Sales_Table[[#This Row],[Payment Method_clean]]="cash","Offline","Online")</f>
        <v>Online</v>
      </c>
      <c r="Z1037">
        <f>IFERROR(Sales_Table[[#This Row],[Revenue]],0)</f>
        <v>567</v>
      </c>
    </row>
    <row r="1038" spans="1:26" x14ac:dyDescent="0.3">
      <c r="A1038">
        <v>1037</v>
      </c>
      <c r="B1038" s="2">
        <f t="shared" si="112"/>
        <v>45335.166666666664</v>
      </c>
      <c r="C1038" t="s">
        <v>2613</v>
      </c>
      <c r="D1038" t="s">
        <v>36</v>
      </c>
      <c r="E1038" t="str">
        <f>PROPER(TRIM(CLEAN(Sales_Table[[#This Row],[Region]])))</f>
        <v>West</v>
      </c>
      <c r="F1038" t="s">
        <v>78</v>
      </c>
      <c r="G1038" t="str">
        <f t="shared" si="113"/>
        <v>Grocery</v>
      </c>
      <c r="H1038" t="str">
        <f>PROPER(TRIM(CLEAN(Sales_Table[[#This Row],[Product Name]])))</f>
        <v>Washing Machine</v>
      </c>
      <c r="I1038" t="s">
        <v>79</v>
      </c>
      <c r="J1038" t="str">
        <f t="shared" si="114"/>
        <v>CUST0797</v>
      </c>
      <c r="K1038" t="s">
        <v>2614</v>
      </c>
      <c r="L1038" t="str">
        <f>PROPER(TRIM(CLEAN(Sales_Table[[#This Row],[Salesperson]])))</f>
        <v>Meena</v>
      </c>
      <c r="M1038" t="s">
        <v>40</v>
      </c>
      <c r="N1038" t="str">
        <f t="shared" si="115"/>
        <v>Cash</v>
      </c>
      <c r="O1038" t="s">
        <v>32</v>
      </c>
      <c r="P1038">
        <f t="shared" si="116"/>
        <v>2</v>
      </c>
      <c r="Q1038" t="s">
        <v>196</v>
      </c>
      <c r="R1038">
        <f t="shared" si="117"/>
        <v>3021</v>
      </c>
      <c r="S1038" t="s">
        <v>711</v>
      </c>
      <c r="T1038">
        <f t="shared" si="118"/>
        <v>6042</v>
      </c>
      <c r="U1038">
        <f>YEAR(Sales_Table[[#This Row],[Date_clean]])</f>
        <v>2024</v>
      </c>
      <c r="V1038" t="str">
        <f>TEXT(Sales_Table[[#This Row],[Date_clean]],"mmmm")</f>
        <v>February</v>
      </c>
      <c r="W1038">
        <f>WEEKNUM(Sales_Table[[#This Row],[Date_clean]],2)</f>
        <v>7</v>
      </c>
      <c r="X1038" t="str" cm="1">
        <f t="array" ref="X1038">_xlfn.IFS(Sales_Table[[#This Row],[Revenue]]&gt;=50000,"High",Sales_Table[[#This Row],[Revenue]]&gt;=20000,"Medium",Sales_Table[[#This Row],[Revenue]]&lt;20000,"Low")</f>
        <v>Low</v>
      </c>
      <c r="Y1038" t="str">
        <f>IF(Sales_Table[[#This Row],[Payment Method_clean]]="cash","Offline","Online")</f>
        <v>Offline</v>
      </c>
      <c r="Z1038">
        <f>IFERROR(Sales_Table[[#This Row],[Revenue]],0)</f>
        <v>6042</v>
      </c>
    </row>
    <row r="1039" spans="1:26" x14ac:dyDescent="0.3">
      <c r="A1039">
        <v>1038</v>
      </c>
      <c r="B1039" s="2">
        <f t="shared" si="112"/>
        <v>45335.208333333336</v>
      </c>
      <c r="C1039" t="s">
        <v>2615</v>
      </c>
      <c r="D1039" t="s">
        <v>27</v>
      </c>
      <c r="E1039" t="str">
        <f>PROPER(TRIM(CLEAN(Sales_Table[[#This Row],[Region]])))</f>
        <v>East</v>
      </c>
      <c r="F1039" t="s">
        <v>37</v>
      </c>
      <c r="G1039" t="str">
        <f t="shared" si="113"/>
        <v>Home Appliances</v>
      </c>
      <c r="H1039" t="str">
        <f>PROPER(TRIM(CLEAN(Sales_Table[[#This Row],[Product Name]])))</f>
        <v>Washing Machine</v>
      </c>
      <c r="I1039" t="s">
        <v>79</v>
      </c>
      <c r="J1039" t="str">
        <f t="shared" si="114"/>
        <v>CUST0195</v>
      </c>
      <c r="K1039" t="s">
        <v>314</v>
      </c>
      <c r="L1039" t="str">
        <f>PROPER(TRIM(CLEAN(Sales_Table[[#This Row],[Salesperson]])))</f>
        <v>Karthik</v>
      </c>
      <c r="M1039" t="s">
        <v>70</v>
      </c>
      <c r="N1039" t="str">
        <f t="shared" si="115"/>
        <v>Upi</v>
      </c>
      <c r="O1039" t="s">
        <v>48</v>
      </c>
      <c r="P1039">
        <f t="shared" si="116"/>
        <v>13</v>
      </c>
      <c r="Q1039" t="s">
        <v>81</v>
      </c>
      <c r="R1039">
        <f t="shared" si="117"/>
        <v>1351</v>
      </c>
      <c r="S1039" t="s">
        <v>2616</v>
      </c>
      <c r="T1039">
        <f t="shared" si="118"/>
        <v>17563</v>
      </c>
      <c r="U1039">
        <f>YEAR(Sales_Table[[#This Row],[Date_clean]])</f>
        <v>2024</v>
      </c>
      <c r="V1039" t="str">
        <f>TEXT(Sales_Table[[#This Row],[Date_clean]],"mmmm")</f>
        <v>February</v>
      </c>
      <c r="W1039">
        <f>WEEKNUM(Sales_Table[[#This Row],[Date_clean]],2)</f>
        <v>7</v>
      </c>
      <c r="X1039" t="str" cm="1">
        <f t="array" ref="X1039">_xlfn.IFS(Sales_Table[[#This Row],[Revenue]]&gt;=50000,"High",Sales_Table[[#This Row],[Revenue]]&gt;=20000,"Medium",Sales_Table[[#This Row],[Revenue]]&lt;20000,"Low")</f>
        <v>Low</v>
      </c>
      <c r="Y1039" t="str">
        <f>IF(Sales_Table[[#This Row],[Payment Method_clean]]="cash","Offline","Online")</f>
        <v>Online</v>
      </c>
      <c r="Z1039">
        <f>IFERROR(Sales_Table[[#This Row],[Revenue]],0)</f>
        <v>17563</v>
      </c>
    </row>
    <row r="1040" spans="1:26" x14ac:dyDescent="0.3">
      <c r="A1040">
        <v>1039</v>
      </c>
      <c r="B1040" s="2">
        <f t="shared" si="112"/>
        <v>45335.25</v>
      </c>
      <c r="C1040" t="s">
        <v>2617</v>
      </c>
      <c r="D1040" t="s">
        <v>45</v>
      </c>
      <c r="E1040" t="str">
        <f>PROPER(TRIM(CLEAN(Sales_Table[[#This Row],[Region]])))</f>
        <v>North</v>
      </c>
      <c r="F1040" t="s">
        <v>28</v>
      </c>
      <c r="G1040" t="str">
        <f t="shared" si="113"/>
        <v>Clothing</v>
      </c>
      <c r="H1040" t="str">
        <f>PROPER(TRIM(CLEAN(Sales_Table[[#This Row],[Product Name]])))</f>
        <v>Laptop</v>
      </c>
      <c r="I1040" t="s">
        <v>52</v>
      </c>
      <c r="J1040" t="str">
        <f t="shared" si="114"/>
        <v>CUST0228</v>
      </c>
      <c r="K1040" t="s">
        <v>1675</v>
      </c>
      <c r="L1040" t="str">
        <f>PROPER(TRIM(CLEAN(Sales_Table[[#This Row],[Salesperson]])))</f>
        <v>Anita</v>
      </c>
      <c r="M1040" t="s">
        <v>64</v>
      </c>
      <c r="N1040" t="str">
        <f t="shared" si="115"/>
        <v>Debit Card</v>
      </c>
      <c r="O1040" t="s">
        <v>41</v>
      </c>
      <c r="P1040">
        <f t="shared" si="116"/>
        <v>13</v>
      </c>
      <c r="Q1040" t="s">
        <v>81</v>
      </c>
      <c r="R1040">
        <f t="shared" si="117"/>
        <v>1202</v>
      </c>
      <c r="S1040" t="s">
        <v>2618</v>
      </c>
      <c r="T1040">
        <f t="shared" si="118"/>
        <v>15626</v>
      </c>
      <c r="U1040">
        <f>YEAR(Sales_Table[[#This Row],[Date_clean]])</f>
        <v>2024</v>
      </c>
      <c r="V1040" t="str">
        <f>TEXT(Sales_Table[[#This Row],[Date_clean]],"mmmm")</f>
        <v>February</v>
      </c>
      <c r="W1040">
        <f>WEEKNUM(Sales_Table[[#This Row],[Date_clean]],2)</f>
        <v>7</v>
      </c>
      <c r="X1040" t="str" cm="1">
        <f t="array" ref="X1040">_xlfn.IFS(Sales_Table[[#This Row],[Revenue]]&gt;=50000,"High",Sales_Table[[#This Row],[Revenue]]&gt;=20000,"Medium",Sales_Table[[#This Row],[Revenue]]&lt;20000,"Low")</f>
        <v>Low</v>
      </c>
      <c r="Y1040" t="str">
        <f>IF(Sales_Table[[#This Row],[Payment Method_clean]]="cash","Offline","Online")</f>
        <v>Online</v>
      </c>
      <c r="Z1040">
        <f>IFERROR(Sales_Table[[#This Row],[Revenue]],0)</f>
        <v>15626</v>
      </c>
    </row>
    <row r="1041" spans="1:26" x14ac:dyDescent="0.3">
      <c r="A1041">
        <v>1040</v>
      </c>
      <c r="B1041" s="2">
        <f t="shared" si="112"/>
        <v>45335.291666666664</v>
      </c>
      <c r="C1041" t="s">
        <v>2619</v>
      </c>
      <c r="D1041" t="s">
        <v>27</v>
      </c>
      <c r="E1041" t="str">
        <f>PROPER(TRIM(CLEAN(Sales_Table[[#This Row],[Region]])))</f>
        <v>East</v>
      </c>
      <c r="F1041" t="s">
        <v>28</v>
      </c>
      <c r="G1041" t="str">
        <f t="shared" si="113"/>
        <v>Clothing</v>
      </c>
      <c r="H1041" t="str">
        <f>PROPER(TRIM(CLEAN(Sales_Table[[#This Row],[Product Name]])))</f>
        <v>Led Tv 42Inch</v>
      </c>
      <c r="I1041" t="s">
        <v>58</v>
      </c>
      <c r="J1041" t="str">
        <f t="shared" si="114"/>
        <v>CUST0431</v>
      </c>
      <c r="K1041" t="s">
        <v>2529</v>
      </c>
      <c r="L1041" t="str">
        <f>PROPER(TRIM(CLEAN(Sales_Table[[#This Row],[Salesperson]])))</f>
        <v>Karthik</v>
      </c>
      <c r="M1041" t="s">
        <v>70</v>
      </c>
      <c r="N1041" t="str">
        <f t="shared" si="115"/>
        <v>Cash</v>
      </c>
      <c r="O1041" t="s">
        <v>32</v>
      </c>
      <c r="P1041">
        <f t="shared" si="116"/>
        <v>8</v>
      </c>
      <c r="Q1041" t="s">
        <v>42</v>
      </c>
      <c r="R1041">
        <f t="shared" si="117"/>
        <v>4803</v>
      </c>
      <c r="S1041" t="s">
        <v>2620</v>
      </c>
      <c r="T1041">
        <f t="shared" si="118"/>
        <v>38424</v>
      </c>
      <c r="U1041">
        <f>YEAR(Sales_Table[[#This Row],[Date_clean]])</f>
        <v>2024</v>
      </c>
      <c r="V1041" t="str">
        <f>TEXT(Sales_Table[[#This Row],[Date_clean]],"mmmm")</f>
        <v>February</v>
      </c>
      <c r="W1041">
        <f>WEEKNUM(Sales_Table[[#This Row],[Date_clean]],2)</f>
        <v>7</v>
      </c>
      <c r="X1041" t="str" cm="1">
        <f t="array" ref="X1041">_xlfn.IFS(Sales_Table[[#This Row],[Revenue]]&gt;=50000,"High",Sales_Table[[#This Row],[Revenue]]&gt;=20000,"Medium",Sales_Table[[#This Row],[Revenue]]&lt;20000,"Low")</f>
        <v>Medium</v>
      </c>
      <c r="Y1041" t="str">
        <f>IF(Sales_Table[[#This Row],[Payment Method_clean]]="cash","Offline","Online")</f>
        <v>Offline</v>
      </c>
      <c r="Z1041">
        <f>IFERROR(Sales_Table[[#This Row],[Revenue]],0)</f>
        <v>38424</v>
      </c>
    </row>
    <row r="1042" spans="1:26" x14ac:dyDescent="0.3">
      <c r="A1042">
        <v>1041</v>
      </c>
      <c r="B1042" s="2">
        <f t="shared" si="112"/>
        <v>45335.333333333336</v>
      </c>
      <c r="C1042" t="s">
        <v>2621</v>
      </c>
      <c r="D1042" t="s">
        <v>45</v>
      </c>
      <c r="E1042" t="str">
        <f>PROPER(TRIM(CLEAN(Sales_Table[[#This Row],[Region]])))</f>
        <v>North</v>
      </c>
      <c r="F1042" t="s">
        <v>28</v>
      </c>
      <c r="G1042" t="str">
        <f t="shared" si="113"/>
        <v>Clothing</v>
      </c>
      <c r="H1042" t="str">
        <f>PROPER(TRIM(CLEAN(Sales_Table[[#This Row],[Product Name]])))</f>
        <v>Laptop</v>
      </c>
      <c r="I1042" t="s">
        <v>52</v>
      </c>
      <c r="J1042" t="str">
        <f t="shared" si="114"/>
        <v>CUST0436</v>
      </c>
      <c r="K1042" t="s">
        <v>2622</v>
      </c>
      <c r="L1042" t="str">
        <f>PROPER(TRIM(CLEAN(Sales_Table[[#This Row],[Salesperson]])))</f>
        <v>Rahul</v>
      </c>
      <c r="M1042" t="s">
        <v>31</v>
      </c>
      <c r="N1042" t="str">
        <f t="shared" si="115"/>
        <v>Credit Card</v>
      </c>
      <c r="O1042" t="s">
        <v>65</v>
      </c>
      <c r="P1042">
        <f t="shared" si="116"/>
        <v>3</v>
      </c>
      <c r="Q1042" t="s">
        <v>66</v>
      </c>
      <c r="R1042">
        <f t="shared" si="117"/>
        <v>448</v>
      </c>
      <c r="S1042" t="s">
        <v>2623</v>
      </c>
      <c r="T1042">
        <f t="shared" si="118"/>
        <v>1344</v>
      </c>
      <c r="U1042">
        <f>YEAR(Sales_Table[[#This Row],[Date_clean]])</f>
        <v>2024</v>
      </c>
      <c r="V1042" t="str">
        <f>TEXT(Sales_Table[[#This Row],[Date_clean]],"mmmm")</f>
        <v>February</v>
      </c>
      <c r="W1042">
        <f>WEEKNUM(Sales_Table[[#This Row],[Date_clean]],2)</f>
        <v>7</v>
      </c>
      <c r="X1042" t="str" cm="1">
        <f t="array" ref="X1042">_xlfn.IFS(Sales_Table[[#This Row],[Revenue]]&gt;=50000,"High",Sales_Table[[#This Row],[Revenue]]&gt;=20000,"Medium",Sales_Table[[#This Row],[Revenue]]&lt;20000,"Low")</f>
        <v>Low</v>
      </c>
      <c r="Y1042" t="str">
        <f>IF(Sales_Table[[#This Row],[Payment Method_clean]]="cash","Offline","Online")</f>
        <v>Online</v>
      </c>
      <c r="Z1042">
        <f>IFERROR(Sales_Table[[#This Row],[Revenue]],0)</f>
        <v>1344</v>
      </c>
    </row>
    <row r="1043" spans="1:26" x14ac:dyDescent="0.3">
      <c r="A1043">
        <v>1042</v>
      </c>
      <c r="B1043" s="2">
        <f t="shared" si="112"/>
        <v>45335.375</v>
      </c>
      <c r="C1043" t="s">
        <v>2624</v>
      </c>
      <c r="D1043" t="s">
        <v>84</v>
      </c>
      <c r="E1043" t="str">
        <f>PROPER(TRIM(CLEAN(Sales_Table[[#This Row],[Region]])))</f>
        <v>South</v>
      </c>
      <c r="F1043" t="s">
        <v>37</v>
      </c>
      <c r="G1043" t="str">
        <f t="shared" si="113"/>
        <v>Home Appliances</v>
      </c>
      <c r="H1043" t="str">
        <f>PROPER(TRIM(CLEAN(Sales_Table[[#This Row],[Product Name]])))</f>
        <v>Rice 5Kg</v>
      </c>
      <c r="I1043" t="s">
        <v>73</v>
      </c>
      <c r="J1043" t="str">
        <f t="shared" si="114"/>
        <v>CUST0787</v>
      </c>
      <c r="K1043" t="s">
        <v>2625</v>
      </c>
      <c r="L1043" t="str">
        <f>PROPER(TRIM(CLEAN(Sales_Table[[#This Row],[Salesperson]])))</f>
        <v>Meena</v>
      </c>
      <c r="M1043" t="s">
        <v>40</v>
      </c>
      <c r="N1043" t="str">
        <f t="shared" si="115"/>
        <v>Upi</v>
      </c>
      <c r="O1043" t="s">
        <v>48</v>
      </c>
      <c r="P1043">
        <f t="shared" si="116"/>
        <v>7</v>
      </c>
      <c r="Q1043" t="s">
        <v>49</v>
      </c>
      <c r="R1043">
        <f t="shared" si="117"/>
        <v>4013</v>
      </c>
      <c r="S1043" t="s">
        <v>2626</v>
      </c>
      <c r="T1043">
        <f t="shared" si="118"/>
        <v>28091</v>
      </c>
      <c r="U1043">
        <f>YEAR(Sales_Table[[#This Row],[Date_clean]])</f>
        <v>2024</v>
      </c>
      <c r="V1043" t="str">
        <f>TEXT(Sales_Table[[#This Row],[Date_clean]],"mmmm")</f>
        <v>February</v>
      </c>
      <c r="W1043">
        <f>WEEKNUM(Sales_Table[[#This Row],[Date_clean]],2)</f>
        <v>7</v>
      </c>
      <c r="X1043" t="str" cm="1">
        <f t="array" ref="X1043">_xlfn.IFS(Sales_Table[[#This Row],[Revenue]]&gt;=50000,"High",Sales_Table[[#This Row],[Revenue]]&gt;=20000,"Medium",Sales_Table[[#This Row],[Revenue]]&lt;20000,"Low")</f>
        <v>Medium</v>
      </c>
      <c r="Y1043" t="str">
        <f>IF(Sales_Table[[#This Row],[Payment Method_clean]]="cash","Offline","Online")</f>
        <v>Online</v>
      </c>
      <c r="Z1043">
        <f>IFERROR(Sales_Table[[#This Row],[Revenue]],0)</f>
        <v>28091</v>
      </c>
    </row>
    <row r="1044" spans="1:26" x14ac:dyDescent="0.3">
      <c r="A1044">
        <v>1043</v>
      </c>
      <c r="B1044" s="2">
        <f t="shared" si="112"/>
        <v>45335.416666666664</v>
      </c>
      <c r="C1044" t="s">
        <v>2627</v>
      </c>
      <c r="D1044" t="s">
        <v>27</v>
      </c>
      <c r="E1044" t="str">
        <f>PROPER(TRIM(CLEAN(Sales_Table[[#This Row],[Region]])))</f>
        <v>East</v>
      </c>
      <c r="F1044" t="s">
        <v>78</v>
      </c>
      <c r="G1044" t="str">
        <f t="shared" si="113"/>
        <v>Grocery</v>
      </c>
      <c r="H1044" t="str">
        <f>PROPER(TRIM(CLEAN(Sales_Table[[#This Row],[Product Name]])))</f>
        <v>Mixer Grinder</v>
      </c>
      <c r="I1044" t="s">
        <v>29</v>
      </c>
      <c r="J1044" t="str">
        <f t="shared" si="114"/>
        <v>CUST0461</v>
      </c>
      <c r="K1044" t="s">
        <v>2628</v>
      </c>
      <c r="L1044" t="str">
        <f>PROPER(TRIM(CLEAN(Sales_Table[[#This Row],[Salesperson]])))</f>
        <v>Rahul</v>
      </c>
      <c r="M1044" t="s">
        <v>31</v>
      </c>
      <c r="N1044" t="str">
        <f t="shared" si="115"/>
        <v>Upi</v>
      </c>
      <c r="O1044" t="s">
        <v>48</v>
      </c>
      <c r="P1044">
        <f t="shared" si="116"/>
        <v>12</v>
      </c>
      <c r="Q1044" t="s">
        <v>33</v>
      </c>
      <c r="R1044">
        <f t="shared" si="117"/>
        <v>4152</v>
      </c>
      <c r="S1044" t="s">
        <v>2629</v>
      </c>
      <c r="T1044">
        <f t="shared" si="118"/>
        <v>49824</v>
      </c>
      <c r="U1044">
        <f>YEAR(Sales_Table[[#This Row],[Date_clean]])</f>
        <v>2024</v>
      </c>
      <c r="V1044" t="str">
        <f>TEXT(Sales_Table[[#This Row],[Date_clean]],"mmmm")</f>
        <v>February</v>
      </c>
      <c r="W1044">
        <f>WEEKNUM(Sales_Table[[#This Row],[Date_clean]],2)</f>
        <v>7</v>
      </c>
      <c r="X1044" t="str" cm="1">
        <f t="array" ref="X1044">_xlfn.IFS(Sales_Table[[#This Row],[Revenue]]&gt;=50000,"High",Sales_Table[[#This Row],[Revenue]]&gt;=20000,"Medium",Sales_Table[[#This Row],[Revenue]]&lt;20000,"Low")</f>
        <v>Medium</v>
      </c>
      <c r="Y1044" t="str">
        <f>IF(Sales_Table[[#This Row],[Payment Method_clean]]="cash","Offline","Online")</f>
        <v>Online</v>
      </c>
      <c r="Z1044">
        <f>IFERROR(Sales_Table[[#This Row],[Revenue]],0)</f>
        <v>49824</v>
      </c>
    </row>
    <row r="1045" spans="1:26" x14ac:dyDescent="0.3">
      <c r="A1045">
        <v>1044</v>
      </c>
      <c r="B1045" s="2">
        <f t="shared" si="112"/>
        <v>45335.458333333336</v>
      </c>
      <c r="C1045" t="s">
        <v>2630</v>
      </c>
      <c r="D1045" t="s">
        <v>45</v>
      </c>
      <c r="E1045" t="str">
        <f>PROPER(TRIM(CLEAN(Sales_Table[[#This Row],[Region]])))</f>
        <v>North</v>
      </c>
      <c r="F1045" t="s">
        <v>78</v>
      </c>
      <c r="G1045" t="str">
        <f t="shared" si="113"/>
        <v>Grocery</v>
      </c>
      <c r="H1045" t="str">
        <f>PROPER(TRIM(CLEAN(Sales_Table[[#This Row],[Product Name]])))</f>
        <v>Laptop</v>
      </c>
      <c r="I1045" t="s">
        <v>52</v>
      </c>
      <c r="J1045" t="str">
        <f t="shared" si="114"/>
        <v>CUST0618</v>
      </c>
      <c r="K1045" t="s">
        <v>2323</v>
      </c>
      <c r="L1045" t="str">
        <f>PROPER(TRIM(CLEAN(Sales_Table[[#This Row],[Salesperson]])))</f>
        <v>Anita</v>
      </c>
      <c r="M1045" t="s">
        <v>64</v>
      </c>
      <c r="N1045" t="str">
        <f t="shared" si="115"/>
        <v>Cash</v>
      </c>
      <c r="O1045" t="s">
        <v>32</v>
      </c>
      <c r="P1045">
        <f t="shared" si="116"/>
        <v>1</v>
      </c>
      <c r="Q1045" t="s">
        <v>93</v>
      </c>
      <c r="R1045">
        <f t="shared" si="117"/>
        <v>3041</v>
      </c>
      <c r="S1045" t="s">
        <v>2631</v>
      </c>
      <c r="T1045">
        <f t="shared" si="118"/>
        <v>3041</v>
      </c>
      <c r="U1045">
        <f>YEAR(Sales_Table[[#This Row],[Date_clean]])</f>
        <v>2024</v>
      </c>
      <c r="V1045" t="str">
        <f>TEXT(Sales_Table[[#This Row],[Date_clean]],"mmmm")</f>
        <v>February</v>
      </c>
      <c r="W1045">
        <f>WEEKNUM(Sales_Table[[#This Row],[Date_clean]],2)</f>
        <v>7</v>
      </c>
      <c r="X1045" t="str" cm="1">
        <f t="array" ref="X1045">_xlfn.IFS(Sales_Table[[#This Row],[Revenue]]&gt;=50000,"High",Sales_Table[[#This Row],[Revenue]]&gt;=20000,"Medium",Sales_Table[[#This Row],[Revenue]]&lt;20000,"Low")</f>
        <v>Low</v>
      </c>
      <c r="Y1045" t="str">
        <f>IF(Sales_Table[[#This Row],[Payment Method_clean]]="cash","Offline","Online")</f>
        <v>Offline</v>
      </c>
      <c r="Z1045">
        <f>IFERROR(Sales_Table[[#This Row],[Revenue]],0)</f>
        <v>3041</v>
      </c>
    </row>
    <row r="1046" spans="1:26" x14ac:dyDescent="0.3">
      <c r="A1046">
        <v>1045</v>
      </c>
      <c r="B1046" s="2">
        <f t="shared" si="112"/>
        <v>45335.5</v>
      </c>
      <c r="C1046" t="s">
        <v>2632</v>
      </c>
      <c r="D1046" t="s">
        <v>84</v>
      </c>
      <c r="E1046" t="str">
        <f>PROPER(TRIM(CLEAN(Sales_Table[[#This Row],[Region]])))</f>
        <v>South</v>
      </c>
      <c r="F1046" t="s">
        <v>46</v>
      </c>
      <c r="G1046" t="str">
        <f t="shared" si="113"/>
        <v>Electronics</v>
      </c>
      <c r="H1046" t="str">
        <f>PROPER(TRIM(CLEAN(Sales_Table[[#This Row],[Product Name]])))</f>
        <v>Led Tv 42Inch</v>
      </c>
      <c r="I1046" t="s">
        <v>58</v>
      </c>
      <c r="J1046" t="str">
        <f t="shared" si="114"/>
        <v>CUST0021</v>
      </c>
      <c r="K1046" t="s">
        <v>2633</v>
      </c>
      <c r="L1046" t="str">
        <f>PROPER(TRIM(CLEAN(Sales_Table[[#This Row],[Salesperson]])))</f>
        <v>Meena</v>
      </c>
      <c r="M1046" t="s">
        <v>40</v>
      </c>
      <c r="N1046" t="str">
        <f t="shared" si="115"/>
        <v>Net Banking</v>
      </c>
      <c r="O1046" t="s">
        <v>60</v>
      </c>
      <c r="P1046">
        <f t="shared" si="116"/>
        <v>14</v>
      </c>
      <c r="Q1046" t="s">
        <v>55</v>
      </c>
      <c r="R1046">
        <f t="shared" si="117"/>
        <v>345</v>
      </c>
      <c r="S1046" t="s">
        <v>2634</v>
      </c>
      <c r="T1046">
        <f t="shared" si="118"/>
        <v>4830</v>
      </c>
      <c r="U1046">
        <f>YEAR(Sales_Table[[#This Row],[Date_clean]])</f>
        <v>2024</v>
      </c>
      <c r="V1046" t="str">
        <f>TEXT(Sales_Table[[#This Row],[Date_clean]],"mmmm")</f>
        <v>February</v>
      </c>
      <c r="W1046">
        <f>WEEKNUM(Sales_Table[[#This Row],[Date_clean]],2)</f>
        <v>7</v>
      </c>
      <c r="X1046" t="str" cm="1">
        <f t="array" ref="X1046">_xlfn.IFS(Sales_Table[[#This Row],[Revenue]]&gt;=50000,"High",Sales_Table[[#This Row],[Revenue]]&gt;=20000,"Medium",Sales_Table[[#This Row],[Revenue]]&lt;20000,"Low")</f>
        <v>Low</v>
      </c>
      <c r="Y1046" t="str">
        <f>IF(Sales_Table[[#This Row],[Payment Method_clean]]="cash","Offline","Online")</f>
        <v>Online</v>
      </c>
      <c r="Z1046">
        <f>IFERROR(Sales_Table[[#This Row],[Revenue]],0)</f>
        <v>4830</v>
      </c>
    </row>
    <row r="1047" spans="1:26" x14ac:dyDescent="0.3">
      <c r="A1047">
        <v>1046</v>
      </c>
      <c r="B1047" s="2">
        <f t="shared" si="112"/>
        <v>45335.541666666664</v>
      </c>
      <c r="C1047" t="s">
        <v>2635</v>
      </c>
      <c r="D1047" t="s">
        <v>27</v>
      </c>
      <c r="E1047" t="str">
        <f>PROPER(TRIM(CLEAN(Sales_Table[[#This Row],[Region]])))</f>
        <v>East</v>
      </c>
      <c r="F1047" t="s">
        <v>28</v>
      </c>
      <c r="G1047" t="str">
        <f t="shared" si="113"/>
        <v>Clothing</v>
      </c>
      <c r="H1047" t="str">
        <f>PROPER(TRIM(CLEAN(Sales_Table[[#This Row],[Product Name]])))</f>
        <v>Men T-Shirt</v>
      </c>
      <c r="I1047" t="s">
        <v>38</v>
      </c>
      <c r="J1047" t="str">
        <f t="shared" si="114"/>
        <v>CUST0064</v>
      </c>
      <c r="K1047" t="s">
        <v>707</v>
      </c>
      <c r="L1047" t="str">
        <f>PROPER(TRIM(CLEAN(Sales_Table[[#This Row],[Salesperson]])))</f>
        <v>Suresh</v>
      </c>
      <c r="M1047" t="s">
        <v>54</v>
      </c>
      <c r="N1047" t="str">
        <f t="shared" si="115"/>
        <v>Upi</v>
      </c>
      <c r="O1047" t="s">
        <v>48</v>
      </c>
      <c r="P1047">
        <f t="shared" si="116"/>
        <v>12</v>
      </c>
      <c r="Q1047" t="s">
        <v>33</v>
      </c>
      <c r="R1047">
        <f t="shared" si="117"/>
        <v>371</v>
      </c>
      <c r="S1047" t="s">
        <v>1249</v>
      </c>
      <c r="T1047">
        <f t="shared" si="118"/>
        <v>4452</v>
      </c>
      <c r="U1047">
        <f>YEAR(Sales_Table[[#This Row],[Date_clean]])</f>
        <v>2024</v>
      </c>
      <c r="V1047" t="str">
        <f>TEXT(Sales_Table[[#This Row],[Date_clean]],"mmmm")</f>
        <v>February</v>
      </c>
      <c r="W1047">
        <f>WEEKNUM(Sales_Table[[#This Row],[Date_clean]],2)</f>
        <v>7</v>
      </c>
      <c r="X1047" t="str" cm="1">
        <f t="array" ref="X1047">_xlfn.IFS(Sales_Table[[#This Row],[Revenue]]&gt;=50000,"High",Sales_Table[[#This Row],[Revenue]]&gt;=20000,"Medium",Sales_Table[[#This Row],[Revenue]]&lt;20000,"Low")</f>
        <v>Low</v>
      </c>
      <c r="Y1047" t="str">
        <f>IF(Sales_Table[[#This Row],[Payment Method_clean]]="cash","Offline","Online")</f>
        <v>Online</v>
      </c>
      <c r="Z1047">
        <f>IFERROR(Sales_Table[[#This Row],[Revenue]],0)</f>
        <v>4452</v>
      </c>
    </row>
    <row r="1048" spans="1:26" x14ac:dyDescent="0.3">
      <c r="A1048">
        <v>1047</v>
      </c>
      <c r="B1048" s="2">
        <f t="shared" si="112"/>
        <v>45335.583333333336</v>
      </c>
      <c r="C1048" t="s">
        <v>2636</v>
      </c>
      <c r="D1048" t="s">
        <v>27</v>
      </c>
      <c r="E1048" t="str">
        <f>PROPER(TRIM(CLEAN(Sales_Table[[#This Row],[Region]])))</f>
        <v>East</v>
      </c>
      <c r="F1048" t="s">
        <v>46</v>
      </c>
      <c r="G1048" t="str">
        <f t="shared" si="113"/>
        <v>Electronics</v>
      </c>
      <c r="H1048" t="str">
        <f>PROPER(TRIM(CLEAN(Sales_Table[[#This Row],[Product Name]])))</f>
        <v>Rice 5Kg</v>
      </c>
      <c r="I1048" t="s">
        <v>73</v>
      </c>
      <c r="J1048" t="str">
        <f t="shared" si="114"/>
        <v>CUST0165</v>
      </c>
      <c r="K1048" t="s">
        <v>2637</v>
      </c>
      <c r="L1048" t="str">
        <f>PROPER(TRIM(CLEAN(Sales_Table[[#This Row],[Salesperson]])))</f>
        <v>Karthik</v>
      </c>
      <c r="M1048" t="s">
        <v>70</v>
      </c>
      <c r="N1048" t="str">
        <f t="shared" si="115"/>
        <v>Debit Card</v>
      </c>
      <c r="O1048" t="s">
        <v>41</v>
      </c>
      <c r="P1048">
        <f t="shared" si="116"/>
        <v>6</v>
      </c>
      <c r="Q1048" t="s">
        <v>75</v>
      </c>
      <c r="R1048">
        <f t="shared" si="117"/>
        <v>2130</v>
      </c>
      <c r="S1048" t="s">
        <v>2638</v>
      </c>
      <c r="T1048">
        <f t="shared" si="118"/>
        <v>12780</v>
      </c>
      <c r="U1048">
        <f>YEAR(Sales_Table[[#This Row],[Date_clean]])</f>
        <v>2024</v>
      </c>
      <c r="V1048" t="str">
        <f>TEXT(Sales_Table[[#This Row],[Date_clean]],"mmmm")</f>
        <v>February</v>
      </c>
      <c r="W1048">
        <f>WEEKNUM(Sales_Table[[#This Row],[Date_clean]],2)</f>
        <v>7</v>
      </c>
      <c r="X1048" t="str" cm="1">
        <f t="array" ref="X1048">_xlfn.IFS(Sales_Table[[#This Row],[Revenue]]&gt;=50000,"High",Sales_Table[[#This Row],[Revenue]]&gt;=20000,"Medium",Sales_Table[[#This Row],[Revenue]]&lt;20000,"Low")</f>
        <v>Low</v>
      </c>
      <c r="Y1048" t="str">
        <f>IF(Sales_Table[[#This Row],[Payment Method_clean]]="cash","Offline","Online")</f>
        <v>Online</v>
      </c>
      <c r="Z1048">
        <f>IFERROR(Sales_Table[[#This Row],[Revenue]],0)</f>
        <v>12780</v>
      </c>
    </row>
    <row r="1049" spans="1:26" x14ac:dyDescent="0.3">
      <c r="A1049">
        <v>1048</v>
      </c>
      <c r="B1049" s="2">
        <f t="shared" si="112"/>
        <v>45335.625</v>
      </c>
      <c r="C1049" t="s">
        <v>2639</v>
      </c>
      <c r="D1049" t="s">
        <v>45</v>
      </c>
      <c r="E1049" t="str">
        <f>PROPER(TRIM(CLEAN(Sales_Table[[#This Row],[Region]])))</f>
        <v>North</v>
      </c>
      <c r="F1049" t="s">
        <v>46</v>
      </c>
      <c r="G1049" t="str">
        <f t="shared" si="113"/>
        <v>Electronics</v>
      </c>
      <c r="H1049" t="str">
        <f>PROPER(TRIM(CLEAN(Sales_Table[[#This Row],[Product Name]])))</f>
        <v>Men T-Shirt</v>
      </c>
      <c r="I1049" t="s">
        <v>38</v>
      </c>
      <c r="J1049" t="str">
        <f t="shared" si="114"/>
        <v>CUST0027</v>
      </c>
      <c r="K1049" t="s">
        <v>467</v>
      </c>
      <c r="L1049" t="str">
        <f>PROPER(TRIM(CLEAN(Sales_Table[[#This Row],[Salesperson]])))</f>
        <v>Rahul</v>
      </c>
      <c r="M1049" t="s">
        <v>31</v>
      </c>
      <c r="N1049" t="str">
        <f t="shared" si="115"/>
        <v>Upi</v>
      </c>
      <c r="O1049" t="s">
        <v>48</v>
      </c>
      <c r="P1049">
        <f t="shared" si="116"/>
        <v>12</v>
      </c>
      <c r="Q1049" t="s">
        <v>33</v>
      </c>
      <c r="R1049">
        <f t="shared" si="117"/>
        <v>4598</v>
      </c>
      <c r="S1049" t="s">
        <v>629</v>
      </c>
      <c r="T1049">
        <f t="shared" si="118"/>
        <v>55176</v>
      </c>
      <c r="U1049">
        <f>YEAR(Sales_Table[[#This Row],[Date_clean]])</f>
        <v>2024</v>
      </c>
      <c r="V1049" t="str">
        <f>TEXT(Sales_Table[[#This Row],[Date_clean]],"mmmm")</f>
        <v>February</v>
      </c>
      <c r="W1049">
        <f>WEEKNUM(Sales_Table[[#This Row],[Date_clean]],2)</f>
        <v>7</v>
      </c>
      <c r="X1049" t="str" cm="1">
        <f t="array" ref="X1049">_xlfn.IFS(Sales_Table[[#This Row],[Revenue]]&gt;=50000,"High",Sales_Table[[#This Row],[Revenue]]&gt;=20000,"Medium",Sales_Table[[#This Row],[Revenue]]&lt;20000,"Low")</f>
        <v>High</v>
      </c>
      <c r="Y1049" t="str">
        <f>IF(Sales_Table[[#This Row],[Payment Method_clean]]="cash","Offline","Online")</f>
        <v>Online</v>
      </c>
      <c r="Z1049">
        <f>IFERROR(Sales_Table[[#This Row],[Revenue]],0)</f>
        <v>55176</v>
      </c>
    </row>
    <row r="1050" spans="1:26" x14ac:dyDescent="0.3">
      <c r="A1050">
        <v>1049</v>
      </c>
      <c r="B1050" s="2">
        <f t="shared" si="112"/>
        <v>45335.666666666664</v>
      </c>
      <c r="C1050" t="s">
        <v>2640</v>
      </c>
      <c r="D1050" t="s">
        <v>45</v>
      </c>
      <c r="E1050" t="str">
        <f>PROPER(TRIM(CLEAN(Sales_Table[[#This Row],[Region]])))</f>
        <v>North</v>
      </c>
      <c r="F1050" t="s">
        <v>78</v>
      </c>
      <c r="G1050" t="str">
        <f t="shared" si="113"/>
        <v>Grocery</v>
      </c>
      <c r="H1050" t="str">
        <f>PROPER(TRIM(CLEAN(Sales_Table[[#This Row],[Product Name]])))</f>
        <v>Laptop</v>
      </c>
      <c r="I1050" t="s">
        <v>52</v>
      </c>
      <c r="J1050" t="str">
        <f t="shared" si="114"/>
        <v>CUST0311</v>
      </c>
      <c r="K1050" t="s">
        <v>1924</v>
      </c>
      <c r="L1050" t="str">
        <f>PROPER(TRIM(CLEAN(Sales_Table[[#This Row],[Salesperson]])))</f>
        <v>Anita</v>
      </c>
      <c r="M1050" t="s">
        <v>64</v>
      </c>
      <c r="N1050" t="str">
        <f t="shared" si="115"/>
        <v>Credit Card</v>
      </c>
      <c r="O1050" t="s">
        <v>65</v>
      </c>
      <c r="P1050">
        <f t="shared" si="116"/>
        <v>12</v>
      </c>
      <c r="Q1050" t="s">
        <v>33</v>
      </c>
      <c r="R1050">
        <f t="shared" si="117"/>
        <v>3287</v>
      </c>
      <c r="S1050" t="s">
        <v>2641</v>
      </c>
      <c r="T1050">
        <f t="shared" si="118"/>
        <v>39444</v>
      </c>
      <c r="U1050">
        <f>YEAR(Sales_Table[[#This Row],[Date_clean]])</f>
        <v>2024</v>
      </c>
      <c r="V1050" t="str">
        <f>TEXT(Sales_Table[[#This Row],[Date_clean]],"mmmm")</f>
        <v>February</v>
      </c>
      <c r="W1050">
        <f>WEEKNUM(Sales_Table[[#This Row],[Date_clean]],2)</f>
        <v>7</v>
      </c>
      <c r="X1050" t="str" cm="1">
        <f t="array" ref="X1050">_xlfn.IFS(Sales_Table[[#This Row],[Revenue]]&gt;=50000,"High",Sales_Table[[#This Row],[Revenue]]&gt;=20000,"Medium",Sales_Table[[#This Row],[Revenue]]&lt;20000,"Low")</f>
        <v>Medium</v>
      </c>
      <c r="Y1050" t="str">
        <f>IF(Sales_Table[[#This Row],[Payment Method_clean]]="cash","Offline","Online")</f>
        <v>Online</v>
      </c>
      <c r="Z1050">
        <f>IFERROR(Sales_Table[[#This Row],[Revenue]],0)</f>
        <v>39444</v>
      </c>
    </row>
    <row r="1051" spans="1:26" x14ac:dyDescent="0.3">
      <c r="A1051">
        <v>1050</v>
      </c>
      <c r="B1051" s="2">
        <f t="shared" si="112"/>
        <v>45335.708333333336</v>
      </c>
      <c r="C1051" t="s">
        <v>2642</v>
      </c>
      <c r="D1051" t="s">
        <v>45</v>
      </c>
      <c r="E1051" t="str">
        <f>PROPER(TRIM(CLEAN(Sales_Table[[#This Row],[Region]])))</f>
        <v>North</v>
      </c>
      <c r="F1051" t="s">
        <v>37</v>
      </c>
      <c r="G1051" t="str">
        <f t="shared" si="113"/>
        <v>Home Appliances</v>
      </c>
      <c r="H1051" t="str">
        <f>PROPER(TRIM(CLEAN(Sales_Table[[#This Row],[Product Name]])))</f>
        <v>Rice 5Kg</v>
      </c>
      <c r="I1051" t="s">
        <v>73</v>
      </c>
      <c r="J1051" t="str">
        <f t="shared" si="114"/>
        <v>CUST0285</v>
      </c>
      <c r="K1051" t="s">
        <v>2643</v>
      </c>
      <c r="L1051" t="str">
        <f>PROPER(TRIM(CLEAN(Sales_Table[[#This Row],[Salesperson]])))</f>
        <v>Suresh</v>
      </c>
      <c r="M1051" t="s">
        <v>54</v>
      </c>
      <c r="N1051" t="str">
        <f t="shared" si="115"/>
        <v>Upi</v>
      </c>
      <c r="O1051" t="s">
        <v>48</v>
      </c>
      <c r="P1051">
        <f t="shared" si="116"/>
        <v>13</v>
      </c>
      <c r="Q1051" t="s">
        <v>81</v>
      </c>
      <c r="R1051">
        <f t="shared" si="117"/>
        <v>3606</v>
      </c>
      <c r="S1051" t="s">
        <v>2644</v>
      </c>
      <c r="T1051">
        <f t="shared" si="118"/>
        <v>46878</v>
      </c>
      <c r="U1051">
        <f>YEAR(Sales_Table[[#This Row],[Date_clean]])</f>
        <v>2024</v>
      </c>
      <c r="V1051" t="str">
        <f>TEXT(Sales_Table[[#This Row],[Date_clean]],"mmmm")</f>
        <v>February</v>
      </c>
      <c r="W1051">
        <f>WEEKNUM(Sales_Table[[#This Row],[Date_clean]],2)</f>
        <v>7</v>
      </c>
      <c r="X1051" t="str" cm="1">
        <f t="array" ref="X1051">_xlfn.IFS(Sales_Table[[#This Row],[Revenue]]&gt;=50000,"High",Sales_Table[[#This Row],[Revenue]]&gt;=20000,"Medium",Sales_Table[[#This Row],[Revenue]]&lt;20000,"Low")</f>
        <v>Medium</v>
      </c>
      <c r="Y1051" t="str">
        <f>IF(Sales_Table[[#This Row],[Payment Method_clean]]="cash","Offline","Online")</f>
        <v>Online</v>
      </c>
      <c r="Z1051">
        <f>IFERROR(Sales_Table[[#This Row],[Revenue]],0)</f>
        <v>46878</v>
      </c>
    </row>
    <row r="1052" spans="1:26" x14ac:dyDescent="0.3">
      <c r="A1052">
        <v>1051</v>
      </c>
      <c r="B1052" s="2">
        <f t="shared" si="112"/>
        <v>45335.75</v>
      </c>
      <c r="C1052" t="s">
        <v>2645</v>
      </c>
      <c r="D1052" t="s">
        <v>84</v>
      </c>
      <c r="E1052" t="str">
        <f>PROPER(TRIM(CLEAN(Sales_Table[[#This Row],[Region]])))</f>
        <v>South</v>
      </c>
      <c r="F1052" t="s">
        <v>37</v>
      </c>
      <c r="G1052" t="str">
        <f t="shared" si="113"/>
        <v>Home Appliances</v>
      </c>
      <c r="H1052" t="str">
        <f>PROPER(TRIM(CLEAN(Sales_Table[[#This Row],[Product Name]])))</f>
        <v>Mixer Grinder</v>
      </c>
      <c r="I1052" t="s">
        <v>29</v>
      </c>
      <c r="J1052" t="str">
        <f t="shared" si="114"/>
        <v>CUST0660</v>
      </c>
      <c r="K1052" t="s">
        <v>808</v>
      </c>
      <c r="L1052" t="str">
        <f>PROPER(TRIM(CLEAN(Sales_Table[[#This Row],[Salesperson]])))</f>
        <v>Karthik</v>
      </c>
      <c r="M1052" t="s">
        <v>70</v>
      </c>
      <c r="N1052" t="str">
        <f t="shared" si="115"/>
        <v>Net Banking</v>
      </c>
      <c r="O1052" t="s">
        <v>60</v>
      </c>
      <c r="P1052">
        <f t="shared" si="116"/>
        <v>9</v>
      </c>
      <c r="Q1052" t="s">
        <v>130</v>
      </c>
      <c r="R1052">
        <f t="shared" si="117"/>
        <v>1565</v>
      </c>
      <c r="S1052" t="s">
        <v>2646</v>
      </c>
      <c r="T1052">
        <f t="shared" si="118"/>
        <v>14085</v>
      </c>
      <c r="U1052">
        <f>YEAR(Sales_Table[[#This Row],[Date_clean]])</f>
        <v>2024</v>
      </c>
      <c r="V1052" t="str">
        <f>TEXT(Sales_Table[[#This Row],[Date_clean]],"mmmm")</f>
        <v>February</v>
      </c>
      <c r="W1052">
        <f>WEEKNUM(Sales_Table[[#This Row],[Date_clean]],2)</f>
        <v>7</v>
      </c>
      <c r="X1052" t="str" cm="1">
        <f t="array" ref="X1052">_xlfn.IFS(Sales_Table[[#This Row],[Revenue]]&gt;=50000,"High",Sales_Table[[#This Row],[Revenue]]&gt;=20000,"Medium",Sales_Table[[#This Row],[Revenue]]&lt;20000,"Low")</f>
        <v>Low</v>
      </c>
      <c r="Y1052" t="str">
        <f>IF(Sales_Table[[#This Row],[Payment Method_clean]]="cash","Offline","Online")</f>
        <v>Online</v>
      </c>
      <c r="Z1052">
        <f>IFERROR(Sales_Table[[#This Row],[Revenue]],0)</f>
        <v>14085</v>
      </c>
    </row>
    <row r="1053" spans="1:26" x14ac:dyDescent="0.3">
      <c r="A1053">
        <v>1052</v>
      </c>
      <c r="B1053" s="2">
        <f t="shared" si="112"/>
        <v>45335.791666666664</v>
      </c>
      <c r="C1053" t="s">
        <v>2647</v>
      </c>
      <c r="D1053" t="s">
        <v>45</v>
      </c>
      <c r="E1053" t="str">
        <f>PROPER(TRIM(CLEAN(Sales_Table[[#This Row],[Region]])))</f>
        <v>North</v>
      </c>
      <c r="F1053" t="s">
        <v>78</v>
      </c>
      <c r="G1053" t="str">
        <f t="shared" si="113"/>
        <v>Grocery</v>
      </c>
      <c r="H1053" t="str">
        <f>PROPER(TRIM(CLEAN(Sales_Table[[#This Row],[Product Name]])))</f>
        <v>Laptop</v>
      </c>
      <c r="I1053" t="s">
        <v>52</v>
      </c>
      <c r="J1053" t="str">
        <f t="shared" si="114"/>
        <v>CUST0281</v>
      </c>
      <c r="K1053" t="s">
        <v>2431</v>
      </c>
      <c r="L1053" t="str">
        <f>PROPER(TRIM(CLEAN(Sales_Table[[#This Row],[Salesperson]])))</f>
        <v>Suresh</v>
      </c>
      <c r="M1053" t="s">
        <v>54</v>
      </c>
      <c r="N1053" t="str">
        <f t="shared" si="115"/>
        <v>Upi</v>
      </c>
      <c r="O1053" t="s">
        <v>48</v>
      </c>
      <c r="P1053">
        <f t="shared" si="116"/>
        <v>12</v>
      </c>
      <c r="Q1053" t="s">
        <v>33</v>
      </c>
      <c r="R1053">
        <f t="shared" si="117"/>
        <v>1295</v>
      </c>
      <c r="S1053" t="s">
        <v>2648</v>
      </c>
      <c r="T1053">
        <f t="shared" si="118"/>
        <v>15540</v>
      </c>
      <c r="U1053">
        <f>YEAR(Sales_Table[[#This Row],[Date_clean]])</f>
        <v>2024</v>
      </c>
      <c r="V1053" t="str">
        <f>TEXT(Sales_Table[[#This Row],[Date_clean]],"mmmm")</f>
        <v>February</v>
      </c>
      <c r="W1053">
        <f>WEEKNUM(Sales_Table[[#This Row],[Date_clean]],2)</f>
        <v>7</v>
      </c>
      <c r="X1053" t="str" cm="1">
        <f t="array" ref="X1053">_xlfn.IFS(Sales_Table[[#This Row],[Revenue]]&gt;=50000,"High",Sales_Table[[#This Row],[Revenue]]&gt;=20000,"Medium",Sales_Table[[#This Row],[Revenue]]&lt;20000,"Low")</f>
        <v>Low</v>
      </c>
      <c r="Y1053" t="str">
        <f>IF(Sales_Table[[#This Row],[Payment Method_clean]]="cash","Offline","Online")</f>
        <v>Online</v>
      </c>
      <c r="Z1053">
        <f>IFERROR(Sales_Table[[#This Row],[Revenue]],0)</f>
        <v>15540</v>
      </c>
    </row>
    <row r="1054" spans="1:26" x14ac:dyDescent="0.3">
      <c r="A1054">
        <v>1053</v>
      </c>
      <c r="B1054" s="2">
        <f t="shared" si="112"/>
        <v>45335.833333333336</v>
      </c>
      <c r="C1054" t="s">
        <v>2649</v>
      </c>
      <c r="D1054" t="s">
        <v>27</v>
      </c>
      <c r="E1054" t="str">
        <f>PROPER(TRIM(CLEAN(Sales_Table[[#This Row],[Region]])))</f>
        <v>East</v>
      </c>
      <c r="F1054" t="s">
        <v>37</v>
      </c>
      <c r="G1054" t="str">
        <f t="shared" si="113"/>
        <v>Home Appliances</v>
      </c>
      <c r="H1054" t="str">
        <f>PROPER(TRIM(CLEAN(Sales_Table[[#This Row],[Product Name]])))</f>
        <v>Mixer Grinder</v>
      </c>
      <c r="I1054" t="s">
        <v>29</v>
      </c>
      <c r="J1054" t="str">
        <f t="shared" si="114"/>
        <v>CUST0164</v>
      </c>
      <c r="K1054" t="s">
        <v>2198</v>
      </c>
      <c r="L1054" t="str">
        <f>PROPER(TRIM(CLEAN(Sales_Table[[#This Row],[Salesperson]])))</f>
        <v>Karthik</v>
      </c>
      <c r="M1054" t="s">
        <v>70</v>
      </c>
      <c r="N1054" t="str">
        <f t="shared" si="115"/>
        <v>Cash</v>
      </c>
      <c r="O1054" t="s">
        <v>32</v>
      </c>
      <c r="P1054">
        <f t="shared" si="116"/>
        <v>3</v>
      </c>
      <c r="Q1054" t="s">
        <v>66</v>
      </c>
      <c r="R1054">
        <f t="shared" si="117"/>
        <v>3187</v>
      </c>
      <c r="S1054" t="s">
        <v>2650</v>
      </c>
      <c r="T1054">
        <f t="shared" si="118"/>
        <v>9561</v>
      </c>
      <c r="U1054">
        <f>YEAR(Sales_Table[[#This Row],[Date_clean]])</f>
        <v>2024</v>
      </c>
      <c r="V1054" t="str">
        <f>TEXT(Sales_Table[[#This Row],[Date_clean]],"mmmm")</f>
        <v>February</v>
      </c>
      <c r="W1054">
        <f>WEEKNUM(Sales_Table[[#This Row],[Date_clean]],2)</f>
        <v>7</v>
      </c>
      <c r="X1054" t="str" cm="1">
        <f t="array" ref="X1054">_xlfn.IFS(Sales_Table[[#This Row],[Revenue]]&gt;=50000,"High",Sales_Table[[#This Row],[Revenue]]&gt;=20000,"Medium",Sales_Table[[#This Row],[Revenue]]&lt;20000,"Low")</f>
        <v>Low</v>
      </c>
      <c r="Y1054" t="str">
        <f>IF(Sales_Table[[#This Row],[Payment Method_clean]]="cash","Offline","Online")</f>
        <v>Offline</v>
      </c>
      <c r="Z1054">
        <f>IFERROR(Sales_Table[[#This Row],[Revenue]],0)</f>
        <v>9561</v>
      </c>
    </row>
    <row r="1055" spans="1:26" x14ac:dyDescent="0.3">
      <c r="A1055">
        <v>1054</v>
      </c>
      <c r="B1055" s="2">
        <f t="shared" si="112"/>
        <v>45335.875</v>
      </c>
      <c r="C1055" t="s">
        <v>2651</v>
      </c>
      <c r="D1055" t="s">
        <v>27</v>
      </c>
      <c r="E1055" t="str">
        <f>PROPER(TRIM(CLEAN(Sales_Table[[#This Row],[Region]])))</f>
        <v>East</v>
      </c>
      <c r="F1055" t="s">
        <v>46</v>
      </c>
      <c r="G1055" t="str">
        <f t="shared" si="113"/>
        <v>Electronics</v>
      </c>
      <c r="H1055" t="str">
        <f>PROPER(TRIM(CLEAN(Sales_Table[[#This Row],[Product Name]])))</f>
        <v>Washing Machine</v>
      </c>
      <c r="I1055" t="s">
        <v>79</v>
      </c>
      <c r="J1055" t="str">
        <f t="shared" si="114"/>
        <v>CUST0224</v>
      </c>
      <c r="K1055" t="s">
        <v>1202</v>
      </c>
      <c r="L1055" t="str">
        <f>PROPER(TRIM(CLEAN(Sales_Table[[#This Row],[Salesperson]])))</f>
        <v>Meena</v>
      </c>
      <c r="M1055" t="s">
        <v>40</v>
      </c>
      <c r="N1055" t="str">
        <f t="shared" si="115"/>
        <v>Upi</v>
      </c>
      <c r="O1055" t="s">
        <v>48</v>
      </c>
      <c r="P1055">
        <f t="shared" si="116"/>
        <v>14</v>
      </c>
      <c r="Q1055" t="s">
        <v>55</v>
      </c>
      <c r="R1055">
        <f t="shared" si="117"/>
        <v>3108</v>
      </c>
      <c r="S1055" t="s">
        <v>650</v>
      </c>
      <c r="T1055">
        <f t="shared" si="118"/>
        <v>43512</v>
      </c>
      <c r="U1055">
        <f>YEAR(Sales_Table[[#This Row],[Date_clean]])</f>
        <v>2024</v>
      </c>
      <c r="V1055" t="str">
        <f>TEXT(Sales_Table[[#This Row],[Date_clean]],"mmmm")</f>
        <v>February</v>
      </c>
      <c r="W1055">
        <f>WEEKNUM(Sales_Table[[#This Row],[Date_clean]],2)</f>
        <v>7</v>
      </c>
      <c r="X1055" t="str" cm="1">
        <f t="array" ref="X1055">_xlfn.IFS(Sales_Table[[#This Row],[Revenue]]&gt;=50000,"High",Sales_Table[[#This Row],[Revenue]]&gt;=20000,"Medium",Sales_Table[[#This Row],[Revenue]]&lt;20000,"Low")</f>
        <v>Medium</v>
      </c>
      <c r="Y1055" t="str">
        <f>IF(Sales_Table[[#This Row],[Payment Method_clean]]="cash","Offline","Online")</f>
        <v>Online</v>
      </c>
      <c r="Z1055">
        <f>IFERROR(Sales_Table[[#This Row],[Revenue]],0)</f>
        <v>43512</v>
      </c>
    </row>
    <row r="1056" spans="1:26" x14ac:dyDescent="0.3">
      <c r="A1056">
        <v>1055</v>
      </c>
      <c r="B1056" s="2">
        <f t="shared" si="112"/>
        <v>45335.916666666664</v>
      </c>
      <c r="C1056" t="s">
        <v>2652</v>
      </c>
      <c r="D1056" t="s">
        <v>45</v>
      </c>
      <c r="E1056" t="str">
        <f>PROPER(TRIM(CLEAN(Sales_Table[[#This Row],[Region]])))</f>
        <v>North</v>
      </c>
      <c r="F1056" t="s">
        <v>28</v>
      </c>
      <c r="G1056" t="str">
        <f t="shared" si="113"/>
        <v>Clothing</v>
      </c>
      <c r="H1056" t="str">
        <f>PROPER(TRIM(CLEAN(Sales_Table[[#This Row],[Product Name]])))</f>
        <v>Men T-Shirt</v>
      </c>
      <c r="I1056" t="s">
        <v>38</v>
      </c>
      <c r="J1056" t="str">
        <f t="shared" si="114"/>
        <v>CUST0784</v>
      </c>
      <c r="K1056" t="s">
        <v>2505</v>
      </c>
      <c r="L1056" t="str">
        <f>PROPER(TRIM(CLEAN(Sales_Table[[#This Row],[Salesperson]])))</f>
        <v>Suresh</v>
      </c>
      <c r="M1056" t="s">
        <v>54</v>
      </c>
      <c r="N1056" t="str">
        <f t="shared" si="115"/>
        <v>Net Banking</v>
      </c>
      <c r="O1056" t="s">
        <v>60</v>
      </c>
      <c r="P1056">
        <f t="shared" si="116"/>
        <v>7</v>
      </c>
      <c r="Q1056" t="s">
        <v>49</v>
      </c>
      <c r="R1056">
        <f t="shared" si="117"/>
        <v>3923</v>
      </c>
      <c r="S1056" t="s">
        <v>2653</v>
      </c>
      <c r="T1056">
        <f t="shared" si="118"/>
        <v>27461</v>
      </c>
      <c r="U1056">
        <f>YEAR(Sales_Table[[#This Row],[Date_clean]])</f>
        <v>2024</v>
      </c>
      <c r="V1056" t="str">
        <f>TEXT(Sales_Table[[#This Row],[Date_clean]],"mmmm")</f>
        <v>February</v>
      </c>
      <c r="W1056">
        <f>WEEKNUM(Sales_Table[[#This Row],[Date_clean]],2)</f>
        <v>7</v>
      </c>
      <c r="X1056" t="str" cm="1">
        <f t="array" ref="X1056">_xlfn.IFS(Sales_Table[[#This Row],[Revenue]]&gt;=50000,"High",Sales_Table[[#This Row],[Revenue]]&gt;=20000,"Medium",Sales_Table[[#This Row],[Revenue]]&lt;20000,"Low")</f>
        <v>Medium</v>
      </c>
      <c r="Y1056" t="str">
        <f>IF(Sales_Table[[#This Row],[Payment Method_clean]]="cash","Offline","Online")</f>
        <v>Online</v>
      </c>
      <c r="Z1056">
        <f>IFERROR(Sales_Table[[#This Row],[Revenue]],0)</f>
        <v>27461</v>
      </c>
    </row>
    <row r="1057" spans="1:26" x14ac:dyDescent="0.3">
      <c r="A1057">
        <v>1056</v>
      </c>
      <c r="B1057" s="2">
        <f t="shared" si="112"/>
        <v>45335.958333333336</v>
      </c>
      <c r="C1057" t="s">
        <v>2654</v>
      </c>
      <c r="D1057" t="s">
        <v>45</v>
      </c>
      <c r="E1057" t="str">
        <f>PROPER(TRIM(CLEAN(Sales_Table[[#This Row],[Region]])))</f>
        <v>North</v>
      </c>
      <c r="F1057" t="s">
        <v>78</v>
      </c>
      <c r="G1057" t="str">
        <f t="shared" si="113"/>
        <v>Grocery</v>
      </c>
      <c r="H1057" t="str">
        <f>PROPER(TRIM(CLEAN(Sales_Table[[#This Row],[Product Name]])))</f>
        <v>Rice 5Kg</v>
      </c>
      <c r="I1057" t="s">
        <v>73</v>
      </c>
      <c r="J1057" t="str">
        <f t="shared" si="114"/>
        <v>CUST0146</v>
      </c>
      <c r="K1057" t="s">
        <v>2131</v>
      </c>
      <c r="L1057" t="str">
        <f>PROPER(TRIM(CLEAN(Sales_Table[[#This Row],[Salesperson]])))</f>
        <v>Suresh</v>
      </c>
      <c r="M1057" t="s">
        <v>54</v>
      </c>
      <c r="N1057" t="str">
        <f t="shared" si="115"/>
        <v>Cash</v>
      </c>
      <c r="O1057" t="s">
        <v>32</v>
      </c>
      <c r="P1057">
        <f t="shared" si="116"/>
        <v>13</v>
      </c>
      <c r="Q1057" t="s">
        <v>81</v>
      </c>
      <c r="R1057">
        <f t="shared" si="117"/>
        <v>1714</v>
      </c>
      <c r="S1057" t="s">
        <v>265</v>
      </c>
      <c r="T1057">
        <f t="shared" si="118"/>
        <v>22282</v>
      </c>
      <c r="U1057">
        <f>YEAR(Sales_Table[[#This Row],[Date_clean]])</f>
        <v>2024</v>
      </c>
      <c r="V1057" t="str">
        <f>TEXT(Sales_Table[[#This Row],[Date_clean]],"mmmm")</f>
        <v>February</v>
      </c>
      <c r="W1057">
        <f>WEEKNUM(Sales_Table[[#This Row],[Date_clean]],2)</f>
        <v>7</v>
      </c>
      <c r="X1057" t="str" cm="1">
        <f t="array" ref="X1057">_xlfn.IFS(Sales_Table[[#This Row],[Revenue]]&gt;=50000,"High",Sales_Table[[#This Row],[Revenue]]&gt;=20000,"Medium",Sales_Table[[#This Row],[Revenue]]&lt;20000,"Low")</f>
        <v>Medium</v>
      </c>
      <c r="Y1057" t="str">
        <f>IF(Sales_Table[[#This Row],[Payment Method_clean]]="cash","Offline","Online")</f>
        <v>Offline</v>
      </c>
      <c r="Z1057">
        <f>IFERROR(Sales_Table[[#This Row],[Revenue]],0)</f>
        <v>22282</v>
      </c>
    </row>
    <row r="1058" spans="1:26" x14ac:dyDescent="0.3">
      <c r="A1058">
        <v>1057</v>
      </c>
      <c r="B1058" s="2">
        <f t="shared" si="112"/>
        <v>45336</v>
      </c>
      <c r="C1058" t="s">
        <v>2655</v>
      </c>
      <c r="D1058" t="s">
        <v>36</v>
      </c>
      <c r="E1058" t="str">
        <f>PROPER(TRIM(CLEAN(Sales_Table[[#This Row],[Region]])))</f>
        <v>West</v>
      </c>
      <c r="F1058" t="s">
        <v>28</v>
      </c>
      <c r="G1058" t="str">
        <f t="shared" si="113"/>
        <v>Clothing</v>
      </c>
      <c r="H1058" t="str">
        <f>PROPER(TRIM(CLEAN(Sales_Table[[#This Row],[Product Name]])))</f>
        <v>Mixer Grinder</v>
      </c>
      <c r="I1058" t="s">
        <v>29</v>
      </c>
      <c r="J1058" t="str">
        <f t="shared" si="114"/>
        <v>CUST0030</v>
      </c>
      <c r="K1058" t="s">
        <v>1955</v>
      </c>
      <c r="L1058" t="str">
        <f>PROPER(TRIM(CLEAN(Sales_Table[[#This Row],[Salesperson]])))</f>
        <v>Suresh</v>
      </c>
      <c r="M1058" t="s">
        <v>54</v>
      </c>
      <c r="N1058" t="str">
        <f t="shared" si="115"/>
        <v>Debit Card</v>
      </c>
      <c r="O1058" t="s">
        <v>41</v>
      </c>
      <c r="P1058">
        <f t="shared" si="116"/>
        <v>6</v>
      </c>
      <c r="Q1058" t="s">
        <v>75</v>
      </c>
      <c r="R1058">
        <f t="shared" si="117"/>
        <v>1226</v>
      </c>
      <c r="S1058" t="s">
        <v>2506</v>
      </c>
      <c r="T1058">
        <f t="shared" si="118"/>
        <v>7356</v>
      </c>
      <c r="U1058">
        <f>YEAR(Sales_Table[[#This Row],[Date_clean]])</f>
        <v>2024</v>
      </c>
      <c r="V1058" t="str">
        <f>TEXT(Sales_Table[[#This Row],[Date_clean]],"mmmm")</f>
        <v>February</v>
      </c>
      <c r="W1058">
        <f>WEEKNUM(Sales_Table[[#This Row],[Date_clean]],2)</f>
        <v>7</v>
      </c>
      <c r="X1058" t="str" cm="1">
        <f t="array" ref="X1058">_xlfn.IFS(Sales_Table[[#This Row],[Revenue]]&gt;=50000,"High",Sales_Table[[#This Row],[Revenue]]&gt;=20000,"Medium",Sales_Table[[#This Row],[Revenue]]&lt;20000,"Low")</f>
        <v>Low</v>
      </c>
      <c r="Y1058" t="str">
        <f>IF(Sales_Table[[#This Row],[Payment Method_clean]]="cash","Offline","Online")</f>
        <v>Online</v>
      </c>
      <c r="Z1058">
        <f>IFERROR(Sales_Table[[#This Row],[Revenue]],0)</f>
        <v>7356</v>
      </c>
    </row>
    <row r="1059" spans="1:26" x14ac:dyDescent="0.3">
      <c r="A1059">
        <v>1058</v>
      </c>
      <c r="B1059" s="2">
        <f t="shared" si="112"/>
        <v>45336.041666666664</v>
      </c>
      <c r="C1059" t="s">
        <v>2656</v>
      </c>
      <c r="D1059" t="s">
        <v>27</v>
      </c>
      <c r="E1059" t="str">
        <f>PROPER(TRIM(CLEAN(Sales_Table[[#This Row],[Region]])))</f>
        <v>East</v>
      </c>
      <c r="F1059" t="s">
        <v>37</v>
      </c>
      <c r="G1059" t="str">
        <f t="shared" si="113"/>
        <v>Home Appliances</v>
      </c>
      <c r="H1059" t="str">
        <f>PROPER(TRIM(CLEAN(Sales_Table[[#This Row],[Product Name]])))</f>
        <v>Led Tv 42Inch</v>
      </c>
      <c r="I1059" t="s">
        <v>58</v>
      </c>
      <c r="J1059" t="str">
        <f t="shared" si="114"/>
        <v>CUST0045</v>
      </c>
      <c r="K1059" t="s">
        <v>840</v>
      </c>
      <c r="L1059" t="str">
        <f>PROPER(TRIM(CLEAN(Sales_Table[[#This Row],[Salesperson]])))</f>
        <v>Meena</v>
      </c>
      <c r="M1059" t="s">
        <v>40</v>
      </c>
      <c r="N1059" t="str">
        <f t="shared" si="115"/>
        <v>Cash</v>
      </c>
      <c r="O1059" t="s">
        <v>32</v>
      </c>
      <c r="P1059">
        <f t="shared" si="116"/>
        <v>8</v>
      </c>
      <c r="Q1059" t="s">
        <v>42</v>
      </c>
      <c r="R1059">
        <f t="shared" si="117"/>
        <v>4479</v>
      </c>
      <c r="S1059" t="s">
        <v>2657</v>
      </c>
      <c r="T1059">
        <f t="shared" si="118"/>
        <v>35832</v>
      </c>
      <c r="U1059">
        <f>YEAR(Sales_Table[[#This Row],[Date_clean]])</f>
        <v>2024</v>
      </c>
      <c r="V1059" t="str">
        <f>TEXT(Sales_Table[[#This Row],[Date_clean]],"mmmm")</f>
        <v>February</v>
      </c>
      <c r="W1059">
        <f>WEEKNUM(Sales_Table[[#This Row],[Date_clean]],2)</f>
        <v>7</v>
      </c>
      <c r="X1059" t="str" cm="1">
        <f t="array" ref="X1059">_xlfn.IFS(Sales_Table[[#This Row],[Revenue]]&gt;=50000,"High",Sales_Table[[#This Row],[Revenue]]&gt;=20000,"Medium",Sales_Table[[#This Row],[Revenue]]&lt;20000,"Low")</f>
        <v>Medium</v>
      </c>
      <c r="Y1059" t="str">
        <f>IF(Sales_Table[[#This Row],[Payment Method_clean]]="cash","Offline","Online")</f>
        <v>Offline</v>
      </c>
      <c r="Z1059">
        <f>IFERROR(Sales_Table[[#This Row],[Revenue]],0)</f>
        <v>35832</v>
      </c>
    </row>
    <row r="1060" spans="1:26" x14ac:dyDescent="0.3">
      <c r="A1060">
        <v>1059</v>
      </c>
      <c r="B1060" s="2">
        <f t="shared" si="112"/>
        <v>45336.083333333336</v>
      </c>
      <c r="C1060" t="s">
        <v>2658</v>
      </c>
      <c r="D1060" t="s">
        <v>84</v>
      </c>
      <c r="E1060" t="str">
        <f>PROPER(TRIM(CLEAN(Sales_Table[[#This Row],[Region]])))</f>
        <v>South</v>
      </c>
      <c r="F1060" t="s">
        <v>28</v>
      </c>
      <c r="G1060" t="str">
        <f t="shared" si="113"/>
        <v>Clothing</v>
      </c>
      <c r="H1060" t="str">
        <f>PROPER(TRIM(CLEAN(Sales_Table[[#This Row],[Product Name]])))</f>
        <v>Mixer Grinder</v>
      </c>
      <c r="I1060" t="s">
        <v>29</v>
      </c>
      <c r="J1060" t="str">
        <f t="shared" si="114"/>
        <v>CUST0787</v>
      </c>
      <c r="K1060" t="s">
        <v>2625</v>
      </c>
      <c r="L1060" t="str">
        <f>PROPER(TRIM(CLEAN(Sales_Table[[#This Row],[Salesperson]])))</f>
        <v>Anita</v>
      </c>
      <c r="M1060" t="s">
        <v>64</v>
      </c>
      <c r="N1060" t="str">
        <f t="shared" si="115"/>
        <v>Credit Card</v>
      </c>
      <c r="O1060" t="s">
        <v>65</v>
      </c>
      <c r="P1060">
        <f t="shared" si="116"/>
        <v>3</v>
      </c>
      <c r="Q1060" t="s">
        <v>66</v>
      </c>
      <c r="R1060">
        <f t="shared" si="117"/>
        <v>616</v>
      </c>
      <c r="S1060" t="s">
        <v>1920</v>
      </c>
      <c r="T1060">
        <f t="shared" si="118"/>
        <v>1848</v>
      </c>
      <c r="U1060">
        <f>YEAR(Sales_Table[[#This Row],[Date_clean]])</f>
        <v>2024</v>
      </c>
      <c r="V1060" t="str">
        <f>TEXT(Sales_Table[[#This Row],[Date_clean]],"mmmm")</f>
        <v>February</v>
      </c>
      <c r="W1060">
        <f>WEEKNUM(Sales_Table[[#This Row],[Date_clean]],2)</f>
        <v>7</v>
      </c>
      <c r="X1060" t="str" cm="1">
        <f t="array" ref="X1060">_xlfn.IFS(Sales_Table[[#This Row],[Revenue]]&gt;=50000,"High",Sales_Table[[#This Row],[Revenue]]&gt;=20000,"Medium",Sales_Table[[#This Row],[Revenue]]&lt;20000,"Low")</f>
        <v>Low</v>
      </c>
      <c r="Y1060" t="str">
        <f>IF(Sales_Table[[#This Row],[Payment Method_clean]]="cash","Offline","Online")</f>
        <v>Online</v>
      </c>
      <c r="Z1060">
        <f>IFERROR(Sales_Table[[#This Row],[Revenue]],0)</f>
        <v>1848</v>
      </c>
    </row>
    <row r="1061" spans="1:26" x14ac:dyDescent="0.3">
      <c r="A1061">
        <v>1060</v>
      </c>
      <c r="B1061" s="2">
        <f t="shared" si="112"/>
        <v>45336.125</v>
      </c>
      <c r="C1061" t="s">
        <v>2659</v>
      </c>
      <c r="D1061" t="s">
        <v>36</v>
      </c>
      <c r="E1061" t="str">
        <f>PROPER(TRIM(CLEAN(Sales_Table[[#This Row],[Region]])))</f>
        <v>West</v>
      </c>
      <c r="F1061" t="s">
        <v>37</v>
      </c>
      <c r="G1061" t="str">
        <f t="shared" si="113"/>
        <v>Home Appliances</v>
      </c>
      <c r="H1061" t="str">
        <f>PROPER(TRIM(CLEAN(Sales_Table[[#This Row],[Product Name]])))</f>
        <v>Led Tv 42Inch</v>
      </c>
      <c r="I1061" t="s">
        <v>58</v>
      </c>
      <c r="J1061" t="str">
        <f t="shared" si="114"/>
        <v>CUST0471</v>
      </c>
      <c r="K1061" t="s">
        <v>680</v>
      </c>
      <c r="L1061" t="str">
        <f>PROPER(TRIM(CLEAN(Sales_Table[[#This Row],[Salesperson]])))</f>
        <v>Karthik</v>
      </c>
      <c r="M1061" t="s">
        <v>70</v>
      </c>
      <c r="N1061" t="str">
        <f t="shared" si="115"/>
        <v>Cash</v>
      </c>
      <c r="O1061" t="s">
        <v>32</v>
      </c>
      <c r="P1061">
        <f t="shared" si="116"/>
        <v>3</v>
      </c>
      <c r="Q1061" t="s">
        <v>66</v>
      </c>
      <c r="R1061">
        <f t="shared" si="117"/>
        <v>2765</v>
      </c>
      <c r="S1061" t="s">
        <v>2660</v>
      </c>
      <c r="T1061">
        <f t="shared" si="118"/>
        <v>8295</v>
      </c>
      <c r="U1061">
        <f>YEAR(Sales_Table[[#This Row],[Date_clean]])</f>
        <v>2024</v>
      </c>
      <c r="V1061" t="str">
        <f>TEXT(Sales_Table[[#This Row],[Date_clean]],"mmmm")</f>
        <v>February</v>
      </c>
      <c r="W1061">
        <f>WEEKNUM(Sales_Table[[#This Row],[Date_clean]],2)</f>
        <v>7</v>
      </c>
      <c r="X1061" t="str" cm="1">
        <f t="array" ref="X1061">_xlfn.IFS(Sales_Table[[#This Row],[Revenue]]&gt;=50000,"High",Sales_Table[[#This Row],[Revenue]]&gt;=20000,"Medium",Sales_Table[[#This Row],[Revenue]]&lt;20000,"Low")</f>
        <v>Low</v>
      </c>
      <c r="Y1061" t="str">
        <f>IF(Sales_Table[[#This Row],[Payment Method_clean]]="cash","Offline","Online")</f>
        <v>Offline</v>
      </c>
      <c r="Z1061">
        <f>IFERROR(Sales_Table[[#This Row],[Revenue]],0)</f>
        <v>8295</v>
      </c>
    </row>
    <row r="1062" spans="1:26" x14ac:dyDescent="0.3">
      <c r="A1062">
        <v>1061</v>
      </c>
      <c r="B1062" s="2">
        <f t="shared" si="112"/>
        <v>45336.166666666664</v>
      </c>
      <c r="C1062" t="s">
        <v>2661</v>
      </c>
      <c r="D1062" t="s">
        <v>45</v>
      </c>
      <c r="E1062" t="str">
        <f>PROPER(TRIM(CLEAN(Sales_Table[[#This Row],[Region]])))</f>
        <v>North</v>
      </c>
      <c r="F1062" t="s">
        <v>37</v>
      </c>
      <c r="G1062" t="str">
        <f t="shared" si="113"/>
        <v>Home Appliances</v>
      </c>
      <c r="H1062" t="str">
        <f>PROPER(TRIM(CLEAN(Sales_Table[[#This Row],[Product Name]])))</f>
        <v>Laptop</v>
      </c>
      <c r="I1062" t="s">
        <v>52</v>
      </c>
      <c r="J1062" t="str">
        <f t="shared" si="114"/>
        <v>CUST0034</v>
      </c>
      <c r="K1062" t="s">
        <v>2662</v>
      </c>
      <c r="L1062" t="str">
        <f>PROPER(TRIM(CLEAN(Sales_Table[[#This Row],[Salesperson]])))</f>
        <v>Suresh</v>
      </c>
      <c r="M1062" t="s">
        <v>54</v>
      </c>
      <c r="N1062" t="str">
        <f t="shared" si="115"/>
        <v>Debit Card</v>
      </c>
      <c r="O1062" t="s">
        <v>41</v>
      </c>
      <c r="P1062">
        <f t="shared" si="116"/>
        <v>4</v>
      </c>
      <c r="Q1062" t="s">
        <v>113</v>
      </c>
      <c r="R1062">
        <f t="shared" si="117"/>
        <v>1401</v>
      </c>
      <c r="S1062" t="s">
        <v>2663</v>
      </c>
      <c r="T1062">
        <f t="shared" si="118"/>
        <v>5604</v>
      </c>
      <c r="U1062">
        <f>YEAR(Sales_Table[[#This Row],[Date_clean]])</f>
        <v>2024</v>
      </c>
      <c r="V1062" t="str">
        <f>TEXT(Sales_Table[[#This Row],[Date_clean]],"mmmm")</f>
        <v>February</v>
      </c>
      <c r="W1062">
        <f>WEEKNUM(Sales_Table[[#This Row],[Date_clean]],2)</f>
        <v>7</v>
      </c>
      <c r="X1062" t="str" cm="1">
        <f t="array" ref="X1062">_xlfn.IFS(Sales_Table[[#This Row],[Revenue]]&gt;=50000,"High",Sales_Table[[#This Row],[Revenue]]&gt;=20000,"Medium",Sales_Table[[#This Row],[Revenue]]&lt;20000,"Low")</f>
        <v>Low</v>
      </c>
      <c r="Y1062" t="str">
        <f>IF(Sales_Table[[#This Row],[Payment Method_clean]]="cash","Offline","Online")</f>
        <v>Online</v>
      </c>
      <c r="Z1062">
        <f>IFERROR(Sales_Table[[#This Row],[Revenue]],0)</f>
        <v>5604</v>
      </c>
    </row>
    <row r="1063" spans="1:26" x14ac:dyDescent="0.3">
      <c r="A1063">
        <v>1062</v>
      </c>
      <c r="B1063" s="2">
        <f t="shared" si="112"/>
        <v>45336.208333333336</v>
      </c>
      <c r="C1063" t="s">
        <v>2664</v>
      </c>
      <c r="D1063" t="s">
        <v>45</v>
      </c>
      <c r="E1063" t="str">
        <f>PROPER(TRIM(CLEAN(Sales_Table[[#This Row],[Region]])))</f>
        <v>North</v>
      </c>
      <c r="F1063" t="s">
        <v>46</v>
      </c>
      <c r="G1063" t="str">
        <f t="shared" si="113"/>
        <v>Electronics</v>
      </c>
      <c r="H1063" t="str">
        <f>PROPER(TRIM(CLEAN(Sales_Table[[#This Row],[Product Name]])))</f>
        <v>Rice 5Kg</v>
      </c>
      <c r="I1063" t="s">
        <v>73</v>
      </c>
      <c r="J1063" t="str">
        <f t="shared" si="114"/>
        <v>CUST0653</v>
      </c>
      <c r="K1063" t="s">
        <v>2056</v>
      </c>
      <c r="L1063" t="str">
        <f>PROPER(TRIM(CLEAN(Sales_Table[[#This Row],[Salesperson]])))</f>
        <v>Meena</v>
      </c>
      <c r="M1063" t="s">
        <v>40</v>
      </c>
      <c r="N1063" t="str">
        <f t="shared" si="115"/>
        <v>Upi</v>
      </c>
      <c r="O1063" t="s">
        <v>48</v>
      </c>
      <c r="P1063">
        <f t="shared" si="116"/>
        <v>3</v>
      </c>
      <c r="Q1063" t="s">
        <v>66</v>
      </c>
      <c r="R1063">
        <f t="shared" si="117"/>
        <v>711</v>
      </c>
      <c r="S1063" t="s">
        <v>2665</v>
      </c>
      <c r="T1063">
        <f t="shared" si="118"/>
        <v>2133</v>
      </c>
      <c r="U1063">
        <f>YEAR(Sales_Table[[#This Row],[Date_clean]])</f>
        <v>2024</v>
      </c>
      <c r="V1063" t="str">
        <f>TEXT(Sales_Table[[#This Row],[Date_clean]],"mmmm")</f>
        <v>February</v>
      </c>
      <c r="W1063">
        <f>WEEKNUM(Sales_Table[[#This Row],[Date_clean]],2)</f>
        <v>7</v>
      </c>
      <c r="X1063" t="str" cm="1">
        <f t="array" ref="X1063">_xlfn.IFS(Sales_Table[[#This Row],[Revenue]]&gt;=50000,"High",Sales_Table[[#This Row],[Revenue]]&gt;=20000,"Medium",Sales_Table[[#This Row],[Revenue]]&lt;20000,"Low")</f>
        <v>Low</v>
      </c>
      <c r="Y1063" t="str">
        <f>IF(Sales_Table[[#This Row],[Payment Method_clean]]="cash","Offline","Online")</f>
        <v>Online</v>
      </c>
      <c r="Z1063">
        <f>IFERROR(Sales_Table[[#This Row],[Revenue]],0)</f>
        <v>2133</v>
      </c>
    </row>
    <row r="1064" spans="1:26" x14ac:dyDescent="0.3">
      <c r="A1064">
        <v>1063</v>
      </c>
      <c r="B1064" s="2">
        <f t="shared" si="112"/>
        <v>45336.25</v>
      </c>
      <c r="C1064" t="s">
        <v>2666</v>
      </c>
      <c r="D1064" t="s">
        <v>27</v>
      </c>
      <c r="E1064" t="str">
        <f>PROPER(TRIM(CLEAN(Sales_Table[[#This Row],[Region]])))</f>
        <v>East</v>
      </c>
      <c r="F1064" t="s">
        <v>37</v>
      </c>
      <c r="G1064" t="str">
        <f t="shared" si="113"/>
        <v>Home Appliances</v>
      </c>
      <c r="H1064" t="str">
        <f>PROPER(TRIM(CLEAN(Sales_Table[[#This Row],[Product Name]])))</f>
        <v>Mixer Grinder</v>
      </c>
      <c r="I1064" t="s">
        <v>29</v>
      </c>
      <c r="J1064" t="str">
        <f t="shared" si="114"/>
        <v>CUST0427</v>
      </c>
      <c r="K1064" t="s">
        <v>2667</v>
      </c>
      <c r="L1064" t="str">
        <f>PROPER(TRIM(CLEAN(Sales_Table[[#This Row],[Salesperson]])))</f>
        <v>Anita</v>
      </c>
      <c r="M1064" t="s">
        <v>64</v>
      </c>
      <c r="N1064" t="str">
        <f t="shared" si="115"/>
        <v>Cash</v>
      </c>
      <c r="O1064" t="s">
        <v>32</v>
      </c>
      <c r="P1064">
        <f t="shared" si="116"/>
        <v>9</v>
      </c>
      <c r="Q1064" t="s">
        <v>130</v>
      </c>
      <c r="R1064">
        <f t="shared" si="117"/>
        <v>849</v>
      </c>
      <c r="S1064" t="s">
        <v>2668</v>
      </c>
      <c r="T1064">
        <f t="shared" si="118"/>
        <v>7641</v>
      </c>
      <c r="U1064">
        <f>YEAR(Sales_Table[[#This Row],[Date_clean]])</f>
        <v>2024</v>
      </c>
      <c r="V1064" t="str">
        <f>TEXT(Sales_Table[[#This Row],[Date_clean]],"mmmm")</f>
        <v>February</v>
      </c>
      <c r="W1064">
        <f>WEEKNUM(Sales_Table[[#This Row],[Date_clean]],2)</f>
        <v>7</v>
      </c>
      <c r="X1064" t="str" cm="1">
        <f t="array" ref="X1064">_xlfn.IFS(Sales_Table[[#This Row],[Revenue]]&gt;=50000,"High",Sales_Table[[#This Row],[Revenue]]&gt;=20000,"Medium",Sales_Table[[#This Row],[Revenue]]&lt;20000,"Low")</f>
        <v>Low</v>
      </c>
      <c r="Y1064" t="str">
        <f>IF(Sales_Table[[#This Row],[Payment Method_clean]]="cash","Offline","Online")</f>
        <v>Offline</v>
      </c>
      <c r="Z1064">
        <f>IFERROR(Sales_Table[[#This Row],[Revenue]],0)</f>
        <v>7641</v>
      </c>
    </row>
    <row r="1065" spans="1:26" x14ac:dyDescent="0.3">
      <c r="A1065">
        <v>1064</v>
      </c>
      <c r="B1065" s="2">
        <f t="shared" si="112"/>
        <v>45336.291666666664</v>
      </c>
      <c r="C1065" t="s">
        <v>2669</v>
      </c>
      <c r="D1065" t="s">
        <v>45</v>
      </c>
      <c r="E1065" t="str">
        <f>PROPER(TRIM(CLEAN(Sales_Table[[#This Row],[Region]])))</f>
        <v>North</v>
      </c>
      <c r="F1065" t="s">
        <v>46</v>
      </c>
      <c r="G1065" t="str">
        <f t="shared" si="113"/>
        <v>Electronics</v>
      </c>
      <c r="H1065" t="str">
        <f>PROPER(TRIM(CLEAN(Sales_Table[[#This Row],[Product Name]])))</f>
        <v>Mixer Grinder</v>
      </c>
      <c r="I1065" t="s">
        <v>29</v>
      </c>
      <c r="J1065" t="str">
        <f t="shared" si="114"/>
        <v>CUST0221</v>
      </c>
      <c r="K1065" t="s">
        <v>2670</v>
      </c>
      <c r="L1065" t="str">
        <f>PROPER(TRIM(CLEAN(Sales_Table[[#This Row],[Salesperson]])))</f>
        <v>Karthik</v>
      </c>
      <c r="M1065" t="s">
        <v>70</v>
      </c>
      <c r="N1065" t="str">
        <f t="shared" si="115"/>
        <v>Cash</v>
      </c>
      <c r="O1065" t="s">
        <v>32</v>
      </c>
      <c r="P1065">
        <f t="shared" si="116"/>
        <v>11</v>
      </c>
      <c r="Q1065" t="s">
        <v>97</v>
      </c>
      <c r="R1065">
        <f t="shared" si="117"/>
        <v>1956</v>
      </c>
      <c r="S1065" t="s">
        <v>385</v>
      </c>
      <c r="T1065">
        <f t="shared" si="118"/>
        <v>21516</v>
      </c>
      <c r="U1065">
        <f>YEAR(Sales_Table[[#This Row],[Date_clean]])</f>
        <v>2024</v>
      </c>
      <c r="V1065" t="str">
        <f>TEXT(Sales_Table[[#This Row],[Date_clean]],"mmmm")</f>
        <v>February</v>
      </c>
      <c r="W1065">
        <f>WEEKNUM(Sales_Table[[#This Row],[Date_clean]],2)</f>
        <v>7</v>
      </c>
      <c r="X1065" t="str" cm="1">
        <f t="array" ref="X1065">_xlfn.IFS(Sales_Table[[#This Row],[Revenue]]&gt;=50000,"High",Sales_Table[[#This Row],[Revenue]]&gt;=20000,"Medium",Sales_Table[[#This Row],[Revenue]]&lt;20000,"Low")</f>
        <v>Medium</v>
      </c>
      <c r="Y1065" t="str">
        <f>IF(Sales_Table[[#This Row],[Payment Method_clean]]="cash","Offline","Online")</f>
        <v>Offline</v>
      </c>
      <c r="Z1065">
        <f>IFERROR(Sales_Table[[#This Row],[Revenue]],0)</f>
        <v>21516</v>
      </c>
    </row>
    <row r="1066" spans="1:26" x14ac:dyDescent="0.3">
      <c r="A1066">
        <v>1065</v>
      </c>
      <c r="B1066" s="2">
        <f t="shared" si="112"/>
        <v>45336.333333333336</v>
      </c>
      <c r="C1066" t="s">
        <v>2671</v>
      </c>
      <c r="D1066" t="s">
        <v>84</v>
      </c>
      <c r="E1066" t="str">
        <f>PROPER(TRIM(CLEAN(Sales_Table[[#This Row],[Region]])))</f>
        <v>South</v>
      </c>
      <c r="F1066" t="s">
        <v>46</v>
      </c>
      <c r="G1066" t="str">
        <f t="shared" si="113"/>
        <v>Electronics</v>
      </c>
      <c r="H1066" t="str">
        <f>PROPER(TRIM(CLEAN(Sales_Table[[#This Row],[Product Name]])))</f>
        <v>Rice 5Kg</v>
      </c>
      <c r="I1066" t="s">
        <v>73</v>
      </c>
      <c r="J1066" t="str">
        <f t="shared" si="114"/>
        <v>CUST0534</v>
      </c>
      <c r="K1066" t="s">
        <v>387</v>
      </c>
      <c r="L1066" t="str">
        <f>PROPER(TRIM(CLEAN(Sales_Table[[#This Row],[Salesperson]])))</f>
        <v>Meena</v>
      </c>
      <c r="M1066" t="s">
        <v>40</v>
      </c>
      <c r="N1066" t="str">
        <f t="shared" si="115"/>
        <v>Cash</v>
      </c>
      <c r="O1066" t="s">
        <v>32</v>
      </c>
      <c r="P1066">
        <f t="shared" si="116"/>
        <v>4</v>
      </c>
      <c r="Q1066" t="s">
        <v>113</v>
      </c>
      <c r="R1066">
        <f t="shared" si="117"/>
        <v>499</v>
      </c>
      <c r="S1066" t="s">
        <v>2672</v>
      </c>
      <c r="T1066">
        <f t="shared" si="118"/>
        <v>1996</v>
      </c>
      <c r="U1066">
        <f>YEAR(Sales_Table[[#This Row],[Date_clean]])</f>
        <v>2024</v>
      </c>
      <c r="V1066" t="str">
        <f>TEXT(Sales_Table[[#This Row],[Date_clean]],"mmmm")</f>
        <v>February</v>
      </c>
      <c r="W1066">
        <f>WEEKNUM(Sales_Table[[#This Row],[Date_clean]],2)</f>
        <v>7</v>
      </c>
      <c r="X1066" t="str" cm="1">
        <f t="array" ref="X1066">_xlfn.IFS(Sales_Table[[#This Row],[Revenue]]&gt;=50000,"High",Sales_Table[[#This Row],[Revenue]]&gt;=20000,"Medium",Sales_Table[[#This Row],[Revenue]]&lt;20000,"Low")</f>
        <v>Low</v>
      </c>
      <c r="Y1066" t="str">
        <f>IF(Sales_Table[[#This Row],[Payment Method_clean]]="cash","Offline","Online")</f>
        <v>Offline</v>
      </c>
      <c r="Z1066">
        <f>IFERROR(Sales_Table[[#This Row],[Revenue]],0)</f>
        <v>1996</v>
      </c>
    </row>
    <row r="1067" spans="1:26" x14ac:dyDescent="0.3">
      <c r="A1067">
        <v>1066</v>
      </c>
      <c r="B1067" s="2">
        <f t="shared" si="112"/>
        <v>45336.375</v>
      </c>
      <c r="C1067" t="s">
        <v>2673</v>
      </c>
      <c r="D1067" t="s">
        <v>27</v>
      </c>
      <c r="E1067" t="str">
        <f>PROPER(TRIM(CLEAN(Sales_Table[[#This Row],[Region]])))</f>
        <v>East</v>
      </c>
      <c r="F1067" t="s">
        <v>46</v>
      </c>
      <c r="G1067" t="str">
        <f t="shared" si="113"/>
        <v>Electronics</v>
      </c>
      <c r="H1067" t="str">
        <f>PROPER(TRIM(CLEAN(Sales_Table[[#This Row],[Product Name]])))</f>
        <v>Mixer Grinder</v>
      </c>
      <c r="I1067" t="s">
        <v>29</v>
      </c>
      <c r="J1067" t="str">
        <f t="shared" si="114"/>
        <v>CUST0692</v>
      </c>
      <c r="K1067" t="s">
        <v>1496</v>
      </c>
      <c r="L1067" t="str">
        <f>PROPER(TRIM(CLEAN(Sales_Table[[#This Row],[Salesperson]])))</f>
        <v>Karthik</v>
      </c>
      <c r="M1067" t="s">
        <v>70</v>
      </c>
      <c r="N1067" t="str">
        <f t="shared" si="115"/>
        <v>Cash</v>
      </c>
      <c r="O1067" t="s">
        <v>32</v>
      </c>
      <c r="P1067">
        <f t="shared" si="116"/>
        <v>6</v>
      </c>
      <c r="Q1067" t="s">
        <v>75</v>
      </c>
      <c r="R1067">
        <f t="shared" si="117"/>
        <v>1626</v>
      </c>
      <c r="S1067" t="s">
        <v>2674</v>
      </c>
      <c r="T1067">
        <f t="shared" si="118"/>
        <v>9756</v>
      </c>
      <c r="U1067">
        <f>YEAR(Sales_Table[[#This Row],[Date_clean]])</f>
        <v>2024</v>
      </c>
      <c r="V1067" t="str">
        <f>TEXT(Sales_Table[[#This Row],[Date_clean]],"mmmm")</f>
        <v>February</v>
      </c>
      <c r="W1067">
        <f>WEEKNUM(Sales_Table[[#This Row],[Date_clean]],2)</f>
        <v>7</v>
      </c>
      <c r="X1067" t="str" cm="1">
        <f t="array" ref="X1067">_xlfn.IFS(Sales_Table[[#This Row],[Revenue]]&gt;=50000,"High",Sales_Table[[#This Row],[Revenue]]&gt;=20000,"Medium",Sales_Table[[#This Row],[Revenue]]&lt;20000,"Low")</f>
        <v>Low</v>
      </c>
      <c r="Y1067" t="str">
        <f>IF(Sales_Table[[#This Row],[Payment Method_clean]]="cash","Offline","Online")</f>
        <v>Offline</v>
      </c>
      <c r="Z1067">
        <f>IFERROR(Sales_Table[[#This Row],[Revenue]],0)</f>
        <v>9756</v>
      </c>
    </row>
    <row r="1068" spans="1:26" x14ac:dyDescent="0.3">
      <c r="A1068">
        <v>1067</v>
      </c>
      <c r="B1068" s="2">
        <f t="shared" si="112"/>
        <v>45336.416666666664</v>
      </c>
      <c r="C1068" t="s">
        <v>2675</v>
      </c>
      <c r="D1068" t="s">
        <v>45</v>
      </c>
      <c r="E1068" t="str">
        <f>PROPER(TRIM(CLEAN(Sales_Table[[#This Row],[Region]])))</f>
        <v>North</v>
      </c>
      <c r="F1068" t="s">
        <v>78</v>
      </c>
      <c r="G1068" t="str">
        <f t="shared" si="113"/>
        <v>Grocery</v>
      </c>
      <c r="H1068" t="str">
        <f>PROPER(TRIM(CLEAN(Sales_Table[[#This Row],[Product Name]])))</f>
        <v>Led Tv 42Inch</v>
      </c>
      <c r="I1068" t="s">
        <v>58</v>
      </c>
      <c r="J1068" t="str">
        <f t="shared" si="114"/>
        <v>CUST0367</v>
      </c>
      <c r="K1068" t="s">
        <v>1509</v>
      </c>
      <c r="L1068" t="str">
        <f>PROPER(TRIM(CLEAN(Sales_Table[[#This Row],[Salesperson]])))</f>
        <v>Suresh</v>
      </c>
      <c r="M1068" t="s">
        <v>54</v>
      </c>
      <c r="N1068" t="str">
        <f t="shared" si="115"/>
        <v>Debit Card</v>
      </c>
      <c r="O1068" t="s">
        <v>41</v>
      </c>
      <c r="P1068">
        <f t="shared" si="116"/>
        <v>8</v>
      </c>
      <c r="Q1068" t="s">
        <v>42</v>
      </c>
      <c r="R1068">
        <f t="shared" si="117"/>
        <v>2124</v>
      </c>
      <c r="S1068" t="s">
        <v>2676</v>
      </c>
      <c r="T1068">
        <f t="shared" si="118"/>
        <v>16992</v>
      </c>
      <c r="U1068">
        <f>YEAR(Sales_Table[[#This Row],[Date_clean]])</f>
        <v>2024</v>
      </c>
      <c r="V1068" t="str">
        <f>TEXT(Sales_Table[[#This Row],[Date_clean]],"mmmm")</f>
        <v>February</v>
      </c>
      <c r="W1068">
        <f>WEEKNUM(Sales_Table[[#This Row],[Date_clean]],2)</f>
        <v>7</v>
      </c>
      <c r="X1068" t="str" cm="1">
        <f t="array" ref="X1068">_xlfn.IFS(Sales_Table[[#This Row],[Revenue]]&gt;=50000,"High",Sales_Table[[#This Row],[Revenue]]&gt;=20000,"Medium",Sales_Table[[#This Row],[Revenue]]&lt;20000,"Low")</f>
        <v>Low</v>
      </c>
      <c r="Y1068" t="str">
        <f>IF(Sales_Table[[#This Row],[Payment Method_clean]]="cash","Offline","Online")</f>
        <v>Online</v>
      </c>
      <c r="Z1068">
        <f>IFERROR(Sales_Table[[#This Row],[Revenue]],0)</f>
        <v>16992</v>
      </c>
    </row>
    <row r="1069" spans="1:26" x14ac:dyDescent="0.3">
      <c r="A1069">
        <v>1068</v>
      </c>
      <c r="B1069" s="2">
        <f t="shared" si="112"/>
        <v>45336.458333333336</v>
      </c>
      <c r="C1069" t="s">
        <v>2677</v>
      </c>
      <c r="D1069" t="s">
        <v>27</v>
      </c>
      <c r="E1069" t="str">
        <f>PROPER(TRIM(CLEAN(Sales_Table[[#This Row],[Region]])))</f>
        <v>East</v>
      </c>
      <c r="F1069" t="s">
        <v>78</v>
      </c>
      <c r="G1069" t="str">
        <f t="shared" si="113"/>
        <v>Grocery</v>
      </c>
      <c r="H1069" t="str">
        <f>PROPER(TRIM(CLEAN(Sales_Table[[#This Row],[Product Name]])))</f>
        <v>Mixer Grinder</v>
      </c>
      <c r="I1069" t="s">
        <v>29</v>
      </c>
      <c r="J1069" t="str">
        <f t="shared" si="114"/>
        <v>CUST0743</v>
      </c>
      <c r="K1069" t="s">
        <v>898</v>
      </c>
      <c r="L1069" t="str">
        <f>PROPER(TRIM(CLEAN(Sales_Table[[#This Row],[Salesperson]])))</f>
        <v>Anita</v>
      </c>
      <c r="M1069" t="s">
        <v>64</v>
      </c>
      <c r="N1069" t="str">
        <f t="shared" si="115"/>
        <v>Net Banking</v>
      </c>
      <c r="O1069" t="s">
        <v>60</v>
      </c>
      <c r="P1069">
        <f t="shared" si="116"/>
        <v>11</v>
      </c>
      <c r="Q1069" t="s">
        <v>97</v>
      </c>
      <c r="R1069">
        <f t="shared" si="117"/>
        <v>419</v>
      </c>
      <c r="S1069" t="s">
        <v>2678</v>
      </c>
      <c r="T1069">
        <f t="shared" si="118"/>
        <v>4609</v>
      </c>
      <c r="U1069">
        <f>YEAR(Sales_Table[[#This Row],[Date_clean]])</f>
        <v>2024</v>
      </c>
      <c r="V1069" t="str">
        <f>TEXT(Sales_Table[[#This Row],[Date_clean]],"mmmm")</f>
        <v>February</v>
      </c>
      <c r="W1069">
        <f>WEEKNUM(Sales_Table[[#This Row],[Date_clean]],2)</f>
        <v>7</v>
      </c>
      <c r="X1069" t="str" cm="1">
        <f t="array" ref="X1069">_xlfn.IFS(Sales_Table[[#This Row],[Revenue]]&gt;=50000,"High",Sales_Table[[#This Row],[Revenue]]&gt;=20000,"Medium",Sales_Table[[#This Row],[Revenue]]&lt;20000,"Low")</f>
        <v>Low</v>
      </c>
      <c r="Y1069" t="str">
        <f>IF(Sales_Table[[#This Row],[Payment Method_clean]]="cash","Offline","Online")</f>
        <v>Online</v>
      </c>
      <c r="Z1069">
        <f>IFERROR(Sales_Table[[#This Row],[Revenue]],0)</f>
        <v>4609</v>
      </c>
    </row>
    <row r="1070" spans="1:26" x14ac:dyDescent="0.3">
      <c r="A1070">
        <v>1069</v>
      </c>
      <c r="B1070" s="2">
        <f t="shared" si="112"/>
        <v>45336.5</v>
      </c>
      <c r="C1070" t="s">
        <v>2679</v>
      </c>
      <c r="D1070" t="s">
        <v>45</v>
      </c>
      <c r="E1070" t="str">
        <f>PROPER(TRIM(CLEAN(Sales_Table[[#This Row],[Region]])))</f>
        <v>North</v>
      </c>
      <c r="F1070" t="s">
        <v>37</v>
      </c>
      <c r="G1070" t="str">
        <f t="shared" si="113"/>
        <v>Home Appliances</v>
      </c>
      <c r="H1070" t="str">
        <f>PROPER(TRIM(CLEAN(Sales_Table[[#This Row],[Product Name]])))</f>
        <v>Men T-Shirt</v>
      </c>
      <c r="I1070" t="s">
        <v>38</v>
      </c>
      <c r="J1070" t="str">
        <f t="shared" si="114"/>
        <v>CUST0550</v>
      </c>
      <c r="K1070" t="s">
        <v>462</v>
      </c>
      <c r="L1070" t="str">
        <f>PROPER(TRIM(CLEAN(Sales_Table[[#This Row],[Salesperson]])))</f>
        <v>Meena</v>
      </c>
      <c r="M1070" t="s">
        <v>40</v>
      </c>
      <c r="N1070" t="str">
        <f t="shared" si="115"/>
        <v>Net Banking</v>
      </c>
      <c r="O1070" t="s">
        <v>60</v>
      </c>
      <c r="P1070">
        <f t="shared" si="116"/>
        <v>13</v>
      </c>
      <c r="Q1070" t="s">
        <v>81</v>
      </c>
      <c r="R1070">
        <f t="shared" si="117"/>
        <v>435</v>
      </c>
      <c r="S1070" t="s">
        <v>2680</v>
      </c>
      <c r="T1070">
        <f t="shared" si="118"/>
        <v>5655</v>
      </c>
      <c r="U1070">
        <f>YEAR(Sales_Table[[#This Row],[Date_clean]])</f>
        <v>2024</v>
      </c>
      <c r="V1070" t="str">
        <f>TEXT(Sales_Table[[#This Row],[Date_clean]],"mmmm")</f>
        <v>February</v>
      </c>
      <c r="W1070">
        <f>WEEKNUM(Sales_Table[[#This Row],[Date_clean]],2)</f>
        <v>7</v>
      </c>
      <c r="X1070" t="str" cm="1">
        <f t="array" ref="X1070">_xlfn.IFS(Sales_Table[[#This Row],[Revenue]]&gt;=50000,"High",Sales_Table[[#This Row],[Revenue]]&gt;=20000,"Medium",Sales_Table[[#This Row],[Revenue]]&lt;20000,"Low")</f>
        <v>Low</v>
      </c>
      <c r="Y1070" t="str">
        <f>IF(Sales_Table[[#This Row],[Payment Method_clean]]="cash","Offline","Online")</f>
        <v>Online</v>
      </c>
      <c r="Z1070">
        <f>IFERROR(Sales_Table[[#This Row],[Revenue]],0)</f>
        <v>5655</v>
      </c>
    </row>
    <row r="1071" spans="1:26" x14ac:dyDescent="0.3">
      <c r="A1071">
        <v>1070</v>
      </c>
      <c r="B1071" s="2">
        <f t="shared" si="112"/>
        <v>45336.541666666664</v>
      </c>
      <c r="C1071" t="s">
        <v>2681</v>
      </c>
      <c r="D1071" t="s">
        <v>45</v>
      </c>
      <c r="E1071" t="str">
        <f>PROPER(TRIM(CLEAN(Sales_Table[[#This Row],[Region]])))</f>
        <v>North</v>
      </c>
      <c r="F1071" t="s">
        <v>46</v>
      </c>
      <c r="G1071" t="str">
        <f t="shared" si="113"/>
        <v>Electronics</v>
      </c>
      <c r="H1071" t="str">
        <f>PROPER(TRIM(CLEAN(Sales_Table[[#This Row],[Product Name]])))</f>
        <v>Laptop</v>
      </c>
      <c r="I1071" t="s">
        <v>52</v>
      </c>
      <c r="J1071" t="str">
        <f t="shared" si="114"/>
        <v>CUST0582</v>
      </c>
      <c r="K1071" t="s">
        <v>2682</v>
      </c>
      <c r="L1071" t="str">
        <f>PROPER(TRIM(CLEAN(Sales_Table[[#This Row],[Salesperson]])))</f>
        <v>Anita</v>
      </c>
      <c r="M1071" t="s">
        <v>64</v>
      </c>
      <c r="N1071" t="str">
        <f t="shared" si="115"/>
        <v>Cash</v>
      </c>
      <c r="O1071" t="s">
        <v>32</v>
      </c>
      <c r="P1071">
        <f t="shared" si="116"/>
        <v>8</v>
      </c>
      <c r="Q1071" t="s">
        <v>42</v>
      </c>
      <c r="R1071">
        <f t="shared" si="117"/>
        <v>2198</v>
      </c>
      <c r="S1071" t="s">
        <v>2683</v>
      </c>
      <c r="T1071">
        <f t="shared" si="118"/>
        <v>17584</v>
      </c>
      <c r="U1071">
        <f>YEAR(Sales_Table[[#This Row],[Date_clean]])</f>
        <v>2024</v>
      </c>
      <c r="V1071" t="str">
        <f>TEXT(Sales_Table[[#This Row],[Date_clean]],"mmmm")</f>
        <v>February</v>
      </c>
      <c r="W1071">
        <f>WEEKNUM(Sales_Table[[#This Row],[Date_clean]],2)</f>
        <v>7</v>
      </c>
      <c r="X1071" t="str" cm="1">
        <f t="array" ref="X1071">_xlfn.IFS(Sales_Table[[#This Row],[Revenue]]&gt;=50000,"High",Sales_Table[[#This Row],[Revenue]]&gt;=20000,"Medium",Sales_Table[[#This Row],[Revenue]]&lt;20000,"Low")</f>
        <v>Low</v>
      </c>
      <c r="Y1071" t="str">
        <f>IF(Sales_Table[[#This Row],[Payment Method_clean]]="cash","Offline","Online")</f>
        <v>Offline</v>
      </c>
      <c r="Z1071">
        <f>IFERROR(Sales_Table[[#This Row],[Revenue]],0)</f>
        <v>17584</v>
      </c>
    </row>
    <row r="1072" spans="1:26" x14ac:dyDescent="0.3">
      <c r="A1072">
        <v>1071</v>
      </c>
      <c r="B1072" s="2">
        <f t="shared" si="112"/>
        <v>45336.583333333336</v>
      </c>
      <c r="C1072" t="s">
        <v>2684</v>
      </c>
      <c r="D1072" t="s">
        <v>45</v>
      </c>
      <c r="E1072" t="str">
        <f>PROPER(TRIM(CLEAN(Sales_Table[[#This Row],[Region]])))</f>
        <v>North</v>
      </c>
      <c r="F1072" t="s">
        <v>78</v>
      </c>
      <c r="G1072" t="str">
        <f t="shared" si="113"/>
        <v>Grocery</v>
      </c>
      <c r="H1072" t="str">
        <f>PROPER(TRIM(CLEAN(Sales_Table[[#This Row],[Product Name]])))</f>
        <v>Washing Machine</v>
      </c>
      <c r="I1072" t="s">
        <v>79</v>
      </c>
      <c r="J1072" t="str">
        <f t="shared" si="114"/>
        <v>CUST0116</v>
      </c>
      <c r="K1072" t="s">
        <v>2468</v>
      </c>
      <c r="L1072" t="str">
        <f>PROPER(TRIM(CLEAN(Sales_Table[[#This Row],[Salesperson]])))</f>
        <v>Suresh</v>
      </c>
      <c r="M1072" t="s">
        <v>54</v>
      </c>
      <c r="N1072" t="str">
        <f t="shared" si="115"/>
        <v>Debit Card</v>
      </c>
      <c r="O1072" t="s">
        <v>41</v>
      </c>
      <c r="P1072">
        <f t="shared" si="116"/>
        <v>5</v>
      </c>
      <c r="Q1072" t="s">
        <v>89</v>
      </c>
      <c r="R1072">
        <f t="shared" si="117"/>
        <v>273</v>
      </c>
      <c r="S1072" t="s">
        <v>2685</v>
      </c>
      <c r="T1072">
        <f t="shared" si="118"/>
        <v>1365</v>
      </c>
      <c r="U1072">
        <f>YEAR(Sales_Table[[#This Row],[Date_clean]])</f>
        <v>2024</v>
      </c>
      <c r="V1072" t="str">
        <f>TEXT(Sales_Table[[#This Row],[Date_clean]],"mmmm")</f>
        <v>February</v>
      </c>
      <c r="W1072">
        <f>WEEKNUM(Sales_Table[[#This Row],[Date_clean]],2)</f>
        <v>7</v>
      </c>
      <c r="X1072" t="str" cm="1">
        <f t="array" ref="X1072">_xlfn.IFS(Sales_Table[[#This Row],[Revenue]]&gt;=50000,"High",Sales_Table[[#This Row],[Revenue]]&gt;=20000,"Medium",Sales_Table[[#This Row],[Revenue]]&lt;20000,"Low")</f>
        <v>Low</v>
      </c>
      <c r="Y1072" t="str">
        <f>IF(Sales_Table[[#This Row],[Payment Method_clean]]="cash","Offline","Online")</f>
        <v>Online</v>
      </c>
      <c r="Z1072">
        <f>IFERROR(Sales_Table[[#This Row],[Revenue]],0)</f>
        <v>1365</v>
      </c>
    </row>
    <row r="1073" spans="1:26" x14ac:dyDescent="0.3">
      <c r="A1073">
        <v>1072</v>
      </c>
      <c r="B1073" s="2">
        <f t="shared" si="112"/>
        <v>45336.625</v>
      </c>
      <c r="C1073" t="s">
        <v>2686</v>
      </c>
      <c r="D1073" t="s">
        <v>84</v>
      </c>
      <c r="E1073" t="str">
        <f>PROPER(TRIM(CLEAN(Sales_Table[[#This Row],[Region]])))</f>
        <v>South</v>
      </c>
      <c r="F1073" t="s">
        <v>46</v>
      </c>
      <c r="G1073" t="str">
        <f t="shared" si="113"/>
        <v>Electronics</v>
      </c>
      <c r="H1073" t="str">
        <f>PROPER(TRIM(CLEAN(Sales_Table[[#This Row],[Product Name]])))</f>
        <v>Led Tv 42Inch</v>
      </c>
      <c r="I1073" t="s">
        <v>58</v>
      </c>
      <c r="J1073" t="str">
        <f t="shared" si="114"/>
        <v>CUST0239</v>
      </c>
      <c r="K1073" t="s">
        <v>311</v>
      </c>
      <c r="L1073" t="str">
        <f>PROPER(TRIM(CLEAN(Sales_Table[[#This Row],[Salesperson]])))</f>
        <v>Anita</v>
      </c>
      <c r="M1073" t="s">
        <v>64</v>
      </c>
      <c r="N1073" t="str">
        <f t="shared" si="115"/>
        <v>Debit Card</v>
      </c>
      <c r="O1073" t="s">
        <v>41</v>
      </c>
      <c r="P1073">
        <f t="shared" si="116"/>
        <v>5</v>
      </c>
      <c r="Q1073" t="s">
        <v>89</v>
      </c>
      <c r="R1073">
        <f t="shared" si="117"/>
        <v>4119</v>
      </c>
      <c r="S1073" t="s">
        <v>2687</v>
      </c>
      <c r="T1073">
        <f t="shared" si="118"/>
        <v>20595</v>
      </c>
      <c r="U1073">
        <f>YEAR(Sales_Table[[#This Row],[Date_clean]])</f>
        <v>2024</v>
      </c>
      <c r="V1073" t="str">
        <f>TEXT(Sales_Table[[#This Row],[Date_clean]],"mmmm")</f>
        <v>February</v>
      </c>
      <c r="W1073">
        <f>WEEKNUM(Sales_Table[[#This Row],[Date_clean]],2)</f>
        <v>7</v>
      </c>
      <c r="X1073" t="str" cm="1">
        <f t="array" ref="X1073">_xlfn.IFS(Sales_Table[[#This Row],[Revenue]]&gt;=50000,"High",Sales_Table[[#This Row],[Revenue]]&gt;=20000,"Medium",Sales_Table[[#This Row],[Revenue]]&lt;20000,"Low")</f>
        <v>Medium</v>
      </c>
      <c r="Y1073" t="str">
        <f>IF(Sales_Table[[#This Row],[Payment Method_clean]]="cash","Offline","Online")</f>
        <v>Online</v>
      </c>
      <c r="Z1073">
        <f>IFERROR(Sales_Table[[#This Row],[Revenue]],0)</f>
        <v>20595</v>
      </c>
    </row>
    <row r="1074" spans="1:26" x14ac:dyDescent="0.3">
      <c r="A1074">
        <v>1073</v>
      </c>
      <c r="B1074" s="2">
        <f t="shared" si="112"/>
        <v>45336.666666666664</v>
      </c>
      <c r="C1074" t="s">
        <v>2688</v>
      </c>
      <c r="D1074" t="s">
        <v>84</v>
      </c>
      <c r="E1074" t="str">
        <f>PROPER(TRIM(CLEAN(Sales_Table[[#This Row],[Region]])))</f>
        <v>South</v>
      </c>
      <c r="F1074" t="s">
        <v>28</v>
      </c>
      <c r="G1074" t="str">
        <f t="shared" si="113"/>
        <v>Clothing</v>
      </c>
      <c r="H1074" t="str">
        <f>PROPER(TRIM(CLEAN(Sales_Table[[#This Row],[Product Name]])))</f>
        <v>Men T-Shirt</v>
      </c>
      <c r="I1074" t="s">
        <v>38</v>
      </c>
      <c r="J1074" t="str">
        <f t="shared" si="114"/>
        <v>CUST0335</v>
      </c>
      <c r="K1074" t="s">
        <v>2029</v>
      </c>
      <c r="L1074" t="str">
        <f>PROPER(TRIM(CLEAN(Sales_Table[[#This Row],[Salesperson]])))</f>
        <v>Anita</v>
      </c>
      <c r="M1074" t="s">
        <v>64</v>
      </c>
      <c r="N1074" t="str">
        <f t="shared" si="115"/>
        <v>Cash</v>
      </c>
      <c r="O1074" t="s">
        <v>32</v>
      </c>
      <c r="P1074">
        <f t="shared" si="116"/>
        <v>6</v>
      </c>
      <c r="Q1074" t="s">
        <v>75</v>
      </c>
      <c r="R1074">
        <f t="shared" si="117"/>
        <v>1741</v>
      </c>
      <c r="S1074" t="s">
        <v>2689</v>
      </c>
      <c r="T1074">
        <f t="shared" si="118"/>
        <v>10446</v>
      </c>
      <c r="U1074">
        <f>YEAR(Sales_Table[[#This Row],[Date_clean]])</f>
        <v>2024</v>
      </c>
      <c r="V1074" t="str">
        <f>TEXT(Sales_Table[[#This Row],[Date_clean]],"mmmm")</f>
        <v>February</v>
      </c>
      <c r="W1074">
        <f>WEEKNUM(Sales_Table[[#This Row],[Date_clean]],2)</f>
        <v>7</v>
      </c>
      <c r="X1074" t="str" cm="1">
        <f t="array" ref="X1074">_xlfn.IFS(Sales_Table[[#This Row],[Revenue]]&gt;=50000,"High",Sales_Table[[#This Row],[Revenue]]&gt;=20000,"Medium",Sales_Table[[#This Row],[Revenue]]&lt;20000,"Low")</f>
        <v>Low</v>
      </c>
      <c r="Y1074" t="str">
        <f>IF(Sales_Table[[#This Row],[Payment Method_clean]]="cash","Offline","Online")</f>
        <v>Offline</v>
      </c>
      <c r="Z1074">
        <f>IFERROR(Sales_Table[[#This Row],[Revenue]],0)</f>
        <v>10446</v>
      </c>
    </row>
    <row r="1075" spans="1:26" x14ac:dyDescent="0.3">
      <c r="A1075">
        <v>1074</v>
      </c>
      <c r="B1075" s="2">
        <f t="shared" si="112"/>
        <v>45336.708333333336</v>
      </c>
      <c r="C1075" t="s">
        <v>2690</v>
      </c>
      <c r="D1075" t="s">
        <v>27</v>
      </c>
      <c r="E1075" t="str">
        <f>PROPER(TRIM(CLEAN(Sales_Table[[#This Row],[Region]])))</f>
        <v>East</v>
      </c>
      <c r="F1075" t="s">
        <v>28</v>
      </c>
      <c r="G1075" t="str">
        <f t="shared" si="113"/>
        <v>Clothing</v>
      </c>
      <c r="H1075" t="str">
        <f>PROPER(TRIM(CLEAN(Sales_Table[[#This Row],[Product Name]])))</f>
        <v>Laptop</v>
      </c>
      <c r="I1075" t="s">
        <v>52</v>
      </c>
      <c r="J1075" t="str">
        <f t="shared" si="114"/>
        <v>CUST0441</v>
      </c>
      <c r="K1075" t="s">
        <v>2691</v>
      </c>
      <c r="L1075" t="str">
        <f>PROPER(TRIM(CLEAN(Sales_Table[[#This Row],[Salesperson]])))</f>
        <v>Rahul</v>
      </c>
      <c r="M1075" t="s">
        <v>31</v>
      </c>
      <c r="N1075" t="str">
        <f t="shared" si="115"/>
        <v>Credit Card</v>
      </c>
      <c r="O1075" t="s">
        <v>65</v>
      </c>
      <c r="P1075">
        <f t="shared" si="116"/>
        <v>10</v>
      </c>
      <c r="Q1075" t="s">
        <v>117</v>
      </c>
      <c r="R1075">
        <f t="shared" si="117"/>
        <v>600</v>
      </c>
      <c r="S1075" t="s">
        <v>2692</v>
      </c>
      <c r="T1075">
        <f t="shared" si="118"/>
        <v>6000</v>
      </c>
      <c r="U1075">
        <f>YEAR(Sales_Table[[#This Row],[Date_clean]])</f>
        <v>2024</v>
      </c>
      <c r="V1075" t="str">
        <f>TEXT(Sales_Table[[#This Row],[Date_clean]],"mmmm")</f>
        <v>February</v>
      </c>
      <c r="W1075">
        <f>WEEKNUM(Sales_Table[[#This Row],[Date_clean]],2)</f>
        <v>7</v>
      </c>
      <c r="X1075" t="str" cm="1">
        <f t="array" ref="X1075">_xlfn.IFS(Sales_Table[[#This Row],[Revenue]]&gt;=50000,"High",Sales_Table[[#This Row],[Revenue]]&gt;=20000,"Medium",Sales_Table[[#This Row],[Revenue]]&lt;20000,"Low")</f>
        <v>Low</v>
      </c>
      <c r="Y1075" t="str">
        <f>IF(Sales_Table[[#This Row],[Payment Method_clean]]="cash","Offline","Online")</f>
        <v>Online</v>
      </c>
      <c r="Z1075">
        <f>IFERROR(Sales_Table[[#This Row],[Revenue]],0)</f>
        <v>6000</v>
      </c>
    </row>
    <row r="1076" spans="1:26" x14ac:dyDescent="0.3">
      <c r="A1076">
        <v>1075</v>
      </c>
      <c r="B1076" s="2">
        <f t="shared" si="112"/>
        <v>45336.75</v>
      </c>
      <c r="C1076" t="s">
        <v>2693</v>
      </c>
      <c r="D1076" t="s">
        <v>45</v>
      </c>
      <c r="E1076" t="str">
        <f>PROPER(TRIM(CLEAN(Sales_Table[[#This Row],[Region]])))</f>
        <v>North</v>
      </c>
      <c r="F1076" t="s">
        <v>28</v>
      </c>
      <c r="G1076" t="str">
        <f t="shared" si="113"/>
        <v>Clothing</v>
      </c>
      <c r="H1076" t="str">
        <f>PROPER(TRIM(CLEAN(Sales_Table[[#This Row],[Product Name]])))</f>
        <v>Rice 5Kg</v>
      </c>
      <c r="I1076" t="s">
        <v>73</v>
      </c>
      <c r="J1076" t="str">
        <f t="shared" si="114"/>
        <v>CUST0148</v>
      </c>
      <c r="K1076" t="s">
        <v>2694</v>
      </c>
      <c r="L1076" t="str">
        <f>PROPER(TRIM(CLEAN(Sales_Table[[#This Row],[Salesperson]])))</f>
        <v>Anita</v>
      </c>
      <c r="M1076" t="s">
        <v>64</v>
      </c>
      <c r="N1076" t="str">
        <f t="shared" si="115"/>
        <v>Cash</v>
      </c>
      <c r="O1076" t="s">
        <v>32</v>
      </c>
      <c r="P1076">
        <f t="shared" si="116"/>
        <v>7</v>
      </c>
      <c r="Q1076" t="s">
        <v>49</v>
      </c>
      <c r="R1076">
        <f t="shared" si="117"/>
        <v>3746</v>
      </c>
      <c r="S1076" t="s">
        <v>2695</v>
      </c>
      <c r="T1076">
        <f t="shared" si="118"/>
        <v>26222</v>
      </c>
      <c r="U1076">
        <f>YEAR(Sales_Table[[#This Row],[Date_clean]])</f>
        <v>2024</v>
      </c>
      <c r="V1076" t="str">
        <f>TEXT(Sales_Table[[#This Row],[Date_clean]],"mmmm")</f>
        <v>February</v>
      </c>
      <c r="W1076">
        <f>WEEKNUM(Sales_Table[[#This Row],[Date_clean]],2)</f>
        <v>7</v>
      </c>
      <c r="X1076" t="str" cm="1">
        <f t="array" ref="X1076">_xlfn.IFS(Sales_Table[[#This Row],[Revenue]]&gt;=50000,"High",Sales_Table[[#This Row],[Revenue]]&gt;=20000,"Medium",Sales_Table[[#This Row],[Revenue]]&lt;20000,"Low")</f>
        <v>Medium</v>
      </c>
      <c r="Y1076" t="str">
        <f>IF(Sales_Table[[#This Row],[Payment Method_clean]]="cash","Offline","Online")</f>
        <v>Offline</v>
      </c>
      <c r="Z1076">
        <f>IFERROR(Sales_Table[[#This Row],[Revenue]],0)</f>
        <v>26222</v>
      </c>
    </row>
    <row r="1077" spans="1:26" x14ac:dyDescent="0.3">
      <c r="A1077">
        <v>1076</v>
      </c>
      <c r="B1077" s="2">
        <f t="shared" si="112"/>
        <v>45336.791666666664</v>
      </c>
      <c r="C1077" t="s">
        <v>2696</v>
      </c>
      <c r="D1077" t="s">
        <v>45</v>
      </c>
      <c r="E1077" t="str">
        <f>PROPER(TRIM(CLEAN(Sales_Table[[#This Row],[Region]])))</f>
        <v>North</v>
      </c>
      <c r="F1077" t="s">
        <v>37</v>
      </c>
      <c r="G1077" t="str">
        <f t="shared" si="113"/>
        <v>Home Appliances</v>
      </c>
      <c r="H1077" t="str">
        <f>PROPER(TRIM(CLEAN(Sales_Table[[#This Row],[Product Name]])))</f>
        <v>Led Tv 42Inch</v>
      </c>
      <c r="I1077" t="s">
        <v>58</v>
      </c>
      <c r="J1077" t="str">
        <f t="shared" si="114"/>
        <v>CUST0009</v>
      </c>
      <c r="K1077" t="s">
        <v>2697</v>
      </c>
      <c r="L1077" t="str">
        <f>PROPER(TRIM(CLEAN(Sales_Table[[#This Row],[Salesperson]])))</f>
        <v>Karthik</v>
      </c>
      <c r="M1077" t="s">
        <v>70</v>
      </c>
      <c r="N1077" t="str">
        <f t="shared" si="115"/>
        <v>Credit Card</v>
      </c>
      <c r="O1077" t="s">
        <v>65</v>
      </c>
      <c r="P1077">
        <f t="shared" si="116"/>
        <v>13</v>
      </c>
      <c r="Q1077" t="s">
        <v>81</v>
      </c>
      <c r="R1077">
        <f t="shared" si="117"/>
        <v>2463</v>
      </c>
      <c r="S1077" t="s">
        <v>2698</v>
      </c>
      <c r="T1077">
        <f t="shared" si="118"/>
        <v>32019</v>
      </c>
      <c r="U1077">
        <f>YEAR(Sales_Table[[#This Row],[Date_clean]])</f>
        <v>2024</v>
      </c>
      <c r="V1077" t="str">
        <f>TEXT(Sales_Table[[#This Row],[Date_clean]],"mmmm")</f>
        <v>February</v>
      </c>
      <c r="W1077">
        <f>WEEKNUM(Sales_Table[[#This Row],[Date_clean]],2)</f>
        <v>7</v>
      </c>
      <c r="X1077" t="str" cm="1">
        <f t="array" ref="X1077">_xlfn.IFS(Sales_Table[[#This Row],[Revenue]]&gt;=50000,"High",Sales_Table[[#This Row],[Revenue]]&gt;=20000,"Medium",Sales_Table[[#This Row],[Revenue]]&lt;20000,"Low")</f>
        <v>Medium</v>
      </c>
      <c r="Y1077" t="str">
        <f>IF(Sales_Table[[#This Row],[Payment Method_clean]]="cash","Offline","Online")</f>
        <v>Online</v>
      </c>
      <c r="Z1077">
        <f>IFERROR(Sales_Table[[#This Row],[Revenue]],0)</f>
        <v>32019</v>
      </c>
    </row>
    <row r="1078" spans="1:26" x14ac:dyDescent="0.3">
      <c r="A1078">
        <v>1077</v>
      </c>
      <c r="B1078" s="2">
        <f t="shared" si="112"/>
        <v>45336.833333333336</v>
      </c>
      <c r="C1078" t="s">
        <v>2699</v>
      </c>
      <c r="D1078" t="s">
        <v>84</v>
      </c>
      <c r="E1078" t="str">
        <f>PROPER(TRIM(CLEAN(Sales_Table[[#This Row],[Region]])))</f>
        <v>South</v>
      </c>
      <c r="F1078" t="s">
        <v>46</v>
      </c>
      <c r="G1078" t="str">
        <f t="shared" si="113"/>
        <v>Electronics</v>
      </c>
      <c r="H1078" t="str">
        <f>PROPER(TRIM(CLEAN(Sales_Table[[#This Row],[Product Name]])))</f>
        <v>Washing Machine</v>
      </c>
      <c r="I1078" t="s">
        <v>79</v>
      </c>
      <c r="J1078" t="str">
        <f t="shared" si="114"/>
        <v>CUST0288</v>
      </c>
      <c r="K1078" t="s">
        <v>663</v>
      </c>
      <c r="L1078" t="str">
        <f>PROPER(TRIM(CLEAN(Sales_Table[[#This Row],[Salesperson]])))</f>
        <v>Meena</v>
      </c>
      <c r="M1078" t="s">
        <v>40</v>
      </c>
      <c r="N1078" t="str">
        <f t="shared" si="115"/>
        <v>Cash</v>
      </c>
      <c r="O1078" t="s">
        <v>32</v>
      </c>
      <c r="P1078">
        <f t="shared" si="116"/>
        <v>13</v>
      </c>
      <c r="Q1078" t="s">
        <v>81</v>
      </c>
      <c r="R1078">
        <f t="shared" si="117"/>
        <v>1956</v>
      </c>
      <c r="S1078" t="s">
        <v>385</v>
      </c>
      <c r="T1078">
        <f t="shared" si="118"/>
        <v>25428</v>
      </c>
      <c r="U1078">
        <f>YEAR(Sales_Table[[#This Row],[Date_clean]])</f>
        <v>2024</v>
      </c>
      <c r="V1078" t="str">
        <f>TEXT(Sales_Table[[#This Row],[Date_clean]],"mmmm")</f>
        <v>February</v>
      </c>
      <c r="W1078">
        <f>WEEKNUM(Sales_Table[[#This Row],[Date_clean]],2)</f>
        <v>7</v>
      </c>
      <c r="X1078" t="str" cm="1">
        <f t="array" ref="X1078">_xlfn.IFS(Sales_Table[[#This Row],[Revenue]]&gt;=50000,"High",Sales_Table[[#This Row],[Revenue]]&gt;=20000,"Medium",Sales_Table[[#This Row],[Revenue]]&lt;20000,"Low")</f>
        <v>Medium</v>
      </c>
      <c r="Y1078" t="str">
        <f>IF(Sales_Table[[#This Row],[Payment Method_clean]]="cash","Offline","Online")</f>
        <v>Offline</v>
      </c>
      <c r="Z1078">
        <f>IFERROR(Sales_Table[[#This Row],[Revenue]],0)</f>
        <v>25428</v>
      </c>
    </row>
    <row r="1079" spans="1:26" x14ac:dyDescent="0.3">
      <c r="A1079">
        <v>1078</v>
      </c>
      <c r="B1079" s="2">
        <f t="shared" si="112"/>
        <v>45336.875</v>
      </c>
      <c r="C1079" t="s">
        <v>2700</v>
      </c>
      <c r="D1079" t="s">
        <v>45</v>
      </c>
      <c r="E1079" t="str">
        <f>PROPER(TRIM(CLEAN(Sales_Table[[#This Row],[Region]])))</f>
        <v>North</v>
      </c>
      <c r="F1079" t="s">
        <v>28</v>
      </c>
      <c r="G1079" t="str">
        <f t="shared" si="113"/>
        <v>Clothing</v>
      </c>
      <c r="H1079" t="str">
        <f>PROPER(TRIM(CLEAN(Sales_Table[[#This Row],[Product Name]])))</f>
        <v>Laptop</v>
      </c>
      <c r="I1079" t="s">
        <v>52</v>
      </c>
      <c r="J1079" t="str">
        <f t="shared" si="114"/>
        <v>CUST0388</v>
      </c>
      <c r="K1079" t="s">
        <v>355</v>
      </c>
      <c r="L1079" t="str">
        <f>PROPER(TRIM(CLEAN(Sales_Table[[#This Row],[Salesperson]])))</f>
        <v>Rahul</v>
      </c>
      <c r="M1079" t="s">
        <v>31</v>
      </c>
      <c r="N1079" t="str">
        <f t="shared" si="115"/>
        <v>Credit Card</v>
      </c>
      <c r="O1079" t="s">
        <v>65</v>
      </c>
      <c r="P1079">
        <f t="shared" si="116"/>
        <v>10</v>
      </c>
      <c r="Q1079" t="s">
        <v>117</v>
      </c>
      <c r="R1079">
        <f t="shared" si="117"/>
        <v>3252</v>
      </c>
      <c r="S1079" t="s">
        <v>2701</v>
      </c>
      <c r="T1079">
        <f t="shared" si="118"/>
        <v>32520</v>
      </c>
      <c r="U1079">
        <f>YEAR(Sales_Table[[#This Row],[Date_clean]])</f>
        <v>2024</v>
      </c>
      <c r="V1079" t="str">
        <f>TEXT(Sales_Table[[#This Row],[Date_clean]],"mmmm")</f>
        <v>February</v>
      </c>
      <c r="W1079">
        <f>WEEKNUM(Sales_Table[[#This Row],[Date_clean]],2)</f>
        <v>7</v>
      </c>
      <c r="X1079" t="str" cm="1">
        <f t="array" ref="X1079">_xlfn.IFS(Sales_Table[[#This Row],[Revenue]]&gt;=50000,"High",Sales_Table[[#This Row],[Revenue]]&gt;=20000,"Medium",Sales_Table[[#This Row],[Revenue]]&lt;20000,"Low")</f>
        <v>Medium</v>
      </c>
      <c r="Y1079" t="str">
        <f>IF(Sales_Table[[#This Row],[Payment Method_clean]]="cash","Offline","Online")</f>
        <v>Online</v>
      </c>
      <c r="Z1079">
        <f>IFERROR(Sales_Table[[#This Row],[Revenue]],0)</f>
        <v>32520</v>
      </c>
    </row>
    <row r="1080" spans="1:26" x14ac:dyDescent="0.3">
      <c r="A1080">
        <v>1079</v>
      </c>
      <c r="B1080" s="2">
        <f t="shared" si="112"/>
        <v>45336.916666666664</v>
      </c>
      <c r="C1080" t="s">
        <v>2702</v>
      </c>
      <c r="D1080" t="s">
        <v>84</v>
      </c>
      <c r="E1080" t="str">
        <f>PROPER(TRIM(CLEAN(Sales_Table[[#This Row],[Region]])))</f>
        <v>South</v>
      </c>
      <c r="F1080" t="s">
        <v>78</v>
      </c>
      <c r="G1080" t="str">
        <f t="shared" si="113"/>
        <v>Grocery</v>
      </c>
      <c r="H1080" t="str">
        <f>PROPER(TRIM(CLEAN(Sales_Table[[#This Row],[Product Name]])))</f>
        <v>Washing Machine</v>
      </c>
      <c r="I1080" t="s">
        <v>79</v>
      </c>
      <c r="J1080" t="str">
        <f t="shared" si="114"/>
        <v>CUST0050</v>
      </c>
      <c r="K1080" t="s">
        <v>939</v>
      </c>
      <c r="L1080" t="str">
        <f>PROPER(TRIM(CLEAN(Sales_Table[[#This Row],[Salesperson]])))</f>
        <v>Meena</v>
      </c>
      <c r="M1080" t="s">
        <v>40</v>
      </c>
      <c r="N1080" t="str">
        <f t="shared" si="115"/>
        <v>Credit Card</v>
      </c>
      <c r="O1080" t="s">
        <v>65</v>
      </c>
      <c r="P1080">
        <f t="shared" si="116"/>
        <v>14</v>
      </c>
      <c r="Q1080" t="s">
        <v>55</v>
      </c>
      <c r="R1080">
        <f t="shared" si="117"/>
        <v>1996</v>
      </c>
      <c r="S1080" t="s">
        <v>2423</v>
      </c>
      <c r="T1080">
        <f t="shared" si="118"/>
        <v>27944</v>
      </c>
      <c r="U1080">
        <f>YEAR(Sales_Table[[#This Row],[Date_clean]])</f>
        <v>2024</v>
      </c>
      <c r="V1080" t="str">
        <f>TEXT(Sales_Table[[#This Row],[Date_clean]],"mmmm")</f>
        <v>February</v>
      </c>
      <c r="W1080">
        <f>WEEKNUM(Sales_Table[[#This Row],[Date_clean]],2)</f>
        <v>7</v>
      </c>
      <c r="X1080" t="str" cm="1">
        <f t="array" ref="X1080">_xlfn.IFS(Sales_Table[[#This Row],[Revenue]]&gt;=50000,"High",Sales_Table[[#This Row],[Revenue]]&gt;=20000,"Medium",Sales_Table[[#This Row],[Revenue]]&lt;20000,"Low")</f>
        <v>Medium</v>
      </c>
      <c r="Y1080" t="str">
        <f>IF(Sales_Table[[#This Row],[Payment Method_clean]]="cash","Offline","Online")</f>
        <v>Online</v>
      </c>
      <c r="Z1080">
        <f>IFERROR(Sales_Table[[#This Row],[Revenue]],0)</f>
        <v>27944</v>
      </c>
    </row>
    <row r="1081" spans="1:26" x14ac:dyDescent="0.3">
      <c r="A1081">
        <v>1080</v>
      </c>
      <c r="B1081" s="2">
        <f t="shared" si="112"/>
        <v>45336.958333333336</v>
      </c>
      <c r="C1081" t="s">
        <v>2703</v>
      </c>
      <c r="D1081" t="s">
        <v>45</v>
      </c>
      <c r="E1081" t="str">
        <f>PROPER(TRIM(CLEAN(Sales_Table[[#This Row],[Region]])))</f>
        <v>North</v>
      </c>
      <c r="F1081" t="s">
        <v>28</v>
      </c>
      <c r="G1081" t="str">
        <f t="shared" si="113"/>
        <v>Clothing</v>
      </c>
      <c r="H1081" t="str">
        <f>PROPER(TRIM(CLEAN(Sales_Table[[#This Row],[Product Name]])))</f>
        <v>Rice 5Kg</v>
      </c>
      <c r="I1081" t="s">
        <v>73</v>
      </c>
      <c r="J1081" t="str">
        <f t="shared" si="114"/>
        <v>CUST0517</v>
      </c>
      <c r="K1081" t="s">
        <v>405</v>
      </c>
      <c r="L1081" t="str">
        <f>PROPER(TRIM(CLEAN(Sales_Table[[#This Row],[Salesperson]])))</f>
        <v>Meena</v>
      </c>
      <c r="M1081" t="s">
        <v>40</v>
      </c>
      <c r="N1081" t="str">
        <f t="shared" si="115"/>
        <v>Cash</v>
      </c>
      <c r="O1081" t="s">
        <v>32</v>
      </c>
      <c r="P1081">
        <f t="shared" si="116"/>
        <v>7</v>
      </c>
      <c r="Q1081" t="s">
        <v>49</v>
      </c>
      <c r="R1081">
        <f t="shared" si="117"/>
        <v>1818</v>
      </c>
      <c r="S1081" t="s">
        <v>693</v>
      </c>
      <c r="T1081">
        <f t="shared" si="118"/>
        <v>12726</v>
      </c>
      <c r="U1081">
        <f>YEAR(Sales_Table[[#This Row],[Date_clean]])</f>
        <v>2024</v>
      </c>
      <c r="V1081" t="str">
        <f>TEXT(Sales_Table[[#This Row],[Date_clean]],"mmmm")</f>
        <v>February</v>
      </c>
      <c r="W1081">
        <f>WEEKNUM(Sales_Table[[#This Row],[Date_clean]],2)</f>
        <v>7</v>
      </c>
      <c r="X1081" t="str" cm="1">
        <f t="array" ref="X1081">_xlfn.IFS(Sales_Table[[#This Row],[Revenue]]&gt;=50000,"High",Sales_Table[[#This Row],[Revenue]]&gt;=20000,"Medium",Sales_Table[[#This Row],[Revenue]]&lt;20000,"Low")</f>
        <v>Low</v>
      </c>
      <c r="Y1081" t="str">
        <f>IF(Sales_Table[[#This Row],[Payment Method_clean]]="cash","Offline","Online")</f>
        <v>Offline</v>
      </c>
      <c r="Z1081">
        <f>IFERROR(Sales_Table[[#This Row],[Revenue]],0)</f>
        <v>12726</v>
      </c>
    </row>
    <row r="1082" spans="1:26" x14ac:dyDescent="0.3">
      <c r="A1082">
        <v>1081</v>
      </c>
      <c r="B1082" s="2">
        <f t="shared" si="112"/>
        <v>45337</v>
      </c>
      <c r="C1082" t="s">
        <v>2704</v>
      </c>
      <c r="D1082" t="s">
        <v>27</v>
      </c>
      <c r="E1082" t="str">
        <f>PROPER(TRIM(CLEAN(Sales_Table[[#This Row],[Region]])))</f>
        <v>East</v>
      </c>
      <c r="F1082" t="s">
        <v>28</v>
      </c>
      <c r="G1082" t="str">
        <f t="shared" si="113"/>
        <v>Clothing</v>
      </c>
      <c r="H1082" t="str">
        <f>PROPER(TRIM(CLEAN(Sales_Table[[#This Row],[Product Name]])))</f>
        <v>Rice 5Kg</v>
      </c>
      <c r="I1082" t="s">
        <v>73</v>
      </c>
      <c r="J1082" t="str">
        <f t="shared" si="114"/>
        <v>CUST0638</v>
      </c>
      <c r="K1082" t="s">
        <v>958</v>
      </c>
      <c r="L1082" t="str">
        <f>PROPER(TRIM(CLEAN(Sales_Table[[#This Row],[Salesperson]])))</f>
        <v>Suresh</v>
      </c>
      <c r="M1082" t="s">
        <v>54</v>
      </c>
      <c r="N1082" t="str">
        <f t="shared" si="115"/>
        <v>Credit Card</v>
      </c>
      <c r="O1082" t="s">
        <v>65</v>
      </c>
      <c r="P1082">
        <f t="shared" si="116"/>
        <v>13</v>
      </c>
      <c r="Q1082" t="s">
        <v>81</v>
      </c>
      <c r="R1082">
        <f t="shared" si="117"/>
        <v>1878</v>
      </c>
      <c r="S1082" t="s">
        <v>2705</v>
      </c>
      <c r="T1082">
        <f t="shared" si="118"/>
        <v>24414</v>
      </c>
      <c r="U1082">
        <f>YEAR(Sales_Table[[#This Row],[Date_clean]])</f>
        <v>2024</v>
      </c>
      <c r="V1082" t="str">
        <f>TEXT(Sales_Table[[#This Row],[Date_clean]],"mmmm")</f>
        <v>February</v>
      </c>
      <c r="W1082">
        <f>WEEKNUM(Sales_Table[[#This Row],[Date_clean]],2)</f>
        <v>7</v>
      </c>
      <c r="X1082" t="str" cm="1">
        <f t="array" ref="X1082">_xlfn.IFS(Sales_Table[[#This Row],[Revenue]]&gt;=50000,"High",Sales_Table[[#This Row],[Revenue]]&gt;=20000,"Medium",Sales_Table[[#This Row],[Revenue]]&lt;20000,"Low")</f>
        <v>Medium</v>
      </c>
      <c r="Y1082" t="str">
        <f>IF(Sales_Table[[#This Row],[Payment Method_clean]]="cash","Offline","Online")</f>
        <v>Online</v>
      </c>
      <c r="Z1082">
        <f>IFERROR(Sales_Table[[#This Row],[Revenue]],0)</f>
        <v>24414</v>
      </c>
    </row>
    <row r="1083" spans="1:26" x14ac:dyDescent="0.3">
      <c r="A1083">
        <v>1082</v>
      </c>
      <c r="B1083" s="2">
        <f t="shared" si="112"/>
        <v>45337.041666666664</v>
      </c>
      <c r="C1083" t="s">
        <v>2706</v>
      </c>
      <c r="D1083" t="s">
        <v>45</v>
      </c>
      <c r="E1083" t="str">
        <f>PROPER(TRIM(CLEAN(Sales_Table[[#This Row],[Region]])))</f>
        <v>North</v>
      </c>
      <c r="F1083" t="s">
        <v>28</v>
      </c>
      <c r="G1083" t="str">
        <f t="shared" si="113"/>
        <v>Clothing</v>
      </c>
      <c r="H1083" t="str">
        <f>PROPER(TRIM(CLEAN(Sales_Table[[#This Row],[Product Name]])))</f>
        <v>Led Tv 42Inch</v>
      </c>
      <c r="I1083" t="s">
        <v>58</v>
      </c>
      <c r="J1083" t="str">
        <f t="shared" si="114"/>
        <v>CUST0587</v>
      </c>
      <c r="K1083" t="s">
        <v>802</v>
      </c>
      <c r="L1083" t="str">
        <f>PROPER(TRIM(CLEAN(Sales_Table[[#This Row],[Salesperson]])))</f>
        <v>Suresh</v>
      </c>
      <c r="M1083" t="s">
        <v>54</v>
      </c>
      <c r="N1083" t="str">
        <f t="shared" si="115"/>
        <v>Upi</v>
      </c>
      <c r="O1083" t="s">
        <v>48</v>
      </c>
      <c r="P1083">
        <f t="shared" si="116"/>
        <v>4</v>
      </c>
      <c r="Q1083" t="s">
        <v>113</v>
      </c>
      <c r="R1083">
        <f t="shared" si="117"/>
        <v>4892</v>
      </c>
      <c r="S1083" t="s">
        <v>2707</v>
      </c>
      <c r="T1083">
        <f t="shared" si="118"/>
        <v>19568</v>
      </c>
      <c r="U1083">
        <f>YEAR(Sales_Table[[#This Row],[Date_clean]])</f>
        <v>2024</v>
      </c>
      <c r="V1083" t="str">
        <f>TEXT(Sales_Table[[#This Row],[Date_clean]],"mmmm")</f>
        <v>February</v>
      </c>
      <c r="W1083">
        <f>WEEKNUM(Sales_Table[[#This Row],[Date_clean]],2)</f>
        <v>7</v>
      </c>
      <c r="X1083" t="str" cm="1">
        <f t="array" ref="X1083">_xlfn.IFS(Sales_Table[[#This Row],[Revenue]]&gt;=50000,"High",Sales_Table[[#This Row],[Revenue]]&gt;=20000,"Medium",Sales_Table[[#This Row],[Revenue]]&lt;20000,"Low")</f>
        <v>Low</v>
      </c>
      <c r="Y1083" t="str">
        <f>IF(Sales_Table[[#This Row],[Payment Method_clean]]="cash","Offline","Online")</f>
        <v>Online</v>
      </c>
      <c r="Z1083">
        <f>IFERROR(Sales_Table[[#This Row],[Revenue]],0)</f>
        <v>19568</v>
      </c>
    </row>
    <row r="1084" spans="1:26" x14ac:dyDescent="0.3">
      <c r="A1084">
        <v>1083</v>
      </c>
      <c r="B1084" s="2">
        <f t="shared" si="112"/>
        <v>45337.083333333336</v>
      </c>
      <c r="C1084" t="s">
        <v>2708</v>
      </c>
      <c r="D1084" t="s">
        <v>45</v>
      </c>
      <c r="E1084" t="str">
        <f>PROPER(TRIM(CLEAN(Sales_Table[[#This Row],[Region]])))</f>
        <v>North</v>
      </c>
      <c r="F1084" t="s">
        <v>37</v>
      </c>
      <c r="G1084" t="str">
        <f t="shared" si="113"/>
        <v>Home Appliances</v>
      </c>
      <c r="H1084" t="str">
        <f>PROPER(TRIM(CLEAN(Sales_Table[[#This Row],[Product Name]])))</f>
        <v>Mixer Grinder</v>
      </c>
      <c r="I1084" t="s">
        <v>29</v>
      </c>
      <c r="J1084" t="str">
        <f t="shared" si="114"/>
        <v>CUST0677</v>
      </c>
      <c r="K1084" t="s">
        <v>381</v>
      </c>
      <c r="L1084" t="str">
        <f>PROPER(TRIM(CLEAN(Sales_Table[[#This Row],[Salesperson]])))</f>
        <v>Rahul</v>
      </c>
      <c r="M1084" t="s">
        <v>31</v>
      </c>
      <c r="N1084" t="str">
        <f t="shared" si="115"/>
        <v>Net Banking</v>
      </c>
      <c r="O1084" t="s">
        <v>60</v>
      </c>
      <c r="P1084">
        <f t="shared" si="116"/>
        <v>6</v>
      </c>
      <c r="Q1084" t="s">
        <v>75</v>
      </c>
      <c r="R1084">
        <f t="shared" si="117"/>
        <v>3157</v>
      </c>
      <c r="S1084" t="s">
        <v>2709</v>
      </c>
      <c r="T1084">
        <f t="shared" si="118"/>
        <v>18942</v>
      </c>
      <c r="U1084">
        <f>YEAR(Sales_Table[[#This Row],[Date_clean]])</f>
        <v>2024</v>
      </c>
      <c r="V1084" t="str">
        <f>TEXT(Sales_Table[[#This Row],[Date_clean]],"mmmm")</f>
        <v>February</v>
      </c>
      <c r="W1084">
        <f>WEEKNUM(Sales_Table[[#This Row],[Date_clean]],2)</f>
        <v>7</v>
      </c>
      <c r="X1084" t="str" cm="1">
        <f t="array" ref="X1084">_xlfn.IFS(Sales_Table[[#This Row],[Revenue]]&gt;=50000,"High",Sales_Table[[#This Row],[Revenue]]&gt;=20000,"Medium",Sales_Table[[#This Row],[Revenue]]&lt;20000,"Low")</f>
        <v>Low</v>
      </c>
      <c r="Y1084" t="str">
        <f>IF(Sales_Table[[#This Row],[Payment Method_clean]]="cash","Offline","Online")</f>
        <v>Online</v>
      </c>
      <c r="Z1084">
        <f>IFERROR(Sales_Table[[#This Row],[Revenue]],0)</f>
        <v>18942</v>
      </c>
    </row>
    <row r="1085" spans="1:26" x14ac:dyDescent="0.3">
      <c r="A1085">
        <v>1084</v>
      </c>
      <c r="B1085" s="2">
        <f t="shared" si="112"/>
        <v>45337.125</v>
      </c>
      <c r="C1085" t="s">
        <v>2710</v>
      </c>
      <c r="D1085" t="s">
        <v>36</v>
      </c>
      <c r="E1085" t="str">
        <f>PROPER(TRIM(CLEAN(Sales_Table[[#This Row],[Region]])))</f>
        <v>West</v>
      </c>
      <c r="F1085" t="s">
        <v>78</v>
      </c>
      <c r="G1085" t="str">
        <f t="shared" si="113"/>
        <v>Grocery</v>
      </c>
      <c r="H1085" t="str">
        <f>PROPER(TRIM(CLEAN(Sales_Table[[#This Row],[Product Name]])))</f>
        <v>Rice 5Kg</v>
      </c>
      <c r="I1085" t="s">
        <v>73</v>
      </c>
      <c r="J1085" t="str">
        <f t="shared" si="114"/>
        <v>CUST0278</v>
      </c>
      <c r="K1085" t="s">
        <v>2005</v>
      </c>
      <c r="L1085" t="str">
        <f>PROPER(TRIM(CLEAN(Sales_Table[[#This Row],[Salesperson]])))</f>
        <v>Suresh</v>
      </c>
      <c r="M1085" t="s">
        <v>54</v>
      </c>
      <c r="N1085" t="str">
        <f t="shared" si="115"/>
        <v>Debit Card</v>
      </c>
      <c r="O1085" t="s">
        <v>41</v>
      </c>
      <c r="P1085">
        <f t="shared" si="116"/>
        <v>7</v>
      </c>
      <c r="Q1085" t="s">
        <v>49</v>
      </c>
      <c r="R1085">
        <f t="shared" si="117"/>
        <v>4927</v>
      </c>
      <c r="S1085" t="s">
        <v>2711</v>
      </c>
      <c r="T1085">
        <f t="shared" si="118"/>
        <v>34489</v>
      </c>
      <c r="U1085">
        <f>YEAR(Sales_Table[[#This Row],[Date_clean]])</f>
        <v>2024</v>
      </c>
      <c r="V1085" t="str">
        <f>TEXT(Sales_Table[[#This Row],[Date_clean]],"mmmm")</f>
        <v>February</v>
      </c>
      <c r="W1085">
        <f>WEEKNUM(Sales_Table[[#This Row],[Date_clean]],2)</f>
        <v>7</v>
      </c>
      <c r="X1085" t="str" cm="1">
        <f t="array" ref="X1085">_xlfn.IFS(Sales_Table[[#This Row],[Revenue]]&gt;=50000,"High",Sales_Table[[#This Row],[Revenue]]&gt;=20000,"Medium",Sales_Table[[#This Row],[Revenue]]&lt;20000,"Low")</f>
        <v>Medium</v>
      </c>
      <c r="Y1085" t="str">
        <f>IF(Sales_Table[[#This Row],[Payment Method_clean]]="cash","Offline","Online")</f>
        <v>Online</v>
      </c>
      <c r="Z1085">
        <f>IFERROR(Sales_Table[[#This Row],[Revenue]],0)</f>
        <v>34489</v>
      </c>
    </row>
    <row r="1086" spans="1:26" x14ac:dyDescent="0.3">
      <c r="A1086">
        <v>1085</v>
      </c>
      <c r="B1086" s="2">
        <f t="shared" si="112"/>
        <v>45337.166666666664</v>
      </c>
      <c r="C1086" t="s">
        <v>2712</v>
      </c>
      <c r="D1086" t="s">
        <v>84</v>
      </c>
      <c r="E1086" t="str">
        <f>PROPER(TRIM(CLEAN(Sales_Table[[#This Row],[Region]])))</f>
        <v>South</v>
      </c>
      <c r="F1086" t="s">
        <v>46</v>
      </c>
      <c r="G1086" t="str">
        <f t="shared" si="113"/>
        <v>Electronics</v>
      </c>
      <c r="H1086" t="str">
        <f>PROPER(TRIM(CLEAN(Sales_Table[[#This Row],[Product Name]])))</f>
        <v>Laptop</v>
      </c>
      <c r="I1086" t="s">
        <v>52</v>
      </c>
      <c r="J1086" t="str">
        <f t="shared" si="114"/>
        <v>CUST0300</v>
      </c>
      <c r="K1086" t="s">
        <v>258</v>
      </c>
      <c r="L1086" t="str">
        <f>PROPER(TRIM(CLEAN(Sales_Table[[#This Row],[Salesperson]])))</f>
        <v>Suresh</v>
      </c>
      <c r="M1086" t="s">
        <v>54</v>
      </c>
      <c r="N1086" t="str">
        <f t="shared" si="115"/>
        <v>Credit Card</v>
      </c>
      <c r="O1086" t="s">
        <v>65</v>
      </c>
      <c r="P1086">
        <f t="shared" si="116"/>
        <v>5</v>
      </c>
      <c r="Q1086" t="s">
        <v>89</v>
      </c>
      <c r="R1086">
        <f t="shared" si="117"/>
        <v>2813</v>
      </c>
      <c r="S1086" t="s">
        <v>2713</v>
      </c>
      <c r="T1086">
        <f t="shared" si="118"/>
        <v>14065</v>
      </c>
      <c r="U1086">
        <f>YEAR(Sales_Table[[#This Row],[Date_clean]])</f>
        <v>2024</v>
      </c>
      <c r="V1086" t="str">
        <f>TEXT(Sales_Table[[#This Row],[Date_clean]],"mmmm")</f>
        <v>February</v>
      </c>
      <c r="W1086">
        <f>WEEKNUM(Sales_Table[[#This Row],[Date_clean]],2)</f>
        <v>7</v>
      </c>
      <c r="X1086" t="str" cm="1">
        <f t="array" ref="X1086">_xlfn.IFS(Sales_Table[[#This Row],[Revenue]]&gt;=50000,"High",Sales_Table[[#This Row],[Revenue]]&gt;=20000,"Medium",Sales_Table[[#This Row],[Revenue]]&lt;20000,"Low")</f>
        <v>Low</v>
      </c>
      <c r="Y1086" t="str">
        <f>IF(Sales_Table[[#This Row],[Payment Method_clean]]="cash","Offline","Online")</f>
        <v>Online</v>
      </c>
      <c r="Z1086">
        <f>IFERROR(Sales_Table[[#This Row],[Revenue]],0)</f>
        <v>14065</v>
      </c>
    </row>
    <row r="1087" spans="1:26" x14ac:dyDescent="0.3">
      <c r="A1087">
        <v>1086</v>
      </c>
      <c r="B1087" s="2">
        <f t="shared" si="112"/>
        <v>45337.208333333336</v>
      </c>
      <c r="C1087" t="s">
        <v>2714</v>
      </c>
      <c r="D1087" t="s">
        <v>45</v>
      </c>
      <c r="E1087" t="str">
        <f>PROPER(TRIM(CLEAN(Sales_Table[[#This Row],[Region]])))</f>
        <v>North</v>
      </c>
      <c r="F1087" t="s">
        <v>78</v>
      </c>
      <c r="G1087" t="str">
        <f t="shared" si="113"/>
        <v>Grocery</v>
      </c>
      <c r="H1087" t="str">
        <f>PROPER(TRIM(CLEAN(Sales_Table[[#This Row],[Product Name]])))</f>
        <v>Mixer Grinder</v>
      </c>
      <c r="I1087" t="s">
        <v>29</v>
      </c>
      <c r="J1087" t="str">
        <f t="shared" si="114"/>
        <v>CUST0589</v>
      </c>
      <c r="K1087" t="s">
        <v>1214</v>
      </c>
      <c r="L1087" t="str">
        <f>PROPER(TRIM(CLEAN(Sales_Table[[#This Row],[Salesperson]])))</f>
        <v>Suresh</v>
      </c>
      <c r="M1087" t="s">
        <v>54</v>
      </c>
      <c r="N1087" t="str">
        <f t="shared" si="115"/>
        <v>Credit Card</v>
      </c>
      <c r="O1087" t="s">
        <v>65</v>
      </c>
      <c r="P1087">
        <f t="shared" si="116"/>
        <v>5</v>
      </c>
      <c r="Q1087" t="s">
        <v>89</v>
      </c>
      <c r="R1087">
        <f t="shared" si="117"/>
        <v>3928</v>
      </c>
      <c r="S1087" t="s">
        <v>2715</v>
      </c>
      <c r="T1087">
        <f t="shared" si="118"/>
        <v>19640</v>
      </c>
      <c r="U1087">
        <f>YEAR(Sales_Table[[#This Row],[Date_clean]])</f>
        <v>2024</v>
      </c>
      <c r="V1087" t="str">
        <f>TEXT(Sales_Table[[#This Row],[Date_clean]],"mmmm")</f>
        <v>February</v>
      </c>
      <c r="W1087">
        <f>WEEKNUM(Sales_Table[[#This Row],[Date_clean]],2)</f>
        <v>7</v>
      </c>
      <c r="X1087" t="str" cm="1">
        <f t="array" ref="X1087">_xlfn.IFS(Sales_Table[[#This Row],[Revenue]]&gt;=50000,"High",Sales_Table[[#This Row],[Revenue]]&gt;=20000,"Medium",Sales_Table[[#This Row],[Revenue]]&lt;20000,"Low")</f>
        <v>Low</v>
      </c>
      <c r="Y1087" t="str">
        <f>IF(Sales_Table[[#This Row],[Payment Method_clean]]="cash","Offline","Online")</f>
        <v>Online</v>
      </c>
      <c r="Z1087">
        <f>IFERROR(Sales_Table[[#This Row],[Revenue]],0)</f>
        <v>19640</v>
      </c>
    </row>
    <row r="1088" spans="1:26" x14ac:dyDescent="0.3">
      <c r="A1088">
        <v>1087</v>
      </c>
      <c r="B1088" s="2">
        <f t="shared" si="112"/>
        <v>45337.25</v>
      </c>
      <c r="C1088" t="s">
        <v>2716</v>
      </c>
      <c r="D1088" t="s">
        <v>45</v>
      </c>
      <c r="E1088" t="str">
        <f>PROPER(TRIM(CLEAN(Sales_Table[[#This Row],[Region]])))</f>
        <v>North</v>
      </c>
      <c r="F1088" t="s">
        <v>46</v>
      </c>
      <c r="G1088" t="str">
        <f t="shared" si="113"/>
        <v>Electronics</v>
      </c>
      <c r="H1088" t="str">
        <f>PROPER(TRIM(CLEAN(Sales_Table[[#This Row],[Product Name]])))</f>
        <v>Men T-Shirt</v>
      </c>
      <c r="I1088" t="s">
        <v>38</v>
      </c>
      <c r="J1088" t="str">
        <f t="shared" si="114"/>
        <v>CUST0649</v>
      </c>
      <c r="K1088" t="s">
        <v>1504</v>
      </c>
      <c r="L1088" t="str">
        <f>PROPER(TRIM(CLEAN(Sales_Table[[#This Row],[Salesperson]])))</f>
        <v>Meena</v>
      </c>
      <c r="M1088" t="s">
        <v>40</v>
      </c>
      <c r="N1088" t="str">
        <f t="shared" si="115"/>
        <v>Debit Card</v>
      </c>
      <c r="O1088" t="s">
        <v>41</v>
      </c>
      <c r="P1088">
        <f t="shared" si="116"/>
        <v>2</v>
      </c>
      <c r="Q1088" t="s">
        <v>196</v>
      </c>
      <c r="R1088">
        <f t="shared" si="117"/>
        <v>4847</v>
      </c>
      <c r="S1088" t="s">
        <v>2717</v>
      </c>
      <c r="T1088">
        <f t="shared" si="118"/>
        <v>9694</v>
      </c>
      <c r="U1088">
        <f>YEAR(Sales_Table[[#This Row],[Date_clean]])</f>
        <v>2024</v>
      </c>
      <c r="V1088" t="str">
        <f>TEXT(Sales_Table[[#This Row],[Date_clean]],"mmmm")</f>
        <v>February</v>
      </c>
      <c r="W1088">
        <f>WEEKNUM(Sales_Table[[#This Row],[Date_clean]],2)</f>
        <v>7</v>
      </c>
      <c r="X1088" t="str" cm="1">
        <f t="array" ref="X1088">_xlfn.IFS(Sales_Table[[#This Row],[Revenue]]&gt;=50000,"High",Sales_Table[[#This Row],[Revenue]]&gt;=20000,"Medium",Sales_Table[[#This Row],[Revenue]]&lt;20000,"Low")</f>
        <v>Low</v>
      </c>
      <c r="Y1088" t="str">
        <f>IF(Sales_Table[[#This Row],[Payment Method_clean]]="cash","Offline","Online")</f>
        <v>Online</v>
      </c>
      <c r="Z1088">
        <f>IFERROR(Sales_Table[[#This Row],[Revenue]],0)</f>
        <v>9694</v>
      </c>
    </row>
    <row r="1089" spans="1:26" x14ac:dyDescent="0.3">
      <c r="A1089">
        <v>1088</v>
      </c>
      <c r="B1089" s="2">
        <f t="shared" si="112"/>
        <v>45337.291666666664</v>
      </c>
      <c r="C1089" t="s">
        <v>2718</v>
      </c>
      <c r="D1089" t="s">
        <v>36</v>
      </c>
      <c r="E1089" t="str">
        <f>PROPER(TRIM(CLEAN(Sales_Table[[#This Row],[Region]])))</f>
        <v>West</v>
      </c>
      <c r="F1089" t="s">
        <v>37</v>
      </c>
      <c r="G1089" t="str">
        <f t="shared" si="113"/>
        <v>Home Appliances</v>
      </c>
      <c r="H1089" t="str">
        <f>PROPER(TRIM(CLEAN(Sales_Table[[#This Row],[Product Name]])))</f>
        <v>Washing Machine</v>
      </c>
      <c r="I1089" t="s">
        <v>79</v>
      </c>
      <c r="J1089" t="str">
        <f t="shared" si="114"/>
        <v>CUST0618</v>
      </c>
      <c r="K1089" t="s">
        <v>2323</v>
      </c>
      <c r="L1089" t="str">
        <f>PROPER(TRIM(CLEAN(Sales_Table[[#This Row],[Salesperson]])))</f>
        <v>Rahul</v>
      </c>
      <c r="M1089" t="s">
        <v>31</v>
      </c>
      <c r="N1089" t="str">
        <f t="shared" si="115"/>
        <v>Credit Card</v>
      </c>
      <c r="O1089" t="s">
        <v>65</v>
      </c>
      <c r="P1089">
        <f t="shared" si="116"/>
        <v>7</v>
      </c>
      <c r="Q1089" t="s">
        <v>49</v>
      </c>
      <c r="R1089">
        <f t="shared" si="117"/>
        <v>1194</v>
      </c>
      <c r="S1089" t="s">
        <v>2719</v>
      </c>
      <c r="T1089">
        <f t="shared" si="118"/>
        <v>8358</v>
      </c>
      <c r="U1089">
        <f>YEAR(Sales_Table[[#This Row],[Date_clean]])</f>
        <v>2024</v>
      </c>
      <c r="V1089" t="str">
        <f>TEXT(Sales_Table[[#This Row],[Date_clean]],"mmmm")</f>
        <v>February</v>
      </c>
      <c r="W1089">
        <f>WEEKNUM(Sales_Table[[#This Row],[Date_clean]],2)</f>
        <v>7</v>
      </c>
      <c r="X1089" t="str" cm="1">
        <f t="array" ref="X1089">_xlfn.IFS(Sales_Table[[#This Row],[Revenue]]&gt;=50000,"High",Sales_Table[[#This Row],[Revenue]]&gt;=20000,"Medium",Sales_Table[[#This Row],[Revenue]]&lt;20000,"Low")</f>
        <v>Low</v>
      </c>
      <c r="Y1089" t="str">
        <f>IF(Sales_Table[[#This Row],[Payment Method_clean]]="cash","Offline","Online")</f>
        <v>Online</v>
      </c>
      <c r="Z1089">
        <f>IFERROR(Sales_Table[[#This Row],[Revenue]],0)</f>
        <v>8358</v>
      </c>
    </row>
    <row r="1090" spans="1:26" x14ac:dyDescent="0.3">
      <c r="A1090">
        <v>1089</v>
      </c>
      <c r="B1090" s="2">
        <f t="shared" si="112"/>
        <v>45337.333333333336</v>
      </c>
      <c r="C1090" t="s">
        <v>2720</v>
      </c>
      <c r="D1090" t="s">
        <v>36</v>
      </c>
      <c r="E1090" t="str">
        <f>PROPER(TRIM(CLEAN(Sales_Table[[#This Row],[Region]])))</f>
        <v>West</v>
      </c>
      <c r="F1090" t="s">
        <v>37</v>
      </c>
      <c r="G1090" t="str">
        <f t="shared" si="113"/>
        <v>Home Appliances</v>
      </c>
      <c r="H1090" t="str">
        <f>PROPER(TRIM(CLEAN(Sales_Table[[#This Row],[Product Name]])))</f>
        <v>Mixer Grinder</v>
      </c>
      <c r="I1090" t="s">
        <v>29</v>
      </c>
      <c r="J1090" t="str">
        <f t="shared" si="114"/>
        <v>CUST0607</v>
      </c>
      <c r="K1090" t="s">
        <v>886</v>
      </c>
      <c r="L1090" t="str">
        <f>PROPER(TRIM(CLEAN(Sales_Table[[#This Row],[Salesperson]])))</f>
        <v>Meena</v>
      </c>
      <c r="M1090" t="s">
        <v>40</v>
      </c>
      <c r="N1090" t="str">
        <f t="shared" si="115"/>
        <v>Debit Card</v>
      </c>
      <c r="O1090" t="s">
        <v>41</v>
      </c>
      <c r="P1090">
        <f t="shared" si="116"/>
        <v>12</v>
      </c>
      <c r="Q1090" t="s">
        <v>33</v>
      </c>
      <c r="R1090">
        <f t="shared" si="117"/>
        <v>145</v>
      </c>
      <c r="S1090" t="s">
        <v>2310</v>
      </c>
      <c r="T1090">
        <f t="shared" si="118"/>
        <v>1740</v>
      </c>
      <c r="U1090">
        <f>YEAR(Sales_Table[[#This Row],[Date_clean]])</f>
        <v>2024</v>
      </c>
      <c r="V1090" t="str">
        <f>TEXT(Sales_Table[[#This Row],[Date_clean]],"mmmm")</f>
        <v>February</v>
      </c>
      <c r="W1090">
        <f>WEEKNUM(Sales_Table[[#This Row],[Date_clean]],2)</f>
        <v>7</v>
      </c>
      <c r="X1090" t="str" cm="1">
        <f t="array" ref="X1090">_xlfn.IFS(Sales_Table[[#This Row],[Revenue]]&gt;=50000,"High",Sales_Table[[#This Row],[Revenue]]&gt;=20000,"Medium",Sales_Table[[#This Row],[Revenue]]&lt;20000,"Low")</f>
        <v>Low</v>
      </c>
      <c r="Y1090" t="str">
        <f>IF(Sales_Table[[#This Row],[Payment Method_clean]]="cash","Offline","Online")</f>
        <v>Online</v>
      </c>
      <c r="Z1090">
        <f>IFERROR(Sales_Table[[#This Row],[Revenue]],0)</f>
        <v>1740</v>
      </c>
    </row>
    <row r="1091" spans="1:26" x14ac:dyDescent="0.3">
      <c r="A1091">
        <v>1090</v>
      </c>
      <c r="B1091" s="2">
        <f t="shared" ref="B1091:B1154" si="119">DATEVALUE(LEFT(C1091,10))+TIMEVALUE(MID(C1091,12,8))</f>
        <v>45337.375</v>
      </c>
      <c r="C1091" t="s">
        <v>2721</v>
      </c>
      <c r="D1091" t="s">
        <v>84</v>
      </c>
      <c r="E1091" t="str">
        <f>PROPER(TRIM(CLEAN(Sales_Table[[#This Row],[Region]])))</f>
        <v>South</v>
      </c>
      <c r="F1091" t="s">
        <v>37</v>
      </c>
      <c r="G1091" t="str">
        <f t="shared" ref="G1091:G1154" si="120">PROPER(TRIM(CLEAN(F1091)))</f>
        <v>Home Appliances</v>
      </c>
      <c r="H1091" t="str">
        <f>PROPER(TRIM(CLEAN(Sales_Table[[#This Row],[Product Name]])))</f>
        <v>Washing Machine</v>
      </c>
      <c r="I1091" t="s">
        <v>79</v>
      </c>
      <c r="J1091" t="str">
        <f t="shared" ref="J1091:J1154" si="121">TRIM(K1091)</f>
        <v>CUST0135</v>
      </c>
      <c r="K1091" t="s">
        <v>2722</v>
      </c>
      <c r="L1091" t="str">
        <f>PROPER(TRIM(CLEAN(Sales_Table[[#This Row],[Salesperson]])))</f>
        <v>Karthik</v>
      </c>
      <c r="M1091" t="s">
        <v>70</v>
      </c>
      <c r="N1091" t="str">
        <f t="shared" ref="N1091:N1154" si="122">PROPER(TRIM(O1091))</f>
        <v>Cash</v>
      </c>
      <c r="O1091" t="s">
        <v>32</v>
      </c>
      <c r="P1091">
        <f t="shared" ref="P1091:P1154" si="123">VALUE(Q1091)</f>
        <v>6</v>
      </c>
      <c r="Q1091" t="s">
        <v>75</v>
      </c>
      <c r="R1091">
        <f t="shared" ref="R1091:R1154" si="124">VALUE(S1091)</f>
        <v>1545</v>
      </c>
      <c r="S1091" t="s">
        <v>2723</v>
      </c>
      <c r="T1091">
        <f t="shared" ref="T1091:T1154" si="125">P1091*R1091</f>
        <v>9270</v>
      </c>
      <c r="U1091">
        <f>YEAR(Sales_Table[[#This Row],[Date_clean]])</f>
        <v>2024</v>
      </c>
      <c r="V1091" t="str">
        <f>TEXT(Sales_Table[[#This Row],[Date_clean]],"mmmm")</f>
        <v>February</v>
      </c>
      <c r="W1091">
        <f>WEEKNUM(Sales_Table[[#This Row],[Date_clean]],2)</f>
        <v>7</v>
      </c>
      <c r="X1091" t="str" cm="1">
        <f t="array" ref="X1091">_xlfn.IFS(Sales_Table[[#This Row],[Revenue]]&gt;=50000,"High",Sales_Table[[#This Row],[Revenue]]&gt;=20000,"Medium",Sales_Table[[#This Row],[Revenue]]&lt;20000,"Low")</f>
        <v>Low</v>
      </c>
      <c r="Y1091" t="str">
        <f>IF(Sales_Table[[#This Row],[Payment Method_clean]]="cash","Offline","Online")</f>
        <v>Offline</v>
      </c>
      <c r="Z1091">
        <f>IFERROR(Sales_Table[[#This Row],[Revenue]],0)</f>
        <v>9270</v>
      </c>
    </row>
    <row r="1092" spans="1:26" x14ac:dyDescent="0.3">
      <c r="A1092">
        <v>1091</v>
      </c>
      <c r="B1092" s="2">
        <f t="shared" si="119"/>
        <v>45337.416666666664</v>
      </c>
      <c r="C1092" t="s">
        <v>2724</v>
      </c>
      <c r="D1092" t="s">
        <v>36</v>
      </c>
      <c r="E1092" t="str">
        <f>PROPER(TRIM(CLEAN(Sales_Table[[#This Row],[Region]])))</f>
        <v>West</v>
      </c>
      <c r="F1092" t="s">
        <v>37</v>
      </c>
      <c r="G1092" t="str">
        <f t="shared" si="120"/>
        <v>Home Appliances</v>
      </c>
      <c r="H1092" t="str">
        <f>PROPER(TRIM(CLEAN(Sales_Table[[#This Row],[Product Name]])))</f>
        <v>Mixer Grinder</v>
      </c>
      <c r="I1092" t="s">
        <v>29</v>
      </c>
      <c r="J1092" t="str">
        <f t="shared" si="121"/>
        <v>CUST0580</v>
      </c>
      <c r="K1092" t="s">
        <v>1648</v>
      </c>
      <c r="L1092" t="str">
        <f>PROPER(TRIM(CLEAN(Sales_Table[[#This Row],[Salesperson]])))</f>
        <v>Meena</v>
      </c>
      <c r="M1092" t="s">
        <v>40</v>
      </c>
      <c r="N1092" t="str">
        <f t="shared" si="122"/>
        <v>Upi</v>
      </c>
      <c r="O1092" t="s">
        <v>48</v>
      </c>
      <c r="P1092">
        <f t="shared" si="123"/>
        <v>11</v>
      </c>
      <c r="Q1092" t="s">
        <v>97</v>
      </c>
      <c r="R1092">
        <f t="shared" si="124"/>
        <v>2296</v>
      </c>
      <c r="S1092" t="s">
        <v>2725</v>
      </c>
      <c r="T1092">
        <f t="shared" si="125"/>
        <v>25256</v>
      </c>
      <c r="U1092">
        <f>YEAR(Sales_Table[[#This Row],[Date_clean]])</f>
        <v>2024</v>
      </c>
      <c r="V1092" t="str">
        <f>TEXT(Sales_Table[[#This Row],[Date_clean]],"mmmm")</f>
        <v>February</v>
      </c>
      <c r="W1092">
        <f>WEEKNUM(Sales_Table[[#This Row],[Date_clean]],2)</f>
        <v>7</v>
      </c>
      <c r="X1092" t="str" cm="1">
        <f t="array" ref="X1092">_xlfn.IFS(Sales_Table[[#This Row],[Revenue]]&gt;=50000,"High",Sales_Table[[#This Row],[Revenue]]&gt;=20000,"Medium",Sales_Table[[#This Row],[Revenue]]&lt;20000,"Low")</f>
        <v>Medium</v>
      </c>
      <c r="Y1092" t="str">
        <f>IF(Sales_Table[[#This Row],[Payment Method_clean]]="cash","Offline","Online")</f>
        <v>Online</v>
      </c>
      <c r="Z1092">
        <f>IFERROR(Sales_Table[[#This Row],[Revenue]],0)</f>
        <v>25256</v>
      </c>
    </row>
    <row r="1093" spans="1:26" x14ac:dyDescent="0.3">
      <c r="A1093">
        <v>1092</v>
      </c>
      <c r="B1093" s="2">
        <f t="shared" si="119"/>
        <v>45337.458333333336</v>
      </c>
      <c r="C1093" t="s">
        <v>2726</v>
      </c>
      <c r="D1093" t="s">
        <v>27</v>
      </c>
      <c r="E1093" t="str">
        <f>PROPER(TRIM(CLEAN(Sales_Table[[#This Row],[Region]])))</f>
        <v>East</v>
      </c>
      <c r="F1093" t="s">
        <v>46</v>
      </c>
      <c r="G1093" t="str">
        <f t="shared" si="120"/>
        <v>Electronics</v>
      </c>
      <c r="H1093" t="str">
        <f>PROPER(TRIM(CLEAN(Sales_Table[[#This Row],[Product Name]])))</f>
        <v>Men T-Shirt</v>
      </c>
      <c r="I1093" t="s">
        <v>38</v>
      </c>
      <c r="J1093" t="str">
        <f t="shared" si="121"/>
        <v>CUST0147</v>
      </c>
      <c r="K1093" t="s">
        <v>1629</v>
      </c>
      <c r="L1093" t="str">
        <f>PROPER(TRIM(CLEAN(Sales_Table[[#This Row],[Salesperson]])))</f>
        <v>Karthik</v>
      </c>
      <c r="M1093" t="s">
        <v>70</v>
      </c>
      <c r="N1093" t="str">
        <f t="shared" si="122"/>
        <v>Upi</v>
      </c>
      <c r="O1093" t="s">
        <v>48</v>
      </c>
      <c r="P1093">
        <f t="shared" si="123"/>
        <v>1</v>
      </c>
      <c r="Q1093" t="s">
        <v>93</v>
      </c>
      <c r="R1093">
        <f t="shared" si="124"/>
        <v>3301</v>
      </c>
      <c r="S1093" t="s">
        <v>2227</v>
      </c>
      <c r="T1093">
        <f t="shared" si="125"/>
        <v>3301</v>
      </c>
      <c r="U1093">
        <f>YEAR(Sales_Table[[#This Row],[Date_clean]])</f>
        <v>2024</v>
      </c>
      <c r="V1093" t="str">
        <f>TEXT(Sales_Table[[#This Row],[Date_clean]],"mmmm")</f>
        <v>February</v>
      </c>
      <c r="W1093">
        <f>WEEKNUM(Sales_Table[[#This Row],[Date_clean]],2)</f>
        <v>7</v>
      </c>
      <c r="X1093" t="str" cm="1">
        <f t="array" ref="X1093">_xlfn.IFS(Sales_Table[[#This Row],[Revenue]]&gt;=50000,"High",Sales_Table[[#This Row],[Revenue]]&gt;=20000,"Medium",Sales_Table[[#This Row],[Revenue]]&lt;20000,"Low")</f>
        <v>Low</v>
      </c>
      <c r="Y1093" t="str">
        <f>IF(Sales_Table[[#This Row],[Payment Method_clean]]="cash","Offline","Online")</f>
        <v>Online</v>
      </c>
      <c r="Z1093">
        <f>IFERROR(Sales_Table[[#This Row],[Revenue]],0)</f>
        <v>3301</v>
      </c>
    </row>
    <row r="1094" spans="1:26" x14ac:dyDescent="0.3">
      <c r="A1094">
        <v>1093</v>
      </c>
      <c r="B1094" s="2">
        <f t="shared" si="119"/>
        <v>45337.5</v>
      </c>
      <c r="C1094" t="s">
        <v>2727</v>
      </c>
      <c r="D1094" t="s">
        <v>36</v>
      </c>
      <c r="E1094" t="str">
        <f>PROPER(TRIM(CLEAN(Sales_Table[[#This Row],[Region]])))</f>
        <v>West</v>
      </c>
      <c r="F1094" t="s">
        <v>28</v>
      </c>
      <c r="G1094" t="str">
        <f t="shared" si="120"/>
        <v>Clothing</v>
      </c>
      <c r="H1094" t="str">
        <f>PROPER(TRIM(CLEAN(Sales_Table[[#This Row],[Product Name]])))</f>
        <v>Rice 5Kg</v>
      </c>
      <c r="I1094" t="s">
        <v>73</v>
      </c>
      <c r="J1094" t="str">
        <f t="shared" si="121"/>
        <v>CUST0490</v>
      </c>
      <c r="K1094" t="s">
        <v>195</v>
      </c>
      <c r="L1094" t="str">
        <f>PROPER(TRIM(CLEAN(Sales_Table[[#This Row],[Salesperson]])))</f>
        <v>Anita</v>
      </c>
      <c r="M1094" t="s">
        <v>64</v>
      </c>
      <c r="N1094" t="str">
        <f t="shared" si="122"/>
        <v>Net Banking</v>
      </c>
      <c r="O1094" t="s">
        <v>60</v>
      </c>
      <c r="P1094">
        <f t="shared" si="123"/>
        <v>4</v>
      </c>
      <c r="Q1094" t="s">
        <v>113</v>
      </c>
      <c r="R1094">
        <f t="shared" si="124"/>
        <v>555</v>
      </c>
      <c r="S1094" t="s">
        <v>2728</v>
      </c>
      <c r="T1094">
        <f t="shared" si="125"/>
        <v>2220</v>
      </c>
      <c r="U1094">
        <f>YEAR(Sales_Table[[#This Row],[Date_clean]])</f>
        <v>2024</v>
      </c>
      <c r="V1094" t="str">
        <f>TEXT(Sales_Table[[#This Row],[Date_clean]],"mmmm")</f>
        <v>February</v>
      </c>
      <c r="W1094">
        <f>WEEKNUM(Sales_Table[[#This Row],[Date_clean]],2)</f>
        <v>7</v>
      </c>
      <c r="X1094" t="str" cm="1">
        <f t="array" ref="X1094">_xlfn.IFS(Sales_Table[[#This Row],[Revenue]]&gt;=50000,"High",Sales_Table[[#This Row],[Revenue]]&gt;=20000,"Medium",Sales_Table[[#This Row],[Revenue]]&lt;20000,"Low")</f>
        <v>Low</v>
      </c>
      <c r="Y1094" t="str">
        <f>IF(Sales_Table[[#This Row],[Payment Method_clean]]="cash","Offline","Online")</f>
        <v>Online</v>
      </c>
      <c r="Z1094">
        <f>IFERROR(Sales_Table[[#This Row],[Revenue]],0)</f>
        <v>2220</v>
      </c>
    </row>
    <row r="1095" spans="1:26" x14ac:dyDescent="0.3">
      <c r="A1095">
        <v>1094</v>
      </c>
      <c r="B1095" s="2">
        <f t="shared" si="119"/>
        <v>45337.541666666664</v>
      </c>
      <c r="C1095" t="s">
        <v>2729</v>
      </c>
      <c r="D1095" t="s">
        <v>27</v>
      </c>
      <c r="E1095" t="str">
        <f>PROPER(TRIM(CLEAN(Sales_Table[[#This Row],[Region]])))</f>
        <v>East</v>
      </c>
      <c r="F1095" t="s">
        <v>46</v>
      </c>
      <c r="G1095" t="str">
        <f t="shared" si="120"/>
        <v>Electronics</v>
      </c>
      <c r="H1095" t="str">
        <f>PROPER(TRIM(CLEAN(Sales_Table[[#This Row],[Product Name]])))</f>
        <v>Men T-Shirt</v>
      </c>
      <c r="I1095" t="s">
        <v>38</v>
      </c>
      <c r="J1095" t="str">
        <f t="shared" si="121"/>
        <v>CUST0478</v>
      </c>
      <c r="K1095" t="s">
        <v>2730</v>
      </c>
      <c r="L1095" t="str">
        <f>PROPER(TRIM(CLEAN(Sales_Table[[#This Row],[Salesperson]])))</f>
        <v>Anita</v>
      </c>
      <c r="M1095" t="s">
        <v>64</v>
      </c>
      <c r="N1095" t="str">
        <f t="shared" si="122"/>
        <v>Credit Card</v>
      </c>
      <c r="O1095" t="s">
        <v>65</v>
      </c>
      <c r="P1095">
        <f t="shared" si="123"/>
        <v>3</v>
      </c>
      <c r="Q1095" t="s">
        <v>66</v>
      </c>
      <c r="R1095">
        <f t="shared" si="124"/>
        <v>1762</v>
      </c>
      <c r="S1095" t="s">
        <v>2731</v>
      </c>
      <c r="T1095">
        <f t="shared" si="125"/>
        <v>5286</v>
      </c>
      <c r="U1095">
        <f>YEAR(Sales_Table[[#This Row],[Date_clean]])</f>
        <v>2024</v>
      </c>
      <c r="V1095" t="str">
        <f>TEXT(Sales_Table[[#This Row],[Date_clean]],"mmmm")</f>
        <v>February</v>
      </c>
      <c r="W1095">
        <f>WEEKNUM(Sales_Table[[#This Row],[Date_clean]],2)</f>
        <v>7</v>
      </c>
      <c r="X1095" t="str" cm="1">
        <f t="array" ref="X1095">_xlfn.IFS(Sales_Table[[#This Row],[Revenue]]&gt;=50000,"High",Sales_Table[[#This Row],[Revenue]]&gt;=20000,"Medium",Sales_Table[[#This Row],[Revenue]]&lt;20000,"Low")</f>
        <v>Low</v>
      </c>
      <c r="Y1095" t="str">
        <f>IF(Sales_Table[[#This Row],[Payment Method_clean]]="cash","Offline","Online")</f>
        <v>Online</v>
      </c>
      <c r="Z1095">
        <f>IFERROR(Sales_Table[[#This Row],[Revenue]],0)</f>
        <v>5286</v>
      </c>
    </row>
    <row r="1096" spans="1:26" x14ac:dyDescent="0.3">
      <c r="A1096">
        <v>1095</v>
      </c>
      <c r="B1096" s="2">
        <f t="shared" si="119"/>
        <v>45337.583333333336</v>
      </c>
      <c r="C1096" t="s">
        <v>2732</v>
      </c>
      <c r="D1096" t="s">
        <v>84</v>
      </c>
      <c r="E1096" t="str">
        <f>PROPER(TRIM(CLEAN(Sales_Table[[#This Row],[Region]])))</f>
        <v>South</v>
      </c>
      <c r="F1096" t="s">
        <v>78</v>
      </c>
      <c r="G1096" t="str">
        <f t="shared" si="120"/>
        <v>Grocery</v>
      </c>
      <c r="H1096" t="str">
        <f>PROPER(TRIM(CLEAN(Sales_Table[[#This Row],[Product Name]])))</f>
        <v>Rice 5Kg</v>
      </c>
      <c r="I1096" t="s">
        <v>73</v>
      </c>
      <c r="J1096" t="str">
        <f t="shared" si="121"/>
        <v>CUST0159</v>
      </c>
      <c r="K1096" t="s">
        <v>2250</v>
      </c>
      <c r="L1096" t="str">
        <f>PROPER(TRIM(CLEAN(Sales_Table[[#This Row],[Salesperson]])))</f>
        <v>Karthik</v>
      </c>
      <c r="M1096" t="s">
        <v>70</v>
      </c>
      <c r="N1096" t="str">
        <f t="shared" si="122"/>
        <v>Net Banking</v>
      </c>
      <c r="O1096" t="s">
        <v>60</v>
      </c>
      <c r="P1096">
        <f t="shared" si="123"/>
        <v>12</v>
      </c>
      <c r="Q1096" t="s">
        <v>33</v>
      </c>
      <c r="R1096">
        <f t="shared" si="124"/>
        <v>3024</v>
      </c>
      <c r="S1096" t="s">
        <v>2733</v>
      </c>
      <c r="T1096">
        <f t="shared" si="125"/>
        <v>36288</v>
      </c>
      <c r="U1096">
        <f>YEAR(Sales_Table[[#This Row],[Date_clean]])</f>
        <v>2024</v>
      </c>
      <c r="V1096" t="str">
        <f>TEXT(Sales_Table[[#This Row],[Date_clean]],"mmmm")</f>
        <v>February</v>
      </c>
      <c r="W1096">
        <f>WEEKNUM(Sales_Table[[#This Row],[Date_clean]],2)</f>
        <v>7</v>
      </c>
      <c r="X1096" t="str" cm="1">
        <f t="array" ref="X1096">_xlfn.IFS(Sales_Table[[#This Row],[Revenue]]&gt;=50000,"High",Sales_Table[[#This Row],[Revenue]]&gt;=20000,"Medium",Sales_Table[[#This Row],[Revenue]]&lt;20000,"Low")</f>
        <v>Medium</v>
      </c>
      <c r="Y1096" t="str">
        <f>IF(Sales_Table[[#This Row],[Payment Method_clean]]="cash","Offline","Online")</f>
        <v>Online</v>
      </c>
      <c r="Z1096">
        <f>IFERROR(Sales_Table[[#This Row],[Revenue]],0)</f>
        <v>36288</v>
      </c>
    </row>
    <row r="1097" spans="1:26" x14ac:dyDescent="0.3">
      <c r="A1097">
        <v>1096</v>
      </c>
      <c r="B1097" s="2">
        <f t="shared" si="119"/>
        <v>45337.625</v>
      </c>
      <c r="C1097" t="s">
        <v>2734</v>
      </c>
      <c r="D1097" t="s">
        <v>84</v>
      </c>
      <c r="E1097" t="str">
        <f>PROPER(TRIM(CLEAN(Sales_Table[[#This Row],[Region]])))</f>
        <v>South</v>
      </c>
      <c r="F1097" t="s">
        <v>37</v>
      </c>
      <c r="G1097" t="str">
        <f t="shared" si="120"/>
        <v>Home Appliances</v>
      </c>
      <c r="H1097" t="str">
        <f>PROPER(TRIM(CLEAN(Sales_Table[[#This Row],[Product Name]])))</f>
        <v>Rice 5Kg</v>
      </c>
      <c r="I1097" t="s">
        <v>73</v>
      </c>
      <c r="J1097" t="str">
        <f t="shared" si="121"/>
        <v>CUST0384</v>
      </c>
      <c r="K1097" t="s">
        <v>303</v>
      </c>
      <c r="L1097" t="str">
        <f>PROPER(TRIM(CLEAN(Sales_Table[[#This Row],[Salesperson]])))</f>
        <v>Karthik</v>
      </c>
      <c r="M1097" t="s">
        <v>70</v>
      </c>
      <c r="N1097" t="str">
        <f t="shared" si="122"/>
        <v>Cash</v>
      </c>
      <c r="O1097" t="s">
        <v>32</v>
      </c>
      <c r="P1097">
        <f t="shared" si="123"/>
        <v>3</v>
      </c>
      <c r="Q1097" t="s">
        <v>66</v>
      </c>
      <c r="R1097">
        <f t="shared" si="124"/>
        <v>1065</v>
      </c>
      <c r="S1097" t="s">
        <v>2735</v>
      </c>
      <c r="T1097">
        <f t="shared" si="125"/>
        <v>3195</v>
      </c>
      <c r="U1097">
        <f>YEAR(Sales_Table[[#This Row],[Date_clean]])</f>
        <v>2024</v>
      </c>
      <c r="V1097" t="str">
        <f>TEXT(Sales_Table[[#This Row],[Date_clean]],"mmmm")</f>
        <v>February</v>
      </c>
      <c r="W1097">
        <f>WEEKNUM(Sales_Table[[#This Row],[Date_clean]],2)</f>
        <v>7</v>
      </c>
      <c r="X1097" t="str" cm="1">
        <f t="array" ref="X1097">_xlfn.IFS(Sales_Table[[#This Row],[Revenue]]&gt;=50000,"High",Sales_Table[[#This Row],[Revenue]]&gt;=20000,"Medium",Sales_Table[[#This Row],[Revenue]]&lt;20000,"Low")</f>
        <v>Low</v>
      </c>
      <c r="Y1097" t="str">
        <f>IF(Sales_Table[[#This Row],[Payment Method_clean]]="cash","Offline","Online")</f>
        <v>Offline</v>
      </c>
      <c r="Z1097">
        <f>IFERROR(Sales_Table[[#This Row],[Revenue]],0)</f>
        <v>3195</v>
      </c>
    </row>
    <row r="1098" spans="1:26" x14ac:dyDescent="0.3">
      <c r="A1098">
        <v>1097</v>
      </c>
      <c r="B1098" s="2">
        <f t="shared" si="119"/>
        <v>45337.666666666664</v>
      </c>
      <c r="C1098" t="s">
        <v>2736</v>
      </c>
      <c r="D1098" t="s">
        <v>84</v>
      </c>
      <c r="E1098" t="str">
        <f>PROPER(TRIM(CLEAN(Sales_Table[[#This Row],[Region]])))</f>
        <v>South</v>
      </c>
      <c r="F1098" t="s">
        <v>37</v>
      </c>
      <c r="G1098" t="str">
        <f t="shared" si="120"/>
        <v>Home Appliances</v>
      </c>
      <c r="H1098" t="str">
        <f>PROPER(TRIM(CLEAN(Sales_Table[[#This Row],[Product Name]])))</f>
        <v>Washing Machine</v>
      </c>
      <c r="I1098" t="s">
        <v>79</v>
      </c>
      <c r="J1098" t="str">
        <f t="shared" si="121"/>
        <v>CUST0163</v>
      </c>
      <c r="K1098" t="s">
        <v>1786</v>
      </c>
      <c r="L1098" t="str">
        <f>PROPER(TRIM(CLEAN(Sales_Table[[#This Row],[Salesperson]])))</f>
        <v>Meena</v>
      </c>
      <c r="M1098" t="s">
        <v>40</v>
      </c>
      <c r="N1098" t="str">
        <f t="shared" si="122"/>
        <v>Upi</v>
      </c>
      <c r="O1098" t="s">
        <v>48</v>
      </c>
      <c r="P1098">
        <f t="shared" si="123"/>
        <v>7</v>
      </c>
      <c r="Q1098" t="s">
        <v>49</v>
      </c>
      <c r="R1098">
        <f t="shared" si="124"/>
        <v>1628</v>
      </c>
      <c r="S1098" t="s">
        <v>2737</v>
      </c>
      <c r="T1098">
        <f t="shared" si="125"/>
        <v>11396</v>
      </c>
      <c r="U1098">
        <f>YEAR(Sales_Table[[#This Row],[Date_clean]])</f>
        <v>2024</v>
      </c>
      <c r="V1098" t="str">
        <f>TEXT(Sales_Table[[#This Row],[Date_clean]],"mmmm")</f>
        <v>February</v>
      </c>
      <c r="W1098">
        <f>WEEKNUM(Sales_Table[[#This Row],[Date_clean]],2)</f>
        <v>7</v>
      </c>
      <c r="X1098" t="str" cm="1">
        <f t="array" ref="X1098">_xlfn.IFS(Sales_Table[[#This Row],[Revenue]]&gt;=50000,"High",Sales_Table[[#This Row],[Revenue]]&gt;=20000,"Medium",Sales_Table[[#This Row],[Revenue]]&lt;20000,"Low")</f>
        <v>Low</v>
      </c>
      <c r="Y1098" t="str">
        <f>IF(Sales_Table[[#This Row],[Payment Method_clean]]="cash","Offline","Online")</f>
        <v>Online</v>
      </c>
      <c r="Z1098">
        <f>IFERROR(Sales_Table[[#This Row],[Revenue]],0)</f>
        <v>11396</v>
      </c>
    </row>
    <row r="1099" spans="1:26" x14ac:dyDescent="0.3">
      <c r="A1099">
        <v>1098</v>
      </c>
      <c r="B1099" s="2">
        <f t="shared" si="119"/>
        <v>45337.708333333336</v>
      </c>
      <c r="C1099" t="s">
        <v>2738</v>
      </c>
      <c r="D1099" t="s">
        <v>84</v>
      </c>
      <c r="E1099" t="str">
        <f>PROPER(TRIM(CLEAN(Sales_Table[[#This Row],[Region]])))</f>
        <v>South</v>
      </c>
      <c r="F1099" t="s">
        <v>78</v>
      </c>
      <c r="G1099" t="str">
        <f t="shared" si="120"/>
        <v>Grocery</v>
      </c>
      <c r="H1099" t="str">
        <f>PROPER(TRIM(CLEAN(Sales_Table[[#This Row],[Product Name]])))</f>
        <v>Laptop</v>
      </c>
      <c r="I1099" t="s">
        <v>52</v>
      </c>
      <c r="J1099" t="str">
        <f t="shared" si="121"/>
        <v>CUST0441</v>
      </c>
      <c r="K1099" t="s">
        <v>2691</v>
      </c>
      <c r="L1099" t="str">
        <f>PROPER(TRIM(CLEAN(Sales_Table[[#This Row],[Salesperson]])))</f>
        <v>Karthik</v>
      </c>
      <c r="M1099" t="s">
        <v>70</v>
      </c>
      <c r="N1099" t="str">
        <f t="shared" si="122"/>
        <v>Cash</v>
      </c>
      <c r="O1099" t="s">
        <v>32</v>
      </c>
      <c r="P1099">
        <f t="shared" si="123"/>
        <v>11</v>
      </c>
      <c r="Q1099" t="s">
        <v>97</v>
      </c>
      <c r="R1099">
        <f t="shared" si="124"/>
        <v>3076</v>
      </c>
      <c r="S1099" t="s">
        <v>2739</v>
      </c>
      <c r="T1099">
        <f t="shared" si="125"/>
        <v>33836</v>
      </c>
      <c r="U1099">
        <f>YEAR(Sales_Table[[#This Row],[Date_clean]])</f>
        <v>2024</v>
      </c>
      <c r="V1099" t="str">
        <f>TEXT(Sales_Table[[#This Row],[Date_clean]],"mmmm")</f>
        <v>February</v>
      </c>
      <c r="W1099">
        <f>WEEKNUM(Sales_Table[[#This Row],[Date_clean]],2)</f>
        <v>7</v>
      </c>
      <c r="X1099" t="str" cm="1">
        <f t="array" ref="X1099">_xlfn.IFS(Sales_Table[[#This Row],[Revenue]]&gt;=50000,"High",Sales_Table[[#This Row],[Revenue]]&gt;=20000,"Medium",Sales_Table[[#This Row],[Revenue]]&lt;20000,"Low")</f>
        <v>Medium</v>
      </c>
      <c r="Y1099" t="str">
        <f>IF(Sales_Table[[#This Row],[Payment Method_clean]]="cash","Offline","Online")</f>
        <v>Offline</v>
      </c>
      <c r="Z1099">
        <f>IFERROR(Sales_Table[[#This Row],[Revenue]],0)</f>
        <v>33836</v>
      </c>
    </row>
    <row r="1100" spans="1:26" x14ac:dyDescent="0.3">
      <c r="A1100">
        <v>1099</v>
      </c>
      <c r="B1100" s="2">
        <f t="shared" si="119"/>
        <v>45337.75</v>
      </c>
      <c r="C1100" t="s">
        <v>2740</v>
      </c>
      <c r="D1100" t="s">
        <v>84</v>
      </c>
      <c r="E1100" t="str">
        <f>PROPER(TRIM(CLEAN(Sales_Table[[#This Row],[Region]])))</f>
        <v>South</v>
      </c>
      <c r="F1100" t="s">
        <v>46</v>
      </c>
      <c r="G1100" t="str">
        <f t="shared" si="120"/>
        <v>Electronics</v>
      </c>
      <c r="H1100" t="str">
        <f>PROPER(TRIM(CLEAN(Sales_Table[[#This Row],[Product Name]])))</f>
        <v>Men T-Shirt</v>
      </c>
      <c r="I1100" t="s">
        <v>38</v>
      </c>
      <c r="J1100" t="str">
        <f t="shared" si="121"/>
        <v>CUST0189</v>
      </c>
      <c r="K1100" t="s">
        <v>666</v>
      </c>
      <c r="L1100" t="str">
        <f>PROPER(TRIM(CLEAN(Sales_Table[[#This Row],[Salesperson]])))</f>
        <v>Rahul</v>
      </c>
      <c r="M1100" t="s">
        <v>31</v>
      </c>
      <c r="N1100" t="str">
        <f t="shared" si="122"/>
        <v>Cash</v>
      </c>
      <c r="O1100" t="s">
        <v>32</v>
      </c>
      <c r="P1100">
        <f t="shared" si="123"/>
        <v>12</v>
      </c>
      <c r="Q1100" t="s">
        <v>33</v>
      </c>
      <c r="R1100">
        <f t="shared" si="124"/>
        <v>3171</v>
      </c>
      <c r="S1100" t="s">
        <v>2741</v>
      </c>
      <c r="T1100">
        <f t="shared" si="125"/>
        <v>38052</v>
      </c>
      <c r="U1100">
        <f>YEAR(Sales_Table[[#This Row],[Date_clean]])</f>
        <v>2024</v>
      </c>
      <c r="V1100" t="str">
        <f>TEXT(Sales_Table[[#This Row],[Date_clean]],"mmmm")</f>
        <v>February</v>
      </c>
      <c r="W1100">
        <f>WEEKNUM(Sales_Table[[#This Row],[Date_clean]],2)</f>
        <v>7</v>
      </c>
      <c r="X1100" t="str" cm="1">
        <f t="array" ref="X1100">_xlfn.IFS(Sales_Table[[#This Row],[Revenue]]&gt;=50000,"High",Sales_Table[[#This Row],[Revenue]]&gt;=20000,"Medium",Sales_Table[[#This Row],[Revenue]]&lt;20000,"Low")</f>
        <v>Medium</v>
      </c>
      <c r="Y1100" t="str">
        <f>IF(Sales_Table[[#This Row],[Payment Method_clean]]="cash","Offline","Online")</f>
        <v>Offline</v>
      </c>
      <c r="Z1100">
        <f>IFERROR(Sales_Table[[#This Row],[Revenue]],0)</f>
        <v>38052</v>
      </c>
    </row>
    <row r="1101" spans="1:26" x14ac:dyDescent="0.3">
      <c r="A1101">
        <v>1100</v>
      </c>
      <c r="B1101" s="2">
        <f t="shared" si="119"/>
        <v>45337.791666666664</v>
      </c>
      <c r="C1101" t="s">
        <v>2742</v>
      </c>
      <c r="D1101" t="s">
        <v>27</v>
      </c>
      <c r="E1101" t="str">
        <f>PROPER(TRIM(CLEAN(Sales_Table[[#This Row],[Region]])))</f>
        <v>East</v>
      </c>
      <c r="F1101" t="s">
        <v>28</v>
      </c>
      <c r="G1101" t="str">
        <f t="shared" si="120"/>
        <v>Clothing</v>
      </c>
      <c r="H1101" t="str">
        <f>PROPER(TRIM(CLEAN(Sales_Table[[#This Row],[Product Name]])))</f>
        <v>Mixer Grinder</v>
      </c>
      <c r="I1101" t="s">
        <v>29</v>
      </c>
      <c r="J1101" t="str">
        <f t="shared" si="121"/>
        <v>CUST0415</v>
      </c>
      <c r="K1101" t="s">
        <v>536</v>
      </c>
      <c r="L1101" t="str">
        <f>PROPER(TRIM(CLEAN(Sales_Table[[#This Row],[Salesperson]])))</f>
        <v>Anita</v>
      </c>
      <c r="M1101" t="s">
        <v>64</v>
      </c>
      <c r="N1101" t="str">
        <f t="shared" si="122"/>
        <v>Credit Card</v>
      </c>
      <c r="O1101" t="s">
        <v>65</v>
      </c>
      <c r="P1101">
        <f t="shared" si="123"/>
        <v>10</v>
      </c>
      <c r="Q1101" t="s">
        <v>117</v>
      </c>
      <c r="R1101">
        <f t="shared" si="124"/>
        <v>4969</v>
      </c>
      <c r="S1101" t="s">
        <v>2743</v>
      </c>
      <c r="T1101">
        <f t="shared" si="125"/>
        <v>49690</v>
      </c>
      <c r="U1101">
        <f>YEAR(Sales_Table[[#This Row],[Date_clean]])</f>
        <v>2024</v>
      </c>
      <c r="V1101" t="str">
        <f>TEXT(Sales_Table[[#This Row],[Date_clean]],"mmmm")</f>
        <v>February</v>
      </c>
      <c r="W1101">
        <f>WEEKNUM(Sales_Table[[#This Row],[Date_clean]],2)</f>
        <v>7</v>
      </c>
      <c r="X1101" t="str" cm="1">
        <f t="array" ref="X1101">_xlfn.IFS(Sales_Table[[#This Row],[Revenue]]&gt;=50000,"High",Sales_Table[[#This Row],[Revenue]]&gt;=20000,"Medium",Sales_Table[[#This Row],[Revenue]]&lt;20000,"Low")</f>
        <v>Medium</v>
      </c>
      <c r="Y1101" t="str">
        <f>IF(Sales_Table[[#This Row],[Payment Method_clean]]="cash","Offline","Online")</f>
        <v>Online</v>
      </c>
      <c r="Z1101">
        <f>IFERROR(Sales_Table[[#This Row],[Revenue]],0)</f>
        <v>49690</v>
      </c>
    </row>
    <row r="1102" spans="1:26" x14ac:dyDescent="0.3">
      <c r="A1102">
        <v>1101</v>
      </c>
      <c r="B1102" s="2">
        <f t="shared" si="119"/>
        <v>45337.833333333336</v>
      </c>
      <c r="C1102" t="s">
        <v>2744</v>
      </c>
      <c r="D1102" t="s">
        <v>27</v>
      </c>
      <c r="E1102" t="str">
        <f>PROPER(TRIM(CLEAN(Sales_Table[[#This Row],[Region]])))</f>
        <v>East</v>
      </c>
      <c r="F1102" t="s">
        <v>28</v>
      </c>
      <c r="G1102" t="str">
        <f t="shared" si="120"/>
        <v>Clothing</v>
      </c>
      <c r="H1102" t="str">
        <f>PROPER(TRIM(CLEAN(Sales_Table[[#This Row],[Product Name]])))</f>
        <v>Men T-Shirt</v>
      </c>
      <c r="I1102" t="s">
        <v>38</v>
      </c>
      <c r="J1102" t="str">
        <f t="shared" si="121"/>
        <v>CUST0339</v>
      </c>
      <c r="K1102" t="s">
        <v>578</v>
      </c>
      <c r="L1102" t="str">
        <f>PROPER(TRIM(CLEAN(Sales_Table[[#This Row],[Salesperson]])))</f>
        <v>Anita</v>
      </c>
      <c r="M1102" t="s">
        <v>64</v>
      </c>
      <c r="N1102" t="str">
        <f t="shared" si="122"/>
        <v>Cash</v>
      </c>
      <c r="O1102" t="s">
        <v>32</v>
      </c>
      <c r="P1102">
        <f t="shared" si="123"/>
        <v>4</v>
      </c>
      <c r="Q1102" t="s">
        <v>113</v>
      </c>
      <c r="R1102">
        <f t="shared" si="124"/>
        <v>2621</v>
      </c>
      <c r="S1102" t="s">
        <v>1903</v>
      </c>
      <c r="T1102">
        <f t="shared" si="125"/>
        <v>10484</v>
      </c>
      <c r="U1102">
        <f>YEAR(Sales_Table[[#This Row],[Date_clean]])</f>
        <v>2024</v>
      </c>
      <c r="V1102" t="str">
        <f>TEXT(Sales_Table[[#This Row],[Date_clean]],"mmmm")</f>
        <v>February</v>
      </c>
      <c r="W1102">
        <f>WEEKNUM(Sales_Table[[#This Row],[Date_clean]],2)</f>
        <v>7</v>
      </c>
      <c r="X1102" t="str" cm="1">
        <f t="array" ref="X1102">_xlfn.IFS(Sales_Table[[#This Row],[Revenue]]&gt;=50000,"High",Sales_Table[[#This Row],[Revenue]]&gt;=20000,"Medium",Sales_Table[[#This Row],[Revenue]]&lt;20000,"Low")</f>
        <v>Low</v>
      </c>
      <c r="Y1102" t="str">
        <f>IF(Sales_Table[[#This Row],[Payment Method_clean]]="cash","Offline","Online")</f>
        <v>Offline</v>
      </c>
      <c r="Z1102">
        <f>IFERROR(Sales_Table[[#This Row],[Revenue]],0)</f>
        <v>10484</v>
      </c>
    </row>
    <row r="1103" spans="1:26" x14ac:dyDescent="0.3">
      <c r="A1103">
        <v>1102</v>
      </c>
      <c r="B1103" s="2">
        <f t="shared" si="119"/>
        <v>45337.875</v>
      </c>
      <c r="C1103" t="s">
        <v>2745</v>
      </c>
      <c r="D1103" t="s">
        <v>84</v>
      </c>
      <c r="E1103" t="str">
        <f>PROPER(TRIM(CLEAN(Sales_Table[[#This Row],[Region]])))</f>
        <v>South</v>
      </c>
      <c r="F1103" t="s">
        <v>78</v>
      </c>
      <c r="G1103" t="str">
        <f t="shared" si="120"/>
        <v>Grocery</v>
      </c>
      <c r="H1103" t="str">
        <f>PROPER(TRIM(CLEAN(Sales_Table[[#This Row],[Product Name]])))</f>
        <v>Washing Machine</v>
      </c>
      <c r="I1103" t="s">
        <v>79</v>
      </c>
      <c r="J1103" t="str">
        <f t="shared" si="121"/>
        <v>CUST0607</v>
      </c>
      <c r="K1103" t="s">
        <v>886</v>
      </c>
      <c r="L1103" t="str">
        <f>PROPER(TRIM(CLEAN(Sales_Table[[#This Row],[Salesperson]])))</f>
        <v>Karthik</v>
      </c>
      <c r="M1103" t="s">
        <v>70</v>
      </c>
      <c r="N1103" t="str">
        <f t="shared" si="122"/>
        <v>Upi</v>
      </c>
      <c r="O1103" t="s">
        <v>48</v>
      </c>
      <c r="P1103">
        <f t="shared" si="123"/>
        <v>12</v>
      </c>
      <c r="Q1103" t="s">
        <v>33</v>
      </c>
      <c r="R1103">
        <f t="shared" si="124"/>
        <v>1226</v>
      </c>
      <c r="S1103" t="s">
        <v>2506</v>
      </c>
      <c r="T1103">
        <f t="shared" si="125"/>
        <v>14712</v>
      </c>
      <c r="U1103">
        <f>YEAR(Sales_Table[[#This Row],[Date_clean]])</f>
        <v>2024</v>
      </c>
      <c r="V1103" t="str">
        <f>TEXT(Sales_Table[[#This Row],[Date_clean]],"mmmm")</f>
        <v>February</v>
      </c>
      <c r="W1103">
        <f>WEEKNUM(Sales_Table[[#This Row],[Date_clean]],2)</f>
        <v>7</v>
      </c>
      <c r="X1103" t="str" cm="1">
        <f t="array" ref="X1103">_xlfn.IFS(Sales_Table[[#This Row],[Revenue]]&gt;=50000,"High",Sales_Table[[#This Row],[Revenue]]&gt;=20000,"Medium",Sales_Table[[#This Row],[Revenue]]&lt;20000,"Low")</f>
        <v>Low</v>
      </c>
      <c r="Y1103" t="str">
        <f>IF(Sales_Table[[#This Row],[Payment Method_clean]]="cash","Offline","Online")</f>
        <v>Online</v>
      </c>
      <c r="Z1103">
        <f>IFERROR(Sales_Table[[#This Row],[Revenue]],0)</f>
        <v>14712</v>
      </c>
    </row>
    <row r="1104" spans="1:26" x14ac:dyDescent="0.3">
      <c r="A1104">
        <v>1103</v>
      </c>
      <c r="B1104" s="2">
        <f t="shared" si="119"/>
        <v>45337.916666666664</v>
      </c>
      <c r="C1104" t="s">
        <v>2746</v>
      </c>
      <c r="D1104" t="s">
        <v>36</v>
      </c>
      <c r="E1104" t="str">
        <f>PROPER(TRIM(CLEAN(Sales_Table[[#This Row],[Region]])))</f>
        <v>West</v>
      </c>
      <c r="F1104" t="s">
        <v>28</v>
      </c>
      <c r="G1104" t="str">
        <f t="shared" si="120"/>
        <v>Clothing</v>
      </c>
      <c r="H1104" t="str">
        <f>PROPER(TRIM(CLEAN(Sales_Table[[#This Row],[Product Name]])))</f>
        <v>Rice 5Kg</v>
      </c>
      <c r="I1104" t="s">
        <v>73</v>
      </c>
      <c r="J1104" t="str">
        <f t="shared" si="121"/>
        <v>CUST0181</v>
      </c>
      <c r="K1104" t="s">
        <v>846</v>
      </c>
      <c r="L1104" t="str">
        <f>PROPER(TRIM(CLEAN(Sales_Table[[#This Row],[Salesperson]])))</f>
        <v>Suresh</v>
      </c>
      <c r="M1104" t="s">
        <v>54</v>
      </c>
      <c r="N1104" t="str">
        <f t="shared" si="122"/>
        <v>Net Banking</v>
      </c>
      <c r="O1104" t="s">
        <v>60</v>
      </c>
      <c r="P1104">
        <f t="shared" si="123"/>
        <v>8</v>
      </c>
      <c r="Q1104" t="s">
        <v>42</v>
      </c>
      <c r="R1104">
        <f t="shared" si="124"/>
        <v>3504</v>
      </c>
      <c r="S1104" t="s">
        <v>2747</v>
      </c>
      <c r="T1104">
        <f t="shared" si="125"/>
        <v>28032</v>
      </c>
      <c r="U1104">
        <f>YEAR(Sales_Table[[#This Row],[Date_clean]])</f>
        <v>2024</v>
      </c>
      <c r="V1104" t="str">
        <f>TEXT(Sales_Table[[#This Row],[Date_clean]],"mmmm")</f>
        <v>February</v>
      </c>
      <c r="W1104">
        <f>WEEKNUM(Sales_Table[[#This Row],[Date_clean]],2)</f>
        <v>7</v>
      </c>
      <c r="X1104" t="str" cm="1">
        <f t="array" ref="X1104">_xlfn.IFS(Sales_Table[[#This Row],[Revenue]]&gt;=50000,"High",Sales_Table[[#This Row],[Revenue]]&gt;=20000,"Medium",Sales_Table[[#This Row],[Revenue]]&lt;20000,"Low")</f>
        <v>Medium</v>
      </c>
      <c r="Y1104" t="str">
        <f>IF(Sales_Table[[#This Row],[Payment Method_clean]]="cash","Offline","Online")</f>
        <v>Online</v>
      </c>
      <c r="Z1104">
        <f>IFERROR(Sales_Table[[#This Row],[Revenue]],0)</f>
        <v>28032</v>
      </c>
    </row>
    <row r="1105" spans="1:26" x14ac:dyDescent="0.3">
      <c r="A1105">
        <v>1104</v>
      </c>
      <c r="B1105" s="2">
        <f t="shared" si="119"/>
        <v>45337.958333333336</v>
      </c>
      <c r="C1105" t="s">
        <v>2748</v>
      </c>
      <c r="D1105" t="s">
        <v>45</v>
      </c>
      <c r="E1105" t="str">
        <f>PROPER(TRIM(CLEAN(Sales_Table[[#This Row],[Region]])))</f>
        <v>North</v>
      </c>
      <c r="F1105" t="s">
        <v>46</v>
      </c>
      <c r="G1105" t="str">
        <f t="shared" si="120"/>
        <v>Electronics</v>
      </c>
      <c r="H1105" t="str">
        <f>PROPER(TRIM(CLEAN(Sales_Table[[#This Row],[Product Name]])))</f>
        <v>Washing Machine</v>
      </c>
      <c r="I1105" t="s">
        <v>79</v>
      </c>
      <c r="J1105" t="str">
        <f t="shared" si="121"/>
        <v>CUST0288</v>
      </c>
      <c r="K1105" t="s">
        <v>663</v>
      </c>
      <c r="L1105" t="str">
        <f>PROPER(TRIM(CLEAN(Sales_Table[[#This Row],[Salesperson]])))</f>
        <v>Suresh</v>
      </c>
      <c r="M1105" t="s">
        <v>54</v>
      </c>
      <c r="N1105" t="str">
        <f t="shared" si="122"/>
        <v>Upi</v>
      </c>
      <c r="O1105" t="s">
        <v>48</v>
      </c>
      <c r="P1105">
        <f t="shared" si="123"/>
        <v>11</v>
      </c>
      <c r="Q1105" t="s">
        <v>97</v>
      </c>
      <c r="R1105">
        <f t="shared" si="124"/>
        <v>4592</v>
      </c>
      <c r="S1105" t="s">
        <v>256</v>
      </c>
      <c r="T1105">
        <f t="shared" si="125"/>
        <v>50512</v>
      </c>
      <c r="U1105">
        <f>YEAR(Sales_Table[[#This Row],[Date_clean]])</f>
        <v>2024</v>
      </c>
      <c r="V1105" t="str">
        <f>TEXT(Sales_Table[[#This Row],[Date_clean]],"mmmm")</f>
        <v>February</v>
      </c>
      <c r="W1105">
        <f>WEEKNUM(Sales_Table[[#This Row],[Date_clean]],2)</f>
        <v>7</v>
      </c>
      <c r="X1105" t="str" cm="1">
        <f t="array" ref="X1105">_xlfn.IFS(Sales_Table[[#This Row],[Revenue]]&gt;=50000,"High",Sales_Table[[#This Row],[Revenue]]&gt;=20000,"Medium",Sales_Table[[#This Row],[Revenue]]&lt;20000,"Low")</f>
        <v>High</v>
      </c>
      <c r="Y1105" t="str">
        <f>IF(Sales_Table[[#This Row],[Payment Method_clean]]="cash","Offline","Online")</f>
        <v>Online</v>
      </c>
      <c r="Z1105">
        <f>IFERROR(Sales_Table[[#This Row],[Revenue]],0)</f>
        <v>50512</v>
      </c>
    </row>
    <row r="1106" spans="1:26" x14ac:dyDescent="0.3">
      <c r="A1106">
        <v>1105</v>
      </c>
      <c r="B1106" s="2">
        <f t="shared" si="119"/>
        <v>45338</v>
      </c>
      <c r="C1106" t="s">
        <v>2749</v>
      </c>
      <c r="D1106" t="s">
        <v>84</v>
      </c>
      <c r="E1106" t="str">
        <f>PROPER(TRIM(CLEAN(Sales_Table[[#This Row],[Region]])))</f>
        <v>South</v>
      </c>
      <c r="F1106" t="s">
        <v>46</v>
      </c>
      <c r="G1106" t="str">
        <f t="shared" si="120"/>
        <v>Electronics</v>
      </c>
      <c r="H1106" t="str">
        <f>PROPER(TRIM(CLEAN(Sales_Table[[#This Row],[Product Name]])))</f>
        <v>Led Tv 42Inch</v>
      </c>
      <c r="I1106" t="s">
        <v>58</v>
      </c>
      <c r="J1106" t="str">
        <f t="shared" si="121"/>
        <v>CUST0187</v>
      </c>
      <c r="K1106" t="s">
        <v>1196</v>
      </c>
      <c r="L1106" t="str">
        <f>PROPER(TRIM(CLEAN(Sales_Table[[#This Row],[Salesperson]])))</f>
        <v>Karthik</v>
      </c>
      <c r="M1106" t="s">
        <v>70</v>
      </c>
      <c r="N1106" t="str">
        <f t="shared" si="122"/>
        <v>Credit Card</v>
      </c>
      <c r="O1106" t="s">
        <v>65</v>
      </c>
      <c r="P1106">
        <f t="shared" si="123"/>
        <v>9</v>
      </c>
      <c r="Q1106" t="s">
        <v>130</v>
      </c>
      <c r="R1106">
        <f t="shared" si="124"/>
        <v>2443</v>
      </c>
      <c r="S1106" t="s">
        <v>2750</v>
      </c>
      <c r="T1106">
        <f t="shared" si="125"/>
        <v>21987</v>
      </c>
      <c r="U1106">
        <f>YEAR(Sales_Table[[#This Row],[Date_clean]])</f>
        <v>2024</v>
      </c>
      <c r="V1106" t="str">
        <f>TEXT(Sales_Table[[#This Row],[Date_clean]],"mmmm")</f>
        <v>February</v>
      </c>
      <c r="W1106">
        <f>WEEKNUM(Sales_Table[[#This Row],[Date_clean]],2)</f>
        <v>7</v>
      </c>
      <c r="X1106" t="str" cm="1">
        <f t="array" ref="X1106">_xlfn.IFS(Sales_Table[[#This Row],[Revenue]]&gt;=50000,"High",Sales_Table[[#This Row],[Revenue]]&gt;=20000,"Medium",Sales_Table[[#This Row],[Revenue]]&lt;20000,"Low")</f>
        <v>Medium</v>
      </c>
      <c r="Y1106" t="str">
        <f>IF(Sales_Table[[#This Row],[Payment Method_clean]]="cash","Offline","Online")</f>
        <v>Online</v>
      </c>
      <c r="Z1106">
        <f>IFERROR(Sales_Table[[#This Row],[Revenue]],0)</f>
        <v>21987</v>
      </c>
    </row>
    <row r="1107" spans="1:26" x14ac:dyDescent="0.3">
      <c r="A1107">
        <v>1106</v>
      </c>
      <c r="B1107" s="2">
        <f t="shared" si="119"/>
        <v>45338.041666666664</v>
      </c>
      <c r="C1107" t="s">
        <v>2751</v>
      </c>
      <c r="D1107" t="s">
        <v>36</v>
      </c>
      <c r="E1107" t="str">
        <f>PROPER(TRIM(CLEAN(Sales_Table[[#This Row],[Region]])))</f>
        <v>West</v>
      </c>
      <c r="F1107" t="s">
        <v>78</v>
      </c>
      <c r="G1107" t="str">
        <f t="shared" si="120"/>
        <v>Grocery</v>
      </c>
      <c r="H1107" t="str">
        <f>PROPER(TRIM(CLEAN(Sales_Table[[#This Row],[Product Name]])))</f>
        <v>Led Tv 42Inch</v>
      </c>
      <c r="I1107" t="s">
        <v>58</v>
      </c>
      <c r="J1107" t="str">
        <f t="shared" si="121"/>
        <v>CUST0138</v>
      </c>
      <c r="K1107" t="s">
        <v>575</v>
      </c>
      <c r="L1107" t="str">
        <f>PROPER(TRIM(CLEAN(Sales_Table[[#This Row],[Salesperson]])))</f>
        <v>Rahul</v>
      </c>
      <c r="M1107" t="s">
        <v>31</v>
      </c>
      <c r="N1107" t="str">
        <f t="shared" si="122"/>
        <v>Upi</v>
      </c>
      <c r="O1107" t="s">
        <v>48</v>
      </c>
      <c r="P1107">
        <f t="shared" si="123"/>
        <v>3</v>
      </c>
      <c r="Q1107" t="s">
        <v>66</v>
      </c>
      <c r="R1107">
        <f t="shared" si="124"/>
        <v>206</v>
      </c>
      <c r="S1107" t="s">
        <v>2752</v>
      </c>
      <c r="T1107">
        <f t="shared" si="125"/>
        <v>618</v>
      </c>
      <c r="U1107">
        <f>YEAR(Sales_Table[[#This Row],[Date_clean]])</f>
        <v>2024</v>
      </c>
      <c r="V1107" t="str">
        <f>TEXT(Sales_Table[[#This Row],[Date_clean]],"mmmm")</f>
        <v>February</v>
      </c>
      <c r="W1107">
        <f>WEEKNUM(Sales_Table[[#This Row],[Date_clean]],2)</f>
        <v>7</v>
      </c>
      <c r="X1107" t="str" cm="1">
        <f t="array" ref="X1107">_xlfn.IFS(Sales_Table[[#This Row],[Revenue]]&gt;=50000,"High",Sales_Table[[#This Row],[Revenue]]&gt;=20000,"Medium",Sales_Table[[#This Row],[Revenue]]&lt;20000,"Low")</f>
        <v>Low</v>
      </c>
      <c r="Y1107" t="str">
        <f>IF(Sales_Table[[#This Row],[Payment Method_clean]]="cash","Offline","Online")</f>
        <v>Online</v>
      </c>
      <c r="Z1107">
        <f>IFERROR(Sales_Table[[#This Row],[Revenue]],0)</f>
        <v>618</v>
      </c>
    </row>
    <row r="1108" spans="1:26" x14ac:dyDescent="0.3">
      <c r="A1108">
        <v>1107</v>
      </c>
      <c r="B1108" s="2">
        <f t="shared" si="119"/>
        <v>45338.083333333336</v>
      </c>
      <c r="C1108" t="s">
        <v>2753</v>
      </c>
      <c r="D1108" t="s">
        <v>45</v>
      </c>
      <c r="E1108" t="str">
        <f>PROPER(TRIM(CLEAN(Sales_Table[[#This Row],[Region]])))</f>
        <v>North</v>
      </c>
      <c r="F1108" t="s">
        <v>46</v>
      </c>
      <c r="G1108" t="str">
        <f t="shared" si="120"/>
        <v>Electronics</v>
      </c>
      <c r="H1108" t="str">
        <f>PROPER(TRIM(CLEAN(Sales_Table[[#This Row],[Product Name]])))</f>
        <v>Mixer Grinder</v>
      </c>
      <c r="I1108" t="s">
        <v>29</v>
      </c>
      <c r="J1108" t="str">
        <f t="shared" si="121"/>
        <v>CUST0130</v>
      </c>
      <c r="K1108" t="s">
        <v>2754</v>
      </c>
      <c r="L1108" t="str">
        <f>PROPER(TRIM(CLEAN(Sales_Table[[#This Row],[Salesperson]])))</f>
        <v>Suresh</v>
      </c>
      <c r="M1108" t="s">
        <v>54</v>
      </c>
      <c r="N1108" t="str">
        <f t="shared" si="122"/>
        <v>Debit Card</v>
      </c>
      <c r="O1108" t="s">
        <v>41</v>
      </c>
      <c r="P1108">
        <f t="shared" si="123"/>
        <v>5</v>
      </c>
      <c r="Q1108" t="s">
        <v>89</v>
      </c>
      <c r="R1108">
        <f t="shared" si="124"/>
        <v>2677</v>
      </c>
      <c r="S1108" t="s">
        <v>2755</v>
      </c>
      <c r="T1108">
        <f t="shared" si="125"/>
        <v>13385</v>
      </c>
      <c r="U1108">
        <f>YEAR(Sales_Table[[#This Row],[Date_clean]])</f>
        <v>2024</v>
      </c>
      <c r="V1108" t="str">
        <f>TEXT(Sales_Table[[#This Row],[Date_clean]],"mmmm")</f>
        <v>February</v>
      </c>
      <c r="W1108">
        <f>WEEKNUM(Sales_Table[[#This Row],[Date_clean]],2)</f>
        <v>7</v>
      </c>
      <c r="X1108" t="str" cm="1">
        <f t="array" ref="X1108">_xlfn.IFS(Sales_Table[[#This Row],[Revenue]]&gt;=50000,"High",Sales_Table[[#This Row],[Revenue]]&gt;=20000,"Medium",Sales_Table[[#This Row],[Revenue]]&lt;20000,"Low")</f>
        <v>Low</v>
      </c>
      <c r="Y1108" t="str">
        <f>IF(Sales_Table[[#This Row],[Payment Method_clean]]="cash","Offline","Online")</f>
        <v>Online</v>
      </c>
      <c r="Z1108">
        <f>IFERROR(Sales_Table[[#This Row],[Revenue]],0)</f>
        <v>13385</v>
      </c>
    </row>
    <row r="1109" spans="1:26" x14ac:dyDescent="0.3">
      <c r="A1109">
        <v>1108</v>
      </c>
      <c r="B1109" s="2">
        <f t="shared" si="119"/>
        <v>45338.125</v>
      </c>
      <c r="C1109" t="s">
        <v>2756</v>
      </c>
      <c r="D1109" t="s">
        <v>84</v>
      </c>
      <c r="E1109" t="str">
        <f>PROPER(TRIM(CLEAN(Sales_Table[[#This Row],[Region]])))</f>
        <v>South</v>
      </c>
      <c r="F1109" t="s">
        <v>37</v>
      </c>
      <c r="G1109" t="str">
        <f t="shared" si="120"/>
        <v>Home Appliances</v>
      </c>
      <c r="H1109" t="str">
        <f>PROPER(TRIM(CLEAN(Sales_Table[[#This Row],[Product Name]])))</f>
        <v>Washing Machine</v>
      </c>
      <c r="I1109" t="s">
        <v>79</v>
      </c>
      <c r="J1109" t="str">
        <f t="shared" si="121"/>
        <v>CUST0194</v>
      </c>
      <c r="K1109" t="s">
        <v>2231</v>
      </c>
      <c r="L1109" t="str">
        <f>PROPER(TRIM(CLEAN(Sales_Table[[#This Row],[Salesperson]])))</f>
        <v>Karthik</v>
      </c>
      <c r="M1109" t="s">
        <v>70</v>
      </c>
      <c r="N1109" t="str">
        <f t="shared" si="122"/>
        <v>Net Banking</v>
      </c>
      <c r="O1109" t="s">
        <v>60</v>
      </c>
      <c r="P1109">
        <f t="shared" si="123"/>
        <v>4</v>
      </c>
      <c r="Q1109" t="s">
        <v>113</v>
      </c>
      <c r="R1109">
        <f t="shared" si="124"/>
        <v>3254</v>
      </c>
      <c r="S1109" t="s">
        <v>2757</v>
      </c>
      <c r="T1109">
        <f t="shared" si="125"/>
        <v>13016</v>
      </c>
      <c r="U1109">
        <f>YEAR(Sales_Table[[#This Row],[Date_clean]])</f>
        <v>2024</v>
      </c>
      <c r="V1109" t="str">
        <f>TEXT(Sales_Table[[#This Row],[Date_clean]],"mmmm")</f>
        <v>February</v>
      </c>
      <c r="W1109">
        <f>WEEKNUM(Sales_Table[[#This Row],[Date_clean]],2)</f>
        <v>7</v>
      </c>
      <c r="X1109" t="str" cm="1">
        <f t="array" ref="X1109">_xlfn.IFS(Sales_Table[[#This Row],[Revenue]]&gt;=50000,"High",Sales_Table[[#This Row],[Revenue]]&gt;=20000,"Medium",Sales_Table[[#This Row],[Revenue]]&lt;20000,"Low")</f>
        <v>Low</v>
      </c>
      <c r="Y1109" t="str">
        <f>IF(Sales_Table[[#This Row],[Payment Method_clean]]="cash","Offline","Online")</f>
        <v>Online</v>
      </c>
      <c r="Z1109">
        <f>IFERROR(Sales_Table[[#This Row],[Revenue]],0)</f>
        <v>13016</v>
      </c>
    </row>
    <row r="1110" spans="1:26" x14ac:dyDescent="0.3">
      <c r="A1110">
        <v>1109</v>
      </c>
      <c r="B1110" s="2">
        <f t="shared" si="119"/>
        <v>45338.166666666664</v>
      </c>
      <c r="C1110" t="s">
        <v>2758</v>
      </c>
      <c r="D1110" t="s">
        <v>84</v>
      </c>
      <c r="E1110" t="str">
        <f>PROPER(TRIM(CLEAN(Sales_Table[[#This Row],[Region]])))</f>
        <v>South</v>
      </c>
      <c r="F1110" t="s">
        <v>78</v>
      </c>
      <c r="G1110" t="str">
        <f t="shared" si="120"/>
        <v>Grocery</v>
      </c>
      <c r="H1110" t="str">
        <f>PROPER(TRIM(CLEAN(Sales_Table[[#This Row],[Product Name]])))</f>
        <v>Mixer Grinder</v>
      </c>
      <c r="I1110" t="s">
        <v>29</v>
      </c>
      <c r="J1110" t="str">
        <f t="shared" si="121"/>
        <v>CUST0316</v>
      </c>
      <c r="K1110" t="s">
        <v>2388</v>
      </c>
      <c r="L1110" t="str">
        <f>PROPER(TRIM(CLEAN(Sales_Table[[#This Row],[Salesperson]])))</f>
        <v>Rahul</v>
      </c>
      <c r="M1110" t="s">
        <v>31</v>
      </c>
      <c r="N1110" t="str">
        <f t="shared" si="122"/>
        <v>Debit Card</v>
      </c>
      <c r="O1110" t="s">
        <v>41</v>
      </c>
      <c r="P1110">
        <f t="shared" si="123"/>
        <v>14</v>
      </c>
      <c r="Q1110" t="s">
        <v>55</v>
      </c>
      <c r="R1110">
        <f t="shared" si="124"/>
        <v>4483</v>
      </c>
      <c r="S1110" t="s">
        <v>2759</v>
      </c>
      <c r="T1110">
        <f t="shared" si="125"/>
        <v>62762</v>
      </c>
      <c r="U1110">
        <f>YEAR(Sales_Table[[#This Row],[Date_clean]])</f>
        <v>2024</v>
      </c>
      <c r="V1110" t="str">
        <f>TEXT(Sales_Table[[#This Row],[Date_clean]],"mmmm")</f>
        <v>February</v>
      </c>
      <c r="W1110">
        <f>WEEKNUM(Sales_Table[[#This Row],[Date_clean]],2)</f>
        <v>7</v>
      </c>
      <c r="X1110" t="str" cm="1">
        <f t="array" ref="X1110">_xlfn.IFS(Sales_Table[[#This Row],[Revenue]]&gt;=50000,"High",Sales_Table[[#This Row],[Revenue]]&gt;=20000,"Medium",Sales_Table[[#This Row],[Revenue]]&lt;20000,"Low")</f>
        <v>High</v>
      </c>
      <c r="Y1110" t="str">
        <f>IF(Sales_Table[[#This Row],[Payment Method_clean]]="cash","Offline","Online")</f>
        <v>Online</v>
      </c>
      <c r="Z1110">
        <f>IFERROR(Sales_Table[[#This Row],[Revenue]],0)</f>
        <v>62762</v>
      </c>
    </row>
    <row r="1111" spans="1:26" x14ac:dyDescent="0.3">
      <c r="A1111">
        <v>1110</v>
      </c>
      <c r="B1111" s="2">
        <f t="shared" si="119"/>
        <v>45338.208333333336</v>
      </c>
      <c r="C1111" t="s">
        <v>2760</v>
      </c>
      <c r="D1111" t="s">
        <v>27</v>
      </c>
      <c r="E1111" t="str">
        <f>PROPER(TRIM(CLEAN(Sales_Table[[#This Row],[Region]])))</f>
        <v>East</v>
      </c>
      <c r="F1111" t="s">
        <v>46</v>
      </c>
      <c r="G1111" t="str">
        <f t="shared" si="120"/>
        <v>Electronics</v>
      </c>
      <c r="H1111" t="str">
        <f>PROPER(TRIM(CLEAN(Sales_Table[[#This Row],[Product Name]])))</f>
        <v>Mixer Grinder</v>
      </c>
      <c r="I1111" t="s">
        <v>29</v>
      </c>
      <c r="J1111" t="str">
        <f t="shared" si="121"/>
        <v>CUST0785</v>
      </c>
      <c r="K1111" t="s">
        <v>908</v>
      </c>
      <c r="L1111" t="str">
        <f>PROPER(TRIM(CLEAN(Sales_Table[[#This Row],[Salesperson]])))</f>
        <v>Rahul</v>
      </c>
      <c r="M1111" t="s">
        <v>31</v>
      </c>
      <c r="N1111" t="str">
        <f t="shared" si="122"/>
        <v>Debit Card</v>
      </c>
      <c r="O1111" t="s">
        <v>41</v>
      </c>
      <c r="P1111">
        <f t="shared" si="123"/>
        <v>12</v>
      </c>
      <c r="Q1111" t="s">
        <v>33</v>
      </c>
      <c r="R1111">
        <f t="shared" si="124"/>
        <v>4153</v>
      </c>
      <c r="S1111" t="s">
        <v>2761</v>
      </c>
      <c r="T1111">
        <f t="shared" si="125"/>
        <v>49836</v>
      </c>
      <c r="U1111">
        <f>YEAR(Sales_Table[[#This Row],[Date_clean]])</f>
        <v>2024</v>
      </c>
      <c r="V1111" t="str">
        <f>TEXT(Sales_Table[[#This Row],[Date_clean]],"mmmm")</f>
        <v>February</v>
      </c>
      <c r="W1111">
        <f>WEEKNUM(Sales_Table[[#This Row],[Date_clean]],2)</f>
        <v>7</v>
      </c>
      <c r="X1111" t="str" cm="1">
        <f t="array" ref="X1111">_xlfn.IFS(Sales_Table[[#This Row],[Revenue]]&gt;=50000,"High",Sales_Table[[#This Row],[Revenue]]&gt;=20000,"Medium",Sales_Table[[#This Row],[Revenue]]&lt;20000,"Low")</f>
        <v>Medium</v>
      </c>
      <c r="Y1111" t="str">
        <f>IF(Sales_Table[[#This Row],[Payment Method_clean]]="cash","Offline","Online")</f>
        <v>Online</v>
      </c>
      <c r="Z1111">
        <f>IFERROR(Sales_Table[[#This Row],[Revenue]],0)</f>
        <v>49836</v>
      </c>
    </row>
    <row r="1112" spans="1:26" x14ac:dyDescent="0.3">
      <c r="A1112">
        <v>1111</v>
      </c>
      <c r="B1112" s="2">
        <f t="shared" si="119"/>
        <v>45338.25</v>
      </c>
      <c r="C1112" t="s">
        <v>2762</v>
      </c>
      <c r="D1112" t="s">
        <v>45</v>
      </c>
      <c r="E1112" t="str">
        <f>PROPER(TRIM(CLEAN(Sales_Table[[#This Row],[Region]])))</f>
        <v>North</v>
      </c>
      <c r="F1112" t="s">
        <v>78</v>
      </c>
      <c r="G1112" t="str">
        <f t="shared" si="120"/>
        <v>Grocery</v>
      </c>
      <c r="H1112" t="str">
        <f>PROPER(TRIM(CLEAN(Sales_Table[[#This Row],[Product Name]])))</f>
        <v>Led Tv 42Inch</v>
      </c>
      <c r="I1112" t="s">
        <v>58</v>
      </c>
      <c r="J1112" t="str">
        <f t="shared" si="121"/>
        <v>CUST0144</v>
      </c>
      <c r="K1112" t="s">
        <v>831</v>
      </c>
      <c r="L1112" t="str">
        <f>PROPER(TRIM(CLEAN(Sales_Table[[#This Row],[Salesperson]])))</f>
        <v>Meena</v>
      </c>
      <c r="M1112" t="s">
        <v>40</v>
      </c>
      <c r="N1112" t="str">
        <f t="shared" si="122"/>
        <v>Credit Card</v>
      </c>
      <c r="O1112" t="s">
        <v>65</v>
      </c>
      <c r="P1112">
        <f t="shared" si="123"/>
        <v>10</v>
      </c>
      <c r="Q1112" t="s">
        <v>117</v>
      </c>
      <c r="R1112">
        <f t="shared" si="124"/>
        <v>4901</v>
      </c>
      <c r="S1112" t="s">
        <v>474</v>
      </c>
      <c r="T1112">
        <f t="shared" si="125"/>
        <v>49010</v>
      </c>
      <c r="U1112">
        <f>YEAR(Sales_Table[[#This Row],[Date_clean]])</f>
        <v>2024</v>
      </c>
      <c r="V1112" t="str">
        <f>TEXT(Sales_Table[[#This Row],[Date_clean]],"mmmm")</f>
        <v>February</v>
      </c>
      <c r="W1112">
        <f>WEEKNUM(Sales_Table[[#This Row],[Date_clean]],2)</f>
        <v>7</v>
      </c>
      <c r="X1112" t="str" cm="1">
        <f t="array" ref="X1112">_xlfn.IFS(Sales_Table[[#This Row],[Revenue]]&gt;=50000,"High",Sales_Table[[#This Row],[Revenue]]&gt;=20000,"Medium",Sales_Table[[#This Row],[Revenue]]&lt;20000,"Low")</f>
        <v>Medium</v>
      </c>
      <c r="Y1112" t="str">
        <f>IF(Sales_Table[[#This Row],[Payment Method_clean]]="cash","Offline","Online")</f>
        <v>Online</v>
      </c>
      <c r="Z1112">
        <f>IFERROR(Sales_Table[[#This Row],[Revenue]],0)</f>
        <v>49010</v>
      </c>
    </row>
    <row r="1113" spans="1:26" x14ac:dyDescent="0.3">
      <c r="A1113">
        <v>1112</v>
      </c>
      <c r="B1113" s="2">
        <f t="shared" si="119"/>
        <v>45338.291666666664</v>
      </c>
      <c r="C1113" t="s">
        <v>2763</v>
      </c>
      <c r="D1113" t="s">
        <v>45</v>
      </c>
      <c r="E1113" t="str">
        <f>PROPER(TRIM(CLEAN(Sales_Table[[#This Row],[Region]])))</f>
        <v>North</v>
      </c>
      <c r="F1113" t="s">
        <v>28</v>
      </c>
      <c r="G1113" t="str">
        <f t="shared" si="120"/>
        <v>Clothing</v>
      </c>
      <c r="H1113" t="str">
        <f>PROPER(TRIM(CLEAN(Sales_Table[[#This Row],[Product Name]])))</f>
        <v>Mixer Grinder</v>
      </c>
      <c r="I1113" t="s">
        <v>29</v>
      </c>
      <c r="J1113" t="str">
        <f t="shared" si="121"/>
        <v>CUST0016</v>
      </c>
      <c r="K1113" t="s">
        <v>2764</v>
      </c>
      <c r="L1113" t="str">
        <f>PROPER(TRIM(CLEAN(Sales_Table[[#This Row],[Salesperson]])))</f>
        <v>Rahul</v>
      </c>
      <c r="M1113" t="s">
        <v>31</v>
      </c>
      <c r="N1113" t="str">
        <f t="shared" si="122"/>
        <v>Cash</v>
      </c>
      <c r="O1113" t="s">
        <v>32</v>
      </c>
      <c r="P1113">
        <f t="shared" si="123"/>
        <v>6</v>
      </c>
      <c r="Q1113" t="s">
        <v>75</v>
      </c>
      <c r="R1113">
        <f t="shared" si="124"/>
        <v>314</v>
      </c>
      <c r="S1113" t="s">
        <v>2765</v>
      </c>
      <c r="T1113">
        <f t="shared" si="125"/>
        <v>1884</v>
      </c>
      <c r="U1113">
        <f>YEAR(Sales_Table[[#This Row],[Date_clean]])</f>
        <v>2024</v>
      </c>
      <c r="V1113" t="str">
        <f>TEXT(Sales_Table[[#This Row],[Date_clean]],"mmmm")</f>
        <v>February</v>
      </c>
      <c r="W1113">
        <f>WEEKNUM(Sales_Table[[#This Row],[Date_clean]],2)</f>
        <v>7</v>
      </c>
      <c r="X1113" t="str" cm="1">
        <f t="array" ref="X1113">_xlfn.IFS(Sales_Table[[#This Row],[Revenue]]&gt;=50000,"High",Sales_Table[[#This Row],[Revenue]]&gt;=20000,"Medium",Sales_Table[[#This Row],[Revenue]]&lt;20000,"Low")</f>
        <v>Low</v>
      </c>
      <c r="Y1113" t="str">
        <f>IF(Sales_Table[[#This Row],[Payment Method_clean]]="cash","Offline","Online")</f>
        <v>Offline</v>
      </c>
      <c r="Z1113">
        <f>IFERROR(Sales_Table[[#This Row],[Revenue]],0)</f>
        <v>1884</v>
      </c>
    </row>
    <row r="1114" spans="1:26" x14ac:dyDescent="0.3">
      <c r="A1114">
        <v>1113</v>
      </c>
      <c r="B1114" s="2">
        <f t="shared" si="119"/>
        <v>45338.333333333336</v>
      </c>
      <c r="C1114" t="s">
        <v>2766</v>
      </c>
      <c r="D1114" t="s">
        <v>36</v>
      </c>
      <c r="E1114" t="str">
        <f>PROPER(TRIM(CLEAN(Sales_Table[[#This Row],[Region]])))</f>
        <v>West</v>
      </c>
      <c r="F1114" t="s">
        <v>46</v>
      </c>
      <c r="G1114" t="str">
        <f t="shared" si="120"/>
        <v>Electronics</v>
      </c>
      <c r="H1114" t="str">
        <f>PROPER(TRIM(CLEAN(Sales_Table[[#This Row],[Product Name]])))</f>
        <v>Led Tv 42Inch</v>
      </c>
      <c r="I1114" t="s">
        <v>58</v>
      </c>
      <c r="J1114" t="str">
        <f t="shared" si="121"/>
        <v>CUST0302</v>
      </c>
      <c r="K1114" t="s">
        <v>1046</v>
      </c>
      <c r="L1114" t="str">
        <f>PROPER(TRIM(CLEAN(Sales_Table[[#This Row],[Salesperson]])))</f>
        <v>Suresh</v>
      </c>
      <c r="M1114" t="s">
        <v>54</v>
      </c>
      <c r="N1114" t="str">
        <f t="shared" si="122"/>
        <v>Debit Card</v>
      </c>
      <c r="O1114" t="s">
        <v>41</v>
      </c>
      <c r="P1114">
        <f t="shared" si="123"/>
        <v>11</v>
      </c>
      <c r="Q1114" t="s">
        <v>97</v>
      </c>
      <c r="R1114">
        <f t="shared" si="124"/>
        <v>4539</v>
      </c>
      <c r="S1114" t="s">
        <v>2767</v>
      </c>
      <c r="T1114">
        <f t="shared" si="125"/>
        <v>49929</v>
      </c>
      <c r="U1114">
        <f>YEAR(Sales_Table[[#This Row],[Date_clean]])</f>
        <v>2024</v>
      </c>
      <c r="V1114" t="str">
        <f>TEXT(Sales_Table[[#This Row],[Date_clean]],"mmmm")</f>
        <v>February</v>
      </c>
      <c r="W1114">
        <f>WEEKNUM(Sales_Table[[#This Row],[Date_clean]],2)</f>
        <v>7</v>
      </c>
      <c r="X1114" t="str" cm="1">
        <f t="array" ref="X1114">_xlfn.IFS(Sales_Table[[#This Row],[Revenue]]&gt;=50000,"High",Sales_Table[[#This Row],[Revenue]]&gt;=20000,"Medium",Sales_Table[[#This Row],[Revenue]]&lt;20000,"Low")</f>
        <v>Medium</v>
      </c>
      <c r="Y1114" t="str">
        <f>IF(Sales_Table[[#This Row],[Payment Method_clean]]="cash","Offline","Online")</f>
        <v>Online</v>
      </c>
      <c r="Z1114">
        <f>IFERROR(Sales_Table[[#This Row],[Revenue]],0)</f>
        <v>49929</v>
      </c>
    </row>
    <row r="1115" spans="1:26" x14ac:dyDescent="0.3">
      <c r="A1115">
        <v>1114</v>
      </c>
      <c r="B1115" s="2">
        <f t="shared" si="119"/>
        <v>45338.375</v>
      </c>
      <c r="C1115" t="s">
        <v>2768</v>
      </c>
      <c r="D1115" t="s">
        <v>27</v>
      </c>
      <c r="E1115" t="str">
        <f>PROPER(TRIM(CLEAN(Sales_Table[[#This Row],[Region]])))</f>
        <v>East</v>
      </c>
      <c r="F1115" t="s">
        <v>37</v>
      </c>
      <c r="G1115" t="str">
        <f t="shared" si="120"/>
        <v>Home Appliances</v>
      </c>
      <c r="H1115" t="str">
        <f>PROPER(TRIM(CLEAN(Sales_Table[[#This Row],[Product Name]])))</f>
        <v>Rice 5Kg</v>
      </c>
      <c r="I1115" t="s">
        <v>73</v>
      </c>
      <c r="J1115" t="str">
        <f t="shared" si="121"/>
        <v>CUST0423</v>
      </c>
      <c r="K1115" t="s">
        <v>2285</v>
      </c>
      <c r="L1115" t="str">
        <f>PROPER(TRIM(CLEAN(Sales_Table[[#This Row],[Salesperson]])))</f>
        <v>Suresh</v>
      </c>
      <c r="M1115" t="s">
        <v>54</v>
      </c>
      <c r="N1115" t="str">
        <f t="shared" si="122"/>
        <v>Upi</v>
      </c>
      <c r="O1115" t="s">
        <v>48</v>
      </c>
      <c r="P1115">
        <f t="shared" si="123"/>
        <v>10</v>
      </c>
      <c r="Q1115" t="s">
        <v>117</v>
      </c>
      <c r="R1115">
        <f t="shared" si="124"/>
        <v>4389</v>
      </c>
      <c r="S1115" t="s">
        <v>2769</v>
      </c>
      <c r="T1115">
        <f t="shared" si="125"/>
        <v>43890</v>
      </c>
      <c r="U1115">
        <f>YEAR(Sales_Table[[#This Row],[Date_clean]])</f>
        <v>2024</v>
      </c>
      <c r="V1115" t="str">
        <f>TEXT(Sales_Table[[#This Row],[Date_clean]],"mmmm")</f>
        <v>February</v>
      </c>
      <c r="W1115">
        <f>WEEKNUM(Sales_Table[[#This Row],[Date_clean]],2)</f>
        <v>7</v>
      </c>
      <c r="X1115" t="str" cm="1">
        <f t="array" ref="X1115">_xlfn.IFS(Sales_Table[[#This Row],[Revenue]]&gt;=50000,"High",Sales_Table[[#This Row],[Revenue]]&gt;=20000,"Medium",Sales_Table[[#This Row],[Revenue]]&lt;20000,"Low")</f>
        <v>Medium</v>
      </c>
      <c r="Y1115" t="str">
        <f>IF(Sales_Table[[#This Row],[Payment Method_clean]]="cash","Offline","Online")</f>
        <v>Online</v>
      </c>
      <c r="Z1115">
        <f>IFERROR(Sales_Table[[#This Row],[Revenue]],0)</f>
        <v>43890</v>
      </c>
    </row>
    <row r="1116" spans="1:26" x14ac:dyDescent="0.3">
      <c r="A1116">
        <v>1115</v>
      </c>
      <c r="B1116" s="2">
        <f t="shared" si="119"/>
        <v>45338.416666666664</v>
      </c>
      <c r="C1116" t="s">
        <v>2770</v>
      </c>
      <c r="D1116" t="s">
        <v>27</v>
      </c>
      <c r="E1116" t="str">
        <f>PROPER(TRIM(CLEAN(Sales_Table[[#This Row],[Region]])))</f>
        <v>East</v>
      </c>
      <c r="F1116" t="s">
        <v>46</v>
      </c>
      <c r="G1116" t="str">
        <f t="shared" si="120"/>
        <v>Electronics</v>
      </c>
      <c r="H1116" t="str">
        <f>PROPER(TRIM(CLEAN(Sales_Table[[#This Row],[Product Name]])))</f>
        <v>Washing Machine</v>
      </c>
      <c r="I1116" t="s">
        <v>79</v>
      </c>
      <c r="J1116" t="str">
        <f t="shared" si="121"/>
        <v>CUST0245</v>
      </c>
      <c r="K1116" t="s">
        <v>2100</v>
      </c>
      <c r="L1116" t="str">
        <f>PROPER(TRIM(CLEAN(Sales_Table[[#This Row],[Salesperson]])))</f>
        <v>Karthik</v>
      </c>
      <c r="M1116" t="s">
        <v>70</v>
      </c>
      <c r="N1116" t="str">
        <f t="shared" si="122"/>
        <v>Cash</v>
      </c>
      <c r="O1116" t="s">
        <v>32</v>
      </c>
      <c r="P1116">
        <f t="shared" si="123"/>
        <v>4</v>
      </c>
      <c r="Q1116" t="s">
        <v>113</v>
      </c>
      <c r="R1116">
        <f t="shared" si="124"/>
        <v>4353</v>
      </c>
      <c r="S1116" t="s">
        <v>2771</v>
      </c>
      <c r="T1116">
        <f t="shared" si="125"/>
        <v>17412</v>
      </c>
      <c r="U1116">
        <f>YEAR(Sales_Table[[#This Row],[Date_clean]])</f>
        <v>2024</v>
      </c>
      <c r="V1116" t="str">
        <f>TEXT(Sales_Table[[#This Row],[Date_clean]],"mmmm")</f>
        <v>February</v>
      </c>
      <c r="W1116">
        <f>WEEKNUM(Sales_Table[[#This Row],[Date_clean]],2)</f>
        <v>7</v>
      </c>
      <c r="X1116" t="str" cm="1">
        <f t="array" ref="X1116">_xlfn.IFS(Sales_Table[[#This Row],[Revenue]]&gt;=50000,"High",Sales_Table[[#This Row],[Revenue]]&gt;=20000,"Medium",Sales_Table[[#This Row],[Revenue]]&lt;20000,"Low")</f>
        <v>Low</v>
      </c>
      <c r="Y1116" t="str">
        <f>IF(Sales_Table[[#This Row],[Payment Method_clean]]="cash","Offline","Online")</f>
        <v>Offline</v>
      </c>
      <c r="Z1116">
        <f>IFERROR(Sales_Table[[#This Row],[Revenue]],0)</f>
        <v>17412</v>
      </c>
    </row>
    <row r="1117" spans="1:26" x14ac:dyDescent="0.3">
      <c r="A1117">
        <v>1116</v>
      </c>
      <c r="B1117" s="2">
        <f t="shared" si="119"/>
        <v>45338.458333333336</v>
      </c>
      <c r="C1117" t="s">
        <v>2772</v>
      </c>
      <c r="D1117" t="s">
        <v>27</v>
      </c>
      <c r="E1117" t="str">
        <f>PROPER(TRIM(CLEAN(Sales_Table[[#This Row],[Region]])))</f>
        <v>East</v>
      </c>
      <c r="F1117" t="s">
        <v>78</v>
      </c>
      <c r="G1117" t="str">
        <f t="shared" si="120"/>
        <v>Grocery</v>
      </c>
      <c r="H1117" t="str">
        <f>PROPER(TRIM(CLEAN(Sales_Table[[#This Row],[Product Name]])))</f>
        <v>Mixer Grinder</v>
      </c>
      <c r="I1117" t="s">
        <v>29</v>
      </c>
      <c r="J1117" t="str">
        <f t="shared" si="121"/>
        <v>CUST0107</v>
      </c>
      <c r="K1117" t="s">
        <v>1549</v>
      </c>
      <c r="L1117" t="str">
        <f>PROPER(TRIM(CLEAN(Sales_Table[[#This Row],[Salesperson]])))</f>
        <v>Karthik</v>
      </c>
      <c r="M1117" t="s">
        <v>70</v>
      </c>
      <c r="N1117" t="str">
        <f t="shared" si="122"/>
        <v>Upi</v>
      </c>
      <c r="O1117" t="s">
        <v>48</v>
      </c>
      <c r="P1117">
        <f t="shared" si="123"/>
        <v>8</v>
      </c>
      <c r="Q1117" t="s">
        <v>42</v>
      </c>
      <c r="R1117">
        <f t="shared" si="124"/>
        <v>564</v>
      </c>
      <c r="S1117" t="s">
        <v>2773</v>
      </c>
      <c r="T1117">
        <f t="shared" si="125"/>
        <v>4512</v>
      </c>
      <c r="U1117">
        <f>YEAR(Sales_Table[[#This Row],[Date_clean]])</f>
        <v>2024</v>
      </c>
      <c r="V1117" t="str">
        <f>TEXT(Sales_Table[[#This Row],[Date_clean]],"mmmm")</f>
        <v>February</v>
      </c>
      <c r="W1117">
        <f>WEEKNUM(Sales_Table[[#This Row],[Date_clean]],2)</f>
        <v>7</v>
      </c>
      <c r="X1117" t="str" cm="1">
        <f t="array" ref="X1117">_xlfn.IFS(Sales_Table[[#This Row],[Revenue]]&gt;=50000,"High",Sales_Table[[#This Row],[Revenue]]&gt;=20000,"Medium",Sales_Table[[#This Row],[Revenue]]&lt;20000,"Low")</f>
        <v>Low</v>
      </c>
      <c r="Y1117" t="str">
        <f>IF(Sales_Table[[#This Row],[Payment Method_clean]]="cash","Offline","Online")</f>
        <v>Online</v>
      </c>
      <c r="Z1117">
        <f>IFERROR(Sales_Table[[#This Row],[Revenue]],0)</f>
        <v>4512</v>
      </c>
    </row>
    <row r="1118" spans="1:26" x14ac:dyDescent="0.3">
      <c r="A1118">
        <v>1117</v>
      </c>
      <c r="B1118" s="2">
        <f t="shared" si="119"/>
        <v>45338.5</v>
      </c>
      <c r="C1118" t="s">
        <v>2774</v>
      </c>
      <c r="D1118" t="s">
        <v>27</v>
      </c>
      <c r="E1118" t="str">
        <f>PROPER(TRIM(CLEAN(Sales_Table[[#This Row],[Region]])))</f>
        <v>East</v>
      </c>
      <c r="F1118" t="s">
        <v>78</v>
      </c>
      <c r="G1118" t="str">
        <f t="shared" si="120"/>
        <v>Grocery</v>
      </c>
      <c r="H1118" t="str">
        <f>PROPER(TRIM(CLEAN(Sales_Table[[#This Row],[Product Name]])))</f>
        <v>Led Tv 42Inch</v>
      </c>
      <c r="I1118" t="s">
        <v>58</v>
      </c>
      <c r="J1118" t="str">
        <f t="shared" si="121"/>
        <v>CUST0088</v>
      </c>
      <c r="K1118" t="s">
        <v>852</v>
      </c>
      <c r="L1118" t="str">
        <f>PROPER(TRIM(CLEAN(Sales_Table[[#This Row],[Salesperson]])))</f>
        <v>Rahul</v>
      </c>
      <c r="M1118" t="s">
        <v>31</v>
      </c>
      <c r="N1118" t="str">
        <f t="shared" si="122"/>
        <v>Upi</v>
      </c>
      <c r="O1118" t="s">
        <v>48</v>
      </c>
      <c r="P1118">
        <f t="shared" si="123"/>
        <v>3</v>
      </c>
      <c r="Q1118" t="s">
        <v>66</v>
      </c>
      <c r="R1118">
        <f t="shared" si="124"/>
        <v>2472</v>
      </c>
      <c r="S1118" t="s">
        <v>2775</v>
      </c>
      <c r="T1118">
        <f t="shared" si="125"/>
        <v>7416</v>
      </c>
      <c r="U1118">
        <f>YEAR(Sales_Table[[#This Row],[Date_clean]])</f>
        <v>2024</v>
      </c>
      <c r="V1118" t="str">
        <f>TEXT(Sales_Table[[#This Row],[Date_clean]],"mmmm")</f>
        <v>February</v>
      </c>
      <c r="W1118">
        <f>WEEKNUM(Sales_Table[[#This Row],[Date_clean]],2)</f>
        <v>7</v>
      </c>
      <c r="X1118" t="str" cm="1">
        <f t="array" ref="X1118">_xlfn.IFS(Sales_Table[[#This Row],[Revenue]]&gt;=50000,"High",Sales_Table[[#This Row],[Revenue]]&gt;=20000,"Medium",Sales_Table[[#This Row],[Revenue]]&lt;20000,"Low")</f>
        <v>Low</v>
      </c>
      <c r="Y1118" t="str">
        <f>IF(Sales_Table[[#This Row],[Payment Method_clean]]="cash","Offline","Online")</f>
        <v>Online</v>
      </c>
      <c r="Z1118">
        <f>IFERROR(Sales_Table[[#This Row],[Revenue]],0)</f>
        <v>7416</v>
      </c>
    </row>
    <row r="1119" spans="1:26" x14ac:dyDescent="0.3">
      <c r="A1119">
        <v>1118</v>
      </c>
      <c r="B1119" s="2">
        <f t="shared" si="119"/>
        <v>45338.541666666664</v>
      </c>
      <c r="C1119" t="s">
        <v>2776</v>
      </c>
      <c r="D1119" t="s">
        <v>45</v>
      </c>
      <c r="E1119" t="str">
        <f>PROPER(TRIM(CLEAN(Sales_Table[[#This Row],[Region]])))</f>
        <v>North</v>
      </c>
      <c r="F1119" t="s">
        <v>46</v>
      </c>
      <c r="G1119" t="str">
        <f t="shared" si="120"/>
        <v>Electronics</v>
      </c>
      <c r="H1119" t="str">
        <f>PROPER(TRIM(CLEAN(Sales_Table[[#This Row],[Product Name]])))</f>
        <v>Men T-Shirt</v>
      </c>
      <c r="I1119" t="s">
        <v>38</v>
      </c>
      <c r="J1119" t="str">
        <f t="shared" si="121"/>
        <v>CUST0129</v>
      </c>
      <c r="K1119" t="s">
        <v>326</v>
      </c>
      <c r="L1119" t="str">
        <f>PROPER(TRIM(CLEAN(Sales_Table[[#This Row],[Salesperson]])))</f>
        <v>Anita</v>
      </c>
      <c r="M1119" t="s">
        <v>64</v>
      </c>
      <c r="N1119" t="str">
        <f t="shared" si="122"/>
        <v>Cash</v>
      </c>
      <c r="O1119" t="s">
        <v>32</v>
      </c>
      <c r="P1119">
        <f t="shared" si="123"/>
        <v>11</v>
      </c>
      <c r="Q1119" t="s">
        <v>97</v>
      </c>
      <c r="R1119">
        <f t="shared" si="124"/>
        <v>691</v>
      </c>
      <c r="S1119" t="s">
        <v>2777</v>
      </c>
      <c r="T1119">
        <f t="shared" si="125"/>
        <v>7601</v>
      </c>
      <c r="U1119">
        <f>YEAR(Sales_Table[[#This Row],[Date_clean]])</f>
        <v>2024</v>
      </c>
      <c r="V1119" t="str">
        <f>TEXT(Sales_Table[[#This Row],[Date_clean]],"mmmm")</f>
        <v>February</v>
      </c>
      <c r="W1119">
        <f>WEEKNUM(Sales_Table[[#This Row],[Date_clean]],2)</f>
        <v>7</v>
      </c>
      <c r="X1119" t="str" cm="1">
        <f t="array" ref="X1119">_xlfn.IFS(Sales_Table[[#This Row],[Revenue]]&gt;=50000,"High",Sales_Table[[#This Row],[Revenue]]&gt;=20000,"Medium",Sales_Table[[#This Row],[Revenue]]&lt;20000,"Low")</f>
        <v>Low</v>
      </c>
      <c r="Y1119" t="str">
        <f>IF(Sales_Table[[#This Row],[Payment Method_clean]]="cash","Offline","Online")</f>
        <v>Offline</v>
      </c>
      <c r="Z1119">
        <f>IFERROR(Sales_Table[[#This Row],[Revenue]],0)</f>
        <v>7601</v>
      </c>
    </row>
    <row r="1120" spans="1:26" x14ac:dyDescent="0.3">
      <c r="A1120">
        <v>1119</v>
      </c>
      <c r="B1120" s="2">
        <f t="shared" si="119"/>
        <v>45338.583333333336</v>
      </c>
      <c r="C1120" t="s">
        <v>2778</v>
      </c>
      <c r="D1120" t="s">
        <v>45</v>
      </c>
      <c r="E1120" t="str">
        <f>PROPER(TRIM(CLEAN(Sales_Table[[#This Row],[Region]])))</f>
        <v>North</v>
      </c>
      <c r="F1120" t="s">
        <v>37</v>
      </c>
      <c r="G1120" t="str">
        <f t="shared" si="120"/>
        <v>Home Appliances</v>
      </c>
      <c r="H1120" t="str">
        <f>PROPER(TRIM(CLEAN(Sales_Table[[#This Row],[Product Name]])))</f>
        <v>Mixer Grinder</v>
      </c>
      <c r="I1120" t="s">
        <v>29</v>
      </c>
      <c r="J1120" t="str">
        <f t="shared" si="121"/>
        <v>CUST0341</v>
      </c>
      <c r="K1120" t="s">
        <v>2779</v>
      </c>
      <c r="L1120" t="str">
        <f>PROPER(TRIM(CLEAN(Sales_Table[[#This Row],[Salesperson]])))</f>
        <v>Meena</v>
      </c>
      <c r="M1120" t="s">
        <v>40</v>
      </c>
      <c r="N1120" t="str">
        <f t="shared" si="122"/>
        <v>Cash</v>
      </c>
      <c r="O1120" t="s">
        <v>32</v>
      </c>
      <c r="P1120">
        <f t="shared" si="123"/>
        <v>5</v>
      </c>
      <c r="Q1120" t="s">
        <v>89</v>
      </c>
      <c r="R1120">
        <f t="shared" si="124"/>
        <v>2288</v>
      </c>
      <c r="S1120" t="s">
        <v>2780</v>
      </c>
      <c r="T1120">
        <f t="shared" si="125"/>
        <v>11440</v>
      </c>
      <c r="U1120">
        <f>YEAR(Sales_Table[[#This Row],[Date_clean]])</f>
        <v>2024</v>
      </c>
      <c r="V1120" t="str">
        <f>TEXT(Sales_Table[[#This Row],[Date_clean]],"mmmm")</f>
        <v>February</v>
      </c>
      <c r="W1120">
        <f>WEEKNUM(Sales_Table[[#This Row],[Date_clean]],2)</f>
        <v>7</v>
      </c>
      <c r="X1120" t="str" cm="1">
        <f t="array" ref="X1120">_xlfn.IFS(Sales_Table[[#This Row],[Revenue]]&gt;=50000,"High",Sales_Table[[#This Row],[Revenue]]&gt;=20000,"Medium",Sales_Table[[#This Row],[Revenue]]&lt;20000,"Low")</f>
        <v>Low</v>
      </c>
      <c r="Y1120" t="str">
        <f>IF(Sales_Table[[#This Row],[Payment Method_clean]]="cash","Offline","Online")</f>
        <v>Offline</v>
      </c>
      <c r="Z1120">
        <f>IFERROR(Sales_Table[[#This Row],[Revenue]],0)</f>
        <v>11440</v>
      </c>
    </row>
    <row r="1121" spans="1:26" x14ac:dyDescent="0.3">
      <c r="A1121">
        <v>1120</v>
      </c>
      <c r="B1121" s="2">
        <f t="shared" si="119"/>
        <v>45338.625</v>
      </c>
      <c r="C1121" t="s">
        <v>2781</v>
      </c>
      <c r="D1121" t="s">
        <v>84</v>
      </c>
      <c r="E1121" t="str">
        <f>PROPER(TRIM(CLEAN(Sales_Table[[#This Row],[Region]])))</f>
        <v>South</v>
      </c>
      <c r="F1121" t="s">
        <v>37</v>
      </c>
      <c r="G1121" t="str">
        <f t="shared" si="120"/>
        <v>Home Appliances</v>
      </c>
      <c r="H1121" t="str">
        <f>PROPER(TRIM(CLEAN(Sales_Table[[#This Row],[Product Name]])))</f>
        <v>Laptop</v>
      </c>
      <c r="I1121" t="s">
        <v>52</v>
      </c>
      <c r="J1121" t="str">
        <f t="shared" si="121"/>
        <v>CUST0004</v>
      </c>
      <c r="K1121" t="s">
        <v>2314</v>
      </c>
      <c r="L1121" t="str">
        <f>PROPER(TRIM(CLEAN(Sales_Table[[#This Row],[Salesperson]])))</f>
        <v>Anita</v>
      </c>
      <c r="M1121" t="s">
        <v>64</v>
      </c>
      <c r="N1121" t="str">
        <f t="shared" si="122"/>
        <v>Upi</v>
      </c>
      <c r="O1121" t="s">
        <v>48</v>
      </c>
      <c r="P1121">
        <f t="shared" si="123"/>
        <v>13</v>
      </c>
      <c r="Q1121" t="s">
        <v>81</v>
      </c>
      <c r="R1121">
        <f t="shared" si="124"/>
        <v>983</v>
      </c>
      <c r="S1121" t="s">
        <v>2782</v>
      </c>
      <c r="T1121">
        <f t="shared" si="125"/>
        <v>12779</v>
      </c>
      <c r="U1121">
        <f>YEAR(Sales_Table[[#This Row],[Date_clean]])</f>
        <v>2024</v>
      </c>
      <c r="V1121" t="str">
        <f>TEXT(Sales_Table[[#This Row],[Date_clean]],"mmmm")</f>
        <v>February</v>
      </c>
      <c r="W1121">
        <f>WEEKNUM(Sales_Table[[#This Row],[Date_clean]],2)</f>
        <v>7</v>
      </c>
      <c r="X1121" t="str" cm="1">
        <f t="array" ref="X1121">_xlfn.IFS(Sales_Table[[#This Row],[Revenue]]&gt;=50000,"High",Sales_Table[[#This Row],[Revenue]]&gt;=20000,"Medium",Sales_Table[[#This Row],[Revenue]]&lt;20000,"Low")</f>
        <v>Low</v>
      </c>
      <c r="Y1121" t="str">
        <f>IF(Sales_Table[[#This Row],[Payment Method_clean]]="cash","Offline","Online")</f>
        <v>Online</v>
      </c>
      <c r="Z1121">
        <f>IFERROR(Sales_Table[[#This Row],[Revenue]],0)</f>
        <v>12779</v>
      </c>
    </row>
    <row r="1122" spans="1:26" x14ac:dyDescent="0.3">
      <c r="A1122">
        <v>1121</v>
      </c>
      <c r="B1122" s="2">
        <f t="shared" si="119"/>
        <v>45338.666666666664</v>
      </c>
      <c r="C1122" t="s">
        <v>2783</v>
      </c>
      <c r="D1122" t="s">
        <v>84</v>
      </c>
      <c r="E1122" t="str">
        <f>PROPER(TRIM(CLEAN(Sales_Table[[#This Row],[Region]])))</f>
        <v>South</v>
      </c>
      <c r="F1122" t="s">
        <v>37</v>
      </c>
      <c r="G1122" t="str">
        <f t="shared" si="120"/>
        <v>Home Appliances</v>
      </c>
      <c r="H1122" t="str">
        <f>PROPER(TRIM(CLEAN(Sales_Table[[#This Row],[Product Name]])))</f>
        <v>Rice 5Kg</v>
      </c>
      <c r="I1122" t="s">
        <v>73</v>
      </c>
      <c r="J1122" t="str">
        <f t="shared" si="121"/>
        <v>CUST0327</v>
      </c>
      <c r="K1122" t="s">
        <v>1177</v>
      </c>
      <c r="L1122" t="str">
        <f>PROPER(TRIM(CLEAN(Sales_Table[[#This Row],[Salesperson]])))</f>
        <v>Rahul</v>
      </c>
      <c r="M1122" t="s">
        <v>31</v>
      </c>
      <c r="N1122" t="str">
        <f t="shared" si="122"/>
        <v>Credit Card</v>
      </c>
      <c r="O1122" t="s">
        <v>65</v>
      </c>
      <c r="P1122">
        <f t="shared" si="123"/>
        <v>1</v>
      </c>
      <c r="Q1122" t="s">
        <v>93</v>
      </c>
      <c r="R1122">
        <f t="shared" si="124"/>
        <v>4258</v>
      </c>
      <c r="S1122" t="s">
        <v>2784</v>
      </c>
      <c r="T1122">
        <f t="shared" si="125"/>
        <v>4258</v>
      </c>
      <c r="U1122">
        <f>YEAR(Sales_Table[[#This Row],[Date_clean]])</f>
        <v>2024</v>
      </c>
      <c r="V1122" t="str">
        <f>TEXT(Sales_Table[[#This Row],[Date_clean]],"mmmm")</f>
        <v>February</v>
      </c>
      <c r="W1122">
        <f>WEEKNUM(Sales_Table[[#This Row],[Date_clean]],2)</f>
        <v>7</v>
      </c>
      <c r="X1122" t="str" cm="1">
        <f t="array" ref="X1122">_xlfn.IFS(Sales_Table[[#This Row],[Revenue]]&gt;=50000,"High",Sales_Table[[#This Row],[Revenue]]&gt;=20000,"Medium",Sales_Table[[#This Row],[Revenue]]&lt;20000,"Low")</f>
        <v>Low</v>
      </c>
      <c r="Y1122" t="str">
        <f>IF(Sales_Table[[#This Row],[Payment Method_clean]]="cash","Offline","Online")</f>
        <v>Online</v>
      </c>
      <c r="Z1122">
        <f>IFERROR(Sales_Table[[#This Row],[Revenue]],0)</f>
        <v>4258</v>
      </c>
    </row>
    <row r="1123" spans="1:26" x14ac:dyDescent="0.3">
      <c r="A1123">
        <v>1122</v>
      </c>
      <c r="B1123" s="2">
        <f t="shared" si="119"/>
        <v>45338.708333333336</v>
      </c>
      <c r="C1123" t="s">
        <v>2785</v>
      </c>
      <c r="D1123" t="s">
        <v>27</v>
      </c>
      <c r="E1123" t="str">
        <f>PROPER(TRIM(CLEAN(Sales_Table[[#This Row],[Region]])))</f>
        <v>East</v>
      </c>
      <c r="F1123" t="s">
        <v>78</v>
      </c>
      <c r="G1123" t="str">
        <f t="shared" si="120"/>
        <v>Grocery</v>
      </c>
      <c r="H1123" t="str">
        <f>PROPER(TRIM(CLEAN(Sales_Table[[#This Row],[Product Name]])))</f>
        <v>Rice 5Kg</v>
      </c>
      <c r="I1123" t="s">
        <v>73</v>
      </c>
      <c r="J1123" t="str">
        <f t="shared" si="121"/>
        <v>CUST0410</v>
      </c>
      <c r="K1123" t="s">
        <v>2786</v>
      </c>
      <c r="L1123" t="str">
        <f>PROPER(TRIM(CLEAN(Sales_Table[[#This Row],[Salesperson]])))</f>
        <v>Rahul</v>
      </c>
      <c r="M1123" t="s">
        <v>31</v>
      </c>
      <c r="N1123" t="str">
        <f t="shared" si="122"/>
        <v>Net Banking</v>
      </c>
      <c r="O1123" t="s">
        <v>60</v>
      </c>
      <c r="P1123">
        <f t="shared" si="123"/>
        <v>13</v>
      </c>
      <c r="Q1123" t="s">
        <v>81</v>
      </c>
      <c r="R1123">
        <f t="shared" si="124"/>
        <v>403</v>
      </c>
      <c r="S1123" t="s">
        <v>1181</v>
      </c>
      <c r="T1123">
        <f t="shared" si="125"/>
        <v>5239</v>
      </c>
      <c r="U1123">
        <f>YEAR(Sales_Table[[#This Row],[Date_clean]])</f>
        <v>2024</v>
      </c>
      <c r="V1123" t="str">
        <f>TEXT(Sales_Table[[#This Row],[Date_clean]],"mmmm")</f>
        <v>February</v>
      </c>
      <c r="W1123">
        <f>WEEKNUM(Sales_Table[[#This Row],[Date_clean]],2)</f>
        <v>7</v>
      </c>
      <c r="X1123" t="str" cm="1">
        <f t="array" ref="X1123">_xlfn.IFS(Sales_Table[[#This Row],[Revenue]]&gt;=50000,"High",Sales_Table[[#This Row],[Revenue]]&gt;=20000,"Medium",Sales_Table[[#This Row],[Revenue]]&lt;20000,"Low")</f>
        <v>Low</v>
      </c>
      <c r="Y1123" t="str">
        <f>IF(Sales_Table[[#This Row],[Payment Method_clean]]="cash","Offline","Online")</f>
        <v>Online</v>
      </c>
      <c r="Z1123">
        <f>IFERROR(Sales_Table[[#This Row],[Revenue]],0)</f>
        <v>5239</v>
      </c>
    </row>
    <row r="1124" spans="1:26" x14ac:dyDescent="0.3">
      <c r="A1124">
        <v>1123</v>
      </c>
      <c r="B1124" s="2">
        <f t="shared" si="119"/>
        <v>45338.75</v>
      </c>
      <c r="C1124" t="s">
        <v>2787</v>
      </c>
      <c r="D1124" t="s">
        <v>27</v>
      </c>
      <c r="E1124" t="str">
        <f>PROPER(TRIM(CLEAN(Sales_Table[[#This Row],[Region]])))</f>
        <v>East</v>
      </c>
      <c r="F1124" t="s">
        <v>46</v>
      </c>
      <c r="G1124" t="str">
        <f t="shared" si="120"/>
        <v>Electronics</v>
      </c>
      <c r="H1124" t="str">
        <f>PROPER(TRIM(CLEAN(Sales_Table[[#This Row],[Product Name]])))</f>
        <v>Men T-Shirt</v>
      </c>
      <c r="I1124" t="s">
        <v>38</v>
      </c>
      <c r="J1124" t="str">
        <f t="shared" si="121"/>
        <v>CUST0306</v>
      </c>
      <c r="K1124" t="s">
        <v>2788</v>
      </c>
      <c r="L1124" t="str">
        <f>PROPER(TRIM(CLEAN(Sales_Table[[#This Row],[Salesperson]])))</f>
        <v>Anita</v>
      </c>
      <c r="M1124" t="s">
        <v>64</v>
      </c>
      <c r="N1124" t="str">
        <f t="shared" si="122"/>
        <v>Net Banking</v>
      </c>
      <c r="O1124" t="s">
        <v>60</v>
      </c>
      <c r="P1124">
        <f t="shared" si="123"/>
        <v>6</v>
      </c>
      <c r="Q1124" t="s">
        <v>75</v>
      </c>
      <c r="R1124">
        <f t="shared" si="124"/>
        <v>4591</v>
      </c>
      <c r="S1124" t="s">
        <v>2789</v>
      </c>
      <c r="T1124">
        <f t="shared" si="125"/>
        <v>27546</v>
      </c>
      <c r="U1124">
        <f>YEAR(Sales_Table[[#This Row],[Date_clean]])</f>
        <v>2024</v>
      </c>
      <c r="V1124" t="str">
        <f>TEXT(Sales_Table[[#This Row],[Date_clean]],"mmmm")</f>
        <v>February</v>
      </c>
      <c r="W1124">
        <f>WEEKNUM(Sales_Table[[#This Row],[Date_clean]],2)</f>
        <v>7</v>
      </c>
      <c r="X1124" t="str" cm="1">
        <f t="array" ref="X1124">_xlfn.IFS(Sales_Table[[#This Row],[Revenue]]&gt;=50000,"High",Sales_Table[[#This Row],[Revenue]]&gt;=20000,"Medium",Sales_Table[[#This Row],[Revenue]]&lt;20000,"Low")</f>
        <v>Medium</v>
      </c>
      <c r="Y1124" t="str">
        <f>IF(Sales_Table[[#This Row],[Payment Method_clean]]="cash","Offline","Online")</f>
        <v>Online</v>
      </c>
      <c r="Z1124">
        <f>IFERROR(Sales_Table[[#This Row],[Revenue]],0)</f>
        <v>27546</v>
      </c>
    </row>
    <row r="1125" spans="1:26" x14ac:dyDescent="0.3">
      <c r="A1125">
        <v>1124</v>
      </c>
      <c r="B1125" s="2">
        <f t="shared" si="119"/>
        <v>45338.791666666664</v>
      </c>
      <c r="C1125" t="s">
        <v>2790</v>
      </c>
      <c r="D1125" t="s">
        <v>27</v>
      </c>
      <c r="E1125" t="str">
        <f>PROPER(TRIM(CLEAN(Sales_Table[[#This Row],[Region]])))</f>
        <v>East</v>
      </c>
      <c r="F1125" t="s">
        <v>28</v>
      </c>
      <c r="G1125" t="str">
        <f t="shared" si="120"/>
        <v>Clothing</v>
      </c>
      <c r="H1125" t="str">
        <f>PROPER(TRIM(CLEAN(Sales_Table[[#This Row],[Product Name]])))</f>
        <v>Led Tv 42Inch</v>
      </c>
      <c r="I1125" t="s">
        <v>58</v>
      </c>
      <c r="J1125" t="str">
        <f t="shared" si="121"/>
        <v>CUST0607</v>
      </c>
      <c r="K1125" t="s">
        <v>886</v>
      </c>
      <c r="L1125" t="str">
        <f>PROPER(TRIM(CLEAN(Sales_Table[[#This Row],[Salesperson]])))</f>
        <v>Meena</v>
      </c>
      <c r="M1125" t="s">
        <v>40</v>
      </c>
      <c r="N1125" t="str">
        <f t="shared" si="122"/>
        <v>Credit Card</v>
      </c>
      <c r="O1125" t="s">
        <v>65</v>
      </c>
      <c r="P1125">
        <f t="shared" si="123"/>
        <v>11</v>
      </c>
      <c r="Q1125" t="s">
        <v>97</v>
      </c>
      <c r="R1125">
        <f t="shared" si="124"/>
        <v>433</v>
      </c>
      <c r="S1125" t="s">
        <v>2791</v>
      </c>
      <c r="T1125">
        <f t="shared" si="125"/>
        <v>4763</v>
      </c>
      <c r="U1125">
        <f>YEAR(Sales_Table[[#This Row],[Date_clean]])</f>
        <v>2024</v>
      </c>
      <c r="V1125" t="str">
        <f>TEXT(Sales_Table[[#This Row],[Date_clean]],"mmmm")</f>
        <v>February</v>
      </c>
      <c r="W1125">
        <f>WEEKNUM(Sales_Table[[#This Row],[Date_clean]],2)</f>
        <v>7</v>
      </c>
      <c r="X1125" t="str" cm="1">
        <f t="array" ref="X1125">_xlfn.IFS(Sales_Table[[#This Row],[Revenue]]&gt;=50000,"High",Sales_Table[[#This Row],[Revenue]]&gt;=20000,"Medium",Sales_Table[[#This Row],[Revenue]]&lt;20000,"Low")</f>
        <v>Low</v>
      </c>
      <c r="Y1125" t="str">
        <f>IF(Sales_Table[[#This Row],[Payment Method_clean]]="cash","Offline","Online")</f>
        <v>Online</v>
      </c>
      <c r="Z1125">
        <f>IFERROR(Sales_Table[[#This Row],[Revenue]],0)</f>
        <v>4763</v>
      </c>
    </row>
    <row r="1126" spans="1:26" x14ac:dyDescent="0.3">
      <c r="A1126">
        <v>1125</v>
      </c>
      <c r="B1126" s="2">
        <f t="shared" si="119"/>
        <v>45338.833333333336</v>
      </c>
      <c r="C1126" t="s">
        <v>2792</v>
      </c>
      <c r="D1126" t="s">
        <v>84</v>
      </c>
      <c r="E1126" t="str">
        <f>PROPER(TRIM(CLEAN(Sales_Table[[#This Row],[Region]])))</f>
        <v>South</v>
      </c>
      <c r="F1126" t="s">
        <v>78</v>
      </c>
      <c r="G1126" t="str">
        <f t="shared" si="120"/>
        <v>Grocery</v>
      </c>
      <c r="H1126" t="str">
        <f>PROPER(TRIM(CLEAN(Sales_Table[[#This Row],[Product Name]])))</f>
        <v>Mixer Grinder</v>
      </c>
      <c r="I1126" t="s">
        <v>29</v>
      </c>
      <c r="J1126" t="str">
        <f t="shared" si="121"/>
        <v>CUST0721</v>
      </c>
      <c r="K1126" t="s">
        <v>141</v>
      </c>
      <c r="L1126" t="str">
        <f>PROPER(TRIM(CLEAN(Sales_Table[[#This Row],[Salesperson]])))</f>
        <v>Anita</v>
      </c>
      <c r="M1126" t="s">
        <v>64</v>
      </c>
      <c r="N1126" t="str">
        <f t="shared" si="122"/>
        <v>Cash</v>
      </c>
      <c r="O1126" t="s">
        <v>32</v>
      </c>
      <c r="P1126">
        <f t="shared" si="123"/>
        <v>5</v>
      </c>
      <c r="Q1126" t="s">
        <v>89</v>
      </c>
      <c r="R1126">
        <f t="shared" si="124"/>
        <v>2933</v>
      </c>
      <c r="S1126" t="s">
        <v>2793</v>
      </c>
      <c r="T1126">
        <f t="shared" si="125"/>
        <v>14665</v>
      </c>
      <c r="U1126">
        <f>YEAR(Sales_Table[[#This Row],[Date_clean]])</f>
        <v>2024</v>
      </c>
      <c r="V1126" t="str">
        <f>TEXT(Sales_Table[[#This Row],[Date_clean]],"mmmm")</f>
        <v>February</v>
      </c>
      <c r="W1126">
        <f>WEEKNUM(Sales_Table[[#This Row],[Date_clean]],2)</f>
        <v>7</v>
      </c>
      <c r="X1126" t="str" cm="1">
        <f t="array" ref="X1126">_xlfn.IFS(Sales_Table[[#This Row],[Revenue]]&gt;=50000,"High",Sales_Table[[#This Row],[Revenue]]&gt;=20000,"Medium",Sales_Table[[#This Row],[Revenue]]&lt;20000,"Low")</f>
        <v>Low</v>
      </c>
      <c r="Y1126" t="str">
        <f>IF(Sales_Table[[#This Row],[Payment Method_clean]]="cash","Offline","Online")</f>
        <v>Offline</v>
      </c>
      <c r="Z1126">
        <f>IFERROR(Sales_Table[[#This Row],[Revenue]],0)</f>
        <v>14665</v>
      </c>
    </row>
    <row r="1127" spans="1:26" x14ac:dyDescent="0.3">
      <c r="A1127">
        <v>1126</v>
      </c>
      <c r="B1127" s="2">
        <f t="shared" si="119"/>
        <v>45338.875</v>
      </c>
      <c r="C1127" t="s">
        <v>2794</v>
      </c>
      <c r="D1127" t="s">
        <v>36</v>
      </c>
      <c r="E1127" t="str">
        <f>PROPER(TRIM(CLEAN(Sales_Table[[#This Row],[Region]])))</f>
        <v>West</v>
      </c>
      <c r="F1127" t="s">
        <v>37</v>
      </c>
      <c r="G1127" t="str">
        <f t="shared" si="120"/>
        <v>Home Appliances</v>
      </c>
      <c r="H1127" t="str">
        <f>PROPER(TRIM(CLEAN(Sales_Table[[#This Row],[Product Name]])))</f>
        <v>Led Tv 42Inch</v>
      </c>
      <c r="I1127" t="s">
        <v>58</v>
      </c>
      <c r="J1127" t="str">
        <f t="shared" si="121"/>
        <v>CUST0225</v>
      </c>
      <c r="K1127" t="s">
        <v>2398</v>
      </c>
      <c r="L1127" t="str">
        <f>PROPER(TRIM(CLEAN(Sales_Table[[#This Row],[Salesperson]])))</f>
        <v>Karthik</v>
      </c>
      <c r="M1127" t="s">
        <v>70</v>
      </c>
      <c r="N1127" t="str">
        <f t="shared" si="122"/>
        <v>Upi</v>
      </c>
      <c r="O1127" t="s">
        <v>48</v>
      </c>
      <c r="P1127">
        <f t="shared" si="123"/>
        <v>8</v>
      </c>
      <c r="Q1127" t="s">
        <v>42</v>
      </c>
      <c r="R1127">
        <f t="shared" si="124"/>
        <v>4606</v>
      </c>
      <c r="S1127" t="s">
        <v>2795</v>
      </c>
      <c r="T1127">
        <f t="shared" si="125"/>
        <v>36848</v>
      </c>
      <c r="U1127">
        <f>YEAR(Sales_Table[[#This Row],[Date_clean]])</f>
        <v>2024</v>
      </c>
      <c r="V1127" t="str">
        <f>TEXT(Sales_Table[[#This Row],[Date_clean]],"mmmm")</f>
        <v>February</v>
      </c>
      <c r="W1127">
        <f>WEEKNUM(Sales_Table[[#This Row],[Date_clean]],2)</f>
        <v>7</v>
      </c>
      <c r="X1127" t="str" cm="1">
        <f t="array" ref="X1127">_xlfn.IFS(Sales_Table[[#This Row],[Revenue]]&gt;=50000,"High",Sales_Table[[#This Row],[Revenue]]&gt;=20000,"Medium",Sales_Table[[#This Row],[Revenue]]&lt;20000,"Low")</f>
        <v>Medium</v>
      </c>
      <c r="Y1127" t="str">
        <f>IF(Sales_Table[[#This Row],[Payment Method_clean]]="cash","Offline","Online")</f>
        <v>Online</v>
      </c>
      <c r="Z1127">
        <f>IFERROR(Sales_Table[[#This Row],[Revenue]],0)</f>
        <v>36848</v>
      </c>
    </row>
    <row r="1128" spans="1:26" x14ac:dyDescent="0.3">
      <c r="A1128">
        <v>1127</v>
      </c>
      <c r="B1128" s="2">
        <f t="shared" si="119"/>
        <v>45338.916666666664</v>
      </c>
      <c r="C1128" t="s">
        <v>2796</v>
      </c>
      <c r="D1128" t="s">
        <v>36</v>
      </c>
      <c r="E1128" t="str">
        <f>PROPER(TRIM(CLEAN(Sales_Table[[#This Row],[Region]])))</f>
        <v>West</v>
      </c>
      <c r="F1128" t="s">
        <v>46</v>
      </c>
      <c r="G1128" t="str">
        <f t="shared" si="120"/>
        <v>Electronics</v>
      </c>
      <c r="H1128" t="str">
        <f>PROPER(TRIM(CLEAN(Sales_Table[[#This Row],[Product Name]])))</f>
        <v>Rice 5Kg</v>
      </c>
      <c r="I1128" t="s">
        <v>73</v>
      </c>
      <c r="J1128" t="str">
        <f t="shared" si="121"/>
        <v>CUST0348</v>
      </c>
      <c r="K1128" t="s">
        <v>80</v>
      </c>
      <c r="L1128" t="str">
        <f>PROPER(TRIM(CLEAN(Sales_Table[[#This Row],[Salesperson]])))</f>
        <v>Suresh</v>
      </c>
      <c r="M1128" t="s">
        <v>54</v>
      </c>
      <c r="N1128" t="str">
        <f t="shared" si="122"/>
        <v>Net Banking</v>
      </c>
      <c r="O1128" t="s">
        <v>60</v>
      </c>
      <c r="P1128">
        <f t="shared" si="123"/>
        <v>9</v>
      </c>
      <c r="Q1128" t="s">
        <v>130</v>
      </c>
      <c r="R1128">
        <f t="shared" si="124"/>
        <v>2431</v>
      </c>
      <c r="S1128" t="s">
        <v>2797</v>
      </c>
      <c r="T1128">
        <f t="shared" si="125"/>
        <v>21879</v>
      </c>
      <c r="U1128">
        <f>YEAR(Sales_Table[[#This Row],[Date_clean]])</f>
        <v>2024</v>
      </c>
      <c r="V1128" t="str">
        <f>TEXT(Sales_Table[[#This Row],[Date_clean]],"mmmm")</f>
        <v>February</v>
      </c>
      <c r="W1128">
        <f>WEEKNUM(Sales_Table[[#This Row],[Date_clean]],2)</f>
        <v>7</v>
      </c>
      <c r="X1128" t="str" cm="1">
        <f t="array" ref="X1128">_xlfn.IFS(Sales_Table[[#This Row],[Revenue]]&gt;=50000,"High",Sales_Table[[#This Row],[Revenue]]&gt;=20000,"Medium",Sales_Table[[#This Row],[Revenue]]&lt;20000,"Low")</f>
        <v>Medium</v>
      </c>
      <c r="Y1128" t="str">
        <f>IF(Sales_Table[[#This Row],[Payment Method_clean]]="cash","Offline","Online")</f>
        <v>Online</v>
      </c>
      <c r="Z1128">
        <f>IFERROR(Sales_Table[[#This Row],[Revenue]],0)</f>
        <v>21879</v>
      </c>
    </row>
    <row r="1129" spans="1:26" x14ac:dyDescent="0.3">
      <c r="A1129">
        <v>1128</v>
      </c>
      <c r="B1129" s="2">
        <f t="shared" si="119"/>
        <v>45338.958333333336</v>
      </c>
      <c r="C1129" t="s">
        <v>2798</v>
      </c>
      <c r="D1129" t="s">
        <v>84</v>
      </c>
      <c r="E1129" t="str">
        <f>PROPER(TRIM(CLEAN(Sales_Table[[#This Row],[Region]])))</f>
        <v>South</v>
      </c>
      <c r="F1129" t="s">
        <v>37</v>
      </c>
      <c r="G1129" t="str">
        <f t="shared" si="120"/>
        <v>Home Appliances</v>
      </c>
      <c r="H1129" t="str">
        <f>PROPER(TRIM(CLEAN(Sales_Table[[#This Row],[Product Name]])))</f>
        <v>Led Tv 42Inch</v>
      </c>
      <c r="I1129" t="s">
        <v>58</v>
      </c>
      <c r="J1129" t="str">
        <f t="shared" si="121"/>
        <v>CUST0321</v>
      </c>
      <c r="K1129" t="s">
        <v>1546</v>
      </c>
      <c r="L1129" t="str">
        <f>PROPER(TRIM(CLEAN(Sales_Table[[#This Row],[Salesperson]])))</f>
        <v>Karthik</v>
      </c>
      <c r="M1129" t="s">
        <v>70</v>
      </c>
      <c r="N1129" t="str">
        <f t="shared" si="122"/>
        <v>Upi</v>
      </c>
      <c r="O1129" t="s">
        <v>48</v>
      </c>
      <c r="P1129">
        <f t="shared" si="123"/>
        <v>8</v>
      </c>
      <c r="Q1129" t="s">
        <v>42</v>
      </c>
      <c r="R1129">
        <f t="shared" si="124"/>
        <v>4661</v>
      </c>
      <c r="S1129" t="s">
        <v>2799</v>
      </c>
      <c r="T1129">
        <f t="shared" si="125"/>
        <v>37288</v>
      </c>
      <c r="U1129">
        <f>YEAR(Sales_Table[[#This Row],[Date_clean]])</f>
        <v>2024</v>
      </c>
      <c r="V1129" t="str">
        <f>TEXT(Sales_Table[[#This Row],[Date_clean]],"mmmm")</f>
        <v>February</v>
      </c>
      <c r="W1129">
        <f>WEEKNUM(Sales_Table[[#This Row],[Date_clean]],2)</f>
        <v>7</v>
      </c>
      <c r="X1129" t="str" cm="1">
        <f t="array" ref="X1129">_xlfn.IFS(Sales_Table[[#This Row],[Revenue]]&gt;=50000,"High",Sales_Table[[#This Row],[Revenue]]&gt;=20000,"Medium",Sales_Table[[#This Row],[Revenue]]&lt;20000,"Low")</f>
        <v>Medium</v>
      </c>
      <c r="Y1129" t="str">
        <f>IF(Sales_Table[[#This Row],[Payment Method_clean]]="cash","Offline","Online")</f>
        <v>Online</v>
      </c>
      <c r="Z1129">
        <f>IFERROR(Sales_Table[[#This Row],[Revenue]],0)</f>
        <v>37288</v>
      </c>
    </row>
    <row r="1130" spans="1:26" x14ac:dyDescent="0.3">
      <c r="A1130">
        <v>1129</v>
      </c>
      <c r="B1130" s="2">
        <f t="shared" si="119"/>
        <v>45339</v>
      </c>
      <c r="C1130" t="s">
        <v>2800</v>
      </c>
      <c r="D1130" t="s">
        <v>84</v>
      </c>
      <c r="E1130" t="str">
        <f>PROPER(TRIM(CLEAN(Sales_Table[[#This Row],[Region]])))</f>
        <v>South</v>
      </c>
      <c r="F1130" t="s">
        <v>28</v>
      </c>
      <c r="G1130" t="str">
        <f t="shared" si="120"/>
        <v>Clothing</v>
      </c>
      <c r="H1130" t="str">
        <f>PROPER(TRIM(CLEAN(Sales_Table[[#This Row],[Product Name]])))</f>
        <v>Rice 5Kg</v>
      </c>
      <c r="I1130" t="s">
        <v>73</v>
      </c>
      <c r="J1130" t="str">
        <f t="shared" si="121"/>
        <v>CUST0559</v>
      </c>
      <c r="K1130" t="s">
        <v>2801</v>
      </c>
      <c r="L1130" t="str">
        <f>PROPER(TRIM(CLEAN(Sales_Table[[#This Row],[Salesperson]])))</f>
        <v>Suresh</v>
      </c>
      <c r="M1130" t="s">
        <v>54</v>
      </c>
      <c r="N1130" t="str">
        <f t="shared" si="122"/>
        <v>Credit Card</v>
      </c>
      <c r="O1130" t="s">
        <v>65</v>
      </c>
      <c r="P1130">
        <f t="shared" si="123"/>
        <v>8</v>
      </c>
      <c r="Q1130" t="s">
        <v>42</v>
      </c>
      <c r="R1130">
        <f t="shared" si="124"/>
        <v>179</v>
      </c>
      <c r="S1130" t="s">
        <v>2802</v>
      </c>
      <c r="T1130">
        <f t="shared" si="125"/>
        <v>1432</v>
      </c>
      <c r="U1130">
        <f>YEAR(Sales_Table[[#This Row],[Date_clean]])</f>
        <v>2024</v>
      </c>
      <c r="V1130" t="str">
        <f>TEXT(Sales_Table[[#This Row],[Date_clean]],"mmmm")</f>
        <v>February</v>
      </c>
      <c r="W1130">
        <f>WEEKNUM(Sales_Table[[#This Row],[Date_clean]],2)</f>
        <v>7</v>
      </c>
      <c r="X1130" t="str" cm="1">
        <f t="array" ref="X1130">_xlfn.IFS(Sales_Table[[#This Row],[Revenue]]&gt;=50000,"High",Sales_Table[[#This Row],[Revenue]]&gt;=20000,"Medium",Sales_Table[[#This Row],[Revenue]]&lt;20000,"Low")</f>
        <v>Low</v>
      </c>
      <c r="Y1130" t="str">
        <f>IF(Sales_Table[[#This Row],[Payment Method_clean]]="cash","Offline","Online")</f>
        <v>Online</v>
      </c>
      <c r="Z1130">
        <f>IFERROR(Sales_Table[[#This Row],[Revenue]],0)</f>
        <v>1432</v>
      </c>
    </row>
    <row r="1131" spans="1:26" x14ac:dyDescent="0.3">
      <c r="A1131">
        <v>1130</v>
      </c>
      <c r="B1131" s="2">
        <f t="shared" si="119"/>
        <v>45339.041666666664</v>
      </c>
      <c r="C1131" t="s">
        <v>2803</v>
      </c>
      <c r="D1131" t="s">
        <v>84</v>
      </c>
      <c r="E1131" t="str">
        <f>PROPER(TRIM(CLEAN(Sales_Table[[#This Row],[Region]])))</f>
        <v>South</v>
      </c>
      <c r="F1131" t="s">
        <v>37</v>
      </c>
      <c r="G1131" t="str">
        <f t="shared" si="120"/>
        <v>Home Appliances</v>
      </c>
      <c r="H1131" t="str">
        <f>PROPER(TRIM(CLEAN(Sales_Table[[#This Row],[Product Name]])))</f>
        <v>Led Tv 42Inch</v>
      </c>
      <c r="I1131" t="s">
        <v>58</v>
      </c>
      <c r="J1131" t="str">
        <f t="shared" si="121"/>
        <v>CUST0181</v>
      </c>
      <c r="K1131" t="s">
        <v>846</v>
      </c>
      <c r="L1131" t="str">
        <f>PROPER(TRIM(CLEAN(Sales_Table[[#This Row],[Salesperson]])))</f>
        <v>Rahul</v>
      </c>
      <c r="M1131" t="s">
        <v>31</v>
      </c>
      <c r="N1131" t="str">
        <f t="shared" si="122"/>
        <v>Upi</v>
      </c>
      <c r="O1131" t="s">
        <v>48</v>
      </c>
      <c r="P1131">
        <f t="shared" si="123"/>
        <v>12</v>
      </c>
      <c r="Q1131" t="s">
        <v>33</v>
      </c>
      <c r="R1131">
        <f t="shared" si="124"/>
        <v>3863</v>
      </c>
      <c r="S1131" t="s">
        <v>2804</v>
      </c>
      <c r="T1131">
        <f t="shared" si="125"/>
        <v>46356</v>
      </c>
      <c r="U1131">
        <f>YEAR(Sales_Table[[#This Row],[Date_clean]])</f>
        <v>2024</v>
      </c>
      <c r="V1131" t="str">
        <f>TEXT(Sales_Table[[#This Row],[Date_clean]],"mmmm")</f>
        <v>February</v>
      </c>
      <c r="W1131">
        <f>WEEKNUM(Sales_Table[[#This Row],[Date_clean]],2)</f>
        <v>7</v>
      </c>
      <c r="X1131" t="str" cm="1">
        <f t="array" ref="X1131">_xlfn.IFS(Sales_Table[[#This Row],[Revenue]]&gt;=50000,"High",Sales_Table[[#This Row],[Revenue]]&gt;=20000,"Medium",Sales_Table[[#This Row],[Revenue]]&lt;20000,"Low")</f>
        <v>Medium</v>
      </c>
      <c r="Y1131" t="str">
        <f>IF(Sales_Table[[#This Row],[Payment Method_clean]]="cash","Offline","Online")</f>
        <v>Online</v>
      </c>
      <c r="Z1131">
        <f>IFERROR(Sales_Table[[#This Row],[Revenue]],0)</f>
        <v>46356</v>
      </c>
    </row>
    <row r="1132" spans="1:26" x14ac:dyDescent="0.3">
      <c r="A1132">
        <v>1131</v>
      </c>
      <c r="B1132" s="2">
        <f t="shared" si="119"/>
        <v>45339.083333333336</v>
      </c>
      <c r="C1132" t="s">
        <v>2805</v>
      </c>
      <c r="D1132" t="s">
        <v>84</v>
      </c>
      <c r="E1132" t="str">
        <f>PROPER(TRIM(CLEAN(Sales_Table[[#This Row],[Region]])))</f>
        <v>South</v>
      </c>
      <c r="F1132" t="s">
        <v>37</v>
      </c>
      <c r="G1132" t="str">
        <f t="shared" si="120"/>
        <v>Home Appliances</v>
      </c>
      <c r="H1132" t="str">
        <f>PROPER(TRIM(CLEAN(Sales_Table[[#This Row],[Product Name]])))</f>
        <v>Men T-Shirt</v>
      </c>
      <c r="I1132" t="s">
        <v>38</v>
      </c>
      <c r="J1132" t="str">
        <f t="shared" si="121"/>
        <v>CUST0618</v>
      </c>
      <c r="K1132" t="s">
        <v>2323</v>
      </c>
      <c r="L1132" t="str">
        <f>PROPER(TRIM(CLEAN(Sales_Table[[#This Row],[Salesperson]])))</f>
        <v>Meena</v>
      </c>
      <c r="M1132" t="s">
        <v>40</v>
      </c>
      <c r="N1132" t="str">
        <f t="shared" si="122"/>
        <v>Credit Card</v>
      </c>
      <c r="O1132" t="s">
        <v>65</v>
      </c>
      <c r="P1132">
        <f t="shared" si="123"/>
        <v>14</v>
      </c>
      <c r="Q1132" t="s">
        <v>55</v>
      </c>
      <c r="R1132">
        <f t="shared" si="124"/>
        <v>2931</v>
      </c>
      <c r="S1132" t="s">
        <v>2806</v>
      </c>
      <c r="T1132">
        <f t="shared" si="125"/>
        <v>41034</v>
      </c>
      <c r="U1132">
        <f>YEAR(Sales_Table[[#This Row],[Date_clean]])</f>
        <v>2024</v>
      </c>
      <c r="V1132" t="str">
        <f>TEXT(Sales_Table[[#This Row],[Date_clean]],"mmmm")</f>
        <v>February</v>
      </c>
      <c r="W1132">
        <f>WEEKNUM(Sales_Table[[#This Row],[Date_clean]],2)</f>
        <v>7</v>
      </c>
      <c r="X1132" t="str" cm="1">
        <f t="array" ref="X1132">_xlfn.IFS(Sales_Table[[#This Row],[Revenue]]&gt;=50000,"High",Sales_Table[[#This Row],[Revenue]]&gt;=20000,"Medium",Sales_Table[[#This Row],[Revenue]]&lt;20000,"Low")</f>
        <v>Medium</v>
      </c>
      <c r="Y1132" t="str">
        <f>IF(Sales_Table[[#This Row],[Payment Method_clean]]="cash","Offline","Online")</f>
        <v>Online</v>
      </c>
      <c r="Z1132">
        <f>IFERROR(Sales_Table[[#This Row],[Revenue]],0)</f>
        <v>41034</v>
      </c>
    </row>
    <row r="1133" spans="1:26" x14ac:dyDescent="0.3">
      <c r="A1133">
        <v>1132</v>
      </c>
      <c r="B1133" s="2">
        <f t="shared" si="119"/>
        <v>45339.125</v>
      </c>
      <c r="C1133" t="s">
        <v>2807</v>
      </c>
      <c r="D1133" t="s">
        <v>84</v>
      </c>
      <c r="E1133" t="str">
        <f>PROPER(TRIM(CLEAN(Sales_Table[[#This Row],[Region]])))</f>
        <v>South</v>
      </c>
      <c r="F1133" t="s">
        <v>28</v>
      </c>
      <c r="G1133" t="str">
        <f t="shared" si="120"/>
        <v>Clothing</v>
      </c>
      <c r="H1133" t="str">
        <f>PROPER(TRIM(CLEAN(Sales_Table[[#This Row],[Product Name]])))</f>
        <v>Washing Machine</v>
      </c>
      <c r="I1133" t="s">
        <v>79</v>
      </c>
      <c r="J1133" t="str">
        <f t="shared" si="121"/>
        <v>CUST0711</v>
      </c>
      <c r="K1133" t="s">
        <v>2808</v>
      </c>
      <c r="L1133" t="str">
        <f>PROPER(TRIM(CLEAN(Sales_Table[[#This Row],[Salesperson]])))</f>
        <v>Anita</v>
      </c>
      <c r="M1133" t="s">
        <v>64</v>
      </c>
      <c r="N1133" t="str">
        <f t="shared" si="122"/>
        <v>Cash</v>
      </c>
      <c r="O1133" t="s">
        <v>32</v>
      </c>
      <c r="P1133">
        <f t="shared" si="123"/>
        <v>13</v>
      </c>
      <c r="Q1133" t="s">
        <v>81</v>
      </c>
      <c r="R1133">
        <f t="shared" si="124"/>
        <v>2077</v>
      </c>
      <c r="S1133" t="s">
        <v>2809</v>
      </c>
      <c r="T1133">
        <f t="shared" si="125"/>
        <v>27001</v>
      </c>
      <c r="U1133">
        <f>YEAR(Sales_Table[[#This Row],[Date_clean]])</f>
        <v>2024</v>
      </c>
      <c r="V1133" t="str">
        <f>TEXT(Sales_Table[[#This Row],[Date_clean]],"mmmm")</f>
        <v>February</v>
      </c>
      <c r="W1133">
        <f>WEEKNUM(Sales_Table[[#This Row],[Date_clean]],2)</f>
        <v>7</v>
      </c>
      <c r="X1133" t="str" cm="1">
        <f t="array" ref="X1133">_xlfn.IFS(Sales_Table[[#This Row],[Revenue]]&gt;=50000,"High",Sales_Table[[#This Row],[Revenue]]&gt;=20000,"Medium",Sales_Table[[#This Row],[Revenue]]&lt;20000,"Low")</f>
        <v>Medium</v>
      </c>
      <c r="Y1133" t="str">
        <f>IF(Sales_Table[[#This Row],[Payment Method_clean]]="cash","Offline","Online")</f>
        <v>Offline</v>
      </c>
      <c r="Z1133">
        <f>IFERROR(Sales_Table[[#This Row],[Revenue]],0)</f>
        <v>27001</v>
      </c>
    </row>
    <row r="1134" spans="1:26" x14ac:dyDescent="0.3">
      <c r="A1134">
        <v>1133</v>
      </c>
      <c r="B1134" s="2">
        <f t="shared" si="119"/>
        <v>45339.166666666664</v>
      </c>
      <c r="C1134" t="s">
        <v>2810</v>
      </c>
      <c r="D1134" t="s">
        <v>84</v>
      </c>
      <c r="E1134" t="str">
        <f>PROPER(TRIM(CLEAN(Sales_Table[[#This Row],[Region]])))</f>
        <v>South</v>
      </c>
      <c r="F1134" t="s">
        <v>46</v>
      </c>
      <c r="G1134" t="str">
        <f t="shared" si="120"/>
        <v>Electronics</v>
      </c>
      <c r="H1134" t="str">
        <f>PROPER(TRIM(CLEAN(Sales_Table[[#This Row],[Product Name]])))</f>
        <v>Men T-Shirt</v>
      </c>
      <c r="I1134" t="s">
        <v>38</v>
      </c>
      <c r="J1134" t="str">
        <f t="shared" si="121"/>
        <v>CUST0386</v>
      </c>
      <c r="K1134" t="s">
        <v>243</v>
      </c>
      <c r="L1134" t="str">
        <f>PROPER(TRIM(CLEAN(Sales_Table[[#This Row],[Salesperson]])))</f>
        <v>Meena</v>
      </c>
      <c r="M1134" t="s">
        <v>40</v>
      </c>
      <c r="N1134" t="str">
        <f t="shared" si="122"/>
        <v>Credit Card</v>
      </c>
      <c r="O1134" t="s">
        <v>65</v>
      </c>
      <c r="P1134">
        <f t="shared" si="123"/>
        <v>3</v>
      </c>
      <c r="Q1134" t="s">
        <v>66</v>
      </c>
      <c r="R1134">
        <f t="shared" si="124"/>
        <v>832</v>
      </c>
      <c r="S1134" t="s">
        <v>2811</v>
      </c>
      <c r="T1134">
        <f t="shared" si="125"/>
        <v>2496</v>
      </c>
      <c r="U1134">
        <f>YEAR(Sales_Table[[#This Row],[Date_clean]])</f>
        <v>2024</v>
      </c>
      <c r="V1134" t="str">
        <f>TEXT(Sales_Table[[#This Row],[Date_clean]],"mmmm")</f>
        <v>February</v>
      </c>
      <c r="W1134">
        <f>WEEKNUM(Sales_Table[[#This Row],[Date_clean]],2)</f>
        <v>7</v>
      </c>
      <c r="X1134" t="str" cm="1">
        <f t="array" ref="X1134">_xlfn.IFS(Sales_Table[[#This Row],[Revenue]]&gt;=50000,"High",Sales_Table[[#This Row],[Revenue]]&gt;=20000,"Medium",Sales_Table[[#This Row],[Revenue]]&lt;20000,"Low")</f>
        <v>Low</v>
      </c>
      <c r="Y1134" t="str">
        <f>IF(Sales_Table[[#This Row],[Payment Method_clean]]="cash","Offline","Online")</f>
        <v>Online</v>
      </c>
      <c r="Z1134">
        <f>IFERROR(Sales_Table[[#This Row],[Revenue]],0)</f>
        <v>2496</v>
      </c>
    </row>
    <row r="1135" spans="1:26" x14ac:dyDescent="0.3">
      <c r="A1135">
        <v>1134</v>
      </c>
      <c r="B1135" s="2">
        <f t="shared" si="119"/>
        <v>45339.208333333336</v>
      </c>
      <c r="C1135" t="s">
        <v>2812</v>
      </c>
      <c r="D1135" t="s">
        <v>27</v>
      </c>
      <c r="E1135" t="str">
        <f>PROPER(TRIM(CLEAN(Sales_Table[[#This Row],[Region]])))</f>
        <v>East</v>
      </c>
      <c r="F1135" t="s">
        <v>78</v>
      </c>
      <c r="G1135" t="str">
        <f t="shared" si="120"/>
        <v>Grocery</v>
      </c>
      <c r="H1135" t="str">
        <f>PROPER(TRIM(CLEAN(Sales_Table[[#This Row],[Product Name]])))</f>
        <v>Men T-Shirt</v>
      </c>
      <c r="I1135" t="s">
        <v>38</v>
      </c>
      <c r="J1135" t="str">
        <f t="shared" si="121"/>
        <v>CUST0618</v>
      </c>
      <c r="K1135" t="s">
        <v>2323</v>
      </c>
      <c r="L1135" t="str">
        <f>PROPER(TRIM(CLEAN(Sales_Table[[#This Row],[Salesperson]])))</f>
        <v>Anita</v>
      </c>
      <c r="M1135" t="s">
        <v>64</v>
      </c>
      <c r="N1135" t="str">
        <f t="shared" si="122"/>
        <v>Credit Card</v>
      </c>
      <c r="O1135" t="s">
        <v>65</v>
      </c>
      <c r="P1135">
        <f t="shared" si="123"/>
        <v>4</v>
      </c>
      <c r="Q1135" t="s">
        <v>113</v>
      </c>
      <c r="R1135">
        <f t="shared" si="124"/>
        <v>4076</v>
      </c>
      <c r="S1135" t="s">
        <v>2813</v>
      </c>
      <c r="T1135">
        <f t="shared" si="125"/>
        <v>16304</v>
      </c>
      <c r="U1135">
        <f>YEAR(Sales_Table[[#This Row],[Date_clean]])</f>
        <v>2024</v>
      </c>
      <c r="V1135" t="str">
        <f>TEXT(Sales_Table[[#This Row],[Date_clean]],"mmmm")</f>
        <v>February</v>
      </c>
      <c r="W1135">
        <f>WEEKNUM(Sales_Table[[#This Row],[Date_clean]],2)</f>
        <v>7</v>
      </c>
      <c r="X1135" t="str" cm="1">
        <f t="array" ref="X1135">_xlfn.IFS(Sales_Table[[#This Row],[Revenue]]&gt;=50000,"High",Sales_Table[[#This Row],[Revenue]]&gt;=20000,"Medium",Sales_Table[[#This Row],[Revenue]]&lt;20000,"Low")</f>
        <v>Low</v>
      </c>
      <c r="Y1135" t="str">
        <f>IF(Sales_Table[[#This Row],[Payment Method_clean]]="cash","Offline","Online")</f>
        <v>Online</v>
      </c>
      <c r="Z1135">
        <f>IFERROR(Sales_Table[[#This Row],[Revenue]],0)</f>
        <v>16304</v>
      </c>
    </row>
    <row r="1136" spans="1:26" x14ac:dyDescent="0.3">
      <c r="A1136">
        <v>1135</v>
      </c>
      <c r="B1136" s="2">
        <f t="shared" si="119"/>
        <v>45339.25</v>
      </c>
      <c r="C1136" t="s">
        <v>2814</v>
      </c>
      <c r="D1136" t="s">
        <v>27</v>
      </c>
      <c r="E1136" t="str">
        <f>PROPER(TRIM(CLEAN(Sales_Table[[#This Row],[Region]])))</f>
        <v>East</v>
      </c>
      <c r="F1136" t="s">
        <v>46</v>
      </c>
      <c r="G1136" t="str">
        <f t="shared" si="120"/>
        <v>Electronics</v>
      </c>
      <c r="H1136" t="str">
        <f>PROPER(TRIM(CLEAN(Sales_Table[[#This Row],[Product Name]])))</f>
        <v>Washing Machine</v>
      </c>
      <c r="I1136" t="s">
        <v>79</v>
      </c>
      <c r="J1136" t="str">
        <f t="shared" si="121"/>
        <v>CUST0792</v>
      </c>
      <c r="K1136" t="s">
        <v>2243</v>
      </c>
      <c r="L1136" t="str">
        <f>PROPER(TRIM(CLEAN(Sales_Table[[#This Row],[Salesperson]])))</f>
        <v>Karthik</v>
      </c>
      <c r="M1136" t="s">
        <v>70</v>
      </c>
      <c r="N1136" t="str">
        <f t="shared" si="122"/>
        <v>Net Banking</v>
      </c>
      <c r="O1136" t="s">
        <v>60</v>
      </c>
      <c r="P1136">
        <f t="shared" si="123"/>
        <v>11</v>
      </c>
      <c r="Q1136" t="s">
        <v>97</v>
      </c>
      <c r="R1136">
        <f t="shared" si="124"/>
        <v>1917</v>
      </c>
      <c r="S1136" t="s">
        <v>2081</v>
      </c>
      <c r="T1136">
        <f t="shared" si="125"/>
        <v>21087</v>
      </c>
      <c r="U1136">
        <f>YEAR(Sales_Table[[#This Row],[Date_clean]])</f>
        <v>2024</v>
      </c>
      <c r="V1136" t="str">
        <f>TEXT(Sales_Table[[#This Row],[Date_clean]],"mmmm")</f>
        <v>February</v>
      </c>
      <c r="W1136">
        <f>WEEKNUM(Sales_Table[[#This Row],[Date_clean]],2)</f>
        <v>7</v>
      </c>
      <c r="X1136" t="str" cm="1">
        <f t="array" ref="X1136">_xlfn.IFS(Sales_Table[[#This Row],[Revenue]]&gt;=50000,"High",Sales_Table[[#This Row],[Revenue]]&gt;=20000,"Medium",Sales_Table[[#This Row],[Revenue]]&lt;20000,"Low")</f>
        <v>Medium</v>
      </c>
      <c r="Y1136" t="str">
        <f>IF(Sales_Table[[#This Row],[Payment Method_clean]]="cash","Offline","Online")</f>
        <v>Online</v>
      </c>
      <c r="Z1136">
        <f>IFERROR(Sales_Table[[#This Row],[Revenue]],0)</f>
        <v>21087</v>
      </c>
    </row>
    <row r="1137" spans="1:26" x14ac:dyDescent="0.3">
      <c r="A1137">
        <v>1136</v>
      </c>
      <c r="B1137" s="2">
        <f t="shared" si="119"/>
        <v>45339.291666666664</v>
      </c>
      <c r="C1137" t="s">
        <v>2815</v>
      </c>
      <c r="D1137" t="s">
        <v>27</v>
      </c>
      <c r="E1137" t="str">
        <f>PROPER(TRIM(CLEAN(Sales_Table[[#This Row],[Region]])))</f>
        <v>East</v>
      </c>
      <c r="F1137" t="s">
        <v>28</v>
      </c>
      <c r="G1137" t="str">
        <f t="shared" si="120"/>
        <v>Clothing</v>
      </c>
      <c r="H1137" t="str">
        <f>PROPER(TRIM(CLEAN(Sales_Table[[#This Row],[Product Name]])))</f>
        <v>Washing Machine</v>
      </c>
      <c r="I1137" t="s">
        <v>79</v>
      </c>
      <c r="J1137" t="str">
        <f t="shared" si="121"/>
        <v>CUST0772</v>
      </c>
      <c r="K1137" t="s">
        <v>2816</v>
      </c>
      <c r="L1137" t="str">
        <f>PROPER(TRIM(CLEAN(Sales_Table[[#This Row],[Salesperson]])))</f>
        <v>Karthik</v>
      </c>
      <c r="M1137" t="s">
        <v>70</v>
      </c>
      <c r="N1137" t="str">
        <f t="shared" si="122"/>
        <v>Upi</v>
      </c>
      <c r="O1137" t="s">
        <v>48</v>
      </c>
      <c r="P1137">
        <f t="shared" si="123"/>
        <v>4</v>
      </c>
      <c r="Q1137" t="s">
        <v>113</v>
      </c>
      <c r="R1137">
        <f t="shared" si="124"/>
        <v>1484</v>
      </c>
      <c r="S1137" t="s">
        <v>2817</v>
      </c>
      <c r="T1137">
        <f t="shared" si="125"/>
        <v>5936</v>
      </c>
      <c r="U1137">
        <f>YEAR(Sales_Table[[#This Row],[Date_clean]])</f>
        <v>2024</v>
      </c>
      <c r="V1137" t="str">
        <f>TEXT(Sales_Table[[#This Row],[Date_clean]],"mmmm")</f>
        <v>February</v>
      </c>
      <c r="W1137">
        <f>WEEKNUM(Sales_Table[[#This Row],[Date_clean]],2)</f>
        <v>7</v>
      </c>
      <c r="X1137" t="str" cm="1">
        <f t="array" ref="X1137">_xlfn.IFS(Sales_Table[[#This Row],[Revenue]]&gt;=50000,"High",Sales_Table[[#This Row],[Revenue]]&gt;=20000,"Medium",Sales_Table[[#This Row],[Revenue]]&lt;20000,"Low")</f>
        <v>Low</v>
      </c>
      <c r="Y1137" t="str">
        <f>IF(Sales_Table[[#This Row],[Payment Method_clean]]="cash","Offline","Online")</f>
        <v>Online</v>
      </c>
      <c r="Z1137">
        <f>IFERROR(Sales_Table[[#This Row],[Revenue]],0)</f>
        <v>5936</v>
      </c>
    </row>
    <row r="1138" spans="1:26" x14ac:dyDescent="0.3">
      <c r="A1138">
        <v>1137</v>
      </c>
      <c r="B1138" s="2">
        <f t="shared" si="119"/>
        <v>45339.333333333336</v>
      </c>
      <c r="C1138" t="s">
        <v>2818</v>
      </c>
      <c r="D1138" t="s">
        <v>27</v>
      </c>
      <c r="E1138" t="str">
        <f>PROPER(TRIM(CLEAN(Sales_Table[[#This Row],[Region]])))</f>
        <v>East</v>
      </c>
      <c r="F1138" t="s">
        <v>37</v>
      </c>
      <c r="G1138" t="str">
        <f t="shared" si="120"/>
        <v>Home Appliances</v>
      </c>
      <c r="H1138" t="str">
        <f>PROPER(TRIM(CLEAN(Sales_Table[[#This Row],[Product Name]])))</f>
        <v>Mixer Grinder</v>
      </c>
      <c r="I1138" t="s">
        <v>29</v>
      </c>
      <c r="J1138" t="str">
        <f t="shared" si="121"/>
        <v>CUST0108</v>
      </c>
      <c r="K1138" t="s">
        <v>1961</v>
      </c>
      <c r="L1138" t="str">
        <f>PROPER(TRIM(CLEAN(Sales_Table[[#This Row],[Salesperson]])))</f>
        <v>Anita</v>
      </c>
      <c r="M1138" t="s">
        <v>64</v>
      </c>
      <c r="N1138" t="str">
        <f t="shared" si="122"/>
        <v>Net Banking</v>
      </c>
      <c r="O1138" t="s">
        <v>60</v>
      </c>
      <c r="P1138">
        <f t="shared" si="123"/>
        <v>14</v>
      </c>
      <c r="Q1138" t="s">
        <v>55</v>
      </c>
      <c r="R1138">
        <f t="shared" si="124"/>
        <v>2224</v>
      </c>
      <c r="S1138" t="s">
        <v>2819</v>
      </c>
      <c r="T1138">
        <f t="shared" si="125"/>
        <v>31136</v>
      </c>
      <c r="U1138">
        <f>YEAR(Sales_Table[[#This Row],[Date_clean]])</f>
        <v>2024</v>
      </c>
      <c r="V1138" t="str">
        <f>TEXT(Sales_Table[[#This Row],[Date_clean]],"mmmm")</f>
        <v>February</v>
      </c>
      <c r="W1138">
        <f>WEEKNUM(Sales_Table[[#This Row],[Date_clean]],2)</f>
        <v>7</v>
      </c>
      <c r="X1138" t="str" cm="1">
        <f t="array" ref="X1138">_xlfn.IFS(Sales_Table[[#This Row],[Revenue]]&gt;=50000,"High",Sales_Table[[#This Row],[Revenue]]&gt;=20000,"Medium",Sales_Table[[#This Row],[Revenue]]&lt;20000,"Low")</f>
        <v>Medium</v>
      </c>
      <c r="Y1138" t="str">
        <f>IF(Sales_Table[[#This Row],[Payment Method_clean]]="cash","Offline","Online")</f>
        <v>Online</v>
      </c>
      <c r="Z1138">
        <f>IFERROR(Sales_Table[[#This Row],[Revenue]],0)</f>
        <v>31136</v>
      </c>
    </row>
    <row r="1139" spans="1:26" x14ac:dyDescent="0.3">
      <c r="A1139">
        <v>1138</v>
      </c>
      <c r="B1139" s="2">
        <f t="shared" si="119"/>
        <v>45339.375</v>
      </c>
      <c r="C1139" t="s">
        <v>2820</v>
      </c>
      <c r="D1139" t="s">
        <v>84</v>
      </c>
      <c r="E1139" t="str">
        <f>PROPER(TRIM(CLEAN(Sales_Table[[#This Row],[Region]])))</f>
        <v>South</v>
      </c>
      <c r="F1139" t="s">
        <v>46</v>
      </c>
      <c r="G1139" t="str">
        <f t="shared" si="120"/>
        <v>Electronics</v>
      </c>
      <c r="H1139" t="str">
        <f>PROPER(TRIM(CLEAN(Sales_Table[[#This Row],[Product Name]])))</f>
        <v>Mixer Grinder</v>
      </c>
      <c r="I1139" t="s">
        <v>29</v>
      </c>
      <c r="J1139" t="str">
        <f t="shared" si="121"/>
        <v>CUST0531</v>
      </c>
      <c r="K1139" t="s">
        <v>2821</v>
      </c>
      <c r="L1139" t="str">
        <f>PROPER(TRIM(CLEAN(Sales_Table[[#This Row],[Salesperson]])))</f>
        <v>Meena</v>
      </c>
      <c r="M1139" t="s">
        <v>40</v>
      </c>
      <c r="N1139" t="str">
        <f t="shared" si="122"/>
        <v>Debit Card</v>
      </c>
      <c r="O1139" t="s">
        <v>41</v>
      </c>
      <c r="P1139">
        <f t="shared" si="123"/>
        <v>11</v>
      </c>
      <c r="Q1139" t="s">
        <v>97</v>
      </c>
      <c r="R1139">
        <f t="shared" si="124"/>
        <v>1298</v>
      </c>
      <c r="S1139" t="s">
        <v>2822</v>
      </c>
      <c r="T1139">
        <f t="shared" si="125"/>
        <v>14278</v>
      </c>
      <c r="U1139">
        <f>YEAR(Sales_Table[[#This Row],[Date_clean]])</f>
        <v>2024</v>
      </c>
      <c r="V1139" t="str">
        <f>TEXT(Sales_Table[[#This Row],[Date_clean]],"mmmm")</f>
        <v>February</v>
      </c>
      <c r="W1139">
        <f>WEEKNUM(Sales_Table[[#This Row],[Date_clean]],2)</f>
        <v>7</v>
      </c>
      <c r="X1139" t="str" cm="1">
        <f t="array" ref="X1139">_xlfn.IFS(Sales_Table[[#This Row],[Revenue]]&gt;=50000,"High",Sales_Table[[#This Row],[Revenue]]&gt;=20000,"Medium",Sales_Table[[#This Row],[Revenue]]&lt;20000,"Low")</f>
        <v>Low</v>
      </c>
      <c r="Y1139" t="str">
        <f>IF(Sales_Table[[#This Row],[Payment Method_clean]]="cash","Offline","Online")</f>
        <v>Online</v>
      </c>
      <c r="Z1139">
        <f>IFERROR(Sales_Table[[#This Row],[Revenue]],0)</f>
        <v>14278</v>
      </c>
    </row>
    <row r="1140" spans="1:26" x14ac:dyDescent="0.3">
      <c r="A1140">
        <v>1139</v>
      </c>
      <c r="B1140" s="2">
        <f t="shared" si="119"/>
        <v>45339.416666666664</v>
      </c>
      <c r="C1140" t="s">
        <v>2823</v>
      </c>
      <c r="D1140" t="s">
        <v>36</v>
      </c>
      <c r="E1140" t="str">
        <f>PROPER(TRIM(CLEAN(Sales_Table[[#This Row],[Region]])))</f>
        <v>West</v>
      </c>
      <c r="F1140" t="s">
        <v>78</v>
      </c>
      <c r="G1140" t="str">
        <f t="shared" si="120"/>
        <v>Grocery</v>
      </c>
      <c r="H1140" t="str">
        <f>PROPER(TRIM(CLEAN(Sales_Table[[#This Row],[Product Name]])))</f>
        <v>Men T-Shirt</v>
      </c>
      <c r="I1140" t="s">
        <v>38</v>
      </c>
      <c r="J1140" t="str">
        <f t="shared" si="121"/>
        <v>CUST0410</v>
      </c>
      <c r="K1140" t="s">
        <v>2786</v>
      </c>
      <c r="L1140" t="str">
        <f>PROPER(TRIM(CLEAN(Sales_Table[[#This Row],[Salesperson]])))</f>
        <v>Anita</v>
      </c>
      <c r="M1140" t="s">
        <v>64</v>
      </c>
      <c r="N1140" t="str">
        <f t="shared" si="122"/>
        <v>Credit Card</v>
      </c>
      <c r="O1140" t="s">
        <v>65</v>
      </c>
      <c r="P1140">
        <f t="shared" si="123"/>
        <v>5</v>
      </c>
      <c r="Q1140" t="s">
        <v>89</v>
      </c>
      <c r="R1140">
        <f t="shared" si="124"/>
        <v>2392</v>
      </c>
      <c r="S1140" t="s">
        <v>2824</v>
      </c>
      <c r="T1140">
        <f t="shared" si="125"/>
        <v>11960</v>
      </c>
      <c r="U1140">
        <f>YEAR(Sales_Table[[#This Row],[Date_clean]])</f>
        <v>2024</v>
      </c>
      <c r="V1140" t="str">
        <f>TEXT(Sales_Table[[#This Row],[Date_clean]],"mmmm")</f>
        <v>February</v>
      </c>
      <c r="W1140">
        <f>WEEKNUM(Sales_Table[[#This Row],[Date_clean]],2)</f>
        <v>7</v>
      </c>
      <c r="X1140" t="str" cm="1">
        <f t="array" ref="X1140">_xlfn.IFS(Sales_Table[[#This Row],[Revenue]]&gt;=50000,"High",Sales_Table[[#This Row],[Revenue]]&gt;=20000,"Medium",Sales_Table[[#This Row],[Revenue]]&lt;20000,"Low")</f>
        <v>Low</v>
      </c>
      <c r="Y1140" t="str">
        <f>IF(Sales_Table[[#This Row],[Payment Method_clean]]="cash","Offline","Online")</f>
        <v>Online</v>
      </c>
      <c r="Z1140">
        <f>IFERROR(Sales_Table[[#This Row],[Revenue]],0)</f>
        <v>11960</v>
      </c>
    </row>
    <row r="1141" spans="1:26" x14ac:dyDescent="0.3">
      <c r="A1141">
        <v>1140</v>
      </c>
      <c r="B1141" s="2">
        <f t="shared" si="119"/>
        <v>45339.458333333336</v>
      </c>
      <c r="C1141" t="s">
        <v>2825</v>
      </c>
      <c r="D1141" t="s">
        <v>45</v>
      </c>
      <c r="E1141" t="str">
        <f>PROPER(TRIM(CLEAN(Sales_Table[[#This Row],[Region]])))</f>
        <v>North</v>
      </c>
      <c r="F1141" t="s">
        <v>28</v>
      </c>
      <c r="G1141" t="str">
        <f t="shared" si="120"/>
        <v>Clothing</v>
      </c>
      <c r="H1141" t="str">
        <f>PROPER(TRIM(CLEAN(Sales_Table[[#This Row],[Product Name]])))</f>
        <v>Men T-Shirt</v>
      </c>
      <c r="I1141" t="s">
        <v>38</v>
      </c>
      <c r="J1141" t="str">
        <f t="shared" si="121"/>
        <v>CUST0296</v>
      </c>
      <c r="K1141" t="s">
        <v>763</v>
      </c>
      <c r="L1141" t="str">
        <f>PROPER(TRIM(CLEAN(Sales_Table[[#This Row],[Salesperson]])))</f>
        <v>Rahul</v>
      </c>
      <c r="M1141" t="s">
        <v>31</v>
      </c>
      <c r="N1141" t="str">
        <f t="shared" si="122"/>
        <v>Debit Card</v>
      </c>
      <c r="O1141" t="s">
        <v>41</v>
      </c>
      <c r="P1141">
        <f t="shared" si="123"/>
        <v>13</v>
      </c>
      <c r="Q1141" t="s">
        <v>81</v>
      </c>
      <c r="R1141">
        <f t="shared" si="124"/>
        <v>4317</v>
      </c>
      <c r="S1141" t="s">
        <v>2826</v>
      </c>
      <c r="T1141">
        <f t="shared" si="125"/>
        <v>56121</v>
      </c>
      <c r="U1141">
        <f>YEAR(Sales_Table[[#This Row],[Date_clean]])</f>
        <v>2024</v>
      </c>
      <c r="V1141" t="str">
        <f>TEXT(Sales_Table[[#This Row],[Date_clean]],"mmmm")</f>
        <v>February</v>
      </c>
      <c r="W1141">
        <f>WEEKNUM(Sales_Table[[#This Row],[Date_clean]],2)</f>
        <v>7</v>
      </c>
      <c r="X1141" t="str" cm="1">
        <f t="array" ref="X1141">_xlfn.IFS(Sales_Table[[#This Row],[Revenue]]&gt;=50000,"High",Sales_Table[[#This Row],[Revenue]]&gt;=20000,"Medium",Sales_Table[[#This Row],[Revenue]]&lt;20000,"Low")</f>
        <v>High</v>
      </c>
      <c r="Y1141" t="str">
        <f>IF(Sales_Table[[#This Row],[Payment Method_clean]]="cash","Offline","Online")</f>
        <v>Online</v>
      </c>
      <c r="Z1141">
        <f>IFERROR(Sales_Table[[#This Row],[Revenue]],0)</f>
        <v>56121</v>
      </c>
    </row>
    <row r="1142" spans="1:26" x14ac:dyDescent="0.3">
      <c r="A1142">
        <v>1141</v>
      </c>
      <c r="B1142" s="2">
        <f t="shared" si="119"/>
        <v>45339.5</v>
      </c>
      <c r="C1142" t="s">
        <v>2827</v>
      </c>
      <c r="D1142" t="s">
        <v>84</v>
      </c>
      <c r="E1142" t="str">
        <f>PROPER(TRIM(CLEAN(Sales_Table[[#This Row],[Region]])))</f>
        <v>South</v>
      </c>
      <c r="F1142" t="s">
        <v>46</v>
      </c>
      <c r="G1142" t="str">
        <f t="shared" si="120"/>
        <v>Electronics</v>
      </c>
      <c r="H1142" t="str">
        <f>PROPER(TRIM(CLEAN(Sales_Table[[#This Row],[Product Name]])))</f>
        <v>Rice 5Kg</v>
      </c>
      <c r="I1142" t="s">
        <v>73</v>
      </c>
      <c r="J1142" t="str">
        <f t="shared" si="121"/>
        <v>CUST0171</v>
      </c>
      <c r="K1142" t="s">
        <v>1460</v>
      </c>
      <c r="L1142" t="str">
        <f>PROPER(TRIM(CLEAN(Sales_Table[[#This Row],[Salesperson]])))</f>
        <v>Karthik</v>
      </c>
      <c r="M1142" t="s">
        <v>70</v>
      </c>
      <c r="N1142" t="str">
        <f t="shared" si="122"/>
        <v>Net Banking</v>
      </c>
      <c r="O1142" t="s">
        <v>60</v>
      </c>
      <c r="P1142">
        <f t="shared" si="123"/>
        <v>9</v>
      </c>
      <c r="Q1142" t="s">
        <v>130</v>
      </c>
      <c r="R1142">
        <f t="shared" si="124"/>
        <v>284</v>
      </c>
      <c r="S1142" t="s">
        <v>1288</v>
      </c>
      <c r="T1142">
        <f t="shared" si="125"/>
        <v>2556</v>
      </c>
      <c r="U1142">
        <f>YEAR(Sales_Table[[#This Row],[Date_clean]])</f>
        <v>2024</v>
      </c>
      <c r="V1142" t="str">
        <f>TEXT(Sales_Table[[#This Row],[Date_clean]],"mmmm")</f>
        <v>February</v>
      </c>
      <c r="W1142">
        <f>WEEKNUM(Sales_Table[[#This Row],[Date_clean]],2)</f>
        <v>7</v>
      </c>
      <c r="X1142" t="str" cm="1">
        <f t="array" ref="X1142">_xlfn.IFS(Sales_Table[[#This Row],[Revenue]]&gt;=50000,"High",Sales_Table[[#This Row],[Revenue]]&gt;=20000,"Medium",Sales_Table[[#This Row],[Revenue]]&lt;20000,"Low")</f>
        <v>Low</v>
      </c>
      <c r="Y1142" t="str">
        <f>IF(Sales_Table[[#This Row],[Payment Method_clean]]="cash","Offline","Online")</f>
        <v>Online</v>
      </c>
      <c r="Z1142">
        <f>IFERROR(Sales_Table[[#This Row],[Revenue]],0)</f>
        <v>2556</v>
      </c>
    </row>
    <row r="1143" spans="1:26" x14ac:dyDescent="0.3">
      <c r="A1143">
        <v>1142</v>
      </c>
      <c r="B1143" s="2">
        <f t="shared" si="119"/>
        <v>45339.541666666664</v>
      </c>
      <c r="C1143" t="s">
        <v>2828</v>
      </c>
      <c r="D1143" t="s">
        <v>45</v>
      </c>
      <c r="E1143" t="str">
        <f>PROPER(TRIM(CLEAN(Sales_Table[[#This Row],[Region]])))</f>
        <v>North</v>
      </c>
      <c r="F1143" t="s">
        <v>78</v>
      </c>
      <c r="G1143" t="str">
        <f t="shared" si="120"/>
        <v>Grocery</v>
      </c>
      <c r="H1143" t="str">
        <f>PROPER(TRIM(CLEAN(Sales_Table[[#This Row],[Product Name]])))</f>
        <v>Rice 5Kg</v>
      </c>
      <c r="I1143" t="s">
        <v>73</v>
      </c>
      <c r="J1143" t="str">
        <f t="shared" si="121"/>
        <v>CUST0331</v>
      </c>
      <c r="K1143" t="s">
        <v>453</v>
      </c>
      <c r="L1143" t="str">
        <f>PROPER(TRIM(CLEAN(Sales_Table[[#This Row],[Salesperson]])))</f>
        <v>Rahul</v>
      </c>
      <c r="M1143" t="s">
        <v>31</v>
      </c>
      <c r="N1143" t="str">
        <f t="shared" si="122"/>
        <v>Upi</v>
      </c>
      <c r="O1143" t="s">
        <v>48</v>
      </c>
      <c r="P1143">
        <f t="shared" si="123"/>
        <v>12</v>
      </c>
      <c r="Q1143" t="s">
        <v>33</v>
      </c>
      <c r="R1143">
        <f t="shared" si="124"/>
        <v>4227</v>
      </c>
      <c r="S1143" t="s">
        <v>2829</v>
      </c>
      <c r="T1143">
        <f t="shared" si="125"/>
        <v>50724</v>
      </c>
      <c r="U1143">
        <f>YEAR(Sales_Table[[#This Row],[Date_clean]])</f>
        <v>2024</v>
      </c>
      <c r="V1143" t="str">
        <f>TEXT(Sales_Table[[#This Row],[Date_clean]],"mmmm")</f>
        <v>February</v>
      </c>
      <c r="W1143">
        <f>WEEKNUM(Sales_Table[[#This Row],[Date_clean]],2)</f>
        <v>7</v>
      </c>
      <c r="X1143" t="str" cm="1">
        <f t="array" ref="X1143">_xlfn.IFS(Sales_Table[[#This Row],[Revenue]]&gt;=50000,"High",Sales_Table[[#This Row],[Revenue]]&gt;=20000,"Medium",Sales_Table[[#This Row],[Revenue]]&lt;20000,"Low")</f>
        <v>High</v>
      </c>
      <c r="Y1143" t="str">
        <f>IF(Sales_Table[[#This Row],[Payment Method_clean]]="cash","Offline","Online")</f>
        <v>Online</v>
      </c>
      <c r="Z1143">
        <f>IFERROR(Sales_Table[[#This Row],[Revenue]],0)</f>
        <v>50724</v>
      </c>
    </row>
    <row r="1144" spans="1:26" x14ac:dyDescent="0.3">
      <c r="A1144">
        <v>1143</v>
      </c>
      <c r="B1144" s="2">
        <f t="shared" si="119"/>
        <v>45339.583333333336</v>
      </c>
      <c r="C1144" t="s">
        <v>2830</v>
      </c>
      <c r="D1144" t="s">
        <v>36</v>
      </c>
      <c r="E1144" t="str">
        <f>PROPER(TRIM(CLEAN(Sales_Table[[#This Row],[Region]])))</f>
        <v>West</v>
      </c>
      <c r="F1144" t="s">
        <v>28</v>
      </c>
      <c r="G1144" t="str">
        <f t="shared" si="120"/>
        <v>Clothing</v>
      </c>
      <c r="H1144" t="str">
        <f>PROPER(TRIM(CLEAN(Sales_Table[[#This Row],[Product Name]])))</f>
        <v>Mixer Grinder</v>
      </c>
      <c r="I1144" t="s">
        <v>29</v>
      </c>
      <c r="J1144" t="str">
        <f t="shared" si="121"/>
        <v>CUST0493</v>
      </c>
      <c r="K1144" t="s">
        <v>1596</v>
      </c>
      <c r="L1144" t="str">
        <f>PROPER(TRIM(CLEAN(Sales_Table[[#This Row],[Salesperson]])))</f>
        <v>Karthik</v>
      </c>
      <c r="M1144" t="s">
        <v>70</v>
      </c>
      <c r="N1144" t="str">
        <f t="shared" si="122"/>
        <v>Net Banking</v>
      </c>
      <c r="O1144" t="s">
        <v>60</v>
      </c>
      <c r="P1144">
        <f t="shared" si="123"/>
        <v>9</v>
      </c>
      <c r="Q1144" t="s">
        <v>130</v>
      </c>
      <c r="R1144">
        <f t="shared" si="124"/>
        <v>1097</v>
      </c>
      <c r="S1144" t="s">
        <v>2831</v>
      </c>
      <c r="T1144">
        <f t="shared" si="125"/>
        <v>9873</v>
      </c>
      <c r="U1144">
        <f>YEAR(Sales_Table[[#This Row],[Date_clean]])</f>
        <v>2024</v>
      </c>
      <c r="V1144" t="str">
        <f>TEXT(Sales_Table[[#This Row],[Date_clean]],"mmmm")</f>
        <v>February</v>
      </c>
      <c r="W1144">
        <f>WEEKNUM(Sales_Table[[#This Row],[Date_clean]],2)</f>
        <v>7</v>
      </c>
      <c r="X1144" t="str" cm="1">
        <f t="array" ref="X1144">_xlfn.IFS(Sales_Table[[#This Row],[Revenue]]&gt;=50000,"High",Sales_Table[[#This Row],[Revenue]]&gt;=20000,"Medium",Sales_Table[[#This Row],[Revenue]]&lt;20000,"Low")</f>
        <v>Low</v>
      </c>
      <c r="Y1144" t="str">
        <f>IF(Sales_Table[[#This Row],[Payment Method_clean]]="cash","Offline","Online")</f>
        <v>Online</v>
      </c>
      <c r="Z1144">
        <f>IFERROR(Sales_Table[[#This Row],[Revenue]],0)</f>
        <v>9873</v>
      </c>
    </row>
    <row r="1145" spans="1:26" x14ac:dyDescent="0.3">
      <c r="A1145">
        <v>1144</v>
      </c>
      <c r="B1145" s="2">
        <f t="shared" si="119"/>
        <v>45339.625</v>
      </c>
      <c r="C1145" t="s">
        <v>2832</v>
      </c>
      <c r="D1145" t="s">
        <v>27</v>
      </c>
      <c r="E1145" t="str">
        <f>PROPER(TRIM(CLEAN(Sales_Table[[#This Row],[Region]])))</f>
        <v>East</v>
      </c>
      <c r="F1145" t="s">
        <v>78</v>
      </c>
      <c r="G1145" t="str">
        <f t="shared" si="120"/>
        <v>Grocery</v>
      </c>
      <c r="H1145" t="str">
        <f>PROPER(TRIM(CLEAN(Sales_Table[[#This Row],[Product Name]])))</f>
        <v>Laptop</v>
      </c>
      <c r="I1145" t="s">
        <v>52</v>
      </c>
      <c r="J1145" t="str">
        <f t="shared" si="121"/>
        <v>CUST0195</v>
      </c>
      <c r="K1145" t="s">
        <v>314</v>
      </c>
      <c r="L1145" t="str">
        <f>PROPER(TRIM(CLEAN(Sales_Table[[#This Row],[Salesperson]])))</f>
        <v>Karthik</v>
      </c>
      <c r="M1145" t="s">
        <v>70</v>
      </c>
      <c r="N1145" t="str">
        <f t="shared" si="122"/>
        <v>Upi</v>
      </c>
      <c r="O1145" t="s">
        <v>48</v>
      </c>
      <c r="P1145">
        <f t="shared" si="123"/>
        <v>10</v>
      </c>
      <c r="Q1145" t="s">
        <v>117</v>
      </c>
      <c r="R1145">
        <f t="shared" si="124"/>
        <v>2086</v>
      </c>
      <c r="S1145" t="s">
        <v>400</v>
      </c>
      <c r="T1145">
        <f t="shared" si="125"/>
        <v>20860</v>
      </c>
      <c r="U1145">
        <f>YEAR(Sales_Table[[#This Row],[Date_clean]])</f>
        <v>2024</v>
      </c>
      <c r="V1145" t="str">
        <f>TEXT(Sales_Table[[#This Row],[Date_clean]],"mmmm")</f>
        <v>February</v>
      </c>
      <c r="W1145">
        <f>WEEKNUM(Sales_Table[[#This Row],[Date_clean]],2)</f>
        <v>7</v>
      </c>
      <c r="X1145" t="str" cm="1">
        <f t="array" ref="X1145">_xlfn.IFS(Sales_Table[[#This Row],[Revenue]]&gt;=50000,"High",Sales_Table[[#This Row],[Revenue]]&gt;=20000,"Medium",Sales_Table[[#This Row],[Revenue]]&lt;20000,"Low")</f>
        <v>Medium</v>
      </c>
      <c r="Y1145" t="str">
        <f>IF(Sales_Table[[#This Row],[Payment Method_clean]]="cash","Offline","Online")</f>
        <v>Online</v>
      </c>
      <c r="Z1145">
        <f>IFERROR(Sales_Table[[#This Row],[Revenue]],0)</f>
        <v>20860</v>
      </c>
    </row>
    <row r="1146" spans="1:26" x14ac:dyDescent="0.3">
      <c r="A1146">
        <v>1145</v>
      </c>
      <c r="B1146" s="2">
        <f t="shared" si="119"/>
        <v>45339.666666666664</v>
      </c>
      <c r="C1146" t="s">
        <v>2833</v>
      </c>
      <c r="D1146" t="s">
        <v>36</v>
      </c>
      <c r="E1146" t="str">
        <f>PROPER(TRIM(CLEAN(Sales_Table[[#This Row],[Region]])))</f>
        <v>West</v>
      </c>
      <c r="F1146" t="s">
        <v>28</v>
      </c>
      <c r="G1146" t="str">
        <f t="shared" si="120"/>
        <v>Clothing</v>
      </c>
      <c r="H1146" t="str">
        <f>PROPER(TRIM(CLEAN(Sales_Table[[#This Row],[Product Name]])))</f>
        <v>Laptop</v>
      </c>
      <c r="I1146" t="s">
        <v>52</v>
      </c>
      <c r="J1146" t="str">
        <f t="shared" si="121"/>
        <v>CUST0012</v>
      </c>
      <c r="K1146" t="s">
        <v>2564</v>
      </c>
      <c r="L1146" t="str">
        <f>PROPER(TRIM(CLEAN(Sales_Table[[#This Row],[Salesperson]])))</f>
        <v>Suresh</v>
      </c>
      <c r="M1146" t="s">
        <v>54</v>
      </c>
      <c r="N1146" t="str">
        <f t="shared" si="122"/>
        <v>Upi</v>
      </c>
      <c r="O1146" t="s">
        <v>48</v>
      </c>
      <c r="P1146">
        <f t="shared" si="123"/>
        <v>13</v>
      </c>
      <c r="Q1146" t="s">
        <v>81</v>
      </c>
      <c r="R1146">
        <f t="shared" si="124"/>
        <v>2909</v>
      </c>
      <c r="S1146" t="s">
        <v>708</v>
      </c>
      <c r="T1146">
        <f t="shared" si="125"/>
        <v>37817</v>
      </c>
      <c r="U1146">
        <f>YEAR(Sales_Table[[#This Row],[Date_clean]])</f>
        <v>2024</v>
      </c>
      <c r="V1146" t="str">
        <f>TEXT(Sales_Table[[#This Row],[Date_clean]],"mmmm")</f>
        <v>February</v>
      </c>
      <c r="W1146">
        <f>WEEKNUM(Sales_Table[[#This Row],[Date_clean]],2)</f>
        <v>7</v>
      </c>
      <c r="X1146" t="str" cm="1">
        <f t="array" ref="X1146">_xlfn.IFS(Sales_Table[[#This Row],[Revenue]]&gt;=50000,"High",Sales_Table[[#This Row],[Revenue]]&gt;=20000,"Medium",Sales_Table[[#This Row],[Revenue]]&lt;20000,"Low")</f>
        <v>Medium</v>
      </c>
      <c r="Y1146" t="str">
        <f>IF(Sales_Table[[#This Row],[Payment Method_clean]]="cash","Offline","Online")</f>
        <v>Online</v>
      </c>
      <c r="Z1146">
        <f>IFERROR(Sales_Table[[#This Row],[Revenue]],0)</f>
        <v>37817</v>
      </c>
    </row>
    <row r="1147" spans="1:26" x14ac:dyDescent="0.3">
      <c r="A1147">
        <v>1146</v>
      </c>
      <c r="B1147" s="2">
        <f t="shared" si="119"/>
        <v>45339.708333333336</v>
      </c>
      <c r="C1147" t="s">
        <v>2834</v>
      </c>
      <c r="D1147" t="s">
        <v>84</v>
      </c>
      <c r="E1147" t="str">
        <f>PROPER(TRIM(CLEAN(Sales_Table[[#This Row],[Region]])))</f>
        <v>South</v>
      </c>
      <c r="F1147" t="s">
        <v>37</v>
      </c>
      <c r="G1147" t="str">
        <f t="shared" si="120"/>
        <v>Home Appliances</v>
      </c>
      <c r="H1147" t="str">
        <f>PROPER(TRIM(CLEAN(Sales_Table[[#This Row],[Product Name]])))</f>
        <v>Mixer Grinder</v>
      </c>
      <c r="I1147" t="s">
        <v>29</v>
      </c>
      <c r="J1147" t="str">
        <f t="shared" si="121"/>
        <v>CUST0195</v>
      </c>
      <c r="K1147" t="s">
        <v>314</v>
      </c>
      <c r="L1147" t="str">
        <f>PROPER(TRIM(CLEAN(Sales_Table[[#This Row],[Salesperson]])))</f>
        <v>Rahul</v>
      </c>
      <c r="M1147" t="s">
        <v>31</v>
      </c>
      <c r="N1147" t="str">
        <f t="shared" si="122"/>
        <v>Cash</v>
      </c>
      <c r="O1147" t="s">
        <v>32</v>
      </c>
      <c r="P1147">
        <f t="shared" si="123"/>
        <v>12</v>
      </c>
      <c r="Q1147" t="s">
        <v>33</v>
      </c>
      <c r="R1147">
        <f t="shared" si="124"/>
        <v>4764</v>
      </c>
      <c r="S1147" t="s">
        <v>2835</v>
      </c>
      <c r="T1147">
        <f t="shared" si="125"/>
        <v>57168</v>
      </c>
      <c r="U1147">
        <f>YEAR(Sales_Table[[#This Row],[Date_clean]])</f>
        <v>2024</v>
      </c>
      <c r="V1147" t="str">
        <f>TEXT(Sales_Table[[#This Row],[Date_clean]],"mmmm")</f>
        <v>February</v>
      </c>
      <c r="W1147">
        <f>WEEKNUM(Sales_Table[[#This Row],[Date_clean]],2)</f>
        <v>7</v>
      </c>
      <c r="X1147" t="str" cm="1">
        <f t="array" ref="X1147">_xlfn.IFS(Sales_Table[[#This Row],[Revenue]]&gt;=50000,"High",Sales_Table[[#This Row],[Revenue]]&gt;=20000,"Medium",Sales_Table[[#This Row],[Revenue]]&lt;20000,"Low")</f>
        <v>High</v>
      </c>
      <c r="Y1147" t="str">
        <f>IF(Sales_Table[[#This Row],[Payment Method_clean]]="cash","Offline","Online")</f>
        <v>Offline</v>
      </c>
      <c r="Z1147">
        <f>IFERROR(Sales_Table[[#This Row],[Revenue]],0)</f>
        <v>57168</v>
      </c>
    </row>
    <row r="1148" spans="1:26" x14ac:dyDescent="0.3">
      <c r="A1148">
        <v>1147</v>
      </c>
      <c r="B1148" s="2">
        <f t="shared" si="119"/>
        <v>45339.75</v>
      </c>
      <c r="C1148" t="s">
        <v>2836</v>
      </c>
      <c r="D1148" t="s">
        <v>27</v>
      </c>
      <c r="E1148" t="str">
        <f>PROPER(TRIM(CLEAN(Sales_Table[[#This Row],[Region]])))</f>
        <v>East</v>
      </c>
      <c r="F1148" t="s">
        <v>46</v>
      </c>
      <c r="G1148" t="str">
        <f t="shared" si="120"/>
        <v>Electronics</v>
      </c>
      <c r="H1148" t="str">
        <f>PROPER(TRIM(CLEAN(Sales_Table[[#This Row],[Product Name]])))</f>
        <v>Rice 5Kg</v>
      </c>
      <c r="I1148" t="s">
        <v>73</v>
      </c>
      <c r="J1148" t="str">
        <f t="shared" si="121"/>
        <v>CUST0490</v>
      </c>
      <c r="K1148" t="s">
        <v>195</v>
      </c>
      <c r="L1148" t="str">
        <f>PROPER(TRIM(CLEAN(Sales_Table[[#This Row],[Salesperson]])))</f>
        <v>Rahul</v>
      </c>
      <c r="M1148" t="s">
        <v>31</v>
      </c>
      <c r="N1148" t="str">
        <f t="shared" si="122"/>
        <v>Credit Card</v>
      </c>
      <c r="O1148" t="s">
        <v>65</v>
      </c>
      <c r="P1148">
        <f t="shared" si="123"/>
        <v>14</v>
      </c>
      <c r="Q1148" t="s">
        <v>55</v>
      </c>
      <c r="R1148">
        <f t="shared" si="124"/>
        <v>2457</v>
      </c>
      <c r="S1148" t="s">
        <v>2837</v>
      </c>
      <c r="T1148">
        <f t="shared" si="125"/>
        <v>34398</v>
      </c>
      <c r="U1148">
        <f>YEAR(Sales_Table[[#This Row],[Date_clean]])</f>
        <v>2024</v>
      </c>
      <c r="V1148" t="str">
        <f>TEXT(Sales_Table[[#This Row],[Date_clean]],"mmmm")</f>
        <v>February</v>
      </c>
      <c r="W1148">
        <f>WEEKNUM(Sales_Table[[#This Row],[Date_clean]],2)</f>
        <v>7</v>
      </c>
      <c r="X1148" t="str" cm="1">
        <f t="array" ref="X1148">_xlfn.IFS(Sales_Table[[#This Row],[Revenue]]&gt;=50000,"High",Sales_Table[[#This Row],[Revenue]]&gt;=20000,"Medium",Sales_Table[[#This Row],[Revenue]]&lt;20000,"Low")</f>
        <v>Medium</v>
      </c>
      <c r="Y1148" t="str">
        <f>IF(Sales_Table[[#This Row],[Payment Method_clean]]="cash","Offline","Online")</f>
        <v>Online</v>
      </c>
      <c r="Z1148">
        <f>IFERROR(Sales_Table[[#This Row],[Revenue]],0)</f>
        <v>34398</v>
      </c>
    </row>
    <row r="1149" spans="1:26" x14ac:dyDescent="0.3">
      <c r="A1149">
        <v>1148</v>
      </c>
      <c r="B1149" s="2">
        <f t="shared" si="119"/>
        <v>45339.791666666664</v>
      </c>
      <c r="C1149" t="s">
        <v>2838</v>
      </c>
      <c r="D1149" t="s">
        <v>84</v>
      </c>
      <c r="E1149" t="str">
        <f>PROPER(TRIM(CLEAN(Sales_Table[[#This Row],[Region]])))</f>
        <v>South</v>
      </c>
      <c r="F1149" t="s">
        <v>78</v>
      </c>
      <c r="G1149" t="str">
        <f t="shared" si="120"/>
        <v>Grocery</v>
      </c>
      <c r="H1149" t="str">
        <f>PROPER(TRIM(CLEAN(Sales_Table[[#This Row],[Product Name]])))</f>
        <v>Rice 5Kg</v>
      </c>
      <c r="I1149" t="s">
        <v>73</v>
      </c>
      <c r="J1149" t="str">
        <f t="shared" si="121"/>
        <v>CUST0795</v>
      </c>
      <c r="K1149" t="s">
        <v>2090</v>
      </c>
      <c r="L1149" t="str">
        <f>PROPER(TRIM(CLEAN(Sales_Table[[#This Row],[Salesperson]])))</f>
        <v>Suresh</v>
      </c>
      <c r="M1149" t="s">
        <v>54</v>
      </c>
      <c r="N1149" t="str">
        <f t="shared" si="122"/>
        <v>Net Banking</v>
      </c>
      <c r="O1149" t="s">
        <v>60</v>
      </c>
      <c r="P1149">
        <f t="shared" si="123"/>
        <v>1</v>
      </c>
      <c r="Q1149" t="s">
        <v>93</v>
      </c>
      <c r="R1149">
        <f t="shared" si="124"/>
        <v>1779</v>
      </c>
      <c r="S1149" t="s">
        <v>2839</v>
      </c>
      <c r="T1149">
        <f t="shared" si="125"/>
        <v>1779</v>
      </c>
      <c r="U1149">
        <f>YEAR(Sales_Table[[#This Row],[Date_clean]])</f>
        <v>2024</v>
      </c>
      <c r="V1149" t="str">
        <f>TEXT(Sales_Table[[#This Row],[Date_clean]],"mmmm")</f>
        <v>February</v>
      </c>
      <c r="W1149">
        <f>WEEKNUM(Sales_Table[[#This Row],[Date_clean]],2)</f>
        <v>7</v>
      </c>
      <c r="X1149" t="str" cm="1">
        <f t="array" ref="X1149">_xlfn.IFS(Sales_Table[[#This Row],[Revenue]]&gt;=50000,"High",Sales_Table[[#This Row],[Revenue]]&gt;=20000,"Medium",Sales_Table[[#This Row],[Revenue]]&lt;20000,"Low")</f>
        <v>Low</v>
      </c>
      <c r="Y1149" t="str">
        <f>IF(Sales_Table[[#This Row],[Payment Method_clean]]="cash","Offline","Online")</f>
        <v>Online</v>
      </c>
      <c r="Z1149">
        <f>IFERROR(Sales_Table[[#This Row],[Revenue]],0)</f>
        <v>1779</v>
      </c>
    </row>
    <row r="1150" spans="1:26" x14ac:dyDescent="0.3">
      <c r="A1150">
        <v>1149</v>
      </c>
      <c r="B1150" s="2">
        <f t="shared" si="119"/>
        <v>45339.833333333336</v>
      </c>
      <c r="C1150" t="s">
        <v>2840</v>
      </c>
      <c r="D1150" t="s">
        <v>27</v>
      </c>
      <c r="E1150" t="str">
        <f>PROPER(TRIM(CLEAN(Sales_Table[[#This Row],[Region]])))</f>
        <v>East</v>
      </c>
      <c r="F1150" t="s">
        <v>28</v>
      </c>
      <c r="G1150" t="str">
        <f t="shared" si="120"/>
        <v>Clothing</v>
      </c>
      <c r="H1150" t="str">
        <f>PROPER(TRIM(CLEAN(Sales_Table[[#This Row],[Product Name]])))</f>
        <v>Laptop</v>
      </c>
      <c r="I1150" t="s">
        <v>52</v>
      </c>
      <c r="J1150" t="str">
        <f t="shared" si="121"/>
        <v>CUST0182</v>
      </c>
      <c r="K1150" t="s">
        <v>456</v>
      </c>
      <c r="L1150" t="str">
        <f>PROPER(TRIM(CLEAN(Sales_Table[[#This Row],[Salesperson]])))</f>
        <v>Meena</v>
      </c>
      <c r="M1150" t="s">
        <v>40</v>
      </c>
      <c r="N1150" t="str">
        <f t="shared" si="122"/>
        <v>Upi</v>
      </c>
      <c r="O1150" t="s">
        <v>48</v>
      </c>
      <c r="P1150">
        <f t="shared" si="123"/>
        <v>14</v>
      </c>
      <c r="Q1150" t="s">
        <v>55</v>
      </c>
      <c r="R1150">
        <f t="shared" si="124"/>
        <v>3139</v>
      </c>
      <c r="S1150" t="s">
        <v>2841</v>
      </c>
      <c r="T1150">
        <f t="shared" si="125"/>
        <v>43946</v>
      </c>
      <c r="U1150">
        <f>YEAR(Sales_Table[[#This Row],[Date_clean]])</f>
        <v>2024</v>
      </c>
      <c r="V1150" t="str">
        <f>TEXT(Sales_Table[[#This Row],[Date_clean]],"mmmm")</f>
        <v>February</v>
      </c>
      <c r="W1150">
        <f>WEEKNUM(Sales_Table[[#This Row],[Date_clean]],2)</f>
        <v>7</v>
      </c>
      <c r="X1150" t="str" cm="1">
        <f t="array" ref="X1150">_xlfn.IFS(Sales_Table[[#This Row],[Revenue]]&gt;=50000,"High",Sales_Table[[#This Row],[Revenue]]&gt;=20000,"Medium",Sales_Table[[#This Row],[Revenue]]&lt;20000,"Low")</f>
        <v>Medium</v>
      </c>
      <c r="Y1150" t="str">
        <f>IF(Sales_Table[[#This Row],[Payment Method_clean]]="cash","Offline","Online")</f>
        <v>Online</v>
      </c>
      <c r="Z1150">
        <f>IFERROR(Sales_Table[[#This Row],[Revenue]],0)</f>
        <v>43946</v>
      </c>
    </row>
    <row r="1151" spans="1:26" x14ac:dyDescent="0.3">
      <c r="A1151">
        <v>1150</v>
      </c>
      <c r="B1151" s="2">
        <f t="shared" si="119"/>
        <v>45339.875</v>
      </c>
      <c r="C1151" t="s">
        <v>2842</v>
      </c>
      <c r="D1151" t="s">
        <v>45</v>
      </c>
      <c r="E1151" t="str">
        <f>PROPER(TRIM(CLEAN(Sales_Table[[#This Row],[Region]])))</f>
        <v>North</v>
      </c>
      <c r="F1151" t="s">
        <v>78</v>
      </c>
      <c r="G1151" t="str">
        <f t="shared" si="120"/>
        <v>Grocery</v>
      </c>
      <c r="H1151" t="str">
        <f>PROPER(TRIM(CLEAN(Sales_Table[[#This Row],[Product Name]])))</f>
        <v>Led Tv 42Inch</v>
      </c>
      <c r="I1151" t="s">
        <v>58</v>
      </c>
      <c r="J1151" t="str">
        <f t="shared" si="121"/>
        <v>CUST0656</v>
      </c>
      <c r="K1151" t="s">
        <v>2521</v>
      </c>
      <c r="L1151" t="str">
        <f>PROPER(TRIM(CLEAN(Sales_Table[[#This Row],[Salesperson]])))</f>
        <v>Rahul</v>
      </c>
      <c r="M1151" t="s">
        <v>31</v>
      </c>
      <c r="N1151" t="str">
        <f t="shared" si="122"/>
        <v>Net Banking</v>
      </c>
      <c r="O1151" t="s">
        <v>60</v>
      </c>
      <c r="P1151">
        <f t="shared" si="123"/>
        <v>14</v>
      </c>
      <c r="Q1151" t="s">
        <v>55</v>
      </c>
      <c r="R1151">
        <f t="shared" si="124"/>
        <v>4986</v>
      </c>
      <c r="S1151" t="s">
        <v>2843</v>
      </c>
      <c r="T1151">
        <f t="shared" si="125"/>
        <v>69804</v>
      </c>
      <c r="U1151">
        <f>YEAR(Sales_Table[[#This Row],[Date_clean]])</f>
        <v>2024</v>
      </c>
      <c r="V1151" t="str">
        <f>TEXT(Sales_Table[[#This Row],[Date_clean]],"mmmm")</f>
        <v>February</v>
      </c>
      <c r="W1151">
        <f>WEEKNUM(Sales_Table[[#This Row],[Date_clean]],2)</f>
        <v>7</v>
      </c>
      <c r="X1151" t="str" cm="1">
        <f t="array" ref="X1151">_xlfn.IFS(Sales_Table[[#This Row],[Revenue]]&gt;=50000,"High",Sales_Table[[#This Row],[Revenue]]&gt;=20000,"Medium",Sales_Table[[#This Row],[Revenue]]&lt;20000,"Low")</f>
        <v>High</v>
      </c>
      <c r="Y1151" t="str">
        <f>IF(Sales_Table[[#This Row],[Payment Method_clean]]="cash","Offline","Online")</f>
        <v>Online</v>
      </c>
      <c r="Z1151">
        <f>IFERROR(Sales_Table[[#This Row],[Revenue]],0)</f>
        <v>69804</v>
      </c>
    </row>
    <row r="1152" spans="1:26" x14ac:dyDescent="0.3">
      <c r="A1152">
        <v>1151</v>
      </c>
      <c r="B1152" s="2">
        <f t="shared" si="119"/>
        <v>45339.916666666664</v>
      </c>
      <c r="C1152" t="s">
        <v>2844</v>
      </c>
      <c r="D1152" t="s">
        <v>45</v>
      </c>
      <c r="E1152" t="str">
        <f>PROPER(TRIM(CLEAN(Sales_Table[[#This Row],[Region]])))</f>
        <v>North</v>
      </c>
      <c r="F1152" t="s">
        <v>78</v>
      </c>
      <c r="G1152" t="str">
        <f t="shared" si="120"/>
        <v>Grocery</v>
      </c>
      <c r="H1152" t="str">
        <f>PROPER(TRIM(CLEAN(Sales_Table[[#This Row],[Product Name]])))</f>
        <v>Led Tv 42Inch</v>
      </c>
      <c r="I1152" t="s">
        <v>58</v>
      </c>
      <c r="J1152" t="str">
        <f t="shared" si="121"/>
        <v>CUST0316</v>
      </c>
      <c r="K1152" t="s">
        <v>2388</v>
      </c>
      <c r="L1152" t="str">
        <f>PROPER(TRIM(CLEAN(Sales_Table[[#This Row],[Salesperson]])))</f>
        <v>Anita</v>
      </c>
      <c r="M1152" t="s">
        <v>64</v>
      </c>
      <c r="N1152" t="str">
        <f t="shared" si="122"/>
        <v>Net Banking</v>
      </c>
      <c r="O1152" t="s">
        <v>60</v>
      </c>
      <c r="P1152">
        <f t="shared" si="123"/>
        <v>8</v>
      </c>
      <c r="Q1152" t="s">
        <v>42</v>
      </c>
      <c r="R1152">
        <f t="shared" si="124"/>
        <v>2611</v>
      </c>
      <c r="S1152" t="s">
        <v>2845</v>
      </c>
      <c r="T1152">
        <f t="shared" si="125"/>
        <v>20888</v>
      </c>
      <c r="U1152">
        <f>YEAR(Sales_Table[[#This Row],[Date_clean]])</f>
        <v>2024</v>
      </c>
      <c r="V1152" t="str">
        <f>TEXT(Sales_Table[[#This Row],[Date_clean]],"mmmm")</f>
        <v>February</v>
      </c>
      <c r="W1152">
        <f>WEEKNUM(Sales_Table[[#This Row],[Date_clean]],2)</f>
        <v>7</v>
      </c>
      <c r="X1152" t="str" cm="1">
        <f t="array" ref="X1152">_xlfn.IFS(Sales_Table[[#This Row],[Revenue]]&gt;=50000,"High",Sales_Table[[#This Row],[Revenue]]&gt;=20000,"Medium",Sales_Table[[#This Row],[Revenue]]&lt;20000,"Low")</f>
        <v>Medium</v>
      </c>
      <c r="Y1152" t="str">
        <f>IF(Sales_Table[[#This Row],[Payment Method_clean]]="cash","Offline","Online")</f>
        <v>Online</v>
      </c>
      <c r="Z1152">
        <f>IFERROR(Sales_Table[[#This Row],[Revenue]],0)</f>
        <v>20888</v>
      </c>
    </row>
    <row r="1153" spans="1:26" x14ac:dyDescent="0.3">
      <c r="A1153">
        <v>1152</v>
      </c>
      <c r="B1153" s="2">
        <f t="shared" si="119"/>
        <v>45339.958333333336</v>
      </c>
      <c r="C1153" t="s">
        <v>2846</v>
      </c>
      <c r="D1153" t="s">
        <v>45</v>
      </c>
      <c r="E1153" t="str">
        <f>PROPER(TRIM(CLEAN(Sales_Table[[#This Row],[Region]])))</f>
        <v>North</v>
      </c>
      <c r="F1153" t="s">
        <v>46</v>
      </c>
      <c r="G1153" t="str">
        <f t="shared" si="120"/>
        <v>Electronics</v>
      </c>
      <c r="H1153" t="str">
        <f>PROPER(TRIM(CLEAN(Sales_Table[[#This Row],[Product Name]])))</f>
        <v>Rice 5Kg</v>
      </c>
      <c r="I1153" t="s">
        <v>73</v>
      </c>
      <c r="J1153" t="str">
        <f t="shared" si="121"/>
        <v>CUST0694</v>
      </c>
      <c r="K1153" t="s">
        <v>675</v>
      </c>
      <c r="L1153" t="str">
        <f>PROPER(TRIM(CLEAN(Sales_Table[[#This Row],[Salesperson]])))</f>
        <v>Suresh</v>
      </c>
      <c r="M1153" t="s">
        <v>54</v>
      </c>
      <c r="N1153" t="str">
        <f t="shared" si="122"/>
        <v>Upi</v>
      </c>
      <c r="O1153" t="s">
        <v>48</v>
      </c>
      <c r="P1153">
        <f t="shared" si="123"/>
        <v>14</v>
      </c>
      <c r="Q1153" t="s">
        <v>55</v>
      </c>
      <c r="R1153">
        <f t="shared" si="124"/>
        <v>3627</v>
      </c>
      <c r="S1153" t="s">
        <v>2847</v>
      </c>
      <c r="T1153">
        <f t="shared" si="125"/>
        <v>50778</v>
      </c>
      <c r="U1153">
        <f>YEAR(Sales_Table[[#This Row],[Date_clean]])</f>
        <v>2024</v>
      </c>
      <c r="V1153" t="str">
        <f>TEXT(Sales_Table[[#This Row],[Date_clean]],"mmmm")</f>
        <v>February</v>
      </c>
      <c r="W1153">
        <f>WEEKNUM(Sales_Table[[#This Row],[Date_clean]],2)</f>
        <v>7</v>
      </c>
      <c r="X1153" t="str" cm="1">
        <f t="array" ref="X1153">_xlfn.IFS(Sales_Table[[#This Row],[Revenue]]&gt;=50000,"High",Sales_Table[[#This Row],[Revenue]]&gt;=20000,"Medium",Sales_Table[[#This Row],[Revenue]]&lt;20000,"Low")</f>
        <v>High</v>
      </c>
      <c r="Y1153" t="str">
        <f>IF(Sales_Table[[#This Row],[Payment Method_clean]]="cash","Offline","Online")</f>
        <v>Online</v>
      </c>
      <c r="Z1153">
        <f>IFERROR(Sales_Table[[#This Row],[Revenue]],0)</f>
        <v>50778</v>
      </c>
    </row>
    <row r="1154" spans="1:26" x14ac:dyDescent="0.3">
      <c r="A1154">
        <v>1153</v>
      </c>
      <c r="B1154" s="2">
        <f t="shared" si="119"/>
        <v>45340</v>
      </c>
      <c r="C1154" t="s">
        <v>2848</v>
      </c>
      <c r="D1154" t="s">
        <v>36</v>
      </c>
      <c r="E1154" t="str">
        <f>PROPER(TRIM(CLEAN(Sales_Table[[#This Row],[Region]])))</f>
        <v>West</v>
      </c>
      <c r="F1154" t="s">
        <v>37</v>
      </c>
      <c r="G1154" t="str">
        <f t="shared" si="120"/>
        <v>Home Appliances</v>
      </c>
      <c r="H1154" t="str">
        <f>PROPER(TRIM(CLEAN(Sales_Table[[#This Row],[Product Name]])))</f>
        <v>Led Tv 42Inch</v>
      </c>
      <c r="I1154" t="s">
        <v>58</v>
      </c>
      <c r="J1154" t="str">
        <f t="shared" si="121"/>
        <v>CUST0030</v>
      </c>
      <c r="K1154" t="s">
        <v>1955</v>
      </c>
      <c r="L1154" t="str">
        <f>PROPER(TRIM(CLEAN(Sales_Table[[#This Row],[Salesperson]])))</f>
        <v>Rahul</v>
      </c>
      <c r="M1154" t="s">
        <v>31</v>
      </c>
      <c r="N1154" t="str">
        <f t="shared" si="122"/>
        <v>Debit Card</v>
      </c>
      <c r="O1154" t="s">
        <v>41</v>
      </c>
      <c r="P1154">
        <f t="shared" si="123"/>
        <v>1</v>
      </c>
      <c r="Q1154" t="s">
        <v>93</v>
      </c>
      <c r="R1154">
        <f t="shared" si="124"/>
        <v>3126</v>
      </c>
      <c r="S1154" t="s">
        <v>2139</v>
      </c>
      <c r="T1154">
        <f t="shared" si="125"/>
        <v>3126</v>
      </c>
      <c r="U1154">
        <f>YEAR(Sales_Table[[#This Row],[Date_clean]])</f>
        <v>2024</v>
      </c>
      <c r="V1154" t="str">
        <f>TEXT(Sales_Table[[#This Row],[Date_clean]],"mmmm")</f>
        <v>February</v>
      </c>
      <c r="W1154">
        <f>WEEKNUM(Sales_Table[[#This Row],[Date_clean]],2)</f>
        <v>7</v>
      </c>
      <c r="X1154" t="str" cm="1">
        <f t="array" ref="X1154">_xlfn.IFS(Sales_Table[[#This Row],[Revenue]]&gt;=50000,"High",Sales_Table[[#This Row],[Revenue]]&gt;=20000,"Medium",Sales_Table[[#This Row],[Revenue]]&lt;20000,"Low")</f>
        <v>Low</v>
      </c>
      <c r="Y1154" t="str">
        <f>IF(Sales_Table[[#This Row],[Payment Method_clean]]="cash","Offline","Online")</f>
        <v>Online</v>
      </c>
      <c r="Z1154">
        <f>IFERROR(Sales_Table[[#This Row],[Revenue]],0)</f>
        <v>3126</v>
      </c>
    </row>
    <row r="1155" spans="1:26" x14ac:dyDescent="0.3">
      <c r="A1155">
        <v>1154</v>
      </c>
      <c r="B1155" s="2">
        <f t="shared" ref="B1155:B1218" si="126">DATEVALUE(LEFT(C1155,10))+TIMEVALUE(MID(C1155,12,8))</f>
        <v>45340.041666666664</v>
      </c>
      <c r="C1155" t="s">
        <v>2849</v>
      </c>
      <c r="D1155" t="s">
        <v>84</v>
      </c>
      <c r="E1155" t="str">
        <f>PROPER(TRIM(CLEAN(Sales_Table[[#This Row],[Region]])))</f>
        <v>South</v>
      </c>
      <c r="F1155" t="s">
        <v>78</v>
      </c>
      <c r="G1155" t="str">
        <f t="shared" ref="G1155:G1218" si="127">PROPER(TRIM(CLEAN(F1155)))</f>
        <v>Grocery</v>
      </c>
      <c r="H1155" t="str">
        <f>PROPER(TRIM(CLEAN(Sales_Table[[#This Row],[Product Name]])))</f>
        <v>Washing Machine</v>
      </c>
      <c r="I1155" t="s">
        <v>79</v>
      </c>
      <c r="J1155" t="str">
        <f t="shared" ref="J1155:J1218" si="128">TRIM(K1155)</f>
        <v>CUST0596</v>
      </c>
      <c r="K1155" t="s">
        <v>1344</v>
      </c>
      <c r="L1155" t="str">
        <f>PROPER(TRIM(CLEAN(Sales_Table[[#This Row],[Salesperson]])))</f>
        <v>Meena</v>
      </c>
      <c r="M1155" t="s">
        <v>40</v>
      </c>
      <c r="N1155" t="str">
        <f t="shared" ref="N1155:N1218" si="129">PROPER(TRIM(O1155))</f>
        <v>Credit Card</v>
      </c>
      <c r="O1155" t="s">
        <v>65</v>
      </c>
      <c r="P1155">
        <f t="shared" ref="P1155:P1218" si="130">VALUE(Q1155)</f>
        <v>2</v>
      </c>
      <c r="Q1155" t="s">
        <v>196</v>
      </c>
      <c r="R1155">
        <f t="shared" ref="R1155:R1218" si="131">VALUE(S1155)</f>
        <v>2845</v>
      </c>
      <c r="S1155" t="s">
        <v>2330</v>
      </c>
      <c r="T1155">
        <f t="shared" ref="T1155:T1218" si="132">P1155*R1155</f>
        <v>5690</v>
      </c>
      <c r="U1155">
        <f>YEAR(Sales_Table[[#This Row],[Date_clean]])</f>
        <v>2024</v>
      </c>
      <c r="V1155" t="str">
        <f>TEXT(Sales_Table[[#This Row],[Date_clean]],"mmmm")</f>
        <v>February</v>
      </c>
      <c r="W1155">
        <f>WEEKNUM(Sales_Table[[#This Row],[Date_clean]],2)</f>
        <v>7</v>
      </c>
      <c r="X1155" t="str" cm="1">
        <f t="array" ref="X1155">_xlfn.IFS(Sales_Table[[#This Row],[Revenue]]&gt;=50000,"High",Sales_Table[[#This Row],[Revenue]]&gt;=20000,"Medium",Sales_Table[[#This Row],[Revenue]]&lt;20000,"Low")</f>
        <v>Low</v>
      </c>
      <c r="Y1155" t="str">
        <f>IF(Sales_Table[[#This Row],[Payment Method_clean]]="cash","Offline","Online")</f>
        <v>Online</v>
      </c>
      <c r="Z1155">
        <f>IFERROR(Sales_Table[[#This Row],[Revenue]],0)</f>
        <v>5690</v>
      </c>
    </row>
    <row r="1156" spans="1:26" x14ac:dyDescent="0.3">
      <c r="A1156">
        <v>1155</v>
      </c>
      <c r="B1156" s="2">
        <f t="shared" si="126"/>
        <v>45340.083333333336</v>
      </c>
      <c r="C1156" t="s">
        <v>2850</v>
      </c>
      <c r="D1156" t="s">
        <v>36</v>
      </c>
      <c r="E1156" t="str">
        <f>PROPER(TRIM(CLEAN(Sales_Table[[#This Row],[Region]])))</f>
        <v>West</v>
      </c>
      <c r="F1156" t="s">
        <v>28</v>
      </c>
      <c r="G1156" t="str">
        <f t="shared" si="127"/>
        <v>Clothing</v>
      </c>
      <c r="H1156" t="str">
        <f>PROPER(TRIM(CLEAN(Sales_Table[[#This Row],[Product Name]])))</f>
        <v>Mixer Grinder</v>
      </c>
      <c r="I1156" t="s">
        <v>29</v>
      </c>
      <c r="J1156" t="str">
        <f t="shared" si="128"/>
        <v>CUST0678</v>
      </c>
      <c r="K1156" t="s">
        <v>317</v>
      </c>
      <c r="L1156" t="str">
        <f>PROPER(TRIM(CLEAN(Sales_Table[[#This Row],[Salesperson]])))</f>
        <v>Rahul</v>
      </c>
      <c r="M1156" t="s">
        <v>31</v>
      </c>
      <c r="N1156" t="str">
        <f t="shared" si="129"/>
        <v>Credit Card</v>
      </c>
      <c r="O1156" t="s">
        <v>65</v>
      </c>
      <c r="P1156">
        <f t="shared" si="130"/>
        <v>7</v>
      </c>
      <c r="Q1156" t="s">
        <v>49</v>
      </c>
      <c r="R1156">
        <f t="shared" si="131"/>
        <v>4273</v>
      </c>
      <c r="S1156" t="s">
        <v>2851</v>
      </c>
      <c r="T1156">
        <f t="shared" si="132"/>
        <v>29911</v>
      </c>
      <c r="U1156">
        <f>YEAR(Sales_Table[[#This Row],[Date_clean]])</f>
        <v>2024</v>
      </c>
      <c r="V1156" t="str">
        <f>TEXT(Sales_Table[[#This Row],[Date_clean]],"mmmm")</f>
        <v>February</v>
      </c>
      <c r="W1156">
        <f>WEEKNUM(Sales_Table[[#This Row],[Date_clean]],2)</f>
        <v>7</v>
      </c>
      <c r="X1156" t="str" cm="1">
        <f t="array" ref="X1156">_xlfn.IFS(Sales_Table[[#This Row],[Revenue]]&gt;=50000,"High",Sales_Table[[#This Row],[Revenue]]&gt;=20000,"Medium",Sales_Table[[#This Row],[Revenue]]&lt;20000,"Low")</f>
        <v>Medium</v>
      </c>
      <c r="Y1156" t="str">
        <f>IF(Sales_Table[[#This Row],[Payment Method_clean]]="cash","Offline","Online")</f>
        <v>Online</v>
      </c>
      <c r="Z1156">
        <f>IFERROR(Sales_Table[[#This Row],[Revenue]],0)</f>
        <v>29911</v>
      </c>
    </row>
    <row r="1157" spans="1:26" x14ac:dyDescent="0.3">
      <c r="A1157">
        <v>1156</v>
      </c>
      <c r="B1157" s="2">
        <f t="shared" si="126"/>
        <v>45340.125</v>
      </c>
      <c r="C1157" t="s">
        <v>2852</v>
      </c>
      <c r="D1157" t="s">
        <v>45</v>
      </c>
      <c r="E1157" t="str">
        <f>PROPER(TRIM(CLEAN(Sales_Table[[#This Row],[Region]])))</f>
        <v>North</v>
      </c>
      <c r="F1157" t="s">
        <v>28</v>
      </c>
      <c r="G1157" t="str">
        <f t="shared" si="127"/>
        <v>Clothing</v>
      </c>
      <c r="H1157" t="str">
        <f>PROPER(TRIM(CLEAN(Sales_Table[[#This Row],[Product Name]])))</f>
        <v>Mixer Grinder</v>
      </c>
      <c r="I1157" t="s">
        <v>29</v>
      </c>
      <c r="J1157" t="str">
        <f t="shared" si="128"/>
        <v>CUST0796</v>
      </c>
      <c r="K1157" t="s">
        <v>1701</v>
      </c>
      <c r="L1157" t="str">
        <f>PROPER(TRIM(CLEAN(Sales_Table[[#This Row],[Salesperson]])))</f>
        <v>Karthik</v>
      </c>
      <c r="M1157" t="s">
        <v>70</v>
      </c>
      <c r="N1157" t="str">
        <f t="shared" si="129"/>
        <v>Cash</v>
      </c>
      <c r="O1157" t="s">
        <v>32</v>
      </c>
      <c r="P1157">
        <f t="shared" si="130"/>
        <v>8</v>
      </c>
      <c r="Q1157" t="s">
        <v>42</v>
      </c>
      <c r="R1157">
        <f t="shared" si="131"/>
        <v>2681</v>
      </c>
      <c r="S1157" t="s">
        <v>2853</v>
      </c>
      <c r="T1157">
        <f t="shared" si="132"/>
        <v>21448</v>
      </c>
      <c r="U1157">
        <f>YEAR(Sales_Table[[#This Row],[Date_clean]])</f>
        <v>2024</v>
      </c>
      <c r="V1157" t="str">
        <f>TEXT(Sales_Table[[#This Row],[Date_clean]],"mmmm")</f>
        <v>February</v>
      </c>
      <c r="W1157">
        <f>WEEKNUM(Sales_Table[[#This Row],[Date_clean]],2)</f>
        <v>7</v>
      </c>
      <c r="X1157" t="str" cm="1">
        <f t="array" ref="X1157">_xlfn.IFS(Sales_Table[[#This Row],[Revenue]]&gt;=50000,"High",Sales_Table[[#This Row],[Revenue]]&gt;=20000,"Medium",Sales_Table[[#This Row],[Revenue]]&lt;20000,"Low")</f>
        <v>Medium</v>
      </c>
      <c r="Y1157" t="str">
        <f>IF(Sales_Table[[#This Row],[Payment Method_clean]]="cash","Offline","Online")</f>
        <v>Offline</v>
      </c>
      <c r="Z1157">
        <f>IFERROR(Sales_Table[[#This Row],[Revenue]],0)</f>
        <v>21448</v>
      </c>
    </row>
    <row r="1158" spans="1:26" x14ac:dyDescent="0.3">
      <c r="A1158">
        <v>1157</v>
      </c>
      <c r="B1158" s="2">
        <f t="shared" si="126"/>
        <v>45340.166666666664</v>
      </c>
      <c r="C1158" t="s">
        <v>2854</v>
      </c>
      <c r="D1158" t="s">
        <v>84</v>
      </c>
      <c r="E1158" t="str">
        <f>PROPER(TRIM(CLEAN(Sales_Table[[#This Row],[Region]])))</f>
        <v>South</v>
      </c>
      <c r="F1158" t="s">
        <v>37</v>
      </c>
      <c r="G1158" t="str">
        <f t="shared" si="127"/>
        <v>Home Appliances</v>
      </c>
      <c r="H1158" t="str">
        <f>PROPER(TRIM(CLEAN(Sales_Table[[#This Row],[Product Name]])))</f>
        <v>Rice 5Kg</v>
      </c>
      <c r="I1158" t="s">
        <v>73</v>
      </c>
      <c r="J1158" t="str">
        <f t="shared" si="128"/>
        <v>CUST0793</v>
      </c>
      <c r="K1158" t="s">
        <v>1236</v>
      </c>
      <c r="L1158" t="str">
        <f>PROPER(TRIM(CLEAN(Sales_Table[[#This Row],[Salesperson]])))</f>
        <v>Anita</v>
      </c>
      <c r="M1158" t="s">
        <v>64</v>
      </c>
      <c r="N1158" t="str">
        <f t="shared" si="129"/>
        <v>Cash</v>
      </c>
      <c r="O1158" t="s">
        <v>32</v>
      </c>
      <c r="P1158">
        <f t="shared" si="130"/>
        <v>1</v>
      </c>
      <c r="Q1158" t="s">
        <v>93</v>
      </c>
      <c r="R1158">
        <f t="shared" si="131"/>
        <v>4303</v>
      </c>
      <c r="S1158" t="s">
        <v>2855</v>
      </c>
      <c r="T1158">
        <f t="shared" si="132"/>
        <v>4303</v>
      </c>
      <c r="U1158">
        <f>YEAR(Sales_Table[[#This Row],[Date_clean]])</f>
        <v>2024</v>
      </c>
      <c r="V1158" t="str">
        <f>TEXT(Sales_Table[[#This Row],[Date_clean]],"mmmm")</f>
        <v>February</v>
      </c>
      <c r="W1158">
        <f>WEEKNUM(Sales_Table[[#This Row],[Date_clean]],2)</f>
        <v>7</v>
      </c>
      <c r="X1158" t="str" cm="1">
        <f t="array" ref="X1158">_xlfn.IFS(Sales_Table[[#This Row],[Revenue]]&gt;=50000,"High",Sales_Table[[#This Row],[Revenue]]&gt;=20000,"Medium",Sales_Table[[#This Row],[Revenue]]&lt;20000,"Low")</f>
        <v>Low</v>
      </c>
      <c r="Y1158" t="str">
        <f>IF(Sales_Table[[#This Row],[Payment Method_clean]]="cash","Offline","Online")</f>
        <v>Offline</v>
      </c>
      <c r="Z1158">
        <f>IFERROR(Sales_Table[[#This Row],[Revenue]],0)</f>
        <v>4303</v>
      </c>
    </row>
    <row r="1159" spans="1:26" x14ac:dyDescent="0.3">
      <c r="A1159">
        <v>1158</v>
      </c>
      <c r="B1159" s="2">
        <f t="shared" si="126"/>
        <v>45340.208333333336</v>
      </c>
      <c r="C1159" t="s">
        <v>2856</v>
      </c>
      <c r="D1159" t="s">
        <v>45</v>
      </c>
      <c r="E1159" t="str">
        <f>PROPER(TRIM(CLEAN(Sales_Table[[#This Row],[Region]])))</f>
        <v>North</v>
      </c>
      <c r="F1159" t="s">
        <v>28</v>
      </c>
      <c r="G1159" t="str">
        <f t="shared" si="127"/>
        <v>Clothing</v>
      </c>
      <c r="H1159" t="str">
        <f>PROPER(TRIM(CLEAN(Sales_Table[[#This Row],[Product Name]])))</f>
        <v>Men T-Shirt</v>
      </c>
      <c r="I1159" t="s">
        <v>38</v>
      </c>
      <c r="J1159" t="str">
        <f t="shared" si="128"/>
        <v>CUST0096</v>
      </c>
      <c r="K1159" t="s">
        <v>47</v>
      </c>
      <c r="L1159" t="str">
        <f>PROPER(TRIM(CLEAN(Sales_Table[[#This Row],[Salesperson]])))</f>
        <v>Suresh</v>
      </c>
      <c r="M1159" t="s">
        <v>54</v>
      </c>
      <c r="N1159" t="str">
        <f t="shared" si="129"/>
        <v>Cash</v>
      </c>
      <c r="O1159" t="s">
        <v>32</v>
      </c>
      <c r="P1159">
        <f t="shared" si="130"/>
        <v>3</v>
      </c>
      <c r="Q1159" t="s">
        <v>66</v>
      </c>
      <c r="R1159">
        <f t="shared" si="131"/>
        <v>2911</v>
      </c>
      <c r="S1159" t="s">
        <v>2183</v>
      </c>
      <c r="T1159">
        <f t="shared" si="132"/>
        <v>8733</v>
      </c>
      <c r="U1159">
        <f>YEAR(Sales_Table[[#This Row],[Date_clean]])</f>
        <v>2024</v>
      </c>
      <c r="V1159" t="str">
        <f>TEXT(Sales_Table[[#This Row],[Date_clean]],"mmmm")</f>
        <v>February</v>
      </c>
      <c r="W1159">
        <f>WEEKNUM(Sales_Table[[#This Row],[Date_clean]],2)</f>
        <v>7</v>
      </c>
      <c r="X1159" t="str" cm="1">
        <f t="array" ref="X1159">_xlfn.IFS(Sales_Table[[#This Row],[Revenue]]&gt;=50000,"High",Sales_Table[[#This Row],[Revenue]]&gt;=20000,"Medium",Sales_Table[[#This Row],[Revenue]]&lt;20000,"Low")</f>
        <v>Low</v>
      </c>
      <c r="Y1159" t="str">
        <f>IF(Sales_Table[[#This Row],[Payment Method_clean]]="cash","Offline","Online")</f>
        <v>Offline</v>
      </c>
      <c r="Z1159">
        <f>IFERROR(Sales_Table[[#This Row],[Revenue]],0)</f>
        <v>8733</v>
      </c>
    </row>
    <row r="1160" spans="1:26" x14ac:dyDescent="0.3">
      <c r="A1160">
        <v>1159</v>
      </c>
      <c r="B1160" s="2">
        <f t="shared" si="126"/>
        <v>45340.25</v>
      </c>
      <c r="C1160" t="s">
        <v>2857</v>
      </c>
      <c r="D1160" t="s">
        <v>36</v>
      </c>
      <c r="E1160" t="str">
        <f>PROPER(TRIM(CLEAN(Sales_Table[[#This Row],[Region]])))</f>
        <v>West</v>
      </c>
      <c r="F1160" t="s">
        <v>37</v>
      </c>
      <c r="G1160" t="str">
        <f t="shared" si="127"/>
        <v>Home Appliances</v>
      </c>
      <c r="H1160" t="str">
        <f>PROPER(TRIM(CLEAN(Sales_Table[[#This Row],[Product Name]])))</f>
        <v>Laptop</v>
      </c>
      <c r="I1160" t="s">
        <v>52</v>
      </c>
      <c r="J1160" t="str">
        <f t="shared" si="128"/>
        <v>CUST0381</v>
      </c>
      <c r="K1160" t="s">
        <v>2180</v>
      </c>
      <c r="L1160" t="str">
        <f>PROPER(TRIM(CLEAN(Sales_Table[[#This Row],[Salesperson]])))</f>
        <v>Karthik</v>
      </c>
      <c r="M1160" t="s">
        <v>70</v>
      </c>
      <c r="N1160" t="str">
        <f t="shared" si="129"/>
        <v>Credit Card</v>
      </c>
      <c r="O1160" t="s">
        <v>65</v>
      </c>
      <c r="P1160">
        <f t="shared" si="130"/>
        <v>7</v>
      </c>
      <c r="Q1160" t="s">
        <v>49</v>
      </c>
      <c r="R1160">
        <f t="shared" si="131"/>
        <v>4190</v>
      </c>
      <c r="S1160" t="s">
        <v>2858</v>
      </c>
      <c r="T1160">
        <f t="shared" si="132"/>
        <v>29330</v>
      </c>
      <c r="U1160">
        <f>YEAR(Sales_Table[[#This Row],[Date_clean]])</f>
        <v>2024</v>
      </c>
      <c r="V1160" t="str">
        <f>TEXT(Sales_Table[[#This Row],[Date_clean]],"mmmm")</f>
        <v>February</v>
      </c>
      <c r="W1160">
        <f>WEEKNUM(Sales_Table[[#This Row],[Date_clean]],2)</f>
        <v>7</v>
      </c>
      <c r="X1160" t="str" cm="1">
        <f t="array" ref="X1160">_xlfn.IFS(Sales_Table[[#This Row],[Revenue]]&gt;=50000,"High",Sales_Table[[#This Row],[Revenue]]&gt;=20000,"Medium",Sales_Table[[#This Row],[Revenue]]&lt;20000,"Low")</f>
        <v>Medium</v>
      </c>
      <c r="Y1160" t="str">
        <f>IF(Sales_Table[[#This Row],[Payment Method_clean]]="cash","Offline","Online")</f>
        <v>Online</v>
      </c>
      <c r="Z1160">
        <f>IFERROR(Sales_Table[[#This Row],[Revenue]],0)</f>
        <v>29330</v>
      </c>
    </row>
    <row r="1161" spans="1:26" x14ac:dyDescent="0.3">
      <c r="A1161">
        <v>1160</v>
      </c>
      <c r="B1161" s="2">
        <f t="shared" si="126"/>
        <v>45340.291666666664</v>
      </c>
      <c r="C1161" t="s">
        <v>2859</v>
      </c>
      <c r="D1161" t="s">
        <v>36</v>
      </c>
      <c r="E1161" t="str">
        <f>PROPER(TRIM(CLEAN(Sales_Table[[#This Row],[Region]])))</f>
        <v>West</v>
      </c>
      <c r="F1161" t="s">
        <v>28</v>
      </c>
      <c r="G1161" t="str">
        <f t="shared" si="127"/>
        <v>Clothing</v>
      </c>
      <c r="H1161" t="str">
        <f>PROPER(TRIM(CLEAN(Sales_Table[[#This Row],[Product Name]])))</f>
        <v>Rice 5Kg</v>
      </c>
      <c r="I1161" t="s">
        <v>73</v>
      </c>
      <c r="J1161" t="str">
        <f t="shared" si="128"/>
        <v>CUST0778</v>
      </c>
      <c r="K1161" t="s">
        <v>2474</v>
      </c>
      <c r="L1161" t="str">
        <f>PROPER(TRIM(CLEAN(Sales_Table[[#This Row],[Salesperson]])))</f>
        <v>Meena</v>
      </c>
      <c r="M1161" t="s">
        <v>40</v>
      </c>
      <c r="N1161" t="str">
        <f t="shared" si="129"/>
        <v>Debit Card</v>
      </c>
      <c r="O1161" t="s">
        <v>41</v>
      </c>
      <c r="P1161">
        <f t="shared" si="130"/>
        <v>13</v>
      </c>
      <c r="Q1161" t="s">
        <v>81</v>
      </c>
      <c r="R1161">
        <f t="shared" si="131"/>
        <v>469</v>
      </c>
      <c r="S1161" t="s">
        <v>932</v>
      </c>
      <c r="T1161">
        <f t="shared" si="132"/>
        <v>6097</v>
      </c>
      <c r="U1161">
        <f>YEAR(Sales_Table[[#This Row],[Date_clean]])</f>
        <v>2024</v>
      </c>
      <c r="V1161" t="str">
        <f>TEXT(Sales_Table[[#This Row],[Date_clean]],"mmmm")</f>
        <v>February</v>
      </c>
      <c r="W1161">
        <f>WEEKNUM(Sales_Table[[#This Row],[Date_clean]],2)</f>
        <v>7</v>
      </c>
      <c r="X1161" t="str" cm="1">
        <f t="array" ref="X1161">_xlfn.IFS(Sales_Table[[#This Row],[Revenue]]&gt;=50000,"High",Sales_Table[[#This Row],[Revenue]]&gt;=20000,"Medium",Sales_Table[[#This Row],[Revenue]]&lt;20000,"Low")</f>
        <v>Low</v>
      </c>
      <c r="Y1161" t="str">
        <f>IF(Sales_Table[[#This Row],[Payment Method_clean]]="cash","Offline","Online")</f>
        <v>Online</v>
      </c>
      <c r="Z1161">
        <f>IFERROR(Sales_Table[[#This Row],[Revenue]],0)</f>
        <v>6097</v>
      </c>
    </row>
    <row r="1162" spans="1:26" x14ac:dyDescent="0.3">
      <c r="A1162">
        <v>1161</v>
      </c>
      <c r="B1162" s="2">
        <f t="shared" si="126"/>
        <v>45340.333333333336</v>
      </c>
      <c r="C1162" t="s">
        <v>2860</v>
      </c>
      <c r="D1162" t="s">
        <v>36</v>
      </c>
      <c r="E1162" t="str">
        <f>PROPER(TRIM(CLEAN(Sales_Table[[#This Row],[Region]])))</f>
        <v>West</v>
      </c>
      <c r="F1162" t="s">
        <v>46</v>
      </c>
      <c r="G1162" t="str">
        <f t="shared" si="127"/>
        <v>Electronics</v>
      </c>
      <c r="H1162" t="str">
        <f>PROPER(TRIM(CLEAN(Sales_Table[[#This Row],[Product Name]])))</f>
        <v>Led Tv 42Inch</v>
      </c>
      <c r="I1162" t="s">
        <v>58</v>
      </c>
      <c r="J1162" t="str">
        <f t="shared" si="128"/>
        <v>CUST0444</v>
      </c>
      <c r="K1162" t="s">
        <v>1174</v>
      </c>
      <c r="L1162" t="str">
        <f>PROPER(TRIM(CLEAN(Sales_Table[[#This Row],[Salesperson]])))</f>
        <v>Karthik</v>
      </c>
      <c r="M1162" t="s">
        <v>70</v>
      </c>
      <c r="N1162" t="str">
        <f t="shared" si="129"/>
        <v>Credit Card</v>
      </c>
      <c r="O1162" t="s">
        <v>65</v>
      </c>
      <c r="P1162">
        <f t="shared" si="130"/>
        <v>9</v>
      </c>
      <c r="Q1162" t="s">
        <v>130</v>
      </c>
      <c r="R1162">
        <f t="shared" si="131"/>
        <v>3843</v>
      </c>
      <c r="S1162" t="s">
        <v>2861</v>
      </c>
      <c r="T1162">
        <f t="shared" si="132"/>
        <v>34587</v>
      </c>
      <c r="U1162">
        <f>YEAR(Sales_Table[[#This Row],[Date_clean]])</f>
        <v>2024</v>
      </c>
      <c r="V1162" t="str">
        <f>TEXT(Sales_Table[[#This Row],[Date_clean]],"mmmm")</f>
        <v>February</v>
      </c>
      <c r="W1162">
        <f>WEEKNUM(Sales_Table[[#This Row],[Date_clean]],2)</f>
        <v>7</v>
      </c>
      <c r="X1162" t="str" cm="1">
        <f t="array" ref="X1162">_xlfn.IFS(Sales_Table[[#This Row],[Revenue]]&gt;=50000,"High",Sales_Table[[#This Row],[Revenue]]&gt;=20000,"Medium",Sales_Table[[#This Row],[Revenue]]&lt;20000,"Low")</f>
        <v>Medium</v>
      </c>
      <c r="Y1162" t="str">
        <f>IF(Sales_Table[[#This Row],[Payment Method_clean]]="cash","Offline","Online")</f>
        <v>Online</v>
      </c>
      <c r="Z1162">
        <f>IFERROR(Sales_Table[[#This Row],[Revenue]],0)</f>
        <v>34587</v>
      </c>
    </row>
    <row r="1163" spans="1:26" x14ac:dyDescent="0.3">
      <c r="A1163">
        <v>1162</v>
      </c>
      <c r="B1163" s="2">
        <f t="shared" si="126"/>
        <v>45340.375</v>
      </c>
      <c r="C1163" t="s">
        <v>2862</v>
      </c>
      <c r="D1163" t="s">
        <v>45</v>
      </c>
      <c r="E1163" t="str">
        <f>PROPER(TRIM(CLEAN(Sales_Table[[#This Row],[Region]])))</f>
        <v>North</v>
      </c>
      <c r="F1163" t="s">
        <v>78</v>
      </c>
      <c r="G1163" t="str">
        <f t="shared" si="127"/>
        <v>Grocery</v>
      </c>
      <c r="H1163" t="str">
        <f>PROPER(TRIM(CLEAN(Sales_Table[[#This Row],[Product Name]])))</f>
        <v>Laptop</v>
      </c>
      <c r="I1163" t="s">
        <v>52</v>
      </c>
      <c r="J1163" t="str">
        <f t="shared" si="128"/>
        <v>CUST0298</v>
      </c>
      <c r="K1163" t="s">
        <v>2536</v>
      </c>
      <c r="L1163" t="str">
        <f>PROPER(TRIM(CLEAN(Sales_Table[[#This Row],[Salesperson]])))</f>
        <v>Karthik</v>
      </c>
      <c r="M1163" t="s">
        <v>70</v>
      </c>
      <c r="N1163" t="str">
        <f t="shared" si="129"/>
        <v>Credit Card</v>
      </c>
      <c r="O1163" t="s">
        <v>65</v>
      </c>
      <c r="P1163">
        <f t="shared" si="130"/>
        <v>8</v>
      </c>
      <c r="Q1163" t="s">
        <v>42</v>
      </c>
      <c r="R1163">
        <f t="shared" si="131"/>
        <v>2104</v>
      </c>
      <c r="S1163" t="s">
        <v>1565</v>
      </c>
      <c r="T1163">
        <f t="shared" si="132"/>
        <v>16832</v>
      </c>
      <c r="U1163">
        <f>YEAR(Sales_Table[[#This Row],[Date_clean]])</f>
        <v>2024</v>
      </c>
      <c r="V1163" t="str">
        <f>TEXT(Sales_Table[[#This Row],[Date_clean]],"mmmm")</f>
        <v>February</v>
      </c>
      <c r="W1163">
        <f>WEEKNUM(Sales_Table[[#This Row],[Date_clean]],2)</f>
        <v>7</v>
      </c>
      <c r="X1163" t="str" cm="1">
        <f t="array" ref="X1163">_xlfn.IFS(Sales_Table[[#This Row],[Revenue]]&gt;=50000,"High",Sales_Table[[#This Row],[Revenue]]&gt;=20000,"Medium",Sales_Table[[#This Row],[Revenue]]&lt;20000,"Low")</f>
        <v>Low</v>
      </c>
      <c r="Y1163" t="str">
        <f>IF(Sales_Table[[#This Row],[Payment Method_clean]]="cash","Offline","Online")</f>
        <v>Online</v>
      </c>
      <c r="Z1163">
        <f>IFERROR(Sales_Table[[#This Row],[Revenue]],0)</f>
        <v>16832</v>
      </c>
    </row>
    <row r="1164" spans="1:26" x14ac:dyDescent="0.3">
      <c r="A1164">
        <v>1163</v>
      </c>
      <c r="B1164" s="2">
        <f t="shared" si="126"/>
        <v>45340.416666666664</v>
      </c>
      <c r="C1164" t="s">
        <v>2863</v>
      </c>
      <c r="D1164" t="s">
        <v>84</v>
      </c>
      <c r="E1164" t="str">
        <f>PROPER(TRIM(CLEAN(Sales_Table[[#This Row],[Region]])))</f>
        <v>South</v>
      </c>
      <c r="F1164" t="s">
        <v>46</v>
      </c>
      <c r="G1164" t="str">
        <f t="shared" si="127"/>
        <v>Electronics</v>
      </c>
      <c r="H1164" t="str">
        <f>PROPER(TRIM(CLEAN(Sales_Table[[#This Row],[Product Name]])))</f>
        <v>Men T-Shirt</v>
      </c>
      <c r="I1164" t="s">
        <v>38</v>
      </c>
      <c r="J1164" t="str">
        <f t="shared" si="128"/>
        <v>CUST0737</v>
      </c>
      <c r="K1164" t="s">
        <v>2864</v>
      </c>
      <c r="L1164" t="str">
        <f>PROPER(TRIM(CLEAN(Sales_Table[[#This Row],[Salesperson]])))</f>
        <v>Meena</v>
      </c>
      <c r="M1164" t="s">
        <v>40</v>
      </c>
      <c r="N1164" t="str">
        <f t="shared" si="129"/>
        <v>Credit Card</v>
      </c>
      <c r="O1164" t="s">
        <v>65</v>
      </c>
      <c r="P1164">
        <f t="shared" si="130"/>
        <v>8</v>
      </c>
      <c r="Q1164" t="s">
        <v>42</v>
      </c>
      <c r="R1164">
        <f t="shared" si="131"/>
        <v>1803</v>
      </c>
      <c r="S1164" t="s">
        <v>2865</v>
      </c>
      <c r="T1164">
        <f t="shared" si="132"/>
        <v>14424</v>
      </c>
      <c r="U1164">
        <f>YEAR(Sales_Table[[#This Row],[Date_clean]])</f>
        <v>2024</v>
      </c>
      <c r="V1164" t="str">
        <f>TEXT(Sales_Table[[#This Row],[Date_clean]],"mmmm")</f>
        <v>February</v>
      </c>
      <c r="W1164">
        <f>WEEKNUM(Sales_Table[[#This Row],[Date_clean]],2)</f>
        <v>7</v>
      </c>
      <c r="X1164" t="str" cm="1">
        <f t="array" ref="X1164">_xlfn.IFS(Sales_Table[[#This Row],[Revenue]]&gt;=50000,"High",Sales_Table[[#This Row],[Revenue]]&gt;=20000,"Medium",Sales_Table[[#This Row],[Revenue]]&lt;20000,"Low")</f>
        <v>Low</v>
      </c>
      <c r="Y1164" t="str">
        <f>IF(Sales_Table[[#This Row],[Payment Method_clean]]="cash","Offline","Online")</f>
        <v>Online</v>
      </c>
      <c r="Z1164">
        <f>IFERROR(Sales_Table[[#This Row],[Revenue]],0)</f>
        <v>14424</v>
      </c>
    </row>
    <row r="1165" spans="1:26" x14ac:dyDescent="0.3">
      <c r="A1165">
        <v>1164</v>
      </c>
      <c r="B1165" s="2">
        <f t="shared" si="126"/>
        <v>45340.458333333336</v>
      </c>
      <c r="C1165" t="s">
        <v>2866</v>
      </c>
      <c r="D1165" t="s">
        <v>84</v>
      </c>
      <c r="E1165" t="str">
        <f>PROPER(TRIM(CLEAN(Sales_Table[[#This Row],[Region]])))</f>
        <v>South</v>
      </c>
      <c r="F1165" t="s">
        <v>78</v>
      </c>
      <c r="G1165" t="str">
        <f t="shared" si="127"/>
        <v>Grocery</v>
      </c>
      <c r="H1165" t="str">
        <f>PROPER(TRIM(CLEAN(Sales_Table[[#This Row],[Product Name]])))</f>
        <v>Led Tv 42Inch</v>
      </c>
      <c r="I1165" t="s">
        <v>58</v>
      </c>
      <c r="J1165" t="str">
        <f t="shared" si="128"/>
        <v>CUST0361</v>
      </c>
      <c r="K1165" t="s">
        <v>2867</v>
      </c>
      <c r="L1165" t="str">
        <f>PROPER(TRIM(CLEAN(Sales_Table[[#This Row],[Salesperson]])))</f>
        <v>Karthik</v>
      </c>
      <c r="M1165" t="s">
        <v>70</v>
      </c>
      <c r="N1165" t="str">
        <f t="shared" si="129"/>
        <v>Credit Card</v>
      </c>
      <c r="O1165" t="s">
        <v>65</v>
      </c>
      <c r="P1165">
        <f t="shared" si="130"/>
        <v>9</v>
      </c>
      <c r="Q1165" t="s">
        <v>130</v>
      </c>
      <c r="R1165">
        <f t="shared" si="131"/>
        <v>3424</v>
      </c>
      <c r="S1165" t="s">
        <v>2868</v>
      </c>
      <c r="T1165">
        <f t="shared" si="132"/>
        <v>30816</v>
      </c>
      <c r="U1165">
        <f>YEAR(Sales_Table[[#This Row],[Date_clean]])</f>
        <v>2024</v>
      </c>
      <c r="V1165" t="str">
        <f>TEXT(Sales_Table[[#This Row],[Date_clean]],"mmmm")</f>
        <v>February</v>
      </c>
      <c r="W1165">
        <f>WEEKNUM(Sales_Table[[#This Row],[Date_clean]],2)</f>
        <v>7</v>
      </c>
      <c r="X1165" t="str" cm="1">
        <f t="array" ref="X1165">_xlfn.IFS(Sales_Table[[#This Row],[Revenue]]&gt;=50000,"High",Sales_Table[[#This Row],[Revenue]]&gt;=20000,"Medium",Sales_Table[[#This Row],[Revenue]]&lt;20000,"Low")</f>
        <v>Medium</v>
      </c>
      <c r="Y1165" t="str">
        <f>IF(Sales_Table[[#This Row],[Payment Method_clean]]="cash","Offline","Online")</f>
        <v>Online</v>
      </c>
      <c r="Z1165">
        <f>IFERROR(Sales_Table[[#This Row],[Revenue]],0)</f>
        <v>30816</v>
      </c>
    </row>
    <row r="1166" spans="1:26" x14ac:dyDescent="0.3">
      <c r="A1166">
        <v>1165</v>
      </c>
      <c r="B1166" s="2">
        <f t="shared" si="126"/>
        <v>45340.5</v>
      </c>
      <c r="C1166" t="s">
        <v>2869</v>
      </c>
      <c r="D1166" t="s">
        <v>45</v>
      </c>
      <c r="E1166" t="str">
        <f>PROPER(TRIM(CLEAN(Sales_Table[[#This Row],[Region]])))</f>
        <v>North</v>
      </c>
      <c r="F1166" t="s">
        <v>78</v>
      </c>
      <c r="G1166" t="str">
        <f t="shared" si="127"/>
        <v>Grocery</v>
      </c>
      <c r="H1166" t="str">
        <f>PROPER(TRIM(CLEAN(Sales_Table[[#This Row],[Product Name]])))</f>
        <v>Washing Machine</v>
      </c>
      <c r="I1166" t="s">
        <v>79</v>
      </c>
      <c r="J1166" t="str">
        <f t="shared" si="128"/>
        <v>CUST0374</v>
      </c>
      <c r="K1166" t="s">
        <v>2870</v>
      </c>
      <c r="L1166" t="str">
        <f>PROPER(TRIM(CLEAN(Sales_Table[[#This Row],[Salesperson]])))</f>
        <v>Suresh</v>
      </c>
      <c r="M1166" t="s">
        <v>54</v>
      </c>
      <c r="N1166" t="str">
        <f t="shared" si="129"/>
        <v>Debit Card</v>
      </c>
      <c r="O1166" t="s">
        <v>41</v>
      </c>
      <c r="P1166">
        <f t="shared" si="130"/>
        <v>10</v>
      </c>
      <c r="Q1166" t="s">
        <v>117</v>
      </c>
      <c r="R1166">
        <f t="shared" si="131"/>
        <v>540</v>
      </c>
      <c r="S1166" t="s">
        <v>2871</v>
      </c>
      <c r="T1166">
        <f t="shared" si="132"/>
        <v>5400</v>
      </c>
      <c r="U1166">
        <f>YEAR(Sales_Table[[#This Row],[Date_clean]])</f>
        <v>2024</v>
      </c>
      <c r="V1166" t="str">
        <f>TEXT(Sales_Table[[#This Row],[Date_clean]],"mmmm")</f>
        <v>February</v>
      </c>
      <c r="W1166">
        <f>WEEKNUM(Sales_Table[[#This Row],[Date_clean]],2)</f>
        <v>7</v>
      </c>
      <c r="X1166" t="str" cm="1">
        <f t="array" ref="X1166">_xlfn.IFS(Sales_Table[[#This Row],[Revenue]]&gt;=50000,"High",Sales_Table[[#This Row],[Revenue]]&gt;=20000,"Medium",Sales_Table[[#This Row],[Revenue]]&lt;20000,"Low")</f>
        <v>Low</v>
      </c>
      <c r="Y1166" t="str">
        <f>IF(Sales_Table[[#This Row],[Payment Method_clean]]="cash","Offline","Online")</f>
        <v>Online</v>
      </c>
      <c r="Z1166">
        <f>IFERROR(Sales_Table[[#This Row],[Revenue]],0)</f>
        <v>5400</v>
      </c>
    </row>
    <row r="1167" spans="1:26" x14ac:dyDescent="0.3">
      <c r="A1167">
        <v>1166</v>
      </c>
      <c r="B1167" s="2">
        <f t="shared" si="126"/>
        <v>45340.541666666664</v>
      </c>
      <c r="C1167" t="s">
        <v>2872</v>
      </c>
      <c r="D1167" t="s">
        <v>84</v>
      </c>
      <c r="E1167" t="str">
        <f>PROPER(TRIM(CLEAN(Sales_Table[[#This Row],[Region]])))</f>
        <v>South</v>
      </c>
      <c r="F1167" t="s">
        <v>78</v>
      </c>
      <c r="G1167" t="str">
        <f t="shared" si="127"/>
        <v>Grocery</v>
      </c>
      <c r="H1167" t="str">
        <f>PROPER(TRIM(CLEAN(Sales_Table[[#This Row],[Product Name]])))</f>
        <v>Led Tv 42Inch</v>
      </c>
      <c r="I1167" t="s">
        <v>58</v>
      </c>
      <c r="J1167" t="str">
        <f t="shared" si="128"/>
        <v>CUST0554</v>
      </c>
      <c r="K1167" t="s">
        <v>2873</v>
      </c>
      <c r="L1167" t="str">
        <f>PROPER(TRIM(CLEAN(Sales_Table[[#This Row],[Salesperson]])))</f>
        <v>Rahul</v>
      </c>
      <c r="M1167" t="s">
        <v>31</v>
      </c>
      <c r="N1167" t="str">
        <f t="shared" si="129"/>
        <v>Cash</v>
      </c>
      <c r="O1167" t="s">
        <v>32</v>
      </c>
      <c r="P1167">
        <f t="shared" si="130"/>
        <v>3</v>
      </c>
      <c r="Q1167" t="s">
        <v>66</v>
      </c>
      <c r="R1167">
        <f t="shared" si="131"/>
        <v>3357</v>
      </c>
      <c r="S1167" t="s">
        <v>2874</v>
      </c>
      <c r="T1167">
        <f t="shared" si="132"/>
        <v>10071</v>
      </c>
      <c r="U1167">
        <f>YEAR(Sales_Table[[#This Row],[Date_clean]])</f>
        <v>2024</v>
      </c>
      <c r="V1167" t="str">
        <f>TEXT(Sales_Table[[#This Row],[Date_clean]],"mmmm")</f>
        <v>February</v>
      </c>
      <c r="W1167">
        <f>WEEKNUM(Sales_Table[[#This Row],[Date_clean]],2)</f>
        <v>7</v>
      </c>
      <c r="X1167" t="str" cm="1">
        <f t="array" ref="X1167">_xlfn.IFS(Sales_Table[[#This Row],[Revenue]]&gt;=50000,"High",Sales_Table[[#This Row],[Revenue]]&gt;=20000,"Medium",Sales_Table[[#This Row],[Revenue]]&lt;20000,"Low")</f>
        <v>Low</v>
      </c>
      <c r="Y1167" t="str">
        <f>IF(Sales_Table[[#This Row],[Payment Method_clean]]="cash","Offline","Online")</f>
        <v>Offline</v>
      </c>
      <c r="Z1167">
        <f>IFERROR(Sales_Table[[#This Row],[Revenue]],0)</f>
        <v>10071</v>
      </c>
    </row>
    <row r="1168" spans="1:26" x14ac:dyDescent="0.3">
      <c r="A1168">
        <v>1167</v>
      </c>
      <c r="B1168" s="2">
        <f t="shared" si="126"/>
        <v>45340.583333333336</v>
      </c>
      <c r="C1168" t="s">
        <v>2875</v>
      </c>
      <c r="D1168" t="s">
        <v>45</v>
      </c>
      <c r="E1168" t="str">
        <f>PROPER(TRIM(CLEAN(Sales_Table[[#This Row],[Region]])))</f>
        <v>North</v>
      </c>
      <c r="F1168" t="s">
        <v>46</v>
      </c>
      <c r="G1168" t="str">
        <f t="shared" si="127"/>
        <v>Electronics</v>
      </c>
      <c r="H1168" t="str">
        <f>PROPER(TRIM(CLEAN(Sales_Table[[#This Row],[Product Name]])))</f>
        <v>Washing Machine</v>
      </c>
      <c r="I1168" t="s">
        <v>79</v>
      </c>
      <c r="J1168" t="str">
        <f t="shared" si="128"/>
        <v>CUST0303</v>
      </c>
      <c r="K1168" t="s">
        <v>1877</v>
      </c>
      <c r="L1168" t="str">
        <f>PROPER(TRIM(CLEAN(Sales_Table[[#This Row],[Salesperson]])))</f>
        <v>Karthik</v>
      </c>
      <c r="M1168" t="s">
        <v>70</v>
      </c>
      <c r="N1168" t="str">
        <f t="shared" si="129"/>
        <v>Net Banking</v>
      </c>
      <c r="O1168" t="s">
        <v>60</v>
      </c>
      <c r="P1168">
        <f t="shared" si="130"/>
        <v>8</v>
      </c>
      <c r="Q1168" t="s">
        <v>42</v>
      </c>
      <c r="R1168">
        <f t="shared" si="131"/>
        <v>3006</v>
      </c>
      <c r="S1168" t="s">
        <v>2876</v>
      </c>
      <c r="T1168">
        <f t="shared" si="132"/>
        <v>24048</v>
      </c>
      <c r="U1168">
        <f>YEAR(Sales_Table[[#This Row],[Date_clean]])</f>
        <v>2024</v>
      </c>
      <c r="V1168" t="str">
        <f>TEXT(Sales_Table[[#This Row],[Date_clean]],"mmmm")</f>
        <v>February</v>
      </c>
      <c r="W1168">
        <f>WEEKNUM(Sales_Table[[#This Row],[Date_clean]],2)</f>
        <v>7</v>
      </c>
      <c r="X1168" t="str" cm="1">
        <f t="array" ref="X1168">_xlfn.IFS(Sales_Table[[#This Row],[Revenue]]&gt;=50000,"High",Sales_Table[[#This Row],[Revenue]]&gt;=20000,"Medium",Sales_Table[[#This Row],[Revenue]]&lt;20000,"Low")</f>
        <v>Medium</v>
      </c>
      <c r="Y1168" t="str">
        <f>IF(Sales_Table[[#This Row],[Payment Method_clean]]="cash","Offline","Online")</f>
        <v>Online</v>
      </c>
      <c r="Z1168">
        <f>IFERROR(Sales_Table[[#This Row],[Revenue]],0)</f>
        <v>24048</v>
      </c>
    </row>
    <row r="1169" spans="1:26" x14ac:dyDescent="0.3">
      <c r="A1169">
        <v>1168</v>
      </c>
      <c r="B1169" s="2">
        <f t="shared" si="126"/>
        <v>45340.625</v>
      </c>
      <c r="C1169" t="s">
        <v>2877</v>
      </c>
      <c r="D1169" t="s">
        <v>84</v>
      </c>
      <c r="E1169" t="str">
        <f>PROPER(TRIM(CLEAN(Sales_Table[[#This Row],[Region]])))</f>
        <v>South</v>
      </c>
      <c r="F1169" t="s">
        <v>78</v>
      </c>
      <c r="G1169" t="str">
        <f t="shared" si="127"/>
        <v>Grocery</v>
      </c>
      <c r="H1169" t="str">
        <f>PROPER(TRIM(CLEAN(Sales_Table[[#This Row],[Product Name]])))</f>
        <v>Laptop</v>
      </c>
      <c r="I1169" t="s">
        <v>52</v>
      </c>
      <c r="J1169" t="str">
        <f t="shared" si="128"/>
        <v>CUST0421</v>
      </c>
      <c r="K1169" t="s">
        <v>2878</v>
      </c>
      <c r="L1169" t="str">
        <f>PROPER(TRIM(CLEAN(Sales_Table[[#This Row],[Salesperson]])))</f>
        <v>Suresh</v>
      </c>
      <c r="M1169" t="s">
        <v>54</v>
      </c>
      <c r="N1169" t="str">
        <f t="shared" si="129"/>
        <v>Cash</v>
      </c>
      <c r="O1169" t="s">
        <v>32</v>
      </c>
      <c r="P1169">
        <f t="shared" si="130"/>
        <v>1</v>
      </c>
      <c r="Q1169" t="s">
        <v>93</v>
      </c>
      <c r="R1169">
        <f t="shared" si="131"/>
        <v>326</v>
      </c>
      <c r="S1169" t="s">
        <v>2879</v>
      </c>
      <c r="T1169">
        <f t="shared" si="132"/>
        <v>326</v>
      </c>
      <c r="U1169">
        <f>YEAR(Sales_Table[[#This Row],[Date_clean]])</f>
        <v>2024</v>
      </c>
      <c r="V1169" t="str">
        <f>TEXT(Sales_Table[[#This Row],[Date_clean]],"mmmm")</f>
        <v>February</v>
      </c>
      <c r="W1169">
        <f>WEEKNUM(Sales_Table[[#This Row],[Date_clean]],2)</f>
        <v>7</v>
      </c>
      <c r="X1169" t="str" cm="1">
        <f t="array" ref="X1169">_xlfn.IFS(Sales_Table[[#This Row],[Revenue]]&gt;=50000,"High",Sales_Table[[#This Row],[Revenue]]&gt;=20000,"Medium",Sales_Table[[#This Row],[Revenue]]&lt;20000,"Low")</f>
        <v>Low</v>
      </c>
      <c r="Y1169" t="str">
        <f>IF(Sales_Table[[#This Row],[Payment Method_clean]]="cash","Offline","Online")</f>
        <v>Offline</v>
      </c>
      <c r="Z1169">
        <f>IFERROR(Sales_Table[[#This Row],[Revenue]],0)</f>
        <v>326</v>
      </c>
    </row>
    <row r="1170" spans="1:26" x14ac:dyDescent="0.3">
      <c r="A1170">
        <v>1169</v>
      </c>
      <c r="B1170" s="2">
        <f t="shared" si="126"/>
        <v>45340.666666666664</v>
      </c>
      <c r="C1170" t="s">
        <v>2880</v>
      </c>
      <c r="D1170" t="s">
        <v>27</v>
      </c>
      <c r="E1170" t="str">
        <f>PROPER(TRIM(CLEAN(Sales_Table[[#This Row],[Region]])))</f>
        <v>East</v>
      </c>
      <c r="F1170" t="s">
        <v>46</v>
      </c>
      <c r="G1170" t="str">
        <f t="shared" si="127"/>
        <v>Electronics</v>
      </c>
      <c r="H1170" t="str">
        <f>PROPER(TRIM(CLEAN(Sales_Table[[#This Row],[Product Name]])))</f>
        <v>Washing Machine</v>
      </c>
      <c r="I1170" t="s">
        <v>79</v>
      </c>
      <c r="J1170" t="str">
        <f t="shared" si="128"/>
        <v>CUST0246</v>
      </c>
      <c r="K1170" t="s">
        <v>1826</v>
      </c>
      <c r="L1170" t="str">
        <f>PROPER(TRIM(CLEAN(Sales_Table[[#This Row],[Salesperson]])))</f>
        <v>Rahul</v>
      </c>
      <c r="M1170" t="s">
        <v>31</v>
      </c>
      <c r="N1170" t="str">
        <f t="shared" si="129"/>
        <v>Cash</v>
      </c>
      <c r="O1170" t="s">
        <v>32</v>
      </c>
      <c r="P1170">
        <f t="shared" si="130"/>
        <v>8</v>
      </c>
      <c r="Q1170" t="s">
        <v>42</v>
      </c>
      <c r="R1170">
        <f t="shared" si="131"/>
        <v>2501</v>
      </c>
      <c r="S1170" t="s">
        <v>2881</v>
      </c>
      <c r="T1170">
        <f t="shared" si="132"/>
        <v>20008</v>
      </c>
      <c r="U1170">
        <f>YEAR(Sales_Table[[#This Row],[Date_clean]])</f>
        <v>2024</v>
      </c>
      <c r="V1170" t="str">
        <f>TEXT(Sales_Table[[#This Row],[Date_clean]],"mmmm")</f>
        <v>February</v>
      </c>
      <c r="W1170">
        <f>WEEKNUM(Sales_Table[[#This Row],[Date_clean]],2)</f>
        <v>7</v>
      </c>
      <c r="X1170" t="str" cm="1">
        <f t="array" ref="X1170">_xlfn.IFS(Sales_Table[[#This Row],[Revenue]]&gt;=50000,"High",Sales_Table[[#This Row],[Revenue]]&gt;=20000,"Medium",Sales_Table[[#This Row],[Revenue]]&lt;20000,"Low")</f>
        <v>Medium</v>
      </c>
      <c r="Y1170" t="str">
        <f>IF(Sales_Table[[#This Row],[Payment Method_clean]]="cash","Offline","Online")</f>
        <v>Offline</v>
      </c>
      <c r="Z1170">
        <f>IFERROR(Sales_Table[[#This Row],[Revenue]],0)</f>
        <v>20008</v>
      </c>
    </row>
    <row r="1171" spans="1:26" x14ac:dyDescent="0.3">
      <c r="A1171">
        <v>1170</v>
      </c>
      <c r="B1171" s="2">
        <f t="shared" si="126"/>
        <v>45340.708333333336</v>
      </c>
      <c r="C1171" t="s">
        <v>2882</v>
      </c>
      <c r="D1171" t="s">
        <v>27</v>
      </c>
      <c r="E1171" t="str">
        <f>PROPER(TRIM(CLEAN(Sales_Table[[#This Row],[Region]])))</f>
        <v>East</v>
      </c>
      <c r="F1171" t="s">
        <v>37</v>
      </c>
      <c r="G1171" t="str">
        <f t="shared" si="127"/>
        <v>Home Appliances</v>
      </c>
      <c r="H1171" t="str">
        <f>PROPER(TRIM(CLEAN(Sales_Table[[#This Row],[Product Name]])))</f>
        <v>Laptop</v>
      </c>
      <c r="I1171" t="s">
        <v>52</v>
      </c>
      <c r="J1171" t="str">
        <f t="shared" si="128"/>
        <v>CUST0720</v>
      </c>
      <c r="K1171" t="s">
        <v>1158</v>
      </c>
      <c r="L1171" t="str">
        <f>PROPER(TRIM(CLEAN(Sales_Table[[#This Row],[Salesperson]])))</f>
        <v>Rahul</v>
      </c>
      <c r="M1171" t="s">
        <v>31</v>
      </c>
      <c r="N1171" t="str">
        <f t="shared" si="129"/>
        <v>Net Banking</v>
      </c>
      <c r="O1171" t="s">
        <v>60</v>
      </c>
      <c r="P1171">
        <f t="shared" si="130"/>
        <v>13</v>
      </c>
      <c r="Q1171" t="s">
        <v>81</v>
      </c>
      <c r="R1171">
        <f t="shared" si="131"/>
        <v>4818</v>
      </c>
      <c r="S1171" t="s">
        <v>2883</v>
      </c>
      <c r="T1171">
        <f t="shared" si="132"/>
        <v>62634</v>
      </c>
      <c r="U1171">
        <f>YEAR(Sales_Table[[#This Row],[Date_clean]])</f>
        <v>2024</v>
      </c>
      <c r="V1171" t="str">
        <f>TEXT(Sales_Table[[#This Row],[Date_clean]],"mmmm")</f>
        <v>February</v>
      </c>
      <c r="W1171">
        <f>WEEKNUM(Sales_Table[[#This Row],[Date_clean]],2)</f>
        <v>7</v>
      </c>
      <c r="X1171" t="str" cm="1">
        <f t="array" ref="X1171">_xlfn.IFS(Sales_Table[[#This Row],[Revenue]]&gt;=50000,"High",Sales_Table[[#This Row],[Revenue]]&gt;=20000,"Medium",Sales_Table[[#This Row],[Revenue]]&lt;20000,"Low")</f>
        <v>High</v>
      </c>
      <c r="Y1171" t="str">
        <f>IF(Sales_Table[[#This Row],[Payment Method_clean]]="cash","Offline","Online")</f>
        <v>Online</v>
      </c>
      <c r="Z1171">
        <f>IFERROR(Sales_Table[[#This Row],[Revenue]],0)</f>
        <v>62634</v>
      </c>
    </row>
    <row r="1172" spans="1:26" x14ac:dyDescent="0.3">
      <c r="A1172">
        <v>1171</v>
      </c>
      <c r="B1172" s="2">
        <f t="shared" si="126"/>
        <v>45340.75</v>
      </c>
      <c r="C1172" t="s">
        <v>2884</v>
      </c>
      <c r="D1172" t="s">
        <v>36</v>
      </c>
      <c r="E1172" t="str">
        <f>PROPER(TRIM(CLEAN(Sales_Table[[#This Row],[Region]])))</f>
        <v>West</v>
      </c>
      <c r="F1172" t="s">
        <v>28</v>
      </c>
      <c r="G1172" t="str">
        <f t="shared" si="127"/>
        <v>Clothing</v>
      </c>
      <c r="H1172" t="str">
        <f>PROPER(TRIM(CLEAN(Sales_Table[[#This Row],[Product Name]])))</f>
        <v>Laptop</v>
      </c>
      <c r="I1172" t="s">
        <v>52</v>
      </c>
      <c r="J1172" t="str">
        <f t="shared" si="128"/>
        <v>CUST0237</v>
      </c>
      <c r="K1172" t="s">
        <v>240</v>
      </c>
      <c r="L1172" t="str">
        <f>PROPER(TRIM(CLEAN(Sales_Table[[#This Row],[Salesperson]])))</f>
        <v>Karthik</v>
      </c>
      <c r="M1172" t="s">
        <v>70</v>
      </c>
      <c r="N1172" t="str">
        <f t="shared" si="129"/>
        <v>Credit Card</v>
      </c>
      <c r="O1172" t="s">
        <v>65</v>
      </c>
      <c r="P1172">
        <f t="shared" si="130"/>
        <v>7</v>
      </c>
      <c r="Q1172" t="s">
        <v>49</v>
      </c>
      <c r="R1172">
        <f t="shared" si="131"/>
        <v>1124</v>
      </c>
      <c r="S1172" t="s">
        <v>2885</v>
      </c>
      <c r="T1172">
        <f t="shared" si="132"/>
        <v>7868</v>
      </c>
      <c r="U1172">
        <f>YEAR(Sales_Table[[#This Row],[Date_clean]])</f>
        <v>2024</v>
      </c>
      <c r="V1172" t="str">
        <f>TEXT(Sales_Table[[#This Row],[Date_clean]],"mmmm")</f>
        <v>February</v>
      </c>
      <c r="W1172">
        <f>WEEKNUM(Sales_Table[[#This Row],[Date_clean]],2)</f>
        <v>7</v>
      </c>
      <c r="X1172" t="str" cm="1">
        <f t="array" ref="X1172">_xlfn.IFS(Sales_Table[[#This Row],[Revenue]]&gt;=50000,"High",Sales_Table[[#This Row],[Revenue]]&gt;=20000,"Medium",Sales_Table[[#This Row],[Revenue]]&lt;20000,"Low")</f>
        <v>Low</v>
      </c>
      <c r="Y1172" t="str">
        <f>IF(Sales_Table[[#This Row],[Payment Method_clean]]="cash","Offline","Online")</f>
        <v>Online</v>
      </c>
      <c r="Z1172">
        <f>IFERROR(Sales_Table[[#This Row],[Revenue]],0)</f>
        <v>7868</v>
      </c>
    </row>
    <row r="1173" spans="1:26" x14ac:dyDescent="0.3">
      <c r="A1173">
        <v>1172</v>
      </c>
      <c r="B1173" s="2">
        <f t="shared" si="126"/>
        <v>45340.791666666664</v>
      </c>
      <c r="C1173" t="s">
        <v>2886</v>
      </c>
      <c r="D1173" t="s">
        <v>27</v>
      </c>
      <c r="E1173" t="str">
        <f>PROPER(TRIM(CLEAN(Sales_Table[[#This Row],[Region]])))</f>
        <v>East</v>
      </c>
      <c r="F1173" t="s">
        <v>28</v>
      </c>
      <c r="G1173" t="str">
        <f t="shared" si="127"/>
        <v>Clothing</v>
      </c>
      <c r="H1173" t="str">
        <f>PROPER(TRIM(CLEAN(Sales_Table[[#This Row],[Product Name]])))</f>
        <v>Laptop</v>
      </c>
      <c r="I1173" t="s">
        <v>52</v>
      </c>
      <c r="J1173" t="str">
        <f t="shared" si="128"/>
        <v>CUST0534</v>
      </c>
      <c r="K1173" t="s">
        <v>387</v>
      </c>
      <c r="L1173" t="str">
        <f>PROPER(TRIM(CLEAN(Sales_Table[[#This Row],[Salesperson]])))</f>
        <v>Suresh</v>
      </c>
      <c r="M1173" t="s">
        <v>54</v>
      </c>
      <c r="N1173" t="str">
        <f t="shared" si="129"/>
        <v>Debit Card</v>
      </c>
      <c r="O1173" t="s">
        <v>41</v>
      </c>
      <c r="P1173">
        <f t="shared" si="130"/>
        <v>13</v>
      </c>
      <c r="Q1173" t="s">
        <v>81</v>
      </c>
      <c r="R1173">
        <f t="shared" si="131"/>
        <v>3591</v>
      </c>
      <c r="S1173" t="s">
        <v>2887</v>
      </c>
      <c r="T1173">
        <f t="shared" si="132"/>
        <v>46683</v>
      </c>
      <c r="U1173">
        <f>YEAR(Sales_Table[[#This Row],[Date_clean]])</f>
        <v>2024</v>
      </c>
      <c r="V1173" t="str">
        <f>TEXT(Sales_Table[[#This Row],[Date_clean]],"mmmm")</f>
        <v>February</v>
      </c>
      <c r="W1173">
        <f>WEEKNUM(Sales_Table[[#This Row],[Date_clean]],2)</f>
        <v>7</v>
      </c>
      <c r="X1173" t="str" cm="1">
        <f t="array" ref="X1173">_xlfn.IFS(Sales_Table[[#This Row],[Revenue]]&gt;=50000,"High",Sales_Table[[#This Row],[Revenue]]&gt;=20000,"Medium",Sales_Table[[#This Row],[Revenue]]&lt;20000,"Low")</f>
        <v>Medium</v>
      </c>
      <c r="Y1173" t="str">
        <f>IF(Sales_Table[[#This Row],[Payment Method_clean]]="cash","Offline","Online")</f>
        <v>Online</v>
      </c>
      <c r="Z1173">
        <f>IFERROR(Sales_Table[[#This Row],[Revenue]],0)</f>
        <v>46683</v>
      </c>
    </row>
    <row r="1174" spans="1:26" x14ac:dyDescent="0.3">
      <c r="A1174">
        <v>1173</v>
      </c>
      <c r="B1174" s="2">
        <f t="shared" si="126"/>
        <v>45340.833333333336</v>
      </c>
      <c r="C1174" t="s">
        <v>2888</v>
      </c>
      <c r="D1174" t="s">
        <v>27</v>
      </c>
      <c r="E1174" t="str">
        <f>PROPER(TRIM(CLEAN(Sales_Table[[#This Row],[Region]])))</f>
        <v>East</v>
      </c>
      <c r="F1174" t="s">
        <v>78</v>
      </c>
      <c r="G1174" t="str">
        <f t="shared" si="127"/>
        <v>Grocery</v>
      </c>
      <c r="H1174" t="str">
        <f>PROPER(TRIM(CLEAN(Sales_Table[[#This Row],[Product Name]])))</f>
        <v>Laptop</v>
      </c>
      <c r="I1174" t="s">
        <v>52</v>
      </c>
      <c r="J1174" t="str">
        <f t="shared" si="128"/>
        <v>CUST0185</v>
      </c>
      <c r="K1174" t="s">
        <v>1287</v>
      </c>
      <c r="L1174" t="str">
        <f>PROPER(TRIM(CLEAN(Sales_Table[[#This Row],[Salesperson]])))</f>
        <v>Karthik</v>
      </c>
      <c r="M1174" t="s">
        <v>70</v>
      </c>
      <c r="N1174" t="str">
        <f t="shared" si="129"/>
        <v>Debit Card</v>
      </c>
      <c r="O1174" t="s">
        <v>41</v>
      </c>
      <c r="P1174">
        <f t="shared" si="130"/>
        <v>8</v>
      </c>
      <c r="Q1174" t="s">
        <v>42</v>
      </c>
      <c r="R1174">
        <f t="shared" si="131"/>
        <v>4356</v>
      </c>
      <c r="S1174" t="s">
        <v>2889</v>
      </c>
      <c r="T1174">
        <f t="shared" si="132"/>
        <v>34848</v>
      </c>
      <c r="U1174">
        <f>YEAR(Sales_Table[[#This Row],[Date_clean]])</f>
        <v>2024</v>
      </c>
      <c r="V1174" t="str">
        <f>TEXT(Sales_Table[[#This Row],[Date_clean]],"mmmm")</f>
        <v>February</v>
      </c>
      <c r="W1174">
        <f>WEEKNUM(Sales_Table[[#This Row],[Date_clean]],2)</f>
        <v>7</v>
      </c>
      <c r="X1174" t="str" cm="1">
        <f t="array" ref="X1174">_xlfn.IFS(Sales_Table[[#This Row],[Revenue]]&gt;=50000,"High",Sales_Table[[#This Row],[Revenue]]&gt;=20000,"Medium",Sales_Table[[#This Row],[Revenue]]&lt;20000,"Low")</f>
        <v>Medium</v>
      </c>
      <c r="Y1174" t="str">
        <f>IF(Sales_Table[[#This Row],[Payment Method_clean]]="cash","Offline","Online")</f>
        <v>Online</v>
      </c>
      <c r="Z1174">
        <f>IFERROR(Sales_Table[[#This Row],[Revenue]],0)</f>
        <v>34848</v>
      </c>
    </row>
    <row r="1175" spans="1:26" x14ac:dyDescent="0.3">
      <c r="A1175">
        <v>1174</v>
      </c>
      <c r="B1175" s="2">
        <f t="shared" si="126"/>
        <v>45340.875</v>
      </c>
      <c r="C1175" t="s">
        <v>2890</v>
      </c>
      <c r="D1175" t="s">
        <v>27</v>
      </c>
      <c r="E1175" t="str">
        <f>PROPER(TRIM(CLEAN(Sales_Table[[#This Row],[Region]])))</f>
        <v>East</v>
      </c>
      <c r="F1175" t="s">
        <v>46</v>
      </c>
      <c r="G1175" t="str">
        <f t="shared" si="127"/>
        <v>Electronics</v>
      </c>
      <c r="H1175" t="str">
        <f>PROPER(TRIM(CLEAN(Sales_Table[[#This Row],[Product Name]])))</f>
        <v>Laptop</v>
      </c>
      <c r="I1175" t="s">
        <v>52</v>
      </c>
      <c r="J1175" t="str">
        <f t="shared" si="128"/>
        <v>CUST0468</v>
      </c>
      <c r="K1175" t="s">
        <v>652</v>
      </c>
      <c r="L1175" t="str">
        <f>PROPER(TRIM(CLEAN(Sales_Table[[#This Row],[Salesperson]])))</f>
        <v>Meena</v>
      </c>
      <c r="M1175" t="s">
        <v>40</v>
      </c>
      <c r="N1175" t="str">
        <f t="shared" si="129"/>
        <v>Cash</v>
      </c>
      <c r="O1175" t="s">
        <v>32</v>
      </c>
      <c r="P1175">
        <f t="shared" si="130"/>
        <v>1</v>
      </c>
      <c r="Q1175" t="s">
        <v>93</v>
      </c>
      <c r="R1175">
        <f t="shared" si="131"/>
        <v>970</v>
      </c>
      <c r="S1175" t="s">
        <v>2891</v>
      </c>
      <c r="T1175">
        <f t="shared" si="132"/>
        <v>970</v>
      </c>
      <c r="U1175">
        <f>YEAR(Sales_Table[[#This Row],[Date_clean]])</f>
        <v>2024</v>
      </c>
      <c r="V1175" t="str">
        <f>TEXT(Sales_Table[[#This Row],[Date_clean]],"mmmm")</f>
        <v>February</v>
      </c>
      <c r="W1175">
        <f>WEEKNUM(Sales_Table[[#This Row],[Date_clean]],2)</f>
        <v>7</v>
      </c>
      <c r="X1175" t="str" cm="1">
        <f t="array" ref="X1175">_xlfn.IFS(Sales_Table[[#This Row],[Revenue]]&gt;=50000,"High",Sales_Table[[#This Row],[Revenue]]&gt;=20000,"Medium",Sales_Table[[#This Row],[Revenue]]&lt;20000,"Low")</f>
        <v>Low</v>
      </c>
      <c r="Y1175" t="str">
        <f>IF(Sales_Table[[#This Row],[Payment Method_clean]]="cash","Offline","Online")</f>
        <v>Offline</v>
      </c>
      <c r="Z1175">
        <f>IFERROR(Sales_Table[[#This Row],[Revenue]],0)</f>
        <v>970</v>
      </c>
    </row>
    <row r="1176" spans="1:26" x14ac:dyDescent="0.3">
      <c r="A1176">
        <v>1175</v>
      </c>
      <c r="B1176" s="2">
        <f t="shared" si="126"/>
        <v>45340.916666666664</v>
      </c>
      <c r="C1176" t="s">
        <v>2892</v>
      </c>
      <c r="D1176" t="s">
        <v>45</v>
      </c>
      <c r="E1176" t="str">
        <f>PROPER(TRIM(CLEAN(Sales_Table[[#This Row],[Region]])))</f>
        <v>North</v>
      </c>
      <c r="F1176" t="s">
        <v>28</v>
      </c>
      <c r="G1176" t="str">
        <f t="shared" si="127"/>
        <v>Clothing</v>
      </c>
      <c r="H1176" t="str">
        <f>PROPER(TRIM(CLEAN(Sales_Table[[#This Row],[Product Name]])))</f>
        <v>Led Tv 42Inch</v>
      </c>
      <c r="I1176" t="s">
        <v>58</v>
      </c>
      <c r="J1176" t="str">
        <f t="shared" si="128"/>
        <v>CUST0754</v>
      </c>
      <c r="K1176" t="s">
        <v>726</v>
      </c>
      <c r="L1176" t="str">
        <f>PROPER(TRIM(CLEAN(Sales_Table[[#This Row],[Salesperson]])))</f>
        <v>Rahul</v>
      </c>
      <c r="M1176" t="s">
        <v>31</v>
      </c>
      <c r="N1176" t="str">
        <f t="shared" si="129"/>
        <v>Net Banking</v>
      </c>
      <c r="O1176" t="s">
        <v>60</v>
      </c>
      <c r="P1176">
        <f t="shared" si="130"/>
        <v>6</v>
      </c>
      <c r="Q1176" t="s">
        <v>75</v>
      </c>
      <c r="R1176">
        <f t="shared" si="131"/>
        <v>3299</v>
      </c>
      <c r="S1176" t="s">
        <v>2893</v>
      </c>
      <c r="T1176">
        <f t="shared" si="132"/>
        <v>19794</v>
      </c>
      <c r="U1176">
        <f>YEAR(Sales_Table[[#This Row],[Date_clean]])</f>
        <v>2024</v>
      </c>
      <c r="V1176" t="str">
        <f>TEXT(Sales_Table[[#This Row],[Date_clean]],"mmmm")</f>
        <v>February</v>
      </c>
      <c r="W1176">
        <f>WEEKNUM(Sales_Table[[#This Row],[Date_clean]],2)</f>
        <v>7</v>
      </c>
      <c r="X1176" t="str" cm="1">
        <f t="array" ref="X1176">_xlfn.IFS(Sales_Table[[#This Row],[Revenue]]&gt;=50000,"High",Sales_Table[[#This Row],[Revenue]]&gt;=20000,"Medium",Sales_Table[[#This Row],[Revenue]]&lt;20000,"Low")</f>
        <v>Low</v>
      </c>
      <c r="Y1176" t="str">
        <f>IF(Sales_Table[[#This Row],[Payment Method_clean]]="cash","Offline","Online")</f>
        <v>Online</v>
      </c>
      <c r="Z1176">
        <f>IFERROR(Sales_Table[[#This Row],[Revenue]],0)</f>
        <v>19794</v>
      </c>
    </row>
    <row r="1177" spans="1:26" x14ac:dyDescent="0.3">
      <c r="A1177">
        <v>1176</v>
      </c>
      <c r="B1177" s="2">
        <f t="shared" si="126"/>
        <v>45340.958333333336</v>
      </c>
      <c r="C1177" t="s">
        <v>2894</v>
      </c>
      <c r="D1177" t="s">
        <v>27</v>
      </c>
      <c r="E1177" t="str">
        <f>PROPER(TRIM(CLEAN(Sales_Table[[#This Row],[Region]])))</f>
        <v>East</v>
      </c>
      <c r="F1177" t="s">
        <v>46</v>
      </c>
      <c r="G1177" t="str">
        <f t="shared" si="127"/>
        <v>Electronics</v>
      </c>
      <c r="H1177" t="str">
        <f>PROPER(TRIM(CLEAN(Sales_Table[[#This Row],[Product Name]])))</f>
        <v>Laptop</v>
      </c>
      <c r="I1177" t="s">
        <v>52</v>
      </c>
      <c r="J1177" t="str">
        <f t="shared" si="128"/>
        <v>CUST0363</v>
      </c>
      <c r="K1177" t="s">
        <v>2187</v>
      </c>
      <c r="L1177" t="str">
        <f>PROPER(TRIM(CLEAN(Sales_Table[[#This Row],[Salesperson]])))</f>
        <v>Karthik</v>
      </c>
      <c r="M1177" t="s">
        <v>70</v>
      </c>
      <c r="N1177" t="str">
        <f t="shared" si="129"/>
        <v>Upi</v>
      </c>
      <c r="O1177" t="s">
        <v>48</v>
      </c>
      <c r="P1177">
        <f t="shared" si="130"/>
        <v>7</v>
      </c>
      <c r="Q1177" t="s">
        <v>49</v>
      </c>
      <c r="R1177">
        <f t="shared" si="131"/>
        <v>1845</v>
      </c>
      <c r="S1177" t="s">
        <v>2895</v>
      </c>
      <c r="T1177">
        <f t="shared" si="132"/>
        <v>12915</v>
      </c>
      <c r="U1177">
        <f>YEAR(Sales_Table[[#This Row],[Date_clean]])</f>
        <v>2024</v>
      </c>
      <c r="V1177" t="str">
        <f>TEXT(Sales_Table[[#This Row],[Date_clean]],"mmmm")</f>
        <v>February</v>
      </c>
      <c r="W1177">
        <f>WEEKNUM(Sales_Table[[#This Row],[Date_clean]],2)</f>
        <v>7</v>
      </c>
      <c r="X1177" t="str" cm="1">
        <f t="array" ref="X1177">_xlfn.IFS(Sales_Table[[#This Row],[Revenue]]&gt;=50000,"High",Sales_Table[[#This Row],[Revenue]]&gt;=20000,"Medium",Sales_Table[[#This Row],[Revenue]]&lt;20000,"Low")</f>
        <v>Low</v>
      </c>
      <c r="Y1177" t="str">
        <f>IF(Sales_Table[[#This Row],[Payment Method_clean]]="cash","Offline","Online")</f>
        <v>Online</v>
      </c>
      <c r="Z1177">
        <f>IFERROR(Sales_Table[[#This Row],[Revenue]],0)</f>
        <v>12915</v>
      </c>
    </row>
    <row r="1178" spans="1:26" x14ac:dyDescent="0.3">
      <c r="A1178">
        <v>1177</v>
      </c>
      <c r="B1178" s="2">
        <f t="shared" si="126"/>
        <v>45341</v>
      </c>
      <c r="C1178" t="s">
        <v>2896</v>
      </c>
      <c r="D1178" t="s">
        <v>27</v>
      </c>
      <c r="E1178" t="str">
        <f>PROPER(TRIM(CLEAN(Sales_Table[[#This Row],[Region]])))</f>
        <v>East</v>
      </c>
      <c r="F1178" t="s">
        <v>46</v>
      </c>
      <c r="G1178" t="str">
        <f t="shared" si="127"/>
        <v>Electronics</v>
      </c>
      <c r="H1178" t="str">
        <f>PROPER(TRIM(CLEAN(Sales_Table[[#This Row],[Product Name]])))</f>
        <v>Led Tv 42Inch</v>
      </c>
      <c r="I1178" t="s">
        <v>58</v>
      </c>
      <c r="J1178" t="str">
        <f t="shared" si="128"/>
        <v>CUST0283</v>
      </c>
      <c r="K1178" t="s">
        <v>1776</v>
      </c>
      <c r="L1178" t="str">
        <f>PROPER(TRIM(CLEAN(Sales_Table[[#This Row],[Salesperson]])))</f>
        <v>Rahul</v>
      </c>
      <c r="M1178" t="s">
        <v>31</v>
      </c>
      <c r="N1178" t="str">
        <f t="shared" si="129"/>
        <v>Credit Card</v>
      </c>
      <c r="O1178" t="s">
        <v>65</v>
      </c>
      <c r="P1178">
        <f t="shared" si="130"/>
        <v>14</v>
      </c>
      <c r="Q1178" t="s">
        <v>55</v>
      </c>
      <c r="R1178">
        <f t="shared" si="131"/>
        <v>543</v>
      </c>
      <c r="S1178" t="s">
        <v>543</v>
      </c>
      <c r="T1178">
        <f t="shared" si="132"/>
        <v>7602</v>
      </c>
      <c r="U1178">
        <f>YEAR(Sales_Table[[#This Row],[Date_clean]])</f>
        <v>2024</v>
      </c>
      <c r="V1178" t="str">
        <f>TEXT(Sales_Table[[#This Row],[Date_clean]],"mmmm")</f>
        <v>February</v>
      </c>
      <c r="W1178">
        <f>WEEKNUM(Sales_Table[[#This Row],[Date_clean]],2)</f>
        <v>8</v>
      </c>
      <c r="X1178" t="str" cm="1">
        <f t="array" ref="X1178">_xlfn.IFS(Sales_Table[[#This Row],[Revenue]]&gt;=50000,"High",Sales_Table[[#This Row],[Revenue]]&gt;=20000,"Medium",Sales_Table[[#This Row],[Revenue]]&lt;20000,"Low")</f>
        <v>Low</v>
      </c>
      <c r="Y1178" t="str">
        <f>IF(Sales_Table[[#This Row],[Payment Method_clean]]="cash","Offline","Online")</f>
        <v>Online</v>
      </c>
      <c r="Z1178">
        <f>IFERROR(Sales_Table[[#This Row],[Revenue]],0)</f>
        <v>7602</v>
      </c>
    </row>
    <row r="1179" spans="1:26" x14ac:dyDescent="0.3">
      <c r="A1179">
        <v>1178</v>
      </c>
      <c r="B1179" s="2">
        <f t="shared" si="126"/>
        <v>45341.041666666664</v>
      </c>
      <c r="C1179" t="s">
        <v>2897</v>
      </c>
      <c r="D1179" t="s">
        <v>36</v>
      </c>
      <c r="E1179" t="str">
        <f>PROPER(TRIM(CLEAN(Sales_Table[[#This Row],[Region]])))</f>
        <v>West</v>
      </c>
      <c r="F1179" t="s">
        <v>78</v>
      </c>
      <c r="G1179" t="str">
        <f t="shared" si="127"/>
        <v>Grocery</v>
      </c>
      <c r="H1179" t="str">
        <f>PROPER(TRIM(CLEAN(Sales_Table[[#This Row],[Product Name]])))</f>
        <v>Laptop</v>
      </c>
      <c r="I1179" t="s">
        <v>52</v>
      </c>
      <c r="J1179" t="str">
        <f t="shared" si="128"/>
        <v>CUST0553</v>
      </c>
      <c r="K1179" t="s">
        <v>2898</v>
      </c>
      <c r="L1179" t="str">
        <f>PROPER(TRIM(CLEAN(Sales_Table[[#This Row],[Salesperson]])))</f>
        <v>Suresh</v>
      </c>
      <c r="M1179" t="s">
        <v>54</v>
      </c>
      <c r="N1179" t="str">
        <f t="shared" si="129"/>
        <v>Cash</v>
      </c>
      <c r="O1179" t="s">
        <v>32</v>
      </c>
      <c r="P1179">
        <f t="shared" si="130"/>
        <v>11</v>
      </c>
      <c r="Q1179" t="s">
        <v>97</v>
      </c>
      <c r="R1179">
        <f t="shared" si="131"/>
        <v>4658</v>
      </c>
      <c r="S1179" t="s">
        <v>50</v>
      </c>
      <c r="T1179">
        <f t="shared" si="132"/>
        <v>51238</v>
      </c>
      <c r="U1179">
        <f>YEAR(Sales_Table[[#This Row],[Date_clean]])</f>
        <v>2024</v>
      </c>
      <c r="V1179" t="str">
        <f>TEXT(Sales_Table[[#This Row],[Date_clean]],"mmmm")</f>
        <v>February</v>
      </c>
      <c r="W1179">
        <f>WEEKNUM(Sales_Table[[#This Row],[Date_clean]],2)</f>
        <v>8</v>
      </c>
      <c r="X1179" t="str" cm="1">
        <f t="array" ref="X1179">_xlfn.IFS(Sales_Table[[#This Row],[Revenue]]&gt;=50000,"High",Sales_Table[[#This Row],[Revenue]]&gt;=20000,"Medium",Sales_Table[[#This Row],[Revenue]]&lt;20000,"Low")</f>
        <v>High</v>
      </c>
      <c r="Y1179" t="str">
        <f>IF(Sales_Table[[#This Row],[Payment Method_clean]]="cash","Offline","Online")</f>
        <v>Offline</v>
      </c>
      <c r="Z1179">
        <f>IFERROR(Sales_Table[[#This Row],[Revenue]],0)</f>
        <v>51238</v>
      </c>
    </row>
    <row r="1180" spans="1:26" x14ac:dyDescent="0.3">
      <c r="A1180">
        <v>1179</v>
      </c>
      <c r="B1180" s="2">
        <f t="shared" si="126"/>
        <v>45341.083333333336</v>
      </c>
      <c r="C1180" t="s">
        <v>2899</v>
      </c>
      <c r="D1180" t="s">
        <v>27</v>
      </c>
      <c r="E1180" t="str">
        <f>PROPER(TRIM(CLEAN(Sales_Table[[#This Row],[Region]])))</f>
        <v>East</v>
      </c>
      <c r="F1180" t="s">
        <v>28</v>
      </c>
      <c r="G1180" t="str">
        <f t="shared" si="127"/>
        <v>Clothing</v>
      </c>
      <c r="H1180" t="str">
        <f>PROPER(TRIM(CLEAN(Sales_Table[[#This Row],[Product Name]])))</f>
        <v>Washing Machine</v>
      </c>
      <c r="I1180" t="s">
        <v>79</v>
      </c>
      <c r="J1180" t="str">
        <f t="shared" si="128"/>
        <v>CUST0336</v>
      </c>
      <c r="K1180" t="s">
        <v>267</v>
      </c>
      <c r="L1180" t="str">
        <f>PROPER(TRIM(CLEAN(Sales_Table[[#This Row],[Salesperson]])))</f>
        <v>Anita</v>
      </c>
      <c r="M1180" t="s">
        <v>64</v>
      </c>
      <c r="N1180" t="str">
        <f t="shared" si="129"/>
        <v>Debit Card</v>
      </c>
      <c r="O1180" t="s">
        <v>41</v>
      </c>
      <c r="P1180">
        <f t="shared" si="130"/>
        <v>5</v>
      </c>
      <c r="Q1180" t="s">
        <v>89</v>
      </c>
      <c r="R1180">
        <f t="shared" si="131"/>
        <v>572</v>
      </c>
      <c r="S1180" t="s">
        <v>2900</v>
      </c>
      <c r="T1180">
        <f t="shared" si="132"/>
        <v>2860</v>
      </c>
      <c r="U1180">
        <f>YEAR(Sales_Table[[#This Row],[Date_clean]])</f>
        <v>2024</v>
      </c>
      <c r="V1180" t="str">
        <f>TEXT(Sales_Table[[#This Row],[Date_clean]],"mmmm")</f>
        <v>February</v>
      </c>
      <c r="W1180">
        <f>WEEKNUM(Sales_Table[[#This Row],[Date_clean]],2)</f>
        <v>8</v>
      </c>
      <c r="X1180" t="str" cm="1">
        <f t="array" ref="X1180">_xlfn.IFS(Sales_Table[[#This Row],[Revenue]]&gt;=50000,"High",Sales_Table[[#This Row],[Revenue]]&gt;=20000,"Medium",Sales_Table[[#This Row],[Revenue]]&lt;20000,"Low")</f>
        <v>Low</v>
      </c>
      <c r="Y1180" t="str">
        <f>IF(Sales_Table[[#This Row],[Payment Method_clean]]="cash","Offline","Online")</f>
        <v>Online</v>
      </c>
      <c r="Z1180">
        <f>IFERROR(Sales_Table[[#This Row],[Revenue]],0)</f>
        <v>2860</v>
      </c>
    </row>
    <row r="1181" spans="1:26" x14ac:dyDescent="0.3">
      <c r="A1181">
        <v>1180</v>
      </c>
      <c r="B1181" s="2">
        <f t="shared" si="126"/>
        <v>45341.125</v>
      </c>
      <c r="C1181" t="s">
        <v>2901</v>
      </c>
      <c r="D1181" t="s">
        <v>27</v>
      </c>
      <c r="E1181" t="str">
        <f>PROPER(TRIM(CLEAN(Sales_Table[[#This Row],[Region]])))</f>
        <v>East</v>
      </c>
      <c r="F1181" t="s">
        <v>78</v>
      </c>
      <c r="G1181" t="str">
        <f t="shared" si="127"/>
        <v>Grocery</v>
      </c>
      <c r="H1181" t="str">
        <f>PROPER(TRIM(CLEAN(Sales_Table[[#This Row],[Product Name]])))</f>
        <v>Laptop</v>
      </c>
      <c r="I1181" t="s">
        <v>52</v>
      </c>
      <c r="J1181" t="str">
        <f t="shared" si="128"/>
        <v>CUST0162</v>
      </c>
      <c r="K1181" t="s">
        <v>1804</v>
      </c>
      <c r="L1181" t="str">
        <f>PROPER(TRIM(CLEAN(Sales_Table[[#This Row],[Salesperson]])))</f>
        <v>Karthik</v>
      </c>
      <c r="M1181" t="s">
        <v>70</v>
      </c>
      <c r="N1181" t="str">
        <f t="shared" si="129"/>
        <v>Net Banking</v>
      </c>
      <c r="O1181" t="s">
        <v>60</v>
      </c>
      <c r="P1181">
        <f t="shared" si="130"/>
        <v>14</v>
      </c>
      <c r="Q1181" t="s">
        <v>55</v>
      </c>
      <c r="R1181">
        <f t="shared" si="131"/>
        <v>179</v>
      </c>
      <c r="S1181" t="s">
        <v>2802</v>
      </c>
      <c r="T1181">
        <f t="shared" si="132"/>
        <v>2506</v>
      </c>
      <c r="U1181">
        <f>YEAR(Sales_Table[[#This Row],[Date_clean]])</f>
        <v>2024</v>
      </c>
      <c r="V1181" t="str">
        <f>TEXT(Sales_Table[[#This Row],[Date_clean]],"mmmm")</f>
        <v>February</v>
      </c>
      <c r="W1181">
        <f>WEEKNUM(Sales_Table[[#This Row],[Date_clean]],2)</f>
        <v>8</v>
      </c>
      <c r="X1181" t="str" cm="1">
        <f t="array" ref="X1181">_xlfn.IFS(Sales_Table[[#This Row],[Revenue]]&gt;=50000,"High",Sales_Table[[#This Row],[Revenue]]&gt;=20000,"Medium",Sales_Table[[#This Row],[Revenue]]&lt;20000,"Low")</f>
        <v>Low</v>
      </c>
      <c r="Y1181" t="str">
        <f>IF(Sales_Table[[#This Row],[Payment Method_clean]]="cash","Offline","Online")</f>
        <v>Online</v>
      </c>
      <c r="Z1181">
        <f>IFERROR(Sales_Table[[#This Row],[Revenue]],0)</f>
        <v>2506</v>
      </c>
    </row>
    <row r="1182" spans="1:26" x14ac:dyDescent="0.3">
      <c r="A1182">
        <v>1181</v>
      </c>
      <c r="B1182" s="2">
        <f t="shared" si="126"/>
        <v>45341.166666666664</v>
      </c>
      <c r="C1182" t="s">
        <v>2902</v>
      </c>
      <c r="D1182" t="s">
        <v>84</v>
      </c>
      <c r="E1182" t="str">
        <f>PROPER(TRIM(CLEAN(Sales_Table[[#This Row],[Region]])))</f>
        <v>South</v>
      </c>
      <c r="F1182" t="s">
        <v>78</v>
      </c>
      <c r="G1182" t="str">
        <f t="shared" si="127"/>
        <v>Grocery</v>
      </c>
      <c r="H1182" t="str">
        <f>PROPER(TRIM(CLEAN(Sales_Table[[#This Row],[Product Name]])))</f>
        <v>Men T-Shirt</v>
      </c>
      <c r="I1182" t="s">
        <v>38</v>
      </c>
      <c r="J1182" t="str">
        <f t="shared" si="128"/>
        <v>CUST0160</v>
      </c>
      <c r="K1182" t="s">
        <v>2903</v>
      </c>
      <c r="L1182" t="str">
        <f>PROPER(TRIM(CLEAN(Sales_Table[[#This Row],[Salesperson]])))</f>
        <v>Karthik</v>
      </c>
      <c r="M1182" t="s">
        <v>70</v>
      </c>
      <c r="N1182" t="str">
        <f t="shared" si="129"/>
        <v>Net Banking</v>
      </c>
      <c r="O1182" t="s">
        <v>60</v>
      </c>
      <c r="P1182">
        <f t="shared" si="130"/>
        <v>5</v>
      </c>
      <c r="Q1182" t="s">
        <v>89</v>
      </c>
      <c r="R1182">
        <f t="shared" si="131"/>
        <v>339</v>
      </c>
      <c r="S1182" t="s">
        <v>2904</v>
      </c>
      <c r="T1182">
        <f t="shared" si="132"/>
        <v>1695</v>
      </c>
      <c r="U1182">
        <f>YEAR(Sales_Table[[#This Row],[Date_clean]])</f>
        <v>2024</v>
      </c>
      <c r="V1182" t="str">
        <f>TEXT(Sales_Table[[#This Row],[Date_clean]],"mmmm")</f>
        <v>February</v>
      </c>
      <c r="W1182">
        <f>WEEKNUM(Sales_Table[[#This Row],[Date_clean]],2)</f>
        <v>8</v>
      </c>
      <c r="X1182" t="str" cm="1">
        <f t="array" ref="X1182">_xlfn.IFS(Sales_Table[[#This Row],[Revenue]]&gt;=50000,"High",Sales_Table[[#This Row],[Revenue]]&gt;=20000,"Medium",Sales_Table[[#This Row],[Revenue]]&lt;20000,"Low")</f>
        <v>Low</v>
      </c>
      <c r="Y1182" t="str">
        <f>IF(Sales_Table[[#This Row],[Payment Method_clean]]="cash","Offline","Online")</f>
        <v>Online</v>
      </c>
      <c r="Z1182">
        <f>IFERROR(Sales_Table[[#This Row],[Revenue]],0)</f>
        <v>1695</v>
      </c>
    </row>
    <row r="1183" spans="1:26" x14ac:dyDescent="0.3">
      <c r="A1183">
        <v>1182</v>
      </c>
      <c r="B1183" s="2">
        <f t="shared" si="126"/>
        <v>45341.208333333336</v>
      </c>
      <c r="C1183" t="s">
        <v>2905</v>
      </c>
      <c r="D1183" t="s">
        <v>36</v>
      </c>
      <c r="E1183" t="str">
        <f>PROPER(TRIM(CLEAN(Sales_Table[[#This Row],[Region]])))</f>
        <v>West</v>
      </c>
      <c r="F1183" t="s">
        <v>28</v>
      </c>
      <c r="G1183" t="str">
        <f t="shared" si="127"/>
        <v>Clothing</v>
      </c>
      <c r="H1183" t="str">
        <f>PROPER(TRIM(CLEAN(Sales_Table[[#This Row],[Product Name]])))</f>
        <v>Laptop</v>
      </c>
      <c r="I1183" t="s">
        <v>52</v>
      </c>
      <c r="J1183" t="str">
        <f t="shared" si="128"/>
        <v>CUST0474</v>
      </c>
      <c r="K1183" t="s">
        <v>1405</v>
      </c>
      <c r="L1183" t="str">
        <f>PROPER(TRIM(CLEAN(Sales_Table[[#This Row],[Salesperson]])))</f>
        <v>Rahul</v>
      </c>
      <c r="M1183" t="s">
        <v>31</v>
      </c>
      <c r="N1183" t="str">
        <f t="shared" si="129"/>
        <v>Cash</v>
      </c>
      <c r="O1183" t="s">
        <v>32</v>
      </c>
      <c r="P1183">
        <f t="shared" si="130"/>
        <v>7</v>
      </c>
      <c r="Q1183" t="s">
        <v>49</v>
      </c>
      <c r="R1183">
        <f t="shared" si="131"/>
        <v>4752</v>
      </c>
      <c r="S1183" t="s">
        <v>2906</v>
      </c>
      <c r="T1183">
        <f t="shared" si="132"/>
        <v>33264</v>
      </c>
      <c r="U1183">
        <f>YEAR(Sales_Table[[#This Row],[Date_clean]])</f>
        <v>2024</v>
      </c>
      <c r="V1183" t="str">
        <f>TEXT(Sales_Table[[#This Row],[Date_clean]],"mmmm")</f>
        <v>February</v>
      </c>
      <c r="W1183">
        <f>WEEKNUM(Sales_Table[[#This Row],[Date_clean]],2)</f>
        <v>8</v>
      </c>
      <c r="X1183" t="str" cm="1">
        <f t="array" ref="X1183">_xlfn.IFS(Sales_Table[[#This Row],[Revenue]]&gt;=50000,"High",Sales_Table[[#This Row],[Revenue]]&gt;=20000,"Medium",Sales_Table[[#This Row],[Revenue]]&lt;20000,"Low")</f>
        <v>Medium</v>
      </c>
      <c r="Y1183" t="str">
        <f>IF(Sales_Table[[#This Row],[Payment Method_clean]]="cash","Offline","Online")</f>
        <v>Offline</v>
      </c>
      <c r="Z1183">
        <f>IFERROR(Sales_Table[[#This Row],[Revenue]],0)</f>
        <v>33264</v>
      </c>
    </row>
    <row r="1184" spans="1:26" x14ac:dyDescent="0.3">
      <c r="A1184">
        <v>1183</v>
      </c>
      <c r="B1184" s="2">
        <f t="shared" si="126"/>
        <v>45341.25</v>
      </c>
      <c r="C1184" t="s">
        <v>2907</v>
      </c>
      <c r="D1184" t="s">
        <v>36</v>
      </c>
      <c r="E1184" t="str">
        <f>PROPER(TRIM(CLEAN(Sales_Table[[#This Row],[Region]])))</f>
        <v>West</v>
      </c>
      <c r="F1184" t="s">
        <v>28</v>
      </c>
      <c r="G1184" t="str">
        <f t="shared" si="127"/>
        <v>Clothing</v>
      </c>
      <c r="H1184" t="str">
        <f>PROPER(TRIM(CLEAN(Sales_Table[[#This Row],[Product Name]])))</f>
        <v>Laptop</v>
      </c>
      <c r="I1184" t="s">
        <v>52</v>
      </c>
      <c r="J1184" t="str">
        <f t="shared" si="128"/>
        <v>CUST0601</v>
      </c>
      <c r="K1184" t="s">
        <v>1829</v>
      </c>
      <c r="L1184" t="str">
        <f>PROPER(TRIM(CLEAN(Sales_Table[[#This Row],[Salesperson]])))</f>
        <v>Suresh</v>
      </c>
      <c r="M1184" t="s">
        <v>54</v>
      </c>
      <c r="N1184" t="str">
        <f t="shared" si="129"/>
        <v>Upi</v>
      </c>
      <c r="O1184" t="s">
        <v>48</v>
      </c>
      <c r="P1184">
        <f t="shared" si="130"/>
        <v>11</v>
      </c>
      <c r="Q1184" t="s">
        <v>97</v>
      </c>
      <c r="R1184">
        <f t="shared" si="131"/>
        <v>689</v>
      </c>
      <c r="S1184" t="s">
        <v>2908</v>
      </c>
      <c r="T1184">
        <f t="shared" si="132"/>
        <v>7579</v>
      </c>
      <c r="U1184">
        <f>YEAR(Sales_Table[[#This Row],[Date_clean]])</f>
        <v>2024</v>
      </c>
      <c r="V1184" t="str">
        <f>TEXT(Sales_Table[[#This Row],[Date_clean]],"mmmm")</f>
        <v>February</v>
      </c>
      <c r="W1184">
        <f>WEEKNUM(Sales_Table[[#This Row],[Date_clean]],2)</f>
        <v>8</v>
      </c>
      <c r="X1184" t="str" cm="1">
        <f t="array" ref="X1184">_xlfn.IFS(Sales_Table[[#This Row],[Revenue]]&gt;=50000,"High",Sales_Table[[#This Row],[Revenue]]&gt;=20000,"Medium",Sales_Table[[#This Row],[Revenue]]&lt;20000,"Low")</f>
        <v>Low</v>
      </c>
      <c r="Y1184" t="str">
        <f>IF(Sales_Table[[#This Row],[Payment Method_clean]]="cash","Offline","Online")</f>
        <v>Online</v>
      </c>
      <c r="Z1184">
        <f>IFERROR(Sales_Table[[#This Row],[Revenue]],0)</f>
        <v>7579</v>
      </c>
    </row>
    <row r="1185" spans="1:26" x14ac:dyDescent="0.3">
      <c r="A1185">
        <v>1184</v>
      </c>
      <c r="B1185" s="2">
        <f t="shared" si="126"/>
        <v>45341.291666666664</v>
      </c>
      <c r="C1185" t="s">
        <v>2909</v>
      </c>
      <c r="D1185" t="s">
        <v>36</v>
      </c>
      <c r="E1185" t="str">
        <f>PROPER(TRIM(CLEAN(Sales_Table[[#This Row],[Region]])))</f>
        <v>West</v>
      </c>
      <c r="F1185" t="s">
        <v>37</v>
      </c>
      <c r="G1185" t="str">
        <f t="shared" si="127"/>
        <v>Home Appliances</v>
      </c>
      <c r="H1185" t="str">
        <f>PROPER(TRIM(CLEAN(Sales_Table[[#This Row],[Product Name]])))</f>
        <v>Washing Machine</v>
      </c>
      <c r="I1185" t="s">
        <v>79</v>
      </c>
      <c r="J1185" t="str">
        <f t="shared" si="128"/>
        <v>CUST0322</v>
      </c>
      <c r="K1185" t="s">
        <v>2910</v>
      </c>
      <c r="L1185" t="str">
        <f>PROPER(TRIM(CLEAN(Sales_Table[[#This Row],[Salesperson]])))</f>
        <v>Meena</v>
      </c>
      <c r="M1185" t="s">
        <v>40</v>
      </c>
      <c r="N1185" t="str">
        <f t="shared" si="129"/>
        <v>Debit Card</v>
      </c>
      <c r="O1185" t="s">
        <v>41</v>
      </c>
      <c r="P1185">
        <f t="shared" si="130"/>
        <v>3</v>
      </c>
      <c r="Q1185" t="s">
        <v>66</v>
      </c>
      <c r="R1185">
        <f t="shared" si="131"/>
        <v>1460</v>
      </c>
      <c r="S1185" t="s">
        <v>1237</v>
      </c>
      <c r="T1185">
        <f t="shared" si="132"/>
        <v>4380</v>
      </c>
      <c r="U1185">
        <f>YEAR(Sales_Table[[#This Row],[Date_clean]])</f>
        <v>2024</v>
      </c>
      <c r="V1185" t="str">
        <f>TEXT(Sales_Table[[#This Row],[Date_clean]],"mmmm")</f>
        <v>February</v>
      </c>
      <c r="W1185">
        <f>WEEKNUM(Sales_Table[[#This Row],[Date_clean]],2)</f>
        <v>8</v>
      </c>
      <c r="X1185" t="str" cm="1">
        <f t="array" ref="X1185">_xlfn.IFS(Sales_Table[[#This Row],[Revenue]]&gt;=50000,"High",Sales_Table[[#This Row],[Revenue]]&gt;=20000,"Medium",Sales_Table[[#This Row],[Revenue]]&lt;20000,"Low")</f>
        <v>Low</v>
      </c>
      <c r="Y1185" t="str">
        <f>IF(Sales_Table[[#This Row],[Payment Method_clean]]="cash","Offline","Online")</f>
        <v>Online</v>
      </c>
      <c r="Z1185">
        <f>IFERROR(Sales_Table[[#This Row],[Revenue]],0)</f>
        <v>4380</v>
      </c>
    </row>
    <row r="1186" spans="1:26" x14ac:dyDescent="0.3">
      <c r="A1186">
        <v>1185</v>
      </c>
      <c r="B1186" s="2">
        <f t="shared" si="126"/>
        <v>45341.333333333336</v>
      </c>
      <c r="C1186" t="s">
        <v>2911</v>
      </c>
      <c r="D1186" t="s">
        <v>36</v>
      </c>
      <c r="E1186" t="str">
        <f>PROPER(TRIM(CLEAN(Sales_Table[[#This Row],[Region]])))</f>
        <v>West</v>
      </c>
      <c r="F1186" t="s">
        <v>37</v>
      </c>
      <c r="G1186" t="str">
        <f t="shared" si="127"/>
        <v>Home Appliances</v>
      </c>
      <c r="H1186" t="str">
        <f>PROPER(TRIM(CLEAN(Sales_Table[[#This Row],[Product Name]])))</f>
        <v>Mixer Grinder</v>
      </c>
      <c r="I1186" t="s">
        <v>29</v>
      </c>
      <c r="J1186" t="str">
        <f t="shared" si="128"/>
        <v>CUST0012</v>
      </c>
      <c r="K1186" t="s">
        <v>2564</v>
      </c>
      <c r="L1186" t="str">
        <f>PROPER(TRIM(CLEAN(Sales_Table[[#This Row],[Salesperson]])))</f>
        <v>Suresh</v>
      </c>
      <c r="M1186" t="s">
        <v>54</v>
      </c>
      <c r="N1186" t="str">
        <f t="shared" si="129"/>
        <v>Cash</v>
      </c>
      <c r="O1186" t="s">
        <v>32</v>
      </c>
      <c r="P1186">
        <f t="shared" si="130"/>
        <v>6</v>
      </c>
      <c r="Q1186" t="s">
        <v>75</v>
      </c>
      <c r="R1186">
        <f t="shared" si="131"/>
        <v>1984</v>
      </c>
      <c r="S1186" t="s">
        <v>2912</v>
      </c>
      <c r="T1186">
        <f t="shared" si="132"/>
        <v>11904</v>
      </c>
      <c r="U1186">
        <f>YEAR(Sales_Table[[#This Row],[Date_clean]])</f>
        <v>2024</v>
      </c>
      <c r="V1186" t="str">
        <f>TEXT(Sales_Table[[#This Row],[Date_clean]],"mmmm")</f>
        <v>February</v>
      </c>
      <c r="W1186">
        <f>WEEKNUM(Sales_Table[[#This Row],[Date_clean]],2)</f>
        <v>8</v>
      </c>
      <c r="X1186" t="str" cm="1">
        <f t="array" ref="X1186">_xlfn.IFS(Sales_Table[[#This Row],[Revenue]]&gt;=50000,"High",Sales_Table[[#This Row],[Revenue]]&gt;=20000,"Medium",Sales_Table[[#This Row],[Revenue]]&lt;20000,"Low")</f>
        <v>Low</v>
      </c>
      <c r="Y1186" t="str">
        <f>IF(Sales_Table[[#This Row],[Payment Method_clean]]="cash","Offline","Online")</f>
        <v>Offline</v>
      </c>
      <c r="Z1186">
        <f>IFERROR(Sales_Table[[#This Row],[Revenue]],0)</f>
        <v>11904</v>
      </c>
    </row>
    <row r="1187" spans="1:26" x14ac:dyDescent="0.3">
      <c r="A1187">
        <v>1186</v>
      </c>
      <c r="B1187" s="2">
        <f t="shared" si="126"/>
        <v>45341.375</v>
      </c>
      <c r="C1187" t="s">
        <v>2913</v>
      </c>
      <c r="D1187" t="s">
        <v>36</v>
      </c>
      <c r="E1187" t="str">
        <f>PROPER(TRIM(CLEAN(Sales_Table[[#This Row],[Region]])))</f>
        <v>West</v>
      </c>
      <c r="F1187" t="s">
        <v>46</v>
      </c>
      <c r="G1187" t="str">
        <f t="shared" si="127"/>
        <v>Electronics</v>
      </c>
      <c r="H1187" t="str">
        <f>PROPER(TRIM(CLEAN(Sales_Table[[#This Row],[Product Name]])))</f>
        <v>Washing Machine</v>
      </c>
      <c r="I1187" t="s">
        <v>79</v>
      </c>
      <c r="J1187" t="str">
        <f t="shared" si="128"/>
        <v>CUST0424</v>
      </c>
      <c r="K1187" t="s">
        <v>1065</v>
      </c>
      <c r="L1187" t="str">
        <f>PROPER(TRIM(CLEAN(Sales_Table[[#This Row],[Salesperson]])))</f>
        <v>Karthik</v>
      </c>
      <c r="M1187" t="s">
        <v>70</v>
      </c>
      <c r="N1187" t="str">
        <f t="shared" si="129"/>
        <v>Upi</v>
      </c>
      <c r="O1187" t="s">
        <v>48</v>
      </c>
      <c r="P1187">
        <f t="shared" si="130"/>
        <v>7</v>
      </c>
      <c r="Q1187" t="s">
        <v>49</v>
      </c>
      <c r="R1187">
        <f t="shared" si="131"/>
        <v>2416</v>
      </c>
      <c r="S1187" t="s">
        <v>2914</v>
      </c>
      <c r="T1187">
        <f t="shared" si="132"/>
        <v>16912</v>
      </c>
      <c r="U1187">
        <f>YEAR(Sales_Table[[#This Row],[Date_clean]])</f>
        <v>2024</v>
      </c>
      <c r="V1187" t="str">
        <f>TEXT(Sales_Table[[#This Row],[Date_clean]],"mmmm")</f>
        <v>February</v>
      </c>
      <c r="W1187">
        <f>WEEKNUM(Sales_Table[[#This Row],[Date_clean]],2)</f>
        <v>8</v>
      </c>
      <c r="X1187" t="str" cm="1">
        <f t="array" ref="X1187">_xlfn.IFS(Sales_Table[[#This Row],[Revenue]]&gt;=50000,"High",Sales_Table[[#This Row],[Revenue]]&gt;=20000,"Medium",Sales_Table[[#This Row],[Revenue]]&lt;20000,"Low")</f>
        <v>Low</v>
      </c>
      <c r="Y1187" t="str">
        <f>IF(Sales_Table[[#This Row],[Payment Method_clean]]="cash","Offline","Online")</f>
        <v>Online</v>
      </c>
      <c r="Z1187">
        <f>IFERROR(Sales_Table[[#This Row],[Revenue]],0)</f>
        <v>16912</v>
      </c>
    </row>
    <row r="1188" spans="1:26" x14ac:dyDescent="0.3">
      <c r="A1188">
        <v>1187</v>
      </c>
      <c r="B1188" s="2">
        <f t="shared" si="126"/>
        <v>45341.416666666664</v>
      </c>
      <c r="C1188" t="s">
        <v>2915</v>
      </c>
      <c r="D1188" t="s">
        <v>36</v>
      </c>
      <c r="E1188" t="str">
        <f>PROPER(TRIM(CLEAN(Sales_Table[[#This Row],[Region]])))</f>
        <v>West</v>
      </c>
      <c r="F1188" t="s">
        <v>28</v>
      </c>
      <c r="G1188" t="str">
        <f t="shared" si="127"/>
        <v>Clothing</v>
      </c>
      <c r="H1188" t="str">
        <f>PROPER(TRIM(CLEAN(Sales_Table[[#This Row],[Product Name]])))</f>
        <v>Men T-Shirt</v>
      </c>
      <c r="I1188" t="s">
        <v>38</v>
      </c>
      <c r="J1188" t="str">
        <f t="shared" si="128"/>
        <v>CUST0073</v>
      </c>
      <c r="K1188" t="s">
        <v>859</v>
      </c>
      <c r="L1188" t="str">
        <f>PROPER(TRIM(CLEAN(Sales_Table[[#This Row],[Salesperson]])))</f>
        <v>Meena</v>
      </c>
      <c r="M1188" t="s">
        <v>40</v>
      </c>
      <c r="N1188" t="str">
        <f t="shared" si="129"/>
        <v>Net Banking</v>
      </c>
      <c r="O1188" t="s">
        <v>60</v>
      </c>
      <c r="P1188">
        <f t="shared" si="130"/>
        <v>1</v>
      </c>
      <c r="Q1188" t="s">
        <v>93</v>
      </c>
      <c r="R1188">
        <f t="shared" si="131"/>
        <v>4530</v>
      </c>
      <c r="S1188" t="s">
        <v>2916</v>
      </c>
      <c r="T1188">
        <f t="shared" si="132"/>
        <v>4530</v>
      </c>
      <c r="U1188">
        <f>YEAR(Sales_Table[[#This Row],[Date_clean]])</f>
        <v>2024</v>
      </c>
      <c r="V1188" t="str">
        <f>TEXT(Sales_Table[[#This Row],[Date_clean]],"mmmm")</f>
        <v>February</v>
      </c>
      <c r="W1188">
        <f>WEEKNUM(Sales_Table[[#This Row],[Date_clean]],2)</f>
        <v>8</v>
      </c>
      <c r="X1188" t="str" cm="1">
        <f t="array" ref="X1188">_xlfn.IFS(Sales_Table[[#This Row],[Revenue]]&gt;=50000,"High",Sales_Table[[#This Row],[Revenue]]&gt;=20000,"Medium",Sales_Table[[#This Row],[Revenue]]&lt;20000,"Low")</f>
        <v>Low</v>
      </c>
      <c r="Y1188" t="str">
        <f>IF(Sales_Table[[#This Row],[Payment Method_clean]]="cash","Offline","Online")</f>
        <v>Online</v>
      </c>
      <c r="Z1188">
        <f>IFERROR(Sales_Table[[#This Row],[Revenue]],0)</f>
        <v>4530</v>
      </c>
    </row>
    <row r="1189" spans="1:26" x14ac:dyDescent="0.3">
      <c r="A1189">
        <v>1188</v>
      </c>
      <c r="B1189" s="2">
        <f t="shared" si="126"/>
        <v>45341.458333333336</v>
      </c>
      <c r="C1189" t="s">
        <v>2917</v>
      </c>
      <c r="D1189" t="s">
        <v>45</v>
      </c>
      <c r="E1189" t="str">
        <f>PROPER(TRIM(CLEAN(Sales_Table[[#This Row],[Region]])))</f>
        <v>North</v>
      </c>
      <c r="F1189" t="s">
        <v>37</v>
      </c>
      <c r="G1189" t="str">
        <f t="shared" si="127"/>
        <v>Home Appliances</v>
      </c>
      <c r="H1189" t="str">
        <f>PROPER(TRIM(CLEAN(Sales_Table[[#This Row],[Product Name]])))</f>
        <v>Mixer Grinder</v>
      </c>
      <c r="I1189" t="s">
        <v>29</v>
      </c>
      <c r="J1189" t="str">
        <f t="shared" si="128"/>
        <v>CUST0588</v>
      </c>
      <c r="K1189" t="s">
        <v>1731</v>
      </c>
      <c r="L1189" t="str">
        <f>PROPER(TRIM(CLEAN(Sales_Table[[#This Row],[Salesperson]])))</f>
        <v>Suresh</v>
      </c>
      <c r="M1189" t="s">
        <v>54</v>
      </c>
      <c r="N1189" t="str">
        <f t="shared" si="129"/>
        <v>Credit Card</v>
      </c>
      <c r="O1189" t="s">
        <v>65</v>
      </c>
      <c r="P1189">
        <f t="shared" si="130"/>
        <v>12</v>
      </c>
      <c r="Q1189" t="s">
        <v>33</v>
      </c>
      <c r="R1189">
        <f t="shared" si="131"/>
        <v>411</v>
      </c>
      <c r="S1189" t="s">
        <v>2918</v>
      </c>
      <c r="T1189">
        <f t="shared" si="132"/>
        <v>4932</v>
      </c>
      <c r="U1189">
        <f>YEAR(Sales_Table[[#This Row],[Date_clean]])</f>
        <v>2024</v>
      </c>
      <c r="V1189" t="str">
        <f>TEXT(Sales_Table[[#This Row],[Date_clean]],"mmmm")</f>
        <v>February</v>
      </c>
      <c r="W1189">
        <f>WEEKNUM(Sales_Table[[#This Row],[Date_clean]],2)</f>
        <v>8</v>
      </c>
      <c r="X1189" t="str" cm="1">
        <f t="array" ref="X1189">_xlfn.IFS(Sales_Table[[#This Row],[Revenue]]&gt;=50000,"High",Sales_Table[[#This Row],[Revenue]]&gt;=20000,"Medium",Sales_Table[[#This Row],[Revenue]]&lt;20000,"Low")</f>
        <v>Low</v>
      </c>
      <c r="Y1189" t="str">
        <f>IF(Sales_Table[[#This Row],[Payment Method_clean]]="cash","Offline","Online")</f>
        <v>Online</v>
      </c>
      <c r="Z1189">
        <f>IFERROR(Sales_Table[[#This Row],[Revenue]],0)</f>
        <v>4932</v>
      </c>
    </row>
    <row r="1190" spans="1:26" x14ac:dyDescent="0.3">
      <c r="A1190">
        <v>1189</v>
      </c>
      <c r="B1190" s="2">
        <f t="shared" si="126"/>
        <v>45341.5</v>
      </c>
      <c r="C1190" t="s">
        <v>2919</v>
      </c>
      <c r="D1190" t="s">
        <v>27</v>
      </c>
      <c r="E1190" t="str">
        <f>PROPER(TRIM(CLEAN(Sales_Table[[#This Row],[Region]])))</f>
        <v>East</v>
      </c>
      <c r="F1190" t="s">
        <v>46</v>
      </c>
      <c r="G1190" t="str">
        <f t="shared" si="127"/>
        <v>Electronics</v>
      </c>
      <c r="H1190" t="str">
        <f>PROPER(TRIM(CLEAN(Sales_Table[[#This Row],[Product Name]])))</f>
        <v>Rice 5Kg</v>
      </c>
      <c r="I1190" t="s">
        <v>73</v>
      </c>
      <c r="J1190" t="str">
        <f t="shared" si="128"/>
        <v>CUST0201</v>
      </c>
      <c r="K1190" t="s">
        <v>116</v>
      </c>
      <c r="L1190" t="str">
        <f>PROPER(TRIM(CLEAN(Sales_Table[[#This Row],[Salesperson]])))</f>
        <v>Anita</v>
      </c>
      <c r="M1190" t="s">
        <v>64</v>
      </c>
      <c r="N1190" t="str">
        <f t="shared" si="129"/>
        <v>Debit Card</v>
      </c>
      <c r="O1190" t="s">
        <v>41</v>
      </c>
      <c r="P1190">
        <f t="shared" si="130"/>
        <v>2</v>
      </c>
      <c r="Q1190" t="s">
        <v>196</v>
      </c>
      <c r="R1190">
        <f t="shared" si="131"/>
        <v>1176</v>
      </c>
      <c r="S1190" t="s">
        <v>2920</v>
      </c>
      <c r="T1190">
        <f t="shared" si="132"/>
        <v>2352</v>
      </c>
      <c r="U1190">
        <f>YEAR(Sales_Table[[#This Row],[Date_clean]])</f>
        <v>2024</v>
      </c>
      <c r="V1190" t="str">
        <f>TEXT(Sales_Table[[#This Row],[Date_clean]],"mmmm")</f>
        <v>February</v>
      </c>
      <c r="W1190">
        <f>WEEKNUM(Sales_Table[[#This Row],[Date_clean]],2)</f>
        <v>8</v>
      </c>
      <c r="X1190" t="str" cm="1">
        <f t="array" ref="X1190">_xlfn.IFS(Sales_Table[[#This Row],[Revenue]]&gt;=50000,"High",Sales_Table[[#This Row],[Revenue]]&gt;=20000,"Medium",Sales_Table[[#This Row],[Revenue]]&lt;20000,"Low")</f>
        <v>Low</v>
      </c>
      <c r="Y1190" t="str">
        <f>IF(Sales_Table[[#This Row],[Payment Method_clean]]="cash","Offline","Online")</f>
        <v>Online</v>
      </c>
      <c r="Z1190">
        <f>IFERROR(Sales_Table[[#This Row],[Revenue]],0)</f>
        <v>2352</v>
      </c>
    </row>
    <row r="1191" spans="1:26" x14ac:dyDescent="0.3">
      <c r="A1191">
        <v>1190</v>
      </c>
      <c r="B1191" s="2">
        <f t="shared" si="126"/>
        <v>45341.541666666664</v>
      </c>
      <c r="C1191" t="s">
        <v>2921</v>
      </c>
      <c r="D1191" t="s">
        <v>36</v>
      </c>
      <c r="E1191" t="str">
        <f>PROPER(TRIM(CLEAN(Sales_Table[[#This Row],[Region]])))</f>
        <v>West</v>
      </c>
      <c r="F1191" t="s">
        <v>46</v>
      </c>
      <c r="G1191" t="str">
        <f t="shared" si="127"/>
        <v>Electronics</v>
      </c>
      <c r="H1191" t="str">
        <f>PROPER(TRIM(CLEAN(Sales_Table[[#This Row],[Product Name]])))</f>
        <v>Rice 5Kg</v>
      </c>
      <c r="I1191" t="s">
        <v>73</v>
      </c>
      <c r="J1191" t="str">
        <f t="shared" si="128"/>
        <v>CUST0522</v>
      </c>
      <c r="K1191" t="s">
        <v>2922</v>
      </c>
      <c r="L1191" t="str">
        <f>PROPER(TRIM(CLEAN(Sales_Table[[#This Row],[Salesperson]])))</f>
        <v>Rahul</v>
      </c>
      <c r="M1191" t="s">
        <v>31</v>
      </c>
      <c r="N1191" t="str">
        <f t="shared" si="129"/>
        <v>Debit Card</v>
      </c>
      <c r="O1191" t="s">
        <v>41</v>
      </c>
      <c r="P1191">
        <f t="shared" si="130"/>
        <v>12</v>
      </c>
      <c r="Q1191" t="s">
        <v>33</v>
      </c>
      <c r="R1191">
        <f t="shared" si="131"/>
        <v>133</v>
      </c>
      <c r="S1191" t="s">
        <v>2923</v>
      </c>
      <c r="T1191">
        <f t="shared" si="132"/>
        <v>1596</v>
      </c>
      <c r="U1191">
        <f>YEAR(Sales_Table[[#This Row],[Date_clean]])</f>
        <v>2024</v>
      </c>
      <c r="V1191" t="str">
        <f>TEXT(Sales_Table[[#This Row],[Date_clean]],"mmmm")</f>
        <v>February</v>
      </c>
      <c r="W1191">
        <f>WEEKNUM(Sales_Table[[#This Row],[Date_clean]],2)</f>
        <v>8</v>
      </c>
      <c r="X1191" t="str" cm="1">
        <f t="array" ref="X1191">_xlfn.IFS(Sales_Table[[#This Row],[Revenue]]&gt;=50000,"High",Sales_Table[[#This Row],[Revenue]]&gt;=20000,"Medium",Sales_Table[[#This Row],[Revenue]]&lt;20000,"Low")</f>
        <v>Low</v>
      </c>
      <c r="Y1191" t="str">
        <f>IF(Sales_Table[[#This Row],[Payment Method_clean]]="cash","Offline","Online")</f>
        <v>Online</v>
      </c>
      <c r="Z1191">
        <f>IFERROR(Sales_Table[[#This Row],[Revenue]],0)</f>
        <v>1596</v>
      </c>
    </row>
    <row r="1192" spans="1:26" x14ac:dyDescent="0.3">
      <c r="A1192">
        <v>1191</v>
      </c>
      <c r="B1192" s="2">
        <f t="shared" si="126"/>
        <v>45341.583333333336</v>
      </c>
      <c r="C1192" t="s">
        <v>2924</v>
      </c>
      <c r="D1192" t="s">
        <v>27</v>
      </c>
      <c r="E1192" t="str">
        <f>PROPER(TRIM(CLEAN(Sales_Table[[#This Row],[Region]])))</f>
        <v>East</v>
      </c>
      <c r="F1192" t="s">
        <v>46</v>
      </c>
      <c r="G1192" t="str">
        <f t="shared" si="127"/>
        <v>Electronics</v>
      </c>
      <c r="H1192" t="str">
        <f>PROPER(TRIM(CLEAN(Sales_Table[[#This Row],[Product Name]])))</f>
        <v>Men T-Shirt</v>
      </c>
      <c r="I1192" t="s">
        <v>38</v>
      </c>
      <c r="J1192" t="str">
        <f t="shared" si="128"/>
        <v>CUST0505</v>
      </c>
      <c r="K1192" t="s">
        <v>308</v>
      </c>
      <c r="L1192" t="str">
        <f>PROPER(TRIM(CLEAN(Sales_Table[[#This Row],[Salesperson]])))</f>
        <v>Suresh</v>
      </c>
      <c r="M1192" t="s">
        <v>54</v>
      </c>
      <c r="N1192" t="str">
        <f t="shared" si="129"/>
        <v>Upi</v>
      </c>
      <c r="O1192" t="s">
        <v>48</v>
      </c>
      <c r="P1192">
        <f t="shared" si="130"/>
        <v>4</v>
      </c>
      <c r="Q1192" t="s">
        <v>113</v>
      </c>
      <c r="R1192">
        <f t="shared" si="131"/>
        <v>1941</v>
      </c>
      <c r="S1192" t="s">
        <v>365</v>
      </c>
      <c r="T1192">
        <f t="shared" si="132"/>
        <v>7764</v>
      </c>
      <c r="U1192">
        <f>YEAR(Sales_Table[[#This Row],[Date_clean]])</f>
        <v>2024</v>
      </c>
      <c r="V1192" t="str">
        <f>TEXT(Sales_Table[[#This Row],[Date_clean]],"mmmm")</f>
        <v>February</v>
      </c>
      <c r="W1192">
        <f>WEEKNUM(Sales_Table[[#This Row],[Date_clean]],2)</f>
        <v>8</v>
      </c>
      <c r="X1192" t="str" cm="1">
        <f t="array" ref="X1192">_xlfn.IFS(Sales_Table[[#This Row],[Revenue]]&gt;=50000,"High",Sales_Table[[#This Row],[Revenue]]&gt;=20000,"Medium",Sales_Table[[#This Row],[Revenue]]&lt;20000,"Low")</f>
        <v>Low</v>
      </c>
      <c r="Y1192" t="str">
        <f>IF(Sales_Table[[#This Row],[Payment Method_clean]]="cash","Offline","Online")</f>
        <v>Online</v>
      </c>
      <c r="Z1192">
        <f>IFERROR(Sales_Table[[#This Row],[Revenue]],0)</f>
        <v>7764</v>
      </c>
    </row>
    <row r="1193" spans="1:26" x14ac:dyDescent="0.3">
      <c r="A1193">
        <v>1192</v>
      </c>
      <c r="B1193" s="2">
        <f t="shared" si="126"/>
        <v>45341.625</v>
      </c>
      <c r="C1193" t="s">
        <v>2925</v>
      </c>
      <c r="D1193" t="s">
        <v>27</v>
      </c>
      <c r="E1193" t="str">
        <f>PROPER(TRIM(CLEAN(Sales_Table[[#This Row],[Region]])))</f>
        <v>East</v>
      </c>
      <c r="F1193" t="s">
        <v>37</v>
      </c>
      <c r="G1193" t="str">
        <f t="shared" si="127"/>
        <v>Home Appliances</v>
      </c>
      <c r="H1193" t="str">
        <f>PROPER(TRIM(CLEAN(Sales_Table[[#This Row],[Product Name]])))</f>
        <v>Washing Machine</v>
      </c>
      <c r="I1193" t="s">
        <v>79</v>
      </c>
      <c r="J1193" t="str">
        <f t="shared" si="128"/>
        <v>CUST0738</v>
      </c>
      <c r="K1193" t="s">
        <v>1270</v>
      </c>
      <c r="L1193" t="str">
        <f>PROPER(TRIM(CLEAN(Sales_Table[[#This Row],[Salesperson]])))</f>
        <v>Suresh</v>
      </c>
      <c r="M1193" t="s">
        <v>54</v>
      </c>
      <c r="N1193" t="str">
        <f t="shared" si="129"/>
        <v>Cash</v>
      </c>
      <c r="O1193" t="s">
        <v>32</v>
      </c>
      <c r="P1193">
        <f t="shared" si="130"/>
        <v>13</v>
      </c>
      <c r="Q1193" t="s">
        <v>81</v>
      </c>
      <c r="R1193">
        <f t="shared" si="131"/>
        <v>4581</v>
      </c>
      <c r="S1193" t="s">
        <v>2926</v>
      </c>
      <c r="T1193">
        <f t="shared" si="132"/>
        <v>59553</v>
      </c>
      <c r="U1193">
        <f>YEAR(Sales_Table[[#This Row],[Date_clean]])</f>
        <v>2024</v>
      </c>
      <c r="V1193" t="str">
        <f>TEXT(Sales_Table[[#This Row],[Date_clean]],"mmmm")</f>
        <v>February</v>
      </c>
      <c r="W1193">
        <f>WEEKNUM(Sales_Table[[#This Row],[Date_clean]],2)</f>
        <v>8</v>
      </c>
      <c r="X1193" t="str" cm="1">
        <f t="array" ref="X1193">_xlfn.IFS(Sales_Table[[#This Row],[Revenue]]&gt;=50000,"High",Sales_Table[[#This Row],[Revenue]]&gt;=20000,"Medium",Sales_Table[[#This Row],[Revenue]]&lt;20000,"Low")</f>
        <v>High</v>
      </c>
      <c r="Y1193" t="str">
        <f>IF(Sales_Table[[#This Row],[Payment Method_clean]]="cash","Offline","Online")</f>
        <v>Offline</v>
      </c>
      <c r="Z1193">
        <f>IFERROR(Sales_Table[[#This Row],[Revenue]],0)</f>
        <v>59553</v>
      </c>
    </row>
    <row r="1194" spans="1:26" x14ac:dyDescent="0.3">
      <c r="A1194">
        <v>1193</v>
      </c>
      <c r="B1194" s="2">
        <f t="shared" si="126"/>
        <v>45341.666666666664</v>
      </c>
      <c r="C1194" t="s">
        <v>2927</v>
      </c>
      <c r="D1194" t="s">
        <v>45</v>
      </c>
      <c r="E1194" t="str">
        <f>PROPER(TRIM(CLEAN(Sales_Table[[#This Row],[Region]])))</f>
        <v>North</v>
      </c>
      <c r="F1194" t="s">
        <v>28</v>
      </c>
      <c r="G1194" t="str">
        <f t="shared" si="127"/>
        <v>Clothing</v>
      </c>
      <c r="H1194" t="str">
        <f>PROPER(TRIM(CLEAN(Sales_Table[[#This Row],[Product Name]])))</f>
        <v>Led Tv 42Inch</v>
      </c>
      <c r="I1194" t="s">
        <v>58</v>
      </c>
      <c r="J1194" t="str">
        <f t="shared" si="128"/>
        <v>CUST0688</v>
      </c>
      <c r="K1194" t="s">
        <v>414</v>
      </c>
      <c r="L1194" t="str">
        <f>PROPER(TRIM(CLEAN(Sales_Table[[#This Row],[Salesperson]])))</f>
        <v>Anita</v>
      </c>
      <c r="M1194" t="s">
        <v>64</v>
      </c>
      <c r="N1194" t="str">
        <f t="shared" si="129"/>
        <v>Net Banking</v>
      </c>
      <c r="O1194" t="s">
        <v>60</v>
      </c>
      <c r="P1194">
        <f t="shared" si="130"/>
        <v>8</v>
      </c>
      <c r="Q1194" t="s">
        <v>42</v>
      </c>
      <c r="R1194">
        <f t="shared" si="131"/>
        <v>348</v>
      </c>
      <c r="S1194" t="s">
        <v>1474</v>
      </c>
      <c r="T1194">
        <f t="shared" si="132"/>
        <v>2784</v>
      </c>
      <c r="U1194">
        <f>YEAR(Sales_Table[[#This Row],[Date_clean]])</f>
        <v>2024</v>
      </c>
      <c r="V1194" t="str">
        <f>TEXT(Sales_Table[[#This Row],[Date_clean]],"mmmm")</f>
        <v>February</v>
      </c>
      <c r="W1194">
        <f>WEEKNUM(Sales_Table[[#This Row],[Date_clean]],2)</f>
        <v>8</v>
      </c>
      <c r="X1194" t="str" cm="1">
        <f t="array" ref="X1194">_xlfn.IFS(Sales_Table[[#This Row],[Revenue]]&gt;=50000,"High",Sales_Table[[#This Row],[Revenue]]&gt;=20000,"Medium",Sales_Table[[#This Row],[Revenue]]&lt;20000,"Low")</f>
        <v>Low</v>
      </c>
      <c r="Y1194" t="str">
        <f>IF(Sales_Table[[#This Row],[Payment Method_clean]]="cash","Offline","Online")</f>
        <v>Online</v>
      </c>
      <c r="Z1194">
        <f>IFERROR(Sales_Table[[#This Row],[Revenue]],0)</f>
        <v>2784</v>
      </c>
    </row>
    <row r="1195" spans="1:26" x14ac:dyDescent="0.3">
      <c r="A1195">
        <v>1194</v>
      </c>
      <c r="B1195" s="2">
        <f t="shared" si="126"/>
        <v>45341.708333333336</v>
      </c>
      <c r="C1195" t="s">
        <v>2928</v>
      </c>
      <c r="D1195" t="s">
        <v>36</v>
      </c>
      <c r="E1195" t="str">
        <f>PROPER(TRIM(CLEAN(Sales_Table[[#This Row],[Region]])))</f>
        <v>West</v>
      </c>
      <c r="F1195" t="s">
        <v>78</v>
      </c>
      <c r="G1195" t="str">
        <f t="shared" si="127"/>
        <v>Grocery</v>
      </c>
      <c r="H1195" t="str">
        <f>PROPER(TRIM(CLEAN(Sales_Table[[#This Row],[Product Name]])))</f>
        <v>Men T-Shirt</v>
      </c>
      <c r="I1195" t="s">
        <v>38</v>
      </c>
      <c r="J1195" t="str">
        <f t="shared" si="128"/>
        <v>CUST0788</v>
      </c>
      <c r="K1195" t="s">
        <v>2929</v>
      </c>
      <c r="L1195" t="str">
        <f>PROPER(TRIM(CLEAN(Sales_Table[[#This Row],[Salesperson]])))</f>
        <v>Karthik</v>
      </c>
      <c r="M1195" t="s">
        <v>70</v>
      </c>
      <c r="N1195" t="str">
        <f t="shared" si="129"/>
        <v>Upi</v>
      </c>
      <c r="O1195" t="s">
        <v>48</v>
      </c>
      <c r="P1195">
        <f t="shared" si="130"/>
        <v>11</v>
      </c>
      <c r="Q1195" t="s">
        <v>97</v>
      </c>
      <c r="R1195">
        <f t="shared" si="131"/>
        <v>1234</v>
      </c>
      <c r="S1195" t="s">
        <v>2930</v>
      </c>
      <c r="T1195">
        <f t="shared" si="132"/>
        <v>13574</v>
      </c>
      <c r="U1195">
        <f>YEAR(Sales_Table[[#This Row],[Date_clean]])</f>
        <v>2024</v>
      </c>
      <c r="V1195" t="str">
        <f>TEXT(Sales_Table[[#This Row],[Date_clean]],"mmmm")</f>
        <v>February</v>
      </c>
      <c r="W1195">
        <f>WEEKNUM(Sales_Table[[#This Row],[Date_clean]],2)</f>
        <v>8</v>
      </c>
      <c r="X1195" t="str" cm="1">
        <f t="array" ref="X1195">_xlfn.IFS(Sales_Table[[#This Row],[Revenue]]&gt;=50000,"High",Sales_Table[[#This Row],[Revenue]]&gt;=20000,"Medium",Sales_Table[[#This Row],[Revenue]]&lt;20000,"Low")</f>
        <v>Low</v>
      </c>
      <c r="Y1195" t="str">
        <f>IF(Sales_Table[[#This Row],[Payment Method_clean]]="cash","Offline","Online")</f>
        <v>Online</v>
      </c>
      <c r="Z1195">
        <f>IFERROR(Sales_Table[[#This Row],[Revenue]],0)</f>
        <v>13574</v>
      </c>
    </row>
    <row r="1196" spans="1:26" x14ac:dyDescent="0.3">
      <c r="A1196">
        <v>1195</v>
      </c>
      <c r="B1196" s="2">
        <f t="shared" si="126"/>
        <v>45341.75</v>
      </c>
      <c r="C1196" t="s">
        <v>2931</v>
      </c>
      <c r="D1196" t="s">
        <v>84</v>
      </c>
      <c r="E1196" t="str">
        <f>PROPER(TRIM(CLEAN(Sales_Table[[#This Row],[Region]])))</f>
        <v>South</v>
      </c>
      <c r="F1196" t="s">
        <v>46</v>
      </c>
      <c r="G1196" t="str">
        <f t="shared" si="127"/>
        <v>Electronics</v>
      </c>
      <c r="H1196" t="str">
        <f>PROPER(TRIM(CLEAN(Sales_Table[[#This Row],[Product Name]])))</f>
        <v>Mixer Grinder</v>
      </c>
      <c r="I1196" t="s">
        <v>29</v>
      </c>
      <c r="J1196" t="str">
        <f t="shared" si="128"/>
        <v>CUST0039</v>
      </c>
      <c r="K1196" t="s">
        <v>990</v>
      </c>
      <c r="L1196" t="str">
        <f>PROPER(TRIM(CLEAN(Sales_Table[[#This Row],[Salesperson]])))</f>
        <v>Rahul</v>
      </c>
      <c r="M1196" t="s">
        <v>31</v>
      </c>
      <c r="N1196" t="str">
        <f t="shared" si="129"/>
        <v>Credit Card</v>
      </c>
      <c r="O1196" t="s">
        <v>65</v>
      </c>
      <c r="P1196">
        <f t="shared" si="130"/>
        <v>13</v>
      </c>
      <c r="Q1196" t="s">
        <v>81</v>
      </c>
      <c r="R1196">
        <f t="shared" si="131"/>
        <v>4989</v>
      </c>
      <c r="S1196" t="s">
        <v>2220</v>
      </c>
      <c r="T1196">
        <f t="shared" si="132"/>
        <v>64857</v>
      </c>
      <c r="U1196">
        <f>YEAR(Sales_Table[[#This Row],[Date_clean]])</f>
        <v>2024</v>
      </c>
      <c r="V1196" t="str">
        <f>TEXT(Sales_Table[[#This Row],[Date_clean]],"mmmm")</f>
        <v>February</v>
      </c>
      <c r="W1196">
        <f>WEEKNUM(Sales_Table[[#This Row],[Date_clean]],2)</f>
        <v>8</v>
      </c>
      <c r="X1196" t="str" cm="1">
        <f t="array" ref="X1196">_xlfn.IFS(Sales_Table[[#This Row],[Revenue]]&gt;=50000,"High",Sales_Table[[#This Row],[Revenue]]&gt;=20000,"Medium",Sales_Table[[#This Row],[Revenue]]&lt;20000,"Low")</f>
        <v>High</v>
      </c>
      <c r="Y1196" t="str">
        <f>IF(Sales_Table[[#This Row],[Payment Method_clean]]="cash","Offline","Online")</f>
        <v>Online</v>
      </c>
      <c r="Z1196">
        <f>IFERROR(Sales_Table[[#This Row],[Revenue]],0)</f>
        <v>64857</v>
      </c>
    </row>
    <row r="1197" spans="1:26" x14ac:dyDescent="0.3">
      <c r="A1197">
        <v>1196</v>
      </c>
      <c r="B1197" s="2">
        <f t="shared" si="126"/>
        <v>45341.791666666664</v>
      </c>
      <c r="C1197" t="s">
        <v>2932</v>
      </c>
      <c r="D1197" t="s">
        <v>45</v>
      </c>
      <c r="E1197" t="str">
        <f>PROPER(TRIM(CLEAN(Sales_Table[[#This Row],[Region]])))</f>
        <v>North</v>
      </c>
      <c r="F1197" t="s">
        <v>37</v>
      </c>
      <c r="G1197" t="str">
        <f t="shared" si="127"/>
        <v>Home Appliances</v>
      </c>
      <c r="H1197" t="str">
        <f>PROPER(TRIM(CLEAN(Sales_Table[[#This Row],[Product Name]])))</f>
        <v>Mixer Grinder</v>
      </c>
      <c r="I1197" t="s">
        <v>29</v>
      </c>
      <c r="J1197" t="str">
        <f t="shared" si="128"/>
        <v>CUST0060</v>
      </c>
      <c r="K1197" t="s">
        <v>985</v>
      </c>
      <c r="L1197" t="str">
        <f>PROPER(TRIM(CLEAN(Sales_Table[[#This Row],[Salesperson]])))</f>
        <v>Suresh</v>
      </c>
      <c r="M1197" t="s">
        <v>54</v>
      </c>
      <c r="N1197" t="str">
        <f t="shared" si="129"/>
        <v>Credit Card</v>
      </c>
      <c r="O1197" t="s">
        <v>65</v>
      </c>
      <c r="P1197">
        <f t="shared" si="130"/>
        <v>14</v>
      </c>
      <c r="Q1197" t="s">
        <v>55</v>
      </c>
      <c r="R1197">
        <f t="shared" si="131"/>
        <v>475</v>
      </c>
      <c r="S1197" t="s">
        <v>205</v>
      </c>
      <c r="T1197">
        <f t="shared" si="132"/>
        <v>6650</v>
      </c>
      <c r="U1197">
        <f>YEAR(Sales_Table[[#This Row],[Date_clean]])</f>
        <v>2024</v>
      </c>
      <c r="V1197" t="str">
        <f>TEXT(Sales_Table[[#This Row],[Date_clean]],"mmmm")</f>
        <v>February</v>
      </c>
      <c r="W1197">
        <f>WEEKNUM(Sales_Table[[#This Row],[Date_clean]],2)</f>
        <v>8</v>
      </c>
      <c r="X1197" t="str" cm="1">
        <f t="array" ref="X1197">_xlfn.IFS(Sales_Table[[#This Row],[Revenue]]&gt;=50000,"High",Sales_Table[[#This Row],[Revenue]]&gt;=20000,"Medium",Sales_Table[[#This Row],[Revenue]]&lt;20000,"Low")</f>
        <v>Low</v>
      </c>
      <c r="Y1197" t="str">
        <f>IF(Sales_Table[[#This Row],[Payment Method_clean]]="cash","Offline","Online")</f>
        <v>Online</v>
      </c>
      <c r="Z1197">
        <f>IFERROR(Sales_Table[[#This Row],[Revenue]],0)</f>
        <v>6650</v>
      </c>
    </row>
    <row r="1198" spans="1:26" x14ac:dyDescent="0.3">
      <c r="A1198">
        <v>1197</v>
      </c>
      <c r="B1198" s="2">
        <f t="shared" si="126"/>
        <v>45341.833333333336</v>
      </c>
      <c r="C1198" t="s">
        <v>2933</v>
      </c>
      <c r="D1198" t="s">
        <v>84</v>
      </c>
      <c r="E1198" t="str">
        <f>PROPER(TRIM(CLEAN(Sales_Table[[#This Row],[Region]])))</f>
        <v>South</v>
      </c>
      <c r="F1198" t="s">
        <v>37</v>
      </c>
      <c r="G1198" t="str">
        <f t="shared" si="127"/>
        <v>Home Appliances</v>
      </c>
      <c r="H1198" t="str">
        <f>PROPER(TRIM(CLEAN(Sales_Table[[#This Row],[Product Name]])))</f>
        <v>Laptop</v>
      </c>
      <c r="I1198" t="s">
        <v>52</v>
      </c>
      <c r="J1198" t="str">
        <f t="shared" si="128"/>
        <v>CUST0578</v>
      </c>
      <c r="K1198" t="s">
        <v>1831</v>
      </c>
      <c r="L1198" t="str">
        <f>PROPER(TRIM(CLEAN(Sales_Table[[#This Row],[Salesperson]])))</f>
        <v>Meena</v>
      </c>
      <c r="M1198" t="s">
        <v>40</v>
      </c>
      <c r="N1198" t="str">
        <f t="shared" si="129"/>
        <v>Credit Card</v>
      </c>
      <c r="O1198" t="s">
        <v>65</v>
      </c>
      <c r="P1198">
        <f t="shared" si="130"/>
        <v>10</v>
      </c>
      <c r="Q1198" t="s">
        <v>117</v>
      </c>
      <c r="R1198">
        <f t="shared" si="131"/>
        <v>823</v>
      </c>
      <c r="S1198" t="s">
        <v>2934</v>
      </c>
      <c r="T1198">
        <f t="shared" si="132"/>
        <v>8230</v>
      </c>
      <c r="U1198">
        <f>YEAR(Sales_Table[[#This Row],[Date_clean]])</f>
        <v>2024</v>
      </c>
      <c r="V1198" t="str">
        <f>TEXT(Sales_Table[[#This Row],[Date_clean]],"mmmm")</f>
        <v>February</v>
      </c>
      <c r="W1198">
        <f>WEEKNUM(Sales_Table[[#This Row],[Date_clean]],2)</f>
        <v>8</v>
      </c>
      <c r="X1198" t="str" cm="1">
        <f t="array" ref="X1198">_xlfn.IFS(Sales_Table[[#This Row],[Revenue]]&gt;=50000,"High",Sales_Table[[#This Row],[Revenue]]&gt;=20000,"Medium",Sales_Table[[#This Row],[Revenue]]&lt;20000,"Low")</f>
        <v>Low</v>
      </c>
      <c r="Y1198" t="str">
        <f>IF(Sales_Table[[#This Row],[Payment Method_clean]]="cash","Offline","Online")</f>
        <v>Online</v>
      </c>
      <c r="Z1198">
        <f>IFERROR(Sales_Table[[#This Row],[Revenue]],0)</f>
        <v>8230</v>
      </c>
    </row>
    <row r="1199" spans="1:26" x14ac:dyDescent="0.3">
      <c r="A1199">
        <v>1198</v>
      </c>
      <c r="B1199" s="2">
        <f t="shared" si="126"/>
        <v>45341.875</v>
      </c>
      <c r="C1199" t="s">
        <v>2935</v>
      </c>
      <c r="D1199" t="s">
        <v>27</v>
      </c>
      <c r="E1199" t="str">
        <f>PROPER(TRIM(CLEAN(Sales_Table[[#This Row],[Region]])))</f>
        <v>East</v>
      </c>
      <c r="F1199" t="s">
        <v>78</v>
      </c>
      <c r="G1199" t="str">
        <f t="shared" si="127"/>
        <v>Grocery</v>
      </c>
      <c r="H1199" t="str">
        <f>PROPER(TRIM(CLEAN(Sales_Table[[#This Row],[Product Name]])))</f>
        <v>Rice 5Kg</v>
      </c>
      <c r="I1199" t="s">
        <v>73</v>
      </c>
      <c r="J1199" t="str">
        <f t="shared" si="128"/>
        <v>CUST0321</v>
      </c>
      <c r="K1199" t="s">
        <v>1546</v>
      </c>
      <c r="L1199" t="str">
        <f>PROPER(TRIM(CLEAN(Sales_Table[[#This Row],[Salesperson]])))</f>
        <v>Suresh</v>
      </c>
      <c r="M1199" t="s">
        <v>54</v>
      </c>
      <c r="N1199" t="str">
        <f t="shared" si="129"/>
        <v>Upi</v>
      </c>
      <c r="O1199" t="s">
        <v>48</v>
      </c>
      <c r="P1199">
        <f t="shared" si="130"/>
        <v>6</v>
      </c>
      <c r="Q1199" t="s">
        <v>75</v>
      </c>
      <c r="R1199">
        <f t="shared" si="131"/>
        <v>2013</v>
      </c>
      <c r="S1199" t="s">
        <v>2936</v>
      </c>
      <c r="T1199">
        <f t="shared" si="132"/>
        <v>12078</v>
      </c>
      <c r="U1199">
        <f>YEAR(Sales_Table[[#This Row],[Date_clean]])</f>
        <v>2024</v>
      </c>
      <c r="V1199" t="str">
        <f>TEXT(Sales_Table[[#This Row],[Date_clean]],"mmmm")</f>
        <v>February</v>
      </c>
      <c r="W1199">
        <f>WEEKNUM(Sales_Table[[#This Row],[Date_clean]],2)</f>
        <v>8</v>
      </c>
      <c r="X1199" t="str" cm="1">
        <f t="array" ref="X1199">_xlfn.IFS(Sales_Table[[#This Row],[Revenue]]&gt;=50000,"High",Sales_Table[[#This Row],[Revenue]]&gt;=20000,"Medium",Sales_Table[[#This Row],[Revenue]]&lt;20000,"Low")</f>
        <v>Low</v>
      </c>
      <c r="Y1199" t="str">
        <f>IF(Sales_Table[[#This Row],[Payment Method_clean]]="cash","Offline","Online")</f>
        <v>Online</v>
      </c>
      <c r="Z1199">
        <f>IFERROR(Sales_Table[[#This Row],[Revenue]],0)</f>
        <v>12078</v>
      </c>
    </row>
    <row r="1200" spans="1:26" x14ac:dyDescent="0.3">
      <c r="A1200">
        <v>1199</v>
      </c>
      <c r="B1200" s="2">
        <f t="shared" si="126"/>
        <v>45341.916666666664</v>
      </c>
      <c r="C1200" t="s">
        <v>2937</v>
      </c>
      <c r="D1200" t="s">
        <v>27</v>
      </c>
      <c r="E1200" t="str">
        <f>PROPER(TRIM(CLEAN(Sales_Table[[#This Row],[Region]])))</f>
        <v>East</v>
      </c>
      <c r="F1200" t="s">
        <v>78</v>
      </c>
      <c r="G1200" t="str">
        <f t="shared" si="127"/>
        <v>Grocery</v>
      </c>
      <c r="H1200" t="str">
        <f>PROPER(TRIM(CLEAN(Sales_Table[[#This Row],[Product Name]])))</f>
        <v>Mixer Grinder</v>
      </c>
      <c r="I1200" t="s">
        <v>29</v>
      </c>
      <c r="J1200" t="str">
        <f t="shared" si="128"/>
        <v>CUST0435</v>
      </c>
      <c r="K1200" t="s">
        <v>2938</v>
      </c>
      <c r="L1200" t="str">
        <f>PROPER(TRIM(CLEAN(Sales_Table[[#This Row],[Salesperson]])))</f>
        <v>Rahul</v>
      </c>
      <c r="M1200" t="s">
        <v>31</v>
      </c>
      <c r="N1200" t="str">
        <f t="shared" si="129"/>
        <v>Net Banking</v>
      </c>
      <c r="O1200" t="s">
        <v>60</v>
      </c>
      <c r="P1200">
        <f t="shared" si="130"/>
        <v>1</v>
      </c>
      <c r="Q1200" t="s">
        <v>93</v>
      </c>
      <c r="R1200">
        <f t="shared" si="131"/>
        <v>4397</v>
      </c>
      <c r="S1200" t="s">
        <v>2939</v>
      </c>
      <c r="T1200">
        <f t="shared" si="132"/>
        <v>4397</v>
      </c>
      <c r="U1200">
        <f>YEAR(Sales_Table[[#This Row],[Date_clean]])</f>
        <v>2024</v>
      </c>
      <c r="V1200" t="str">
        <f>TEXT(Sales_Table[[#This Row],[Date_clean]],"mmmm")</f>
        <v>February</v>
      </c>
      <c r="W1200">
        <f>WEEKNUM(Sales_Table[[#This Row],[Date_clean]],2)</f>
        <v>8</v>
      </c>
      <c r="X1200" t="str" cm="1">
        <f t="array" ref="X1200">_xlfn.IFS(Sales_Table[[#This Row],[Revenue]]&gt;=50000,"High",Sales_Table[[#This Row],[Revenue]]&gt;=20000,"Medium",Sales_Table[[#This Row],[Revenue]]&lt;20000,"Low")</f>
        <v>Low</v>
      </c>
      <c r="Y1200" t="str">
        <f>IF(Sales_Table[[#This Row],[Payment Method_clean]]="cash","Offline","Online")</f>
        <v>Online</v>
      </c>
      <c r="Z1200">
        <f>IFERROR(Sales_Table[[#This Row],[Revenue]],0)</f>
        <v>4397</v>
      </c>
    </row>
    <row r="1201" spans="1:26" x14ac:dyDescent="0.3">
      <c r="A1201">
        <v>1200</v>
      </c>
      <c r="B1201" s="2">
        <f t="shared" si="126"/>
        <v>45341.958333333336</v>
      </c>
      <c r="C1201" t="s">
        <v>2940</v>
      </c>
      <c r="D1201" t="s">
        <v>45</v>
      </c>
      <c r="E1201" t="str">
        <f>PROPER(TRIM(CLEAN(Sales_Table[[#This Row],[Region]])))</f>
        <v>North</v>
      </c>
      <c r="F1201" t="s">
        <v>37</v>
      </c>
      <c r="G1201" t="str">
        <f t="shared" si="127"/>
        <v>Home Appliances</v>
      </c>
      <c r="H1201" t="str">
        <f>PROPER(TRIM(CLEAN(Sales_Table[[#This Row],[Product Name]])))</f>
        <v>Men T-Shirt</v>
      </c>
      <c r="I1201" t="s">
        <v>38</v>
      </c>
      <c r="J1201" t="str">
        <f t="shared" si="128"/>
        <v>CUST0636</v>
      </c>
      <c r="K1201" t="s">
        <v>2941</v>
      </c>
      <c r="L1201" t="str">
        <f>PROPER(TRIM(CLEAN(Sales_Table[[#This Row],[Salesperson]])))</f>
        <v>Suresh</v>
      </c>
      <c r="M1201" t="s">
        <v>54</v>
      </c>
      <c r="N1201" t="str">
        <f t="shared" si="129"/>
        <v>Debit Card</v>
      </c>
      <c r="O1201" t="s">
        <v>41</v>
      </c>
      <c r="P1201">
        <f t="shared" si="130"/>
        <v>10</v>
      </c>
      <c r="Q1201" t="s">
        <v>117</v>
      </c>
      <c r="R1201">
        <f t="shared" si="131"/>
        <v>2592</v>
      </c>
      <c r="S1201" t="s">
        <v>2942</v>
      </c>
      <c r="T1201">
        <f t="shared" si="132"/>
        <v>25920</v>
      </c>
      <c r="U1201">
        <f>YEAR(Sales_Table[[#This Row],[Date_clean]])</f>
        <v>2024</v>
      </c>
      <c r="V1201" t="str">
        <f>TEXT(Sales_Table[[#This Row],[Date_clean]],"mmmm")</f>
        <v>February</v>
      </c>
      <c r="W1201">
        <f>WEEKNUM(Sales_Table[[#This Row],[Date_clean]],2)</f>
        <v>8</v>
      </c>
      <c r="X1201" t="str" cm="1">
        <f t="array" ref="X1201">_xlfn.IFS(Sales_Table[[#This Row],[Revenue]]&gt;=50000,"High",Sales_Table[[#This Row],[Revenue]]&gt;=20000,"Medium",Sales_Table[[#This Row],[Revenue]]&lt;20000,"Low")</f>
        <v>Medium</v>
      </c>
      <c r="Y1201" t="str">
        <f>IF(Sales_Table[[#This Row],[Payment Method_clean]]="cash","Offline","Online")</f>
        <v>Online</v>
      </c>
      <c r="Z1201">
        <f>IFERROR(Sales_Table[[#This Row],[Revenue]],0)</f>
        <v>25920</v>
      </c>
    </row>
    <row r="1202" spans="1:26" x14ac:dyDescent="0.3">
      <c r="A1202">
        <v>1201</v>
      </c>
      <c r="B1202" s="2">
        <f t="shared" si="126"/>
        <v>45342</v>
      </c>
      <c r="C1202" t="s">
        <v>2943</v>
      </c>
      <c r="D1202" t="s">
        <v>45</v>
      </c>
      <c r="E1202" t="str">
        <f>PROPER(TRIM(CLEAN(Sales_Table[[#This Row],[Region]])))</f>
        <v>North</v>
      </c>
      <c r="F1202" t="s">
        <v>28</v>
      </c>
      <c r="G1202" t="str">
        <f t="shared" si="127"/>
        <v>Clothing</v>
      </c>
      <c r="H1202" t="str">
        <f>PROPER(TRIM(CLEAN(Sales_Table[[#This Row],[Product Name]])))</f>
        <v>Mixer Grinder</v>
      </c>
      <c r="I1202" t="s">
        <v>29</v>
      </c>
      <c r="J1202" t="str">
        <f t="shared" si="128"/>
        <v>CUST0676</v>
      </c>
      <c r="K1202" t="s">
        <v>1659</v>
      </c>
      <c r="L1202" t="str">
        <f>PROPER(TRIM(CLEAN(Sales_Table[[#This Row],[Salesperson]])))</f>
        <v>Anita</v>
      </c>
      <c r="M1202" t="s">
        <v>64</v>
      </c>
      <c r="N1202" t="str">
        <f t="shared" si="129"/>
        <v>Cash</v>
      </c>
      <c r="O1202" t="s">
        <v>32</v>
      </c>
      <c r="P1202">
        <f t="shared" si="130"/>
        <v>5</v>
      </c>
      <c r="Q1202" t="s">
        <v>89</v>
      </c>
      <c r="R1202">
        <f t="shared" si="131"/>
        <v>2042</v>
      </c>
      <c r="S1202" t="s">
        <v>2944</v>
      </c>
      <c r="T1202">
        <f t="shared" si="132"/>
        <v>10210</v>
      </c>
      <c r="U1202">
        <f>YEAR(Sales_Table[[#This Row],[Date_clean]])</f>
        <v>2024</v>
      </c>
      <c r="V1202" t="str">
        <f>TEXT(Sales_Table[[#This Row],[Date_clean]],"mmmm")</f>
        <v>February</v>
      </c>
      <c r="W1202">
        <f>WEEKNUM(Sales_Table[[#This Row],[Date_clean]],2)</f>
        <v>8</v>
      </c>
      <c r="X1202" t="str" cm="1">
        <f t="array" ref="X1202">_xlfn.IFS(Sales_Table[[#This Row],[Revenue]]&gt;=50000,"High",Sales_Table[[#This Row],[Revenue]]&gt;=20000,"Medium",Sales_Table[[#This Row],[Revenue]]&lt;20000,"Low")</f>
        <v>Low</v>
      </c>
      <c r="Y1202" t="str">
        <f>IF(Sales_Table[[#This Row],[Payment Method_clean]]="cash","Offline","Online")</f>
        <v>Offline</v>
      </c>
      <c r="Z1202">
        <f>IFERROR(Sales_Table[[#This Row],[Revenue]],0)</f>
        <v>10210</v>
      </c>
    </row>
    <row r="1203" spans="1:26" x14ac:dyDescent="0.3">
      <c r="A1203">
        <v>1202</v>
      </c>
      <c r="B1203" s="2">
        <f t="shared" si="126"/>
        <v>45342.041666666664</v>
      </c>
      <c r="C1203" t="s">
        <v>2945</v>
      </c>
      <c r="D1203" t="s">
        <v>84</v>
      </c>
      <c r="E1203" t="str">
        <f>PROPER(TRIM(CLEAN(Sales_Table[[#This Row],[Region]])))</f>
        <v>South</v>
      </c>
      <c r="F1203" t="s">
        <v>78</v>
      </c>
      <c r="G1203" t="str">
        <f t="shared" si="127"/>
        <v>Grocery</v>
      </c>
      <c r="H1203" t="str">
        <f>PROPER(TRIM(CLEAN(Sales_Table[[#This Row],[Product Name]])))</f>
        <v>Men T-Shirt</v>
      </c>
      <c r="I1203" t="s">
        <v>38</v>
      </c>
      <c r="J1203" t="str">
        <f t="shared" si="128"/>
        <v>CUST0408</v>
      </c>
      <c r="K1203" t="s">
        <v>2946</v>
      </c>
      <c r="L1203" t="str">
        <f>PROPER(TRIM(CLEAN(Sales_Table[[#This Row],[Salesperson]])))</f>
        <v>Suresh</v>
      </c>
      <c r="M1203" t="s">
        <v>54</v>
      </c>
      <c r="N1203" t="str">
        <f t="shared" si="129"/>
        <v>Debit Card</v>
      </c>
      <c r="O1203" t="s">
        <v>41</v>
      </c>
      <c r="P1203">
        <f t="shared" si="130"/>
        <v>7</v>
      </c>
      <c r="Q1203" t="s">
        <v>49</v>
      </c>
      <c r="R1203">
        <f t="shared" si="131"/>
        <v>4104</v>
      </c>
      <c r="S1203" t="s">
        <v>2947</v>
      </c>
      <c r="T1203">
        <f t="shared" si="132"/>
        <v>28728</v>
      </c>
      <c r="U1203">
        <f>YEAR(Sales_Table[[#This Row],[Date_clean]])</f>
        <v>2024</v>
      </c>
      <c r="V1203" t="str">
        <f>TEXT(Sales_Table[[#This Row],[Date_clean]],"mmmm")</f>
        <v>February</v>
      </c>
      <c r="W1203">
        <f>WEEKNUM(Sales_Table[[#This Row],[Date_clean]],2)</f>
        <v>8</v>
      </c>
      <c r="X1203" t="str" cm="1">
        <f t="array" ref="X1203">_xlfn.IFS(Sales_Table[[#This Row],[Revenue]]&gt;=50000,"High",Sales_Table[[#This Row],[Revenue]]&gt;=20000,"Medium",Sales_Table[[#This Row],[Revenue]]&lt;20000,"Low")</f>
        <v>Medium</v>
      </c>
      <c r="Y1203" t="str">
        <f>IF(Sales_Table[[#This Row],[Payment Method_clean]]="cash","Offline","Online")</f>
        <v>Online</v>
      </c>
      <c r="Z1203">
        <f>IFERROR(Sales_Table[[#This Row],[Revenue]],0)</f>
        <v>28728</v>
      </c>
    </row>
    <row r="1204" spans="1:26" x14ac:dyDescent="0.3">
      <c r="A1204">
        <v>1203</v>
      </c>
      <c r="B1204" s="2">
        <f t="shared" si="126"/>
        <v>45342.083333333336</v>
      </c>
      <c r="C1204" t="s">
        <v>2948</v>
      </c>
      <c r="D1204" t="s">
        <v>36</v>
      </c>
      <c r="E1204" t="str">
        <f>PROPER(TRIM(CLEAN(Sales_Table[[#This Row],[Region]])))</f>
        <v>West</v>
      </c>
      <c r="F1204" t="s">
        <v>37</v>
      </c>
      <c r="G1204" t="str">
        <f t="shared" si="127"/>
        <v>Home Appliances</v>
      </c>
      <c r="H1204" t="str">
        <f>PROPER(TRIM(CLEAN(Sales_Table[[#This Row],[Product Name]])))</f>
        <v>Led Tv 42Inch</v>
      </c>
      <c r="I1204" t="s">
        <v>58</v>
      </c>
      <c r="J1204" t="str">
        <f t="shared" si="128"/>
        <v>CUST0386</v>
      </c>
      <c r="K1204" t="s">
        <v>243</v>
      </c>
      <c r="L1204" t="str">
        <f>PROPER(TRIM(CLEAN(Sales_Table[[#This Row],[Salesperson]])))</f>
        <v>Suresh</v>
      </c>
      <c r="M1204" t="s">
        <v>54</v>
      </c>
      <c r="N1204" t="str">
        <f t="shared" si="129"/>
        <v>Net Banking</v>
      </c>
      <c r="O1204" t="s">
        <v>60</v>
      </c>
      <c r="P1204">
        <f t="shared" si="130"/>
        <v>13</v>
      </c>
      <c r="Q1204" t="s">
        <v>81</v>
      </c>
      <c r="R1204">
        <f t="shared" si="131"/>
        <v>2444</v>
      </c>
      <c r="S1204" t="s">
        <v>2949</v>
      </c>
      <c r="T1204">
        <f t="shared" si="132"/>
        <v>31772</v>
      </c>
      <c r="U1204">
        <f>YEAR(Sales_Table[[#This Row],[Date_clean]])</f>
        <v>2024</v>
      </c>
      <c r="V1204" t="str">
        <f>TEXT(Sales_Table[[#This Row],[Date_clean]],"mmmm")</f>
        <v>February</v>
      </c>
      <c r="W1204">
        <f>WEEKNUM(Sales_Table[[#This Row],[Date_clean]],2)</f>
        <v>8</v>
      </c>
      <c r="X1204" t="str" cm="1">
        <f t="array" ref="X1204">_xlfn.IFS(Sales_Table[[#This Row],[Revenue]]&gt;=50000,"High",Sales_Table[[#This Row],[Revenue]]&gt;=20000,"Medium",Sales_Table[[#This Row],[Revenue]]&lt;20000,"Low")</f>
        <v>Medium</v>
      </c>
      <c r="Y1204" t="str">
        <f>IF(Sales_Table[[#This Row],[Payment Method_clean]]="cash","Offline","Online")</f>
        <v>Online</v>
      </c>
      <c r="Z1204">
        <f>IFERROR(Sales_Table[[#This Row],[Revenue]],0)</f>
        <v>31772</v>
      </c>
    </row>
    <row r="1205" spans="1:26" x14ac:dyDescent="0.3">
      <c r="A1205">
        <v>1204</v>
      </c>
      <c r="B1205" s="2">
        <f t="shared" si="126"/>
        <v>45342.125</v>
      </c>
      <c r="C1205" t="s">
        <v>2950</v>
      </c>
      <c r="D1205" t="s">
        <v>84</v>
      </c>
      <c r="E1205" t="str">
        <f>PROPER(TRIM(CLEAN(Sales_Table[[#This Row],[Region]])))</f>
        <v>South</v>
      </c>
      <c r="F1205" t="s">
        <v>78</v>
      </c>
      <c r="G1205" t="str">
        <f t="shared" si="127"/>
        <v>Grocery</v>
      </c>
      <c r="H1205" t="str">
        <f>PROPER(TRIM(CLEAN(Sales_Table[[#This Row],[Product Name]])))</f>
        <v>Laptop</v>
      </c>
      <c r="I1205" t="s">
        <v>52</v>
      </c>
      <c r="J1205" t="str">
        <f t="shared" si="128"/>
        <v>CUST0671</v>
      </c>
      <c r="K1205" t="s">
        <v>85</v>
      </c>
      <c r="L1205" t="str">
        <f>PROPER(TRIM(CLEAN(Sales_Table[[#This Row],[Salesperson]])))</f>
        <v>Meena</v>
      </c>
      <c r="M1205" t="s">
        <v>40</v>
      </c>
      <c r="N1205" t="str">
        <f t="shared" si="129"/>
        <v>Debit Card</v>
      </c>
      <c r="O1205" t="s">
        <v>41</v>
      </c>
      <c r="P1205">
        <f t="shared" si="130"/>
        <v>6</v>
      </c>
      <c r="Q1205" t="s">
        <v>75</v>
      </c>
      <c r="R1205">
        <f t="shared" si="131"/>
        <v>1431</v>
      </c>
      <c r="S1205" t="s">
        <v>2951</v>
      </c>
      <c r="T1205">
        <f t="shared" si="132"/>
        <v>8586</v>
      </c>
      <c r="U1205">
        <f>YEAR(Sales_Table[[#This Row],[Date_clean]])</f>
        <v>2024</v>
      </c>
      <c r="V1205" t="str">
        <f>TEXT(Sales_Table[[#This Row],[Date_clean]],"mmmm")</f>
        <v>February</v>
      </c>
      <c r="W1205">
        <f>WEEKNUM(Sales_Table[[#This Row],[Date_clean]],2)</f>
        <v>8</v>
      </c>
      <c r="X1205" t="str" cm="1">
        <f t="array" ref="X1205">_xlfn.IFS(Sales_Table[[#This Row],[Revenue]]&gt;=50000,"High",Sales_Table[[#This Row],[Revenue]]&gt;=20000,"Medium",Sales_Table[[#This Row],[Revenue]]&lt;20000,"Low")</f>
        <v>Low</v>
      </c>
      <c r="Y1205" t="str">
        <f>IF(Sales_Table[[#This Row],[Payment Method_clean]]="cash","Offline","Online")</f>
        <v>Online</v>
      </c>
      <c r="Z1205">
        <f>IFERROR(Sales_Table[[#This Row],[Revenue]],0)</f>
        <v>8586</v>
      </c>
    </row>
    <row r="1206" spans="1:26" x14ac:dyDescent="0.3">
      <c r="A1206">
        <v>1205</v>
      </c>
      <c r="B1206" s="2">
        <f t="shared" si="126"/>
        <v>45342.166666666664</v>
      </c>
      <c r="C1206" t="s">
        <v>2952</v>
      </c>
      <c r="D1206" t="s">
        <v>45</v>
      </c>
      <c r="E1206" t="str">
        <f>PROPER(TRIM(CLEAN(Sales_Table[[#This Row],[Region]])))</f>
        <v>North</v>
      </c>
      <c r="F1206" t="s">
        <v>28</v>
      </c>
      <c r="G1206" t="str">
        <f t="shared" si="127"/>
        <v>Clothing</v>
      </c>
      <c r="H1206" t="str">
        <f>PROPER(TRIM(CLEAN(Sales_Table[[#This Row],[Product Name]])))</f>
        <v>Rice 5Kg</v>
      </c>
      <c r="I1206" t="s">
        <v>73</v>
      </c>
      <c r="J1206" t="str">
        <f t="shared" si="128"/>
        <v>CUST0569</v>
      </c>
      <c r="K1206" t="s">
        <v>2953</v>
      </c>
      <c r="L1206" t="str">
        <f>PROPER(TRIM(CLEAN(Sales_Table[[#This Row],[Salesperson]])))</f>
        <v>Anita</v>
      </c>
      <c r="M1206" t="s">
        <v>64</v>
      </c>
      <c r="N1206" t="str">
        <f t="shared" si="129"/>
        <v>Upi</v>
      </c>
      <c r="O1206" t="s">
        <v>48</v>
      </c>
      <c r="P1206">
        <f t="shared" si="130"/>
        <v>13</v>
      </c>
      <c r="Q1206" t="s">
        <v>81</v>
      </c>
      <c r="R1206">
        <f t="shared" si="131"/>
        <v>4688</v>
      </c>
      <c r="S1206" t="s">
        <v>2954</v>
      </c>
      <c r="T1206">
        <f t="shared" si="132"/>
        <v>60944</v>
      </c>
      <c r="U1206">
        <f>YEAR(Sales_Table[[#This Row],[Date_clean]])</f>
        <v>2024</v>
      </c>
      <c r="V1206" t="str">
        <f>TEXT(Sales_Table[[#This Row],[Date_clean]],"mmmm")</f>
        <v>February</v>
      </c>
      <c r="W1206">
        <f>WEEKNUM(Sales_Table[[#This Row],[Date_clean]],2)</f>
        <v>8</v>
      </c>
      <c r="X1206" t="str" cm="1">
        <f t="array" ref="X1206">_xlfn.IFS(Sales_Table[[#This Row],[Revenue]]&gt;=50000,"High",Sales_Table[[#This Row],[Revenue]]&gt;=20000,"Medium",Sales_Table[[#This Row],[Revenue]]&lt;20000,"Low")</f>
        <v>High</v>
      </c>
      <c r="Y1206" t="str">
        <f>IF(Sales_Table[[#This Row],[Payment Method_clean]]="cash","Offline","Online")</f>
        <v>Online</v>
      </c>
      <c r="Z1206">
        <f>IFERROR(Sales_Table[[#This Row],[Revenue]],0)</f>
        <v>60944</v>
      </c>
    </row>
    <row r="1207" spans="1:26" x14ac:dyDescent="0.3">
      <c r="A1207">
        <v>1206</v>
      </c>
      <c r="B1207" s="2">
        <f t="shared" si="126"/>
        <v>45342.208333333336</v>
      </c>
      <c r="C1207" t="s">
        <v>2955</v>
      </c>
      <c r="D1207" t="s">
        <v>84</v>
      </c>
      <c r="E1207" t="str">
        <f>PROPER(TRIM(CLEAN(Sales_Table[[#This Row],[Region]])))</f>
        <v>South</v>
      </c>
      <c r="F1207" t="s">
        <v>46</v>
      </c>
      <c r="G1207" t="str">
        <f t="shared" si="127"/>
        <v>Electronics</v>
      </c>
      <c r="H1207" t="str">
        <f>PROPER(TRIM(CLEAN(Sales_Table[[#This Row],[Product Name]])))</f>
        <v>Mixer Grinder</v>
      </c>
      <c r="I1207" t="s">
        <v>29</v>
      </c>
      <c r="J1207" t="str">
        <f t="shared" si="128"/>
        <v>CUST0078</v>
      </c>
      <c r="K1207" t="s">
        <v>2956</v>
      </c>
      <c r="L1207" t="str">
        <f>PROPER(TRIM(CLEAN(Sales_Table[[#This Row],[Salesperson]])))</f>
        <v>Anita</v>
      </c>
      <c r="M1207" t="s">
        <v>64</v>
      </c>
      <c r="N1207" t="str">
        <f t="shared" si="129"/>
        <v>Credit Card</v>
      </c>
      <c r="O1207" t="s">
        <v>65</v>
      </c>
      <c r="P1207">
        <f t="shared" si="130"/>
        <v>13</v>
      </c>
      <c r="Q1207" t="s">
        <v>81</v>
      </c>
      <c r="R1207">
        <f t="shared" si="131"/>
        <v>437</v>
      </c>
      <c r="S1207" t="s">
        <v>2957</v>
      </c>
      <c r="T1207">
        <f t="shared" si="132"/>
        <v>5681</v>
      </c>
      <c r="U1207">
        <f>YEAR(Sales_Table[[#This Row],[Date_clean]])</f>
        <v>2024</v>
      </c>
      <c r="V1207" t="str">
        <f>TEXT(Sales_Table[[#This Row],[Date_clean]],"mmmm")</f>
        <v>February</v>
      </c>
      <c r="W1207">
        <f>WEEKNUM(Sales_Table[[#This Row],[Date_clean]],2)</f>
        <v>8</v>
      </c>
      <c r="X1207" t="str" cm="1">
        <f t="array" ref="X1207">_xlfn.IFS(Sales_Table[[#This Row],[Revenue]]&gt;=50000,"High",Sales_Table[[#This Row],[Revenue]]&gt;=20000,"Medium",Sales_Table[[#This Row],[Revenue]]&lt;20000,"Low")</f>
        <v>Low</v>
      </c>
      <c r="Y1207" t="str">
        <f>IF(Sales_Table[[#This Row],[Payment Method_clean]]="cash","Offline","Online")</f>
        <v>Online</v>
      </c>
      <c r="Z1207">
        <f>IFERROR(Sales_Table[[#This Row],[Revenue]],0)</f>
        <v>5681</v>
      </c>
    </row>
    <row r="1208" spans="1:26" x14ac:dyDescent="0.3">
      <c r="A1208">
        <v>1207</v>
      </c>
      <c r="B1208" s="2">
        <f t="shared" si="126"/>
        <v>45342.25</v>
      </c>
      <c r="C1208" t="s">
        <v>2958</v>
      </c>
      <c r="D1208" t="s">
        <v>45</v>
      </c>
      <c r="E1208" t="str">
        <f>PROPER(TRIM(CLEAN(Sales_Table[[#This Row],[Region]])))</f>
        <v>North</v>
      </c>
      <c r="F1208" t="s">
        <v>78</v>
      </c>
      <c r="G1208" t="str">
        <f t="shared" si="127"/>
        <v>Grocery</v>
      </c>
      <c r="H1208" t="str">
        <f>PROPER(TRIM(CLEAN(Sales_Table[[#This Row],[Product Name]])))</f>
        <v>Men T-Shirt</v>
      </c>
      <c r="I1208" t="s">
        <v>38</v>
      </c>
      <c r="J1208" t="str">
        <f t="shared" si="128"/>
        <v>CUST0194</v>
      </c>
      <c r="K1208" t="s">
        <v>2231</v>
      </c>
      <c r="L1208" t="str">
        <f>PROPER(TRIM(CLEAN(Sales_Table[[#This Row],[Salesperson]])))</f>
        <v>Suresh</v>
      </c>
      <c r="M1208" t="s">
        <v>54</v>
      </c>
      <c r="N1208" t="str">
        <f t="shared" si="129"/>
        <v>Net Banking</v>
      </c>
      <c r="O1208" t="s">
        <v>60</v>
      </c>
      <c r="P1208">
        <f t="shared" si="130"/>
        <v>12</v>
      </c>
      <c r="Q1208" t="s">
        <v>33</v>
      </c>
      <c r="R1208">
        <f t="shared" si="131"/>
        <v>1965</v>
      </c>
      <c r="S1208" t="s">
        <v>2959</v>
      </c>
      <c r="T1208">
        <f t="shared" si="132"/>
        <v>23580</v>
      </c>
      <c r="U1208">
        <f>YEAR(Sales_Table[[#This Row],[Date_clean]])</f>
        <v>2024</v>
      </c>
      <c r="V1208" t="str">
        <f>TEXT(Sales_Table[[#This Row],[Date_clean]],"mmmm")</f>
        <v>February</v>
      </c>
      <c r="W1208">
        <f>WEEKNUM(Sales_Table[[#This Row],[Date_clean]],2)</f>
        <v>8</v>
      </c>
      <c r="X1208" t="str" cm="1">
        <f t="array" ref="X1208">_xlfn.IFS(Sales_Table[[#This Row],[Revenue]]&gt;=50000,"High",Sales_Table[[#This Row],[Revenue]]&gt;=20000,"Medium",Sales_Table[[#This Row],[Revenue]]&lt;20000,"Low")</f>
        <v>Medium</v>
      </c>
      <c r="Y1208" t="str">
        <f>IF(Sales_Table[[#This Row],[Payment Method_clean]]="cash","Offline","Online")</f>
        <v>Online</v>
      </c>
      <c r="Z1208">
        <f>IFERROR(Sales_Table[[#This Row],[Revenue]],0)</f>
        <v>23580</v>
      </c>
    </row>
    <row r="1209" spans="1:26" x14ac:dyDescent="0.3">
      <c r="A1209">
        <v>1208</v>
      </c>
      <c r="B1209" s="2">
        <f t="shared" si="126"/>
        <v>45342.291666666664</v>
      </c>
      <c r="C1209" t="s">
        <v>2960</v>
      </c>
      <c r="D1209" t="s">
        <v>84</v>
      </c>
      <c r="E1209" t="str">
        <f>PROPER(TRIM(CLEAN(Sales_Table[[#This Row],[Region]])))</f>
        <v>South</v>
      </c>
      <c r="F1209" t="s">
        <v>28</v>
      </c>
      <c r="G1209" t="str">
        <f t="shared" si="127"/>
        <v>Clothing</v>
      </c>
      <c r="H1209" t="str">
        <f>PROPER(TRIM(CLEAN(Sales_Table[[#This Row],[Product Name]])))</f>
        <v>Washing Machine</v>
      </c>
      <c r="I1209" t="s">
        <v>79</v>
      </c>
      <c r="J1209" t="str">
        <f t="shared" si="128"/>
        <v>CUST0285</v>
      </c>
      <c r="K1209" t="s">
        <v>2643</v>
      </c>
      <c r="L1209" t="str">
        <f>PROPER(TRIM(CLEAN(Sales_Table[[#This Row],[Salesperson]])))</f>
        <v>Meena</v>
      </c>
      <c r="M1209" t="s">
        <v>40</v>
      </c>
      <c r="N1209" t="str">
        <f t="shared" si="129"/>
        <v>Net Banking</v>
      </c>
      <c r="O1209" t="s">
        <v>60</v>
      </c>
      <c r="P1209">
        <f t="shared" si="130"/>
        <v>9</v>
      </c>
      <c r="Q1209" t="s">
        <v>130</v>
      </c>
      <c r="R1209">
        <f t="shared" si="131"/>
        <v>3237</v>
      </c>
      <c r="S1209" t="s">
        <v>1918</v>
      </c>
      <c r="T1209">
        <f t="shared" si="132"/>
        <v>29133</v>
      </c>
      <c r="U1209">
        <f>YEAR(Sales_Table[[#This Row],[Date_clean]])</f>
        <v>2024</v>
      </c>
      <c r="V1209" t="str">
        <f>TEXT(Sales_Table[[#This Row],[Date_clean]],"mmmm")</f>
        <v>February</v>
      </c>
      <c r="W1209">
        <f>WEEKNUM(Sales_Table[[#This Row],[Date_clean]],2)</f>
        <v>8</v>
      </c>
      <c r="X1209" t="str" cm="1">
        <f t="array" ref="X1209">_xlfn.IFS(Sales_Table[[#This Row],[Revenue]]&gt;=50000,"High",Sales_Table[[#This Row],[Revenue]]&gt;=20000,"Medium",Sales_Table[[#This Row],[Revenue]]&lt;20000,"Low")</f>
        <v>Medium</v>
      </c>
      <c r="Y1209" t="str">
        <f>IF(Sales_Table[[#This Row],[Payment Method_clean]]="cash","Offline","Online")</f>
        <v>Online</v>
      </c>
      <c r="Z1209">
        <f>IFERROR(Sales_Table[[#This Row],[Revenue]],0)</f>
        <v>29133</v>
      </c>
    </row>
    <row r="1210" spans="1:26" x14ac:dyDescent="0.3">
      <c r="A1210">
        <v>1209</v>
      </c>
      <c r="B1210" s="2">
        <f t="shared" si="126"/>
        <v>45342.333333333336</v>
      </c>
      <c r="C1210" t="s">
        <v>2961</v>
      </c>
      <c r="D1210" t="s">
        <v>45</v>
      </c>
      <c r="E1210" t="str">
        <f>PROPER(TRIM(CLEAN(Sales_Table[[#This Row],[Region]])))</f>
        <v>North</v>
      </c>
      <c r="F1210" t="s">
        <v>37</v>
      </c>
      <c r="G1210" t="str">
        <f t="shared" si="127"/>
        <v>Home Appliances</v>
      </c>
      <c r="H1210" t="str">
        <f>PROPER(TRIM(CLEAN(Sales_Table[[#This Row],[Product Name]])))</f>
        <v>Rice 5Kg</v>
      </c>
      <c r="I1210" t="s">
        <v>73</v>
      </c>
      <c r="J1210" t="str">
        <f t="shared" si="128"/>
        <v>CUST0527</v>
      </c>
      <c r="K1210" t="s">
        <v>2962</v>
      </c>
      <c r="L1210" t="str">
        <f>PROPER(TRIM(CLEAN(Sales_Table[[#This Row],[Salesperson]])))</f>
        <v>Suresh</v>
      </c>
      <c r="M1210" t="s">
        <v>54</v>
      </c>
      <c r="N1210" t="str">
        <f t="shared" si="129"/>
        <v>Debit Card</v>
      </c>
      <c r="O1210" t="s">
        <v>41</v>
      </c>
      <c r="P1210">
        <f t="shared" si="130"/>
        <v>8</v>
      </c>
      <c r="Q1210" t="s">
        <v>42</v>
      </c>
      <c r="R1210">
        <f t="shared" si="131"/>
        <v>891</v>
      </c>
      <c r="S1210" t="s">
        <v>2963</v>
      </c>
      <c r="T1210">
        <f t="shared" si="132"/>
        <v>7128</v>
      </c>
      <c r="U1210">
        <f>YEAR(Sales_Table[[#This Row],[Date_clean]])</f>
        <v>2024</v>
      </c>
      <c r="V1210" t="str">
        <f>TEXT(Sales_Table[[#This Row],[Date_clean]],"mmmm")</f>
        <v>February</v>
      </c>
      <c r="W1210">
        <f>WEEKNUM(Sales_Table[[#This Row],[Date_clean]],2)</f>
        <v>8</v>
      </c>
      <c r="X1210" t="str" cm="1">
        <f t="array" ref="X1210">_xlfn.IFS(Sales_Table[[#This Row],[Revenue]]&gt;=50000,"High",Sales_Table[[#This Row],[Revenue]]&gt;=20000,"Medium",Sales_Table[[#This Row],[Revenue]]&lt;20000,"Low")</f>
        <v>Low</v>
      </c>
      <c r="Y1210" t="str">
        <f>IF(Sales_Table[[#This Row],[Payment Method_clean]]="cash","Offline","Online")</f>
        <v>Online</v>
      </c>
      <c r="Z1210">
        <f>IFERROR(Sales_Table[[#This Row],[Revenue]],0)</f>
        <v>7128</v>
      </c>
    </row>
    <row r="1211" spans="1:26" x14ac:dyDescent="0.3">
      <c r="A1211">
        <v>1210</v>
      </c>
      <c r="B1211" s="2">
        <f t="shared" si="126"/>
        <v>45342.375</v>
      </c>
      <c r="C1211" t="s">
        <v>2964</v>
      </c>
      <c r="D1211" t="s">
        <v>45</v>
      </c>
      <c r="E1211" t="str">
        <f>PROPER(TRIM(CLEAN(Sales_Table[[#This Row],[Region]])))</f>
        <v>North</v>
      </c>
      <c r="F1211" t="s">
        <v>78</v>
      </c>
      <c r="G1211" t="str">
        <f t="shared" si="127"/>
        <v>Grocery</v>
      </c>
      <c r="H1211" t="str">
        <f>PROPER(TRIM(CLEAN(Sales_Table[[#This Row],[Product Name]])))</f>
        <v>Led Tv 42Inch</v>
      </c>
      <c r="I1211" t="s">
        <v>58</v>
      </c>
      <c r="J1211" t="str">
        <f t="shared" si="128"/>
        <v>CUST0524</v>
      </c>
      <c r="K1211" t="s">
        <v>2965</v>
      </c>
      <c r="L1211" t="str">
        <f>PROPER(TRIM(CLEAN(Sales_Table[[#This Row],[Salesperson]])))</f>
        <v>Suresh</v>
      </c>
      <c r="M1211" t="s">
        <v>54</v>
      </c>
      <c r="N1211" t="str">
        <f t="shared" si="129"/>
        <v>Upi</v>
      </c>
      <c r="O1211" t="s">
        <v>48</v>
      </c>
      <c r="P1211">
        <f t="shared" si="130"/>
        <v>4</v>
      </c>
      <c r="Q1211" t="s">
        <v>113</v>
      </c>
      <c r="R1211">
        <f t="shared" si="131"/>
        <v>3711</v>
      </c>
      <c r="S1211" t="s">
        <v>2966</v>
      </c>
      <c r="T1211">
        <f t="shared" si="132"/>
        <v>14844</v>
      </c>
      <c r="U1211">
        <f>YEAR(Sales_Table[[#This Row],[Date_clean]])</f>
        <v>2024</v>
      </c>
      <c r="V1211" t="str">
        <f>TEXT(Sales_Table[[#This Row],[Date_clean]],"mmmm")</f>
        <v>February</v>
      </c>
      <c r="W1211">
        <f>WEEKNUM(Sales_Table[[#This Row],[Date_clean]],2)</f>
        <v>8</v>
      </c>
      <c r="X1211" t="str" cm="1">
        <f t="array" ref="X1211">_xlfn.IFS(Sales_Table[[#This Row],[Revenue]]&gt;=50000,"High",Sales_Table[[#This Row],[Revenue]]&gt;=20000,"Medium",Sales_Table[[#This Row],[Revenue]]&lt;20000,"Low")</f>
        <v>Low</v>
      </c>
      <c r="Y1211" t="str">
        <f>IF(Sales_Table[[#This Row],[Payment Method_clean]]="cash","Offline","Online")</f>
        <v>Online</v>
      </c>
      <c r="Z1211">
        <f>IFERROR(Sales_Table[[#This Row],[Revenue]],0)</f>
        <v>14844</v>
      </c>
    </row>
    <row r="1212" spans="1:26" x14ac:dyDescent="0.3">
      <c r="A1212">
        <v>1211</v>
      </c>
      <c r="B1212" s="2">
        <f t="shared" si="126"/>
        <v>45342.416666666664</v>
      </c>
      <c r="C1212" t="s">
        <v>2967</v>
      </c>
      <c r="D1212" t="s">
        <v>45</v>
      </c>
      <c r="E1212" t="str">
        <f>PROPER(TRIM(CLEAN(Sales_Table[[#This Row],[Region]])))</f>
        <v>North</v>
      </c>
      <c r="F1212" t="s">
        <v>78</v>
      </c>
      <c r="G1212" t="str">
        <f t="shared" si="127"/>
        <v>Grocery</v>
      </c>
      <c r="H1212" t="str">
        <f>PROPER(TRIM(CLEAN(Sales_Table[[#This Row],[Product Name]])))</f>
        <v>Men T-Shirt</v>
      </c>
      <c r="I1212" t="s">
        <v>38</v>
      </c>
      <c r="J1212" t="str">
        <f t="shared" si="128"/>
        <v>CUST0613</v>
      </c>
      <c r="K1212" t="s">
        <v>2010</v>
      </c>
      <c r="L1212" t="str">
        <f>PROPER(TRIM(CLEAN(Sales_Table[[#This Row],[Salesperson]])))</f>
        <v>Rahul</v>
      </c>
      <c r="M1212" t="s">
        <v>31</v>
      </c>
      <c r="N1212" t="str">
        <f t="shared" si="129"/>
        <v>Debit Card</v>
      </c>
      <c r="O1212" t="s">
        <v>41</v>
      </c>
      <c r="P1212">
        <f t="shared" si="130"/>
        <v>13</v>
      </c>
      <c r="Q1212" t="s">
        <v>81</v>
      </c>
      <c r="R1212">
        <f t="shared" si="131"/>
        <v>3800</v>
      </c>
      <c r="S1212" t="s">
        <v>2968</v>
      </c>
      <c r="T1212">
        <f t="shared" si="132"/>
        <v>49400</v>
      </c>
      <c r="U1212">
        <f>YEAR(Sales_Table[[#This Row],[Date_clean]])</f>
        <v>2024</v>
      </c>
      <c r="V1212" t="str">
        <f>TEXT(Sales_Table[[#This Row],[Date_clean]],"mmmm")</f>
        <v>February</v>
      </c>
      <c r="W1212">
        <f>WEEKNUM(Sales_Table[[#This Row],[Date_clean]],2)</f>
        <v>8</v>
      </c>
      <c r="X1212" t="str" cm="1">
        <f t="array" ref="X1212">_xlfn.IFS(Sales_Table[[#This Row],[Revenue]]&gt;=50000,"High",Sales_Table[[#This Row],[Revenue]]&gt;=20000,"Medium",Sales_Table[[#This Row],[Revenue]]&lt;20000,"Low")</f>
        <v>Medium</v>
      </c>
      <c r="Y1212" t="str">
        <f>IF(Sales_Table[[#This Row],[Payment Method_clean]]="cash","Offline","Online")</f>
        <v>Online</v>
      </c>
      <c r="Z1212">
        <f>IFERROR(Sales_Table[[#This Row],[Revenue]],0)</f>
        <v>49400</v>
      </c>
    </row>
    <row r="1213" spans="1:26" x14ac:dyDescent="0.3">
      <c r="A1213">
        <v>1212</v>
      </c>
      <c r="B1213" s="2">
        <f t="shared" si="126"/>
        <v>45342.458333333336</v>
      </c>
      <c r="C1213" t="s">
        <v>2969</v>
      </c>
      <c r="D1213" t="s">
        <v>36</v>
      </c>
      <c r="E1213" t="str">
        <f>PROPER(TRIM(CLEAN(Sales_Table[[#This Row],[Region]])))</f>
        <v>West</v>
      </c>
      <c r="F1213" t="s">
        <v>37</v>
      </c>
      <c r="G1213" t="str">
        <f t="shared" si="127"/>
        <v>Home Appliances</v>
      </c>
      <c r="H1213" t="str">
        <f>PROPER(TRIM(CLEAN(Sales_Table[[#This Row],[Product Name]])))</f>
        <v>Laptop</v>
      </c>
      <c r="I1213" t="s">
        <v>52</v>
      </c>
      <c r="J1213" t="str">
        <f t="shared" si="128"/>
        <v>CUST0156</v>
      </c>
      <c r="K1213" t="s">
        <v>332</v>
      </c>
      <c r="L1213" t="str">
        <f>PROPER(TRIM(CLEAN(Sales_Table[[#This Row],[Salesperson]])))</f>
        <v>Rahul</v>
      </c>
      <c r="M1213" t="s">
        <v>31</v>
      </c>
      <c r="N1213" t="str">
        <f t="shared" si="129"/>
        <v>Debit Card</v>
      </c>
      <c r="O1213" t="s">
        <v>41</v>
      </c>
      <c r="P1213">
        <f t="shared" si="130"/>
        <v>11</v>
      </c>
      <c r="Q1213" t="s">
        <v>97</v>
      </c>
      <c r="R1213">
        <f t="shared" si="131"/>
        <v>1616</v>
      </c>
      <c r="S1213" t="s">
        <v>2970</v>
      </c>
      <c r="T1213">
        <f t="shared" si="132"/>
        <v>17776</v>
      </c>
      <c r="U1213">
        <f>YEAR(Sales_Table[[#This Row],[Date_clean]])</f>
        <v>2024</v>
      </c>
      <c r="V1213" t="str">
        <f>TEXT(Sales_Table[[#This Row],[Date_clean]],"mmmm")</f>
        <v>February</v>
      </c>
      <c r="W1213">
        <f>WEEKNUM(Sales_Table[[#This Row],[Date_clean]],2)</f>
        <v>8</v>
      </c>
      <c r="X1213" t="str" cm="1">
        <f t="array" ref="X1213">_xlfn.IFS(Sales_Table[[#This Row],[Revenue]]&gt;=50000,"High",Sales_Table[[#This Row],[Revenue]]&gt;=20000,"Medium",Sales_Table[[#This Row],[Revenue]]&lt;20000,"Low")</f>
        <v>Low</v>
      </c>
      <c r="Y1213" t="str">
        <f>IF(Sales_Table[[#This Row],[Payment Method_clean]]="cash","Offline","Online")</f>
        <v>Online</v>
      </c>
      <c r="Z1213">
        <f>IFERROR(Sales_Table[[#This Row],[Revenue]],0)</f>
        <v>17776</v>
      </c>
    </row>
    <row r="1214" spans="1:26" x14ac:dyDescent="0.3">
      <c r="A1214">
        <v>1213</v>
      </c>
      <c r="B1214" s="2">
        <f t="shared" si="126"/>
        <v>45342.5</v>
      </c>
      <c r="C1214" t="s">
        <v>2971</v>
      </c>
      <c r="D1214" t="s">
        <v>84</v>
      </c>
      <c r="E1214" t="str">
        <f>PROPER(TRIM(CLEAN(Sales_Table[[#This Row],[Region]])))</f>
        <v>South</v>
      </c>
      <c r="F1214" t="s">
        <v>46</v>
      </c>
      <c r="G1214" t="str">
        <f t="shared" si="127"/>
        <v>Electronics</v>
      </c>
      <c r="H1214" t="str">
        <f>PROPER(TRIM(CLEAN(Sales_Table[[#This Row],[Product Name]])))</f>
        <v>Laptop</v>
      </c>
      <c r="I1214" t="s">
        <v>52</v>
      </c>
      <c r="J1214" t="str">
        <f t="shared" si="128"/>
        <v>CUST0340</v>
      </c>
      <c r="K1214" t="s">
        <v>362</v>
      </c>
      <c r="L1214" t="str">
        <f>PROPER(TRIM(CLEAN(Sales_Table[[#This Row],[Salesperson]])))</f>
        <v>Meena</v>
      </c>
      <c r="M1214" t="s">
        <v>40</v>
      </c>
      <c r="N1214" t="str">
        <f t="shared" si="129"/>
        <v>Net Banking</v>
      </c>
      <c r="O1214" t="s">
        <v>60</v>
      </c>
      <c r="P1214">
        <f t="shared" si="130"/>
        <v>12</v>
      </c>
      <c r="Q1214" t="s">
        <v>33</v>
      </c>
      <c r="R1214">
        <f t="shared" si="131"/>
        <v>4053</v>
      </c>
      <c r="S1214" t="s">
        <v>2972</v>
      </c>
      <c r="T1214">
        <f t="shared" si="132"/>
        <v>48636</v>
      </c>
      <c r="U1214">
        <f>YEAR(Sales_Table[[#This Row],[Date_clean]])</f>
        <v>2024</v>
      </c>
      <c r="V1214" t="str">
        <f>TEXT(Sales_Table[[#This Row],[Date_clean]],"mmmm")</f>
        <v>February</v>
      </c>
      <c r="W1214">
        <f>WEEKNUM(Sales_Table[[#This Row],[Date_clean]],2)</f>
        <v>8</v>
      </c>
      <c r="X1214" t="str" cm="1">
        <f t="array" ref="X1214">_xlfn.IFS(Sales_Table[[#This Row],[Revenue]]&gt;=50000,"High",Sales_Table[[#This Row],[Revenue]]&gt;=20000,"Medium",Sales_Table[[#This Row],[Revenue]]&lt;20000,"Low")</f>
        <v>Medium</v>
      </c>
      <c r="Y1214" t="str">
        <f>IF(Sales_Table[[#This Row],[Payment Method_clean]]="cash","Offline","Online")</f>
        <v>Online</v>
      </c>
      <c r="Z1214">
        <f>IFERROR(Sales_Table[[#This Row],[Revenue]],0)</f>
        <v>48636</v>
      </c>
    </row>
    <row r="1215" spans="1:26" x14ac:dyDescent="0.3">
      <c r="A1215">
        <v>1214</v>
      </c>
      <c r="B1215" s="2">
        <f t="shared" si="126"/>
        <v>45342.541666666664</v>
      </c>
      <c r="C1215" t="s">
        <v>2973</v>
      </c>
      <c r="D1215" t="s">
        <v>84</v>
      </c>
      <c r="E1215" t="str">
        <f>PROPER(TRIM(CLEAN(Sales_Table[[#This Row],[Region]])))</f>
        <v>South</v>
      </c>
      <c r="F1215" t="s">
        <v>37</v>
      </c>
      <c r="G1215" t="str">
        <f t="shared" si="127"/>
        <v>Home Appliances</v>
      </c>
      <c r="H1215" t="str">
        <f>PROPER(TRIM(CLEAN(Sales_Table[[#This Row],[Product Name]])))</f>
        <v>Led Tv 42Inch</v>
      </c>
      <c r="I1215" t="s">
        <v>58</v>
      </c>
      <c r="J1215" t="str">
        <f t="shared" si="128"/>
        <v>CUST0125</v>
      </c>
      <c r="K1215" t="s">
        <v>572</v>
      </c>
      <c r="L1215" t="str">
        <f>PROPER(TRIM(CLEAN(Sales_Table[[#This Row],[Salesperson]])))</f>
        <v>Karthik</v>
      </c>
      <c r="M1215" t="s">
        <v>70</v>
      </c>
      <c r="N1215" t="str">
        <f t="shared" si="129"/>
        <v>Debit Card</v>
      </c>
      <c r="O1215" t="s">
        <v>41</v>
      </c>
      <c r="P1215">
        <f t="shared" si="130"/>
        <v>5</v>
      </c>
      <c r="Q1215" t="s">
        <v>89</v>
      </c>
      <c r="R1215">
        <f t="shared" si="131"/>
        <v>4008</v>
      </c>
      <c r="S1215" t="s">
        <v>2974</v>
      </c>
      <c r="T1215">
        <f t="shared" si="132"/>
        <v>20040</v>
      </c>
      <c r="U1215">
        <f>YEAR(Sales_Table[[#This Row],[Date_clean]])</f>
        <v>2024</v>
      </c>
      <c r="V1215" t="str">
        <f>TEXT(Sales_Table[[#This Row],[Date_clean]],"mmmm")</f>
        <v>February</v>
      </c>
      <c r="W1215">
        <f>WEEKNUM(Sales_Table[[#This Row],[Date_clean]],2)</f>
        <v>8</v>
      </c>
      <c r="X1215" t="str" cm="1">
        <f t="array" ref="X1215">_xlfn.IFS(Sales_Table[[#This Row],[Revenue]]&gt;=50000,"High",Sales_Table[[#This Row],[Revenue]]&gt;=20000,"Medium",Sales_Table[[#This Row],[Revenue]]&lt;20000,"Low")</f>
        <v>Medium</v>
      </c>
      <c r="Y1215" t="str">
        <f>IF(Sales_Table[[#This Row],[Payment Method_clean]]="cash","Offline","Online")</f>
        <v>Online</v>
      </c>
      <c r="Z1215">
        <f>IFERROR(Sales_Table[[#This Row],[Revenue]],0)</f>
        <v>20040</v>
      </c>
    </row>
    <row r="1216" spans="1:26" x14ac:dyDescent="0.3">
      <c r="A1216">
        <v>1215</v>
      </c>
      <c r="B1216" s="2">
        <f t="shared" si="126"/>
        <v>45342.583333333336</v>
      </c>
      <c r="C1216" t="s">
        <v>2975</v>
      </c>
      <c r="D1216" t="s">
        <v>84</v>
      </c>
      <c r="E1216" t="str">
        <f>PROPER(TRIM(CLEAN(Sales_Table[[#This Row],[Region]])))</f>
        <v>South</v>
      </c>
      <c r="F1216" t="s">
        <v>78</v>
      </c>
      <c r="G1216" t="str">
        <f t="shared" si="127"/>
        <v>Grocery</v>
      </c>
      <c r="H1216" t="str">
        <f>PROPER(TRIM(CLEAN(Sales_Table[[#This Row],[Product Name]])))</f>
        <v>Led Tv 42Inch</v>
      </c>
      <c r="I1216" t="s">
        <v>58</v>
      </c>
      <c r="J1216" t="str">
        <f t="shared" si="128"/>
        <v>CUST0280</v>
      </c>
      <c r="K1216" t="s">
        <v>2976</v>
      </c>
      <c r="L1216" t="str">
        <f>PROPER(TRIM(CLEAN(Sales_Table[[#This Row],[Salesperson]])))</f>
        <v>Rahul</v>
      </c>
      <c r="M1216" t="s">
        <v>31</v>
      </c>
      <c r="N1216" t="str">
        <f t="shared" si="129"/>
        <v>Credit Card</v>
      </c>
      <c r="O1216" t="s">
        <v>65</v>
      </c>
      <c r="P1216">
        <f t="shared" si="130"/>
        <v>7</v>
      </c>
      <c r="Q1216" t="s">
        <v>49</v>
      </c>
      <c r="R1216">
        <f t="shared" si="131"/>
        <v>2773</v>
      </c>
      <c r="S1216" t="s">
        <v>2977</v>
      </c>
      <c r="T1216">
        <f t="shared" si="132"/>
        <v>19411</v>
      </c>
      <c r="U1216">
        <f>YEAR(Sales_Table[[#This Row],[Date_clean]])</f>
        <v>2024</v>
      </c>
      <c r="V1216" t="str">
        <f>TEXT(Sales_Table[[#This Row],[Date_clean]],"mmmm")</f>
        <v>February</v>
      </c>
      <c r="W1216">
        <f>WEEKNUM(Sales_Table[[#This Row],[Date_clean]],2)</f>
        <v>8</v>
      </c>
      <c r="X1216" t="str" cm="1">
        <f t="array" ref="X1216">_xlfn.IFS(Sales_Table[[#This Row],[Revenue]]&gt;=50000,"High",Sales_Table[[#This Row],[Revenue]]&gt;=20000,"Medium",Sales_Table[[#This Row],[Revenue]]&lt;20000,"Low")</f>
        <v>Low</v>
      </c>
      <c r="Y1216" t="str">
        <f>IF(Sales_Table[[#This Row],[Payment Method_clean]]="cash","Offline","Online")</f>
        <v>Online</v>
      </c>
      <c r="Z1216">
        <f>IFERROR(Sales_Table[[#This Row],[Revenue]],0)</f>
        <v>19411</v>
      </c>
    </row>
    <row r="1217" spans="1:26" x14ac:dyDescent="0.3">
      <c r="A1217">
        <v>1216</v>
      </c>
      <c r="B1217" s="2">
        <f t="shared" si="126"/>
        <v>45342.625</v>
      </c>
      <c r="C1217" t="s">
        <v>2978</v>
      </c>
      <c r="D1217" t="s">
        <v>45</v>
      </c>
      <c r="E1217" t="str">
        <f>PROPER(TRIM(CLEAN(Sales_Table[[#This Row],[Region]])))</f>
        <v>North</v>
      </c>
      <c r="F1217" t="s">
        <v>37</v>
      </c>
      <c r="G1217" t="str">
        <f t="shared" si="127"/>
        <v>Home Appliances</v>
      </c>
      <c r="H1217" t="str">
        <f>PROPER(TRIM(CLEAN(Sales_Table[[#This Row],[Product Name]])))</f>
        <v>Laptop</v>
      </c>
      <c r="I1217" t="s">
        <v>52</v>
      </c>
      <c r="J1217" t="str">
        <f t="shared" si="128"/>
        <v>CUST0622</v>
      </c>
      <c r="K1217" t="s">
        <v>338</v>
      </c>
      <c r="L1217" t="str">
        <f>PROPER(TRIM(CLEAN(Sales_Table[[#This Row],[Salesperson]])))</f>
        <v>Karthik</v>
      </c>
      <c r="M1217" t="s">
        <v>70</v>
      </c>
      <c r="N1217" t="str">
        <f t="shared" si="129"/>
        <v>Debit Card</v>
      </c>
      <c r="O1217" t="s">
        <v>41</v>
      </c>
      <c r="P1217">
        <f t="shared" si="130"/>
        <v>8</v>
      </c>
      <c r="Q1217" t="s">
        <v>42</v>
      </c>
      <c r="R1217">
        <f t="shared" si="131"/>
        <v>2222</v>
      </c>
      <c r="S1217" t="s">
        <v>2979</v>
      </c>
      <c r="T1217">
        <f t="shared" si="132"/>
        <v>17776</v>
      </c>
      <c r="U1217">
        <f>YEAR(Sales_Table[[#This Row],[Date_clean]])</f>
        <v>2024</v>
      </c>
      <c r="V1217" t="str">
        <f>TEXT(Sales_Table[[#This Row],[Date_clean]],"mmmm")</f>
        <v>February</v>
      </c>
      <c r="W1217">
        <f>WEEKNUM(Sales_Table[[#This Row],[Date_clean]],2)</f>
        <v>8</v>
      </c>
      <c r="X1217" t="str" cm="1">
        <f t="array" ref="X1217">_xlfn.IFS(Sales_Table[[#This Row],[Revenue]]&gt;=50000,"High",Sales_Table[[#This Row],[Revenue]]&gt;=20000,"Medium",Sales_Table[[#This Row],[Revenue]]&lt;20000,"Low")</f>
        <v>Low</v>
      </c>
      <c r="Y1217" t="str">
        <f>IF(Sales_Table[[#This Row],[Payment Method_clean]]="cash","Offline","Online")</f>
        <v>Online</v>
      </c>
      <c r="Z1217">
        <f>IFERROR(Sales_Table[[#This Row],[Revenue]],0)</f>
        <v>17776</v>
      </c>
    </row>
    <row r="1218" spans="1:26" x14ac:dyDescent="0.3">
      <c r="A1218">
        <v>1217</v>
      </c>
      <c r="B1218" s="2">
        <f t="shared" si="126"/>
        <v>45342.666666666664</v>
      </c>
      <c r="C1218" t="s">
        <v>2980</v>
      </c>
      <c r="D1218" t="s">
        <v>84</v>
      </c>
      <c r="E1218" t="str">
        <f>PROPER(TRIM(CLEAN(Sales_Table[[#This Row],[Region]])))</f>
        <v>South</v>
      </c>
      <c r="F1218" t="s">
        <v>28</v>
      </c>
      <c r="G1218" t="str">
        <f t="shared" si="127"/>
        <v>Clothing</v>
      </c>
      <c r="H1218" t="str">
        <f>PROPER(TRIM(CLEAN(Sales_Table[[#This Row],[Product Name]])))</f>
        <v>Mixer Grinder</v>
      </c>
      <c r="I1218" t="s">
        <v>29</v>
      </c>
      <c r="J1218" t="str">
        <f t="shared" si="128"/>
        <v>CUST0658</v>
      </c>
      <c r="K1218" t="s">
        <v>291</v>
      </c>
      <c r="L1218" t="str">
        <f>PROPER(TRIM(CLEAN(Sales_Table[[#This Row],[Salesperson]])))</f>
        <v>Anita</v>
      </c>
      <c r="M1218" t="s">
        <v>64</v>
      </c>
      <c r="N1218" t="str">
        <f t="shared" si="129"/>
        <v>Credit Card</v>
      </c>
      <c r="O1218" t="s">
        <v>65</v>
      </c>
      <c r="P1218">
        <f t="shared" si="130"/>
        <v>5</v>
      </c>
      <c r="Q1218" t="s">
        <v>89</v>
      </c>
      <c r="R1218">
        <f t="shared" si="131"/>
        <v>3885</v>
      </c>
      <c r="S1218" t="s">
        <v>2981</v>
      </c>
      <c r="T1218">
        <f t="shared" si="132"/>
        <v>19425</v>
      </c>
      <c r="U1218">
        <f>YEAR(Sales_Table[[#This Row],[Date_clean]])</f>
        <v>2024</v>
      </c>
      <c r="V1218" t="str">
        <f>TEXT(Sales_Table[[#This Row],[Date_clean]],"mmmm")</f>
        <v>February</v>
      </c>
      <c r="W1218">
        <f>WEEKNUM(Sales_Table[[#This Row],[Date_clean]],2)</f>
        <v>8</v>
      </c>
      <c r="X1218" t="str" cm="1">
        <f t="array" ref="X1218">_xlfn.IFS(Sales_Table[[#This Row],[Revenue]]&gt;=50000,"High",Sales_Table[[#This Row],[Revenue]]&gt;=20000,"Medium",Sales_Table[[#This Row],[Revenue]]&lt;20000,"Low")</f>
        <v>Low</v>
      </c>
      <c r="Y1218" t="str">
        <f>IF(Sales_Table[[#This Row],[Payment Method_clean]]="cash","Offline","Online")</f>
        <v>Online</v>
      </c>
      <c r="Z1218">
        <f>IFERROR(Sales_Table[[#This Row],[Revenue]],0)</f>
        <v>19425</v>
      </c>
    </row>
    <row r="1219" spans="1:26" x14ac:dyDescent="0.3">
      <c r="A1219">
        <v>1218</v>
      </c>
      <c r="B1219" s="2">
        <f t="shared" ref="B1219:B1282" si="133">DATEVALUE(LEFT(C1219,10))+TIMEVALUE(MID(C1219,12,8))</f>
        <v>45342.708333333336</v>
      </c>
      <c r="C1219" t="s">
        <v>2982</v>
      </c>
      <c r="D1219" t="s">
        <v>84</v>
      </c>
      <c r="E1219" t="str">
        <f>PROPER(TRIM(CLEAN(Sales_Table[[#This Row],[Region]])))</f>
        <v>South</v>
      </c>
      <c r="F1219" t="s">
        <v>37</v>
      </c>
      <c r="G1219" t="str">
        <f t="shared" ref="G1219:G1282" si="134">PROPER(TRIM(CLEAN(F1219)))</f>
        <v>Home Appliances</v>
      </c>
      <c r="H1219" t="str">
        <f>PROPER(TRIM(CLEAN(Sales_Table[[#This Row],[Product Name]])))</f>
        <v>Mixer Grinder</v>
      </c>
      <c r="I1219" t="s">
        <v>29</v>
      </c>
      <c r="J1219" t="str">
        <f t="shared" ref="J1219:J1282" si="135">TRIM(K1219)</f>
        <v>CUST0728</v>
      </c>
      <c r="K1219" t="s">
        <v>944</v>
      </c>
      <c r="L1219" t="str">
        <f>PROPER(TRIM(CLEAN(Sales_Table[[#This Row],[Salesperson]])))</f>
        <v>Rahul</v>
      </c>
      <c r="M1219" t="s">
        <v>31</v>
      </c>
      <c r="N1219" t="str">
        <f t="shared" ref="N1219:N1282" si="136">PROPER(TRIM(O1219))</f>
        <v>Net Banking</v>
      </c>
      <c r="O1219" t="s">
        <v>60</v>
      </c>
      <c r="P1219">
        <f t="shared" ref="P1219:P1282" si="137">VALUE(Q1219)</f>
        <v>9</v>
      </c>
      <c r="Q1219" t="s">
        <v>130</v>
      </c>
      <c r="R1219">
        <f t="shared" ref="R1219:R1282" si="138">VALUE(S1219)</f>
        <v>158</v>
      </c>
      <c r="S1219" t="s">
        <v>2983</v>
      </c>
      <c r="T1219">
        <f t="shared" ref="T1219:T1282" si="139">P1219*R1219</f>
        <v>1422</v>
      </c>
      <c r="U1219">
        <f>YEAR(Sales_Table[[#This Row],[Date_clean]])</f>
        <v>2024</v>
      </c>
      <c r="V1219" t="str">
        <f>TEXT(Sales_Table[[#This Row],[Date_clean]],"mmmm")</f>
        <v>February</v>
      </c>
      <c r="W1219">
        <f>WEEKNUM(Sales_Table[[#This Row],[Date_clean]],2)</f>
        <v>8</v>
      </c>
      <c r="X1219" t="str" cm="1">
        <f t="array" ref="X1219">_xlfn.IFS(Sales_Table[[#This Row],[Revenue]]&gt;=50000,"High",Sales_Table[[#This Row],[Revenue]]&gt;=20000,"Medium",Sales_Table[[#This Row],[Revenue]]&lt;20000,"Low")</f>
        <v>Low</v>
      </c>
      <c r="Y1219" t="str">
        <f>IF(Sales_Table[[#This Row],[Payment Method_clean]]="cash","Offline","Online")</f>
        <v>Online</v>
      </c>
      <c r="Z1219">
        <f>IFERROR(Sales_Table[[#This Row],[Revenue]],0)</f>
        <v>1422</v>
      </c>
    </row>
    <row r="1220" spans="1:26" x14ac:dyDescent="0.3">
      <c r="A1220">
        <v>1219</v>
      </c>
      <c r="B1220" s="2">
        <f t="shared" si="133"/>
        <v>45342.75</v>
      </c>
      <c r="C1220" t="s">
        <v>2984</v>
      </c>
      <c r="D1220" t="s">
        <v>45</v>
      </c>
      <c r="E1220" t="str">
        <f>PROPER(TRIM(CLEAN(Sales_Table[[#This Row],[Region]])))</f>
        <v>North</v>
      </c>
      <c r="F1220" t="s">
        <v>78</v>
      </c>
      <c r="G1220" t="str">
        <f t="shared" si="134"/>
        <v>Grocery</v>
      </c>
      <c r="H1220" t="str">
        <f>PROPER(TRIM(CLEAN(Sales_Table[[#This Row],[Product Name]])))</f>
        <v>Men T-Shirt</v>
      </c>
      <c r="I1220" t="s">
        <v>38</v>
      </c>
      <c r="J1220" t="str">
        <f t="shared" si="135"/>
        <v>CUST0674</v>
      </c>
      <c r="K1220" t="s">
        <v>1992</v>
      </c>
      <c r="L1220" t="str">
        <f>PROPER(TRIM(CLEAN(Sales_Table[[#This Row],[Salesperson]])))</f>
        <v>Rahul</v>
      </c>
      <c r="M1220" t="s">
        <v>31</v>
      </c>
      <c r="N1220" t="str">
        <f t="shared" si="136"/>
        <v>Upi</v>
      </c>
      <c r="O1220" t="s">
        <v>48</v>
      </c>
      <c r="P1220">
        <f t="shared" si="137"/>
        <v>14</v>
      </c>
      <c r="Q1220" t="s">
        <v>55</v>
      </c>
      <c r="R1220">
        <f t="shared" si="138"/>
        <v>2533</v>
      </c>
      <c r="S1220" t="s">
        <v>2985</v>
      </c>
      <c r="T1220">
        <f t="shared" si="139"/>
        <v>35462</v>
      </c>
      <c r="U1220">
        <f>YEAR(Sales_Table[[#This Row],[Date_clean]])</f>
        <v>2024</v>
      </c>
      <c r="V1220" t="str">
        <f>TEXT(Sales_Table[[#This Row],[Date_clean]],"mmmm")</f>
        <v>February</v>
      </c>
      <c r="W1220">
        <f>WEEKNUM(Sales_Table[[#This Row],[Date_clean]],2)</f>
        <v>8</v>
      </c>
      <c r="X1220" t="str" cm="1">
        <f t="array" ref="X1220">_xlfn.IFS(Sales_Table[[#This Row],[Revenue]]&gt;=50000,"High",Sales_Table[[#This Row],[Revenue]]&gt;=20000,"Medium",Sales_Table[[#This Row],[Revenue]]&lt;20000,"Low")</f>
        <v>Medium</v>
      </c>
      <c r="Y1220" t="str">
        <f>IF(Sales_Table[[#This Row],[Payment Method_clean]]="cash","Offline","Online")</f>
        <v>Online</v>
      </c>
      <c r="Z1220">
        <f>IFERROR(Sales_Table[[#This Row],[Revenue]],0)</f>
        <v>35462</v>
      </c>
    </row>
    <row r="1221" spans="1:26" x14ac:dyDescent="0.3">
      <c r="A1221">
        <v>1220</v>
      </c>
      <c r="B1221" s="2">
        <f t="shared" si="133"/>
        <v>45342.791666666664</v>
      </c>
      <c r="C1221" t="s">
        <v>2986</v>
      </c>
      <c r="D1221" t="s">
        <v>27</v>
      </c>
      <c r="E1221" t="str">
        <f>PROPER(TRIM(CLEAN(Sales_Table[[#This Row],[Region]])))</f>
        <v>East</v>
      </c>
      <c r="F1221" t="s">
        <v>37</v>
      </c>
      <c r="G1221" t="str">
        <f t="shared" si="134"/>
        <v>Home Appliances</v>
      </c>
      <c r="H1221" t="str">
        <f>PROPER(TRIM(CLEAN(Sales_Table[[#This Row],[Product Name]])))</f>
        <v>Washing Machine</v>
      </c>
      <c r="I1221" t="s">
        <v>79</v>
      </c>
      <c r="J1221" t="str">
        <f t="shared" si="135"/>
        <v>CUST0128</v>
      </c>
      <c r="K1221" t="s">
        <v>1068</v>
      </c>
      <c r="L1221" t="str">
        <f>PROPER(TRIM(CLEAN(Sales_Table[[#This Row],[Salesperson]])))</f>
        <v>Meena</v>
      </c>
      <c r="M1221" t="s">
        <v>40</v>
      </c>
      <c r="N1221" t="str">
        <f t="shared" si="136"/>
        <v>Credit Card</v>
      </c>
      <c r="O1221" t="s">
        <v>65</v>
      </c>
      <c r="P1221">
        <f t="shared" si="137"/>
        <v>10</v>
      </c>
      <c r="Q1221" t="s">
        <v>117</v>
      </c>
      <c r="R1221">
        <f t="shared" si="138"/>
        <v>2162</v>
      </c>
      <c r="S1221" t="s">
        <v>2987</v>
      </c>
      <c r="T1221">
        <f t="shared" si="139"/>
        <v>21620</v>
      </c>
      <c r="U1221">
        <f>YEAR(Sales_Table[[#This Row],[Date_clean]])</f>
        <v>2024</v>
      </c>
      <c r="V1221" t="str">
        <f>TEXT(Sales_Table[[#This Row],[Date_clean]],"mmmm")</f>
        <v>February</v>
      </c>
      <c r="W1221">
        <f>WEEKNUM(Sales_Table[[#This Row],[Date_clean]],2)</f>
        <v>8</v>
      </c>
      <c r="X1221" t="str" cm="1">
        <f t="array" ref="X1221">_xlfn.IFS(Sales_Table[[#This Row],[Revenue]]&gt;=50000,"High",Sales_Table[[#This Row],[Revenue]]&gt;=20000,"Medium",Sales_Table[[#This Row],[Revenue]]&lt;20000,"Low")</f>
        <v>Medium</v>
      </c>
      <c r="Y1221" t="str">
        <f>IF(Sales_Table[[#This Row],[Payment Method_clean]]="cash","Offline","Online")</f>
        <v>Online</v>
      </c>
      <c r="Z1221">
        <f>IFERROR(Sales_Table[[#This Row],[Revenue]],0)</f>
        <v>21620</v>
      </c>
    </row>
    <row r="1222" spans="1:26" x14ac:dyDescent="0.3">
      <c r="A1222">
        <v>1221</v>
      </c>
      <c r="B1222" s="2">
        <f t="shared" si="133"/>
        <v>45342.833333333336</v>
      </c>
      <c r="C1222" t="s">
        <v>2988</v>
      </c>
      <c r="D1222" t="s">
        <v>45</v>
      </c>
      <c r="E1222" t="str">
        <f>PROPER(TRIM(CLEAN(Sales_Table[[#This Row],[Region]])))</f>
        <v>North</v>
      </c>
      <c r="F1222" t="s">
        <v>46</v>
      </c>
      <c r="G1222" t="str">
        <f t="shared" si="134"/>
        <v>Electronics</v>
      </c>
      <c r="H1222" t="str">
        <f>PROPER(TRIM(CLEAN(Sales_Table[[#This Row],[Product Name]])))</f>
        <v>Men T-Shirt</v>
      </c>
      <c r="I1222" t="s">
        <v>38</v>
      </c>
      <c r="J1222" t="str">
        <f t="shared" si="135"/>
        <v>CUST0314</v>
      </c>
      <c r="K1222" t="s">
        <v>123</v>
      </c>
      <c r="L1222" t="str">
        <f>PROPER(TRIM(CLEAN(Sales_Table[[#This Row],[Salesperson]])))</f>
        <v>Karthik</v>
      </c>
      <c r="M1222" t="s">
        <v>70</v>
      </c>
      <c r="N1222" t="str">
        <f t="shared" si="136"/>
        <v>Upi</v>
      </c>
      <c r="O1222" t="s">
        <v>48</v>
      </c>
      <c r="P1222">
        <f t="shared" si="137"/>
        <v>12</v>
      </c>
      <c r="Q1222" t="s">
        <v>33</v>
      </c>
      <c r="R1222">
        <f t="shared" si="138"/>
        <v>1354</v>
      </c>
      <c r="S1222" t="s">
        <v>2989</v>
      </c>
      <c r="T1222">
        <f t="shared" si="139"/>
        <v>16248</v>
      </c>
      <c r="U1222">
        <f>YEAR(Sales_Table[[#This Row],[Date_clean]])</f>
        <v>2024</v>
      </c>
      <c r="V1222" t="str">
        <f>TEXT(Sales_Table[[#This Row],[Date_clean]],"mmmm")</f>
        <v>February</v>
      </c>
      <c r="W1222">
        <f>WEEKNUM(Sales_Table[[#This Row],[Date_clean]],2)</f>
        <v>8</v>
      </c>
      <c r="X1222" t="str" cm="1">
        <f t="array" ref="X1222">_xlfn.IFS(Sales_Table[[#This Row],[Revenue]]&gt;=50000,"High",Sales_Table[[#This Row],[Revenue]]&gt;=20000,"Medium",Sales_Table[[#This Row],[Revenue]]&lt;20000,"Low")</f>
        <v>Low</v>
      </c>
      <c r="Y1222" t="str">
        <f>IF(Sales_Table[[#This Row],[Payment Method_clean]]="cash","Offline","Online")</f>
        <v>Online</v>
      </c>
      <c r="Z1222">
        <f>IFERROR(Sales_Table[[#This Row],[Revenue]],0)</f>
        <v>16248</v>
      </c>
    </row>
    <row r="1223" spans="1:26" x14ac:dyDescent="0.3">
      <c r="A1223">
        <v>1222</v>
      </c>
      <c r="B1223" s="2">
        <f t="shared" si="133"/>
        <v>45342.875</v>
      </c>
      <c r="C1223" t="s">
        <v>2990</v>
      </c>
      <c r="D1223" t="s">
        <v>84</v>
      </c>
      <c r="E1223" t="str">
        <f>PROPER(TRIM(CLEAN(Sales_Table[[#This Row],[Region]])))</f>
        <v>South</v>
      </c>
      <c r="F1223" t="s">
        <v>37</v>
      </c>
      <c r="G1223" t="str">
        <f t="shared" si="134"/>
        <v>Home Appliances</v>
      </c>
      <c r="H1223" t="str">
        <f>PROPER(TRIM(CLEAN(Sales_Table[[#This Row],[Product Name]])))</f>
        <v>Washing Machine</v>
      </c>
      <c r="I1223" t="s">
        <v>79</v>
      </c>
      <c r="J1223" t="str">
        <f t="shared" si="135"/>
        <v>CUST0332</v>
      </c>
      <c r="K1223" t="s">
        <v>2991</v>
      </c>
      <c r="L1223" t="str">
        <f>PROPER(TRIM(CLEAN(Sales_Table[[#This Row],[Salesperson]])))</f>
        <v>Rahul</v>
      </c>
      <c r="M1223" t="s">
        <v>31</v>
      </c>
      <c r="N1223" t="str">
        <f t="shared" si="136"/>
        <v>Upi</v>
      </c>
      <c r="O1223" t="s">
        <v>48</v>
      </c>
      <c r="P1223">
        <f t="shared" si="137"/>
        <v>4</v>
      </c>
      <c r="Q1223" t="s">
        <v>113</v>
      </c>
      <c r="R1223">
        <f t="shared" si="138"/>
        <v>3788</v>
      </c>
      <c r="S1223" t="s">
        <v>1107</v>
      </c>
      <c r="T1223">
        <f t="shared" si="139"/>
        <v>15152</v>
      </c>
      <c r="U1223">
        <f>YEAR(Sales_Table[[#This Row],[Date_clean]])</f>
        <v>2024</v>
      </c>
      <c r="V1223" t="str">
        <f>TEXT(Sales_Table[[#This Row],[Date_clean]],"mmmm")</f>
        <v>February</v>
      </c>
      <c r="W1223">
        <f>WEEKNUM(Sales_Table[[#This Row],[Date_clean]],2)</f>
        <v>8</v>
      </c>
      <c r="X1223" t="str" cm="1">
        <f t="array" ref="X1223">_xlfn.IFS(Sales_Table[[#This Row],[Revenue]]&gt;=50000,"High",Sales_Table[[#This Row],[Revenue]]&gt;=20000,"Medium",Sales_Table[[#This Row],[Revenue]]&lt;20000,"Low")</f>
        <v>Low</v>
      </c>
      <c r="Y1223" t="str">
        <f>IF(Sales_Table[[#This Row],[Payment Method_clean]]="cash","Offline","Online")</f>
        <v>Online</v>
      </c>
      <c r="Z1223">
        <f>IFERROR(Sales_Table[[#This Row],[Revenue]],0)</f>
        <v>15152</v>
      </c>
    </row>
    <row r="1224" spans="1:26" x14ac:dyDescent="0.3">
      <c r="A1224">
        <v>1223</v>
      </c>
      <c r="B1224" s="2">
        <f t="shared" si="133"/>
        <v>45342.916666666664</v>
      </c>
      <c r="C1224" t="s">
        <v>2992</v>
      </c>
      <c r="D1224" t="s">
        <v>45</v>
      </c>
      <c r="E1224" t="str">
        <f>PROPER(TRIM(CLEAN(Sales_Table[[#This Row],[Region]])))</f>
        <v>North</v>
      </c>
      <c r="F1224" t="s">
        <v>46</v>
      </c>
      <c r="G1224" t="str">
        <f t="shared" si="134"/>
        <v>Electronics</v>
      </c>
      <c r="H1224" t="str">
        <f>PROPER(TRIM(CLEAN(Sales_Table[[#This Row],[Product Name]])))</f>
        <v>Led Tv 42Inch</v>
      </c>
      <c r="I1224" t="s">
        <v>58</v>
      </c>
      <c r="J1224" t="str">
        <f t="shared" si="135"/>
        <v>CUST0150</v>
      </c>
      <c r="K1224" t="s">
        <v>805</v>
      </c>
      <c r="L1224" t="str">
        <f>PROPER(TRIM(CLEAN(Sales_Table[[#This Row],[Salesperson]])))</f>
        <v>Rahul</v>
      </c>
      <c r="M1224" t="s">
        <v>31</v>
      </c>
      <c r="N1224" t="str">
        <f t="shared" si="136"/>
        <v>Credit Card</v>
      </c>
      <c r="O1224" t="s">
        <v>65</v>
      </c>
      <c r="P1224">
        <f t="shared" si="137"/>
        <v>4</v>
      </c>
      <c r="Q1224" t="s">
        <v>113</v>
      </c>
      <c r="R1224">
        <f t="shared" si="138"/>
        <v>3848</v>
      </c>
      <c r="S1224" t="s">
        <v>2993</v>
      </c>
      <c r="T1224">
        <f t="shared" si="139"/>
        <v>15392</v>
      </c>
      <c r="U1224">
        <f>YEAR(Sales_Table[[#This Row],[Date_clean]])</f>
        <v>2024</v>
      </c>
      <c r="V1224" t="str">
        <f>TEXT(Sales_Table[[#This Row],[Date_clean]],"mmmm")</f>
        <v>February</v>
      </c>
      <c r="W1224">
        <f>WEEKNUM(Sales_Table[[#This Row],[Date_clean]],2)</f>
        <v>8</v>
      </c>
      <c r="X1224" t="str" cm="1">
        <f t="array" ref="X1224">_xlfn.IFS(Sales_Table[[#This Row],[Revenue]]&gt;=50000,"High",Sales_Table[[#This Row],[Revenue]]&gt;=20000,"Medium",Sales_Table[[#This Row],[Revenue]]&lt;20000,"Low")</f>
        <v>Low</v>
      </c>
      <c r="Y1224" t="str">
        <f>IF(Sales_Table[[#This Row],[Payment Method_clean]]="cash","Offline","Online")</f>
        <v>Online</v>
      </c>
      <c r="Z1224">
        <f>IFERROR(Sales_Table[[#This Row],[Revenue]],0)</f>
        <v>15392</v>
      </c>
    </row>
    <row r="1225" spans="1:26" x14ac:dyDescent="0.3">
      <c r="A1225">
        <v>1224</v>
      </c>
      <c r="B1225" s="2">
        <f t="shared" si="133"/>
        <v>45342.958333333336</v>
      </c>
      <c r="C1225" t="s">
        <v>2994</v>
      </c>
      <c r="D1225" t="s">
        <v>27</v>
      </c>
      <c r="E1225" t="str">
        <f>PROPER(TRIM(CLEAN(Sales_Table[[#This Row],[Region]])))</f>
        <v>East</v>
      </c>
      <c r="F1225" t="s">
        <v>28</v>
      </c>
      <c r="G1225" t="str">
        <f t="shared" si="134"/>
        <v>Clothing</v>
      </c>
      <c r="H1225" t="str">
        <f>PROPER(TRIM(CLEAN(Sales_Table[[#This Row],[Product Name]])))</f>
        <v>Rice 5Kg</v>
      </c>
      <c r="I1225" t="s">
        <v>73</v>
      </c>
      <c r="J1225" t="str">
        <f t="shared" si="135"/>
        <v>CUST0454</v>
      </c>
      <c r="K1225" t="s">
        <v>2367</v>
      </c>
      <c r="L1225" t="str">
        <f>PROPER(TRIM(CLEAN(Sales_Table[[#This Row],[Salesperson]])))</f>
        <v>Meena</v>
      </c>
      <c r="M1225" t="s">
        <v>40</v>
      </c>
      <c r="N1225" t="str">
        <f t="shared" si="136"/>
        <v>Net Banking</v>
      </c>
      <c r="O1225" t="s">
        <v>60</v>
      </c>
      <c r="P1225">
        <f t="shared" si="137"/>
        <v>13</v>
      </c>
      <c r="Q1225" t="s">
        <v>81</v>
      </c>
      <c r="R1225">
        <f t="shared" si="138"/>
        <v>4230</v>
      </c>
      <c r="S1225" t="s">
        <v>2160</v>
      </c>
      <c r="T1225">
        <f t="shared" si="139"/>
        <v>54990</v>
      </c>
      <c r="U1225">
        <f>YEAR(Sales_Table[[#This Row],[Date_clean]])</f>
        <v>2024</v>
      </c>
      <c r="V1225" t="str">
        <f>TEXT(Sales_Table[[#This Row],[Date_clean]],"mmmm")</f>
        <v>February</v>
      </c>
      <c r="W1225">
        <f>WEEKNUM(Sales_Table[[#This Row],[Date_clean]],2)</f>
        <v>8</v>
      </c>
      <c r="X1225" t="str" cm="1">
        <f t="array" ref="X1225">_xlfn.IFS(Sales_Table[[#This Row],[Revenue]]&gt;=50000,"High",Sales_Table[[#This Row],[Revenue]]&gt;=20000,"Medium",Sales_Table[[#This Row],[Revenue]]&lt;20000,"Low")</f>
        <v>High</v>
      </c>
      <c r="Y1225" t="str">
        <f>IF(Sales_Table[[#This Row],[Payment Method_clean]]="cash","Offline","Online")</f>
        <v>Online</v>
      </c>
      <c r="Z1225">
        <f>IFERROR(Sales_Table[[#This Row],[Revenue]],0)</f>
        <v>54990</v>
      </c>
    </row>
    <row r="1226" spans="1:26" x14ac:dyDescent="0.3">
      <c r="A1226">
        <v>1225</v>
      </c>
      <c r="B1226" s="2">
        <f t="shared" si="133"/>
        <v>45343</v>
      </c>
      <c r="C1226" t="s">
        <v>2995</v>
      </c>
      <c r="D1226" t="s">
        <v>45</v>
      </c>
      <c r="E1226" t="str">
        <f>PROPER(TRIM(CLEAN(Sales_Table[[#This Row],[Region]])))</f>
        <v>North</v>
      </c>
      <c r="F1226" t="s">
        <v>46</v>
      </c>
      <c r="G1226" t="str">
        <f t="shared" si="134"/>
        <v>Electronics</v>
      </c>
      <c r="H1226" t="str">
        <f>PROPER(TRIM(CLEAN(Sales_Table[[#This Row],[Product Name]])))</f>
        <v>Men T-Shirt</v>
      </c>
      <c r="I1226" t="s">
        <v>38</v>
      </c>
      <c r="J1226" t="str">
        <f t="shared" si="135"/>
        <v>CUST0036</v>
      </c>
      <c r="K1226" t="s">
        <v>1004</v>
      </c>
      <c r="L1226" t="str">
        <f>PROPER(TRIM(CLEAN(Sales_Table[[#This Row],[Salesperson]])))</f>
        <v>Meena</v>
      </c>
      <c r="M1226" t="s">
        <v>40</v>
      </c>
      <c r="N1226" t="str">
        <f t="shared" si="136"/>
        <v>Cash</v>
      </c>
      <c r="O1226" t="s">
        <v>32</v>
      </c>
      <c r="P1226">
        <f t="shared" si="137"/>
        <v>8</v>
      </c>
      <c r="Q1226" t="s">
        <v>42</v>
      </c>
      <c r="R1226">
        <f t="shared" si="138"/>
        <v>4357</v>
      </c>
      <c r="S1226" t="s">
        <v>2996</v>
      </c>
      <c r="T1226">
        <f t="shared" si="139"/>
        <v>34856</v>
      </c>
      <c r="U1226">
        <f>YEAR(Sales_Table[[#This Row],[Date_clean]])</f>
        <v>2024</v>
      </c>
      <c r="V1226" t="str">
        <f>TEXT(Sales_Table[[#This Row],[Date_clean]],"mmmm")</f>
        <v>February</v>
      </c>
      <c r="W1226">
        <f>WEEKNUM(Sales_Table[[#This Row],[Date_clean]],2)</f>
        <v>8</v>
      </c>
      <c r="X1226" t="str" cm="1">
        <f t="array" ref="X1226">_xlfn.IFS(Sales_Table[[#This Row],[Revenue]]&gt;=50000,"High",Sales_Table[[#This Row],[Revenue]]&gt;=20000,"Medium",Sales_Table[[#This Row],[Revenue]]&lt;20000,"Low")</f>
        <v>Medium</v>
      </c>
      <c r="Y1226" t="str">
        <f>IF(Sales_Table[[#This Row],[Payment Method_clean]]="cash","Offline","Online")</f>
        <v>Offline</v>
      </c>
      <c r="Z1226">
        <f>IFERROR(Sales_Table[[#This Row],[Revenue]],0)</f>
        <v>34856</v>
      </c>
    </row>
    <row r="1227" spans="1:26" x14ac:dyDescent="0.3">
      <c r="A1227">
        <v>1226</v>
      </c>
      <c r="B1227" s="2">
        <f t="shared" si="133"/>
        <v>45343.041666666664</v>
      </c>
      <c r="C1227" t="s">
        <v>2997</v>
      </c>
      <c r="D1227" t="s">
        <v>84</v>
      </c>
      <c r="E1227" t="str">
        <f>PROPER(TRIM(CLEAN(Sales_Table[[#This Row],[Region]])))</f>
        <v>South</v>
      </c>
      <c r="F1227" t="s">
        <v>37</v>
      </c>
      <c r="G1227" t="str">
        <f t="shared" si="134"/>
        <v>Home Appliances</v>
      </c>
      <c r="H1227" t="str">
        <f>PROPER(TRIM(CLEAN(Sales_Table[[#This Row],[Product Name]])))</f>
        <v>Men T-Shirt</v>
      </c>
      <c r="I1227" t="s">
        <v>38</v>
      </c>
      <c r="J1227" t="str">
        <f t="shared" si="135"/>
        <v>CUST0685</v>
      </c>
      <c r="K1227" t="s">
        <v>329</v>
      </c>
      <c r="L1227" t="str">
        <f>PROPER(TRIM(CLEAN(Sales_Table[[#This Row],[Salesperson]])))</f>
        <v>Karthik</v>
      </c>
      <c r="M1227" t="s">
        <v>70</v>
      </c>
      <c r="N1227" t="str">
        <f t="shared" si="136"/>
        <v>Upi</v>
      </c>
      <c r="O1227" t="s">
        <v>48</v>
      </c>
      <c r="P1227">
        <f t="shared" si="137"/>
        <v>1</v>
      </c>
      <c r="Q1227" t="s">
        <v>93</v>
      </c>
      <c r="R1227">
        <f t="shared" si="138"/>
        <v>3129</v>
      </c>
      <c r="S1227" t="s">
        <v>2110</v>
      </c>
      <c r="T1227">
        <f t="shared" si="139"/>
        <v>3129</v>
      </c>
      <c r="U1227">
        <f>YEAR(Sales_Table[[#This Row],[Date_clean]])</f>
        <v>2024</v>
      </c>
      <c r="V1227" t="str">
        <f>TEXT(Sales_Table[[#This Row],[Date_clean]],"mmmm")</f>
        <v>February</v>
      </c>
      <c r="W1227">
        <f>WEEKNUM(Sales_Table[[#This Row],[Date_clean]],2)</f>
        <v>8</v>
      </c>
      <c r="X1227" t="str" cm="1">
        <f t="array" ref="X1227">_xlfn.IFS(Sales_Table[[#This Row],[Revenue]]&gt;=50000,"High",Sales_Table[[#This Row],[Revenue]]&gt;=20000,"Medium",Sales_Table[[#This Row],[Revenue]]&lt;20000,"Low")</f>
        <v>Low</v>
      </c>
      <c r="Y1227" t="str">
        <f>IF(Sales_Table[[#This Row],[Payment Method_clean]]="cash","Offline","Online")</f>
        <v>Online</v>
      </c>
      <c r="Z1227">
        <f>IFERROR(Sales_Table[[#This Row],[Revenue]],0)</f>
        <v>3129</v>
      </c>
    </row>
    <row r="1228" spans="1:26" x14ac:dyDescent="0.3">
      <c r="A1228">
        <v>1227</v>
      </c>
      <c r="B1228" s="2">
        <f t="shared" si="133"/>
        <v>45343.083333333336</v>
      </c>
      <c r="C1228" t="s">
        <v>2998</v>
      </c>
      <c r="D1228" t="s">
        <v>27</v>
      </c>
      <c r="E1228" t="str">
        <f>PROPER(TRIM(CLEAN(Sales_Table[[#This Row],[Region]])))</f>
        <v>East</v>
      </c>
      <c r="F1228" t="s">
        <v>78</v>
      </c>
      <c r="G1228" t="str">
        <f t="shared" si="134"/>
        <v>Grocery</v>
      </c>
      <c r="H1228" t="str">
        <f>PROPER(TRIM(CLEAN(Sales_Table[[#This Row],[Product Name]])))</f>
        <v>Washing Machine</v>
      </c>
      <c r="I1228" t="s">
        <v>79</v>
      </c>
      <c r="J1228" t="str">
        <f t="shared" si="135"/>
        <v>CUST0420</v>
      </c>
      <c r="K1228" t="s">
        <v>997</v>
      </c>
      <c r="L1228" t="str">
        <f>PROPER(TRIM(CLEAN(Sales_Table[[#This Row],[Salesperson]])))</f>
        <v>Anita</v>
      </c>
      <c r="M1228" t="s">
        <v>64</v>
      </c>
      <c r="N1228" t="str">
        <f t="shared" si="136"/>
        <v>Upi</v>
      </c>
      <c r="O1228" t="s">
        <v>48</v>
      </c>
      <c r="P1228">
        <f t="shared" si="137"/>
        <v>8</v>
      </c>
      <c r="Q1228" t="s">
        <v>42</v>
      </c>
      <c r="R1228">
        <f t="shared" si="138"/>
        <v>2946</v>
      </c>
      <c r="S1228" t="s">
        <v>2999</v>
      </c>
      <c r="T1228">
        <f t="shared" si="139"/>
        <v>23568</v>
      </c>
      <c r="U1228">
        <f>YEAR(Sales_Table[[#This Row],[Date_clean]])</f>
        <v>2024</v>
      </c>
      <c r="V1228" t="str">
        <f>TEXT(Sales_Table[[#This Row],[Date_clean]],"mmmm")</f>
        <v>February</v>
      </c>
      <c r="W1228">
        <f>WEEKNUM(Sales_Table[[#This Row],[Date_clean]],2)</f>
        <v>8</v>
      </c>
      <c r="X1228" t="str" cm="1">
        <f t="array" ref="X1228">_xlfn.IFS(Sales_Table[[#This Row],[Revenue]]&gt;=50000,"High",Sales_Table[[#This Row],[Revenue]]&gt;=20000,"Medium",Sales_Table[[#This Row],[Revenue]]&lt;20000,"Low")</f>
        <v>Medium</v>
      </c>
      <c r="Y1228" t="str">
        <f>IF(Sales_Table[[#This Row],[Payment Method_clean]]="cash","Offline","Online")</f>
        <v>Online</v>
      </c>
      <c r="Z1228">
        <f>IFERROR(Sales_Table[[#This Row],[Revenue]],0)</f>
        <v>23568</v>
      </c>
    </row>
    <row r="1229" spans="1:26" x14ac:dyDescent="0.3">
      <c r="A1229">
        <v>1228</v>
      </c>
      <c r="B1229" s="2">
        <f t="shared" si="133"/>
        <v>45343.125</v>
      </c>
      <c r="C1229" t="s">
        <v>3000</v>
      </c>
      <c r="D1229" t="s">
        <v>36</v>
      </c>
      <c r="E1229" t="str">
        <f>PROPER(TRIM(CLEAN(Sales_Table[[#This Row],[Region]])))</f>
        <v>West</v>
      </c>
      <c r="F1229" t="s">
        <v>46</v>
      </c>
      <c r="G1229" t="str">
        <f t="shared" si="134"/>
        <v>Electronics</v>
      </c>
      <c r="H1229" t="str">
        <f>PROPER(TRIM(CLEAN(Sales_Table[[#This Row],[Product Name]])))</f>
        <v>Led Tv 42Inch</v>
      </c>
      <c r="I1229" t="s">
        <v>58</v>
      </c>
      <c r="J1229" t="str">
        <f t="shared" si="135"/>
        <v>CUST0022</v>
      </c>
      <c r="K1229" t="s">
        <v>2035</v>
      </c>
      <c r="L1229" t="str">
        <f>PROPER(TRIM(CLEAN(Sales_Table[[#This Row],[Salesperson]])))</f>
        <v>Anita</v>
      </c>
      <c r="M1229" t="s">
        <v>64</v>
      </c>
      <c r="N1229" t="str">
        <f t="shared" si="136"/>
        <v>Net Banking</v>
      </c>
      <c r="O1229" t="s">
        <v>60</v>
      </c>
      <c r="P1229">
        <f t="shared" si="137"/>
        <v>5</v>
      </c>
      <c r="Q1229" t="s">
        <v>89</v>
      </c>
      <c r="R1229">
        <f t="shared" si="138"/>
        <v>570</v>
      </c>
      <c r="S1229" t="s">
        <v>3001</v>
      </c>
      <c r="T1229">
        <f t="shared" si="139"/>
        <v>2850</v>
      </c>
      <c r="U1229">
        <f>YEAR(Sales_Table[[#This Row],[Date_clean]])</f>
        <v>2024</v>
      </c>
      <c r="V1229" t="str">
        <f>TEXT(Sales_Table[[#This Row],[Date_clean]],"mmmm")</f>
        <v>February</v>
      </c>
      <c r="W1229">
        <f>WEEKNUM(Sales_Table[[#This Row],[Date_clean]],2)</f>
        <v>8</v>
      </c>
      <c r="X1229" t="str" cm="1">
        <f t="array" ref="X1229">_xlfn.IFS(Sales_Table[[#This Row],[Revenue]]&gt;=50000,"High",Sales_Table[[#This Row],[Revenue]]&gt;=20000,"Medium",Sales_Table[[#This Row],[Revenue]]&lt;20000,"Low")</f>
        <v>Low</v>
      </c>
      <c r="Y1229" t="str">
        <f>IF(Sales_Table[[#This Row],[Payment Method_clean]]="cash","Offline","Online")</f>
        <v>Online</v>
      </c>
      <c r="Z1229">
        <f>IFERROR(Sales_Table[[#This Row],[Revenue]],0)</f>
        <v>2850</v>
      </c>
    </row>
    <row r="1230" spans="1:26" x14ac:dyDescent="0.3">
      <c r="A1230">
        <v>1229</v>
      </c>
      <c r="B1230" s="2">
        <f t="shared" si="133"/>
        <v>45343.166666666664</v>
      </c>
      <c r="C1230" t="s">
        <v>3002</v>
      </c>
      <c r="D1230" t="s">
        <v>84</v>
      </c>
      <c r="E1230" t="str">
        <f>PROPER(TRIM(CLEAN(Sales_Table[[#This Row],[Region]])))</f>
        <v>South</v>
      </c>
      <c r="F1230" t="s">
        <v>28</v>
      </c>
      <c r="G1230" t="str">
        <f t="shared" si="134"/>
        <v>Clothing</v>
      </c>
      <c r="H1230" t="str">
        <f>PROPER(TRIM(CLEAN(Sales_Table[[#This Row],[Product Name]])))</f>
        <v>Led Tv 42Inch</v>
      </c>
      <c r="I1230" t="s">
        <v>58</v>
      </c>
      <c r="J1230" t="str">
        <f t="shared" si="135"/>
        <v>CUST0206</v>
      </c>
      <c r="K1230" t="s">
        <v>1293</v>
      </c>
      <c r="L1230" t="str">
        <f>PROPER(TRIM(CLEAN(Sales_Table[[#This Row],[Salesperson]])))</f>
        <v>Suresh</v>
      </c>
      <c r="M1230" t="s">
        <v>54</v>
      </c>
      <c r="N1230" t="str">
        <f t="shared" si="136"/>
        <v>Net Banking</v>
      </c>
      <c r="O1230" t="s">
        <v>60</v>
      </c>
      <c r="P1230">
        <f t="shared" si="137"/>
        <v>13</v>
      </c>
      <c r="Q1230" t="s">
        <v>81</v>
      </c>
      <c r="R1230">
        <f t="shared" si="138"/>
        <v>4135</v>
      </c>
      <c r="S1230" t="s">
        <v>3003</v>
      </c>
      <c r="T1230">
        <f t="shared" si="139"/>
        <v>53755</v>
      </c>
      <c r="U1230">
        <f>YEAR(Sales_Table[[#This Row],[Date_clean]])</f>
        <v>2024</v>
      </c>
      <c r="V1230" t="str">
        <f>TEXT(Sales_Table[[#This Row],[Date_clean]],"mmmm")</f>
        <v>February</v>
      </c>
      <c r="W1230">
        <f>WEEKNUM(Sales_Table[[#This Row],[Date_clean]],2)</f>
        <v>8</v>
      </c>
      <c r="X1230" t="str" cm="1">
        <f t="array" ref="X1230">_xlfn.IFS(Sales_Table[[#This Row],[Revenue]]&gt;=50000,"High",Sales_Table[[#This Row],[Revenue]]&gt;=20000,"Medium",Sales_Table[[#This Row],[Revenue]]&lt;20000,"Low")</f>
        <v>High</v>
      </c>
      <c r="Y1230" t="str">
        <f>IF(Sales_Table[[#This Row],[Payment Method_clean]]="cash","Offline","Online")</f>
        <v>Online</v>
      </c>
      <c r="Z1230">
        <f>IFERROR(Sales_Table[[#This Row],[Revenue]],0)</f>
        <v>53755</v>
      </c>
    </row>
    <row r="1231" spans="1:26" x14ac:dyDescent="0.3">
      <c r="A1231">
        <v>1230</v>
      </c>
      <c r="B1231" s="2">
        <f t="shared" si="133"/>
        <v>45343.208333333336</v>
      </c>
      <c r="C1231" t="s">
        <v>3004</v>
      </c>
      <c r="D1231" t="s">
        <v>27</v>
      </c>
      <c r="E1231" t="str">
        <f>PROPER(TRIM(CLEAN(Sales_Table[[#This Row],[Region]])))</f>
        <v>East</v>
      </c>
      <c r="F1231" t="s">
        <v>46</v>
      </c>
      <c r="G1231" t="str">
        <f t="shared" si="134"/>
        <v>Electronics</v>
      </c>
      <c r="H1231" t="str">
        <f>PROPER(TRIM(CLEAN(Sales_Table[[#This Row],[Product Name]])))</f>
        <v>Washing Machine</v>
      </c>
      <c r="I1231" t="s">
        <v>79</v>
      </c>
      <c r="J1231" t="str">
        <f t="shared" si="135"/>
        <v>CUST0639</v>
      </c>
      <c r="K1231" t="s">
        <v>1360</v>
      </c>
      <c r="L1231" t="str">
        <f>PROPER(TRIM(CLEAN(Sales_Table[[#This Row],[Salesperson]])))</f>
        <v>Rahul</v>
      </c>
      <c r="M1231" t="s">
        <v>31</v>
      </c>
      <c r="N1231" t="str">
        <f t="shared" si="136"/>
        <v>Debit Card</v>
      </c>
      <c r="O1231" t="s">
        <v>41</v>
      </c>
      <c r="P1231">
        <f t="shared" si="137"/>
        <v>14</v>
      </c>
      <c r="Q1231" t="s">
        <v>55</v>
      </c>
      <c r="R1231">
        <f t="shared" si="138"/>
        <v>2999</v>
      </c>
      <c r="S1231" t="s">
        <v>3005</v>
      </c>
      <c r="T1231">
        <f t="shared" si="139"/>
        <v>41986</v>
      </c>
      <c r="U1231">
        <f>YEAR(Sales_Table[[#This Row],[Date_clean]])</f>
        <v>2024</v>
      </c>
      <c r="V1231" t="str">
        <f>TEXT(Sales_Table[[#This Row],[Date_clean]],"mmmm")</f>
        <v>February</v>
      </c>
      <c r="W1231">
        <f>WEEKNUM(Sales_Table[[#This Row],[Date_clean]],2)</f>
        <v>8</v>
      </c>
      <c r="X1231" t="str" cm="1">
        <f t="array" ref="X1231">_xlfn.IFS(Sales_Table[[#This Row],[Revenue]]&gt;=50000,"High",Sales_Table[[#This Row],[Revenue]]&gt;=20000,"Medium",Sales_Table[[#This Row],[Revenue]]&lt;20000,"Low")</f>
        <v>Medium</v>
      </c>
      <c r="Y1231" t="str">
        <f>IF(Sales_Table[[#This Row],[Payment Method_clean]]="cash","Offline","Online")</f>
        <v>Online</v>
      </c>
      <c r="Z1231">
        <f>IFERROR(Sales_Table[[#This Row],[Revenue]],0)</f>
        <v>41986</v>
      </c>
    </row>
    <row r="1232" spans="1:26" x14ac:dyDescent="0.3">
      <c r="A1232">
        <v>1231</v>
      </c>
      <c r="B1232" s="2">
        <f t="shared" si="133"/>
        <v>45343.25</v>
      </c>
      <c r="C1232" t="s">
        <v>3006</v>
      </c>
      <c r="D1232" t="s">
        <v>27</v>
      </c>
      <c r="E1232" t="str">
        <f>PROPER(TRIM(CLEAN(Sales_Table[[#This Row],[Region]])))</f>
        <v>East</v>
      </c>
      <c r="F1232" t="s">
        <v>46</v>
      </c>
      <c r="G1232" t="str">
        <f t="shared" si="134"/>
        <v>Electronics</v>
      </c>
      <c r="H1232" t="str">
        <f>PROPER(TRIM(CLEAN(Sales_Table[[#This Row],[Product Name]])))</f>
        <v>Led Tv 42Inch</v>
      </c>
      <c r="I1232" t="s">
        <v>58</v>
      </c>
      <c r="J1232" t="str">
        <f t="shared" si="135"/>
        <v>CUST0356</v>
      </c>
      <c r="K1232" t="s">
        <v>548</v>
      </c>
      <c r="L1232" t="str">
        <f>PROPER(TRIM(CLEAN(Sales_Table[[#This Row],[Salesperson]])))</f>
        <v>Karthik</v>
      </c>
      <c r="M1232" t="s">
        <v>70</v>
      </c>
      <c r="N1232" t="str">
        <f t="shared" si="136"/>
        <v>Net Banking</v>
      </c>
      <c r="O1232" t="s">
        <v>60</v>
      </c>
      <c r="P1232">
        <f t="shared" si="137"/>
        <v>11</v>
      </c>
      <c r="Q1232" t="s">
        <v>97</v>
      </c>
      <c r="R1232">
        <f t="shared" si="138"/>
        <v>1546</v>
      </c>
      <c r="S1232" t="s">
        <v>3007</v>
      </c>
      <c r="T1232">
        <f t="shared" si="139"/>
        <v>17006</v>
      </c>
      <c r="U1232">
        <f>YEAR(Sales_Table[[#This Row],[Date_clean]])</f>
        <v>2024</v>
      </c>
      <c r="V1232" t="str">
        <f>TEXT(Sales_Table[[#This Row],[Date_clean]],"mmmm")</f>
        <v>February</v>
      </c>
      <c r="W1232">
        <f>WEEKNUM(Sales_Table[[#This Row],[Date_clean]],2)</f>
        <v>8</v>
      </c>
      <c r="X1232" t="str" cm="1">
        <f t="array" ref="X1232">_xlfn.IFS(Sales_Table[[#This Row],[Revenue]]&gt;=50000,"High",Sales_Table[[#This Row],[Revenue]]&gt;=20000,"Medium",Sales_Table[[#This Row],[Revenue]]&lt;20000,"Low")</f>
        <v>Low</v>
      </c>
      <c r="Y1232" t="str">
        <f>IF(Sales_Table[[#This Row],[Payment Method_clean]]="cash","Offline","Online")</f>
        <v>Online</v>
      </c>
      <c r="Z1232">
        <f>IFERROR(Sales_Table[[#This Row],[Revenue]],0)</f>
        <v>17006</v>
      </c>
    </row>
    <row r="1233" spans="1:26" x14ac:dyDescent="0.3">
      <c r="A1233">
        <v>1232</v>
      </c>
      <c r="B1233" s="2">
        <f t="shared" si="133"/>
        <v>45343.291666666664</v>
      </c>
      <c r="C1233" t="s">
        <v>3008</v>
      </c>
      <c r="D1233" t="s">
        <v>36</v>
      </c>
      <c r="E1233" t="str">
        <f>PROPER(TRIM(CLEAN(Sales_Table[[#This Row],[Region]])))</f>
        <v>West</v>
      </c>
      <c r="F1233" t="s">
        <v>46</v>
      </c>
      <c r="G1233" t="str">
        <f t="shared" si="134"/>
        <v>Electronics</v>
      </c>
      <c r="H1233" t="str">
        <f>PROPER(TRIM(CLEAN(Sales_Table[[#This Row],[Product Name]])))</f>
        <v>Laptop</v>
      </c>
      <c r="I1233" t="s">
        <v>52</v>
      </c>
      <c r="J1233" t="str">
        <f t="shared" si="135"/>
        <v>CUST0440</v>
      </c>
      <c r="K1233" t="s">
        <v>3009</v>
      </c>
      <c r="L1233" t="str">
        <f>PROPER(TRIM(CLEAN(Sales_Table[[#This Row],[Salesperson]])))</f>
        <v>Rahul</v>
      </c>
      <c r="M1233" t="s">
        <v>31</v>
      </c>
      <c r="N1233" t="str">
        <f t="shared" si="136"/>
        <v>Upi</v>
      </c>
      <c r="O1233" t="s">
        <v>48</v>
      </c>
      <c r="P1233">
        <f t="shared" si="137"/>
        <v>1</v>
      </c>
      <c r="Q1233" t="s">
        <v>93</v>
      </c>
      <c r="R1233">
        <f t="shared" si="138"/>
        <v>4543</v>
      </c>
      <c r="S1233" t="s">
        <v>3010</v>
      </c>
      <c r="T1233">
        <f t="shared" si="139"/>
        <v>4543</v>
      </c>
      <c r="U1233">
        <f>YEAR(Sales_Table[[#This Row],[Date_clean]])</f>
        <v>2024</v>
      </c>
      <c r="V1233" t="str">
        <f>TEXT(Sales_Table[[#This Row],[Date_clean]],"mmmm")</f>
        <v>February</v>
      </c>
      <c r="W1233">
        <f>WEEKNUM(Sales_Table[[#This Row],[Date_clean]],2)</f>
        <v>8</v>
      </c>
      <c r="X1233" t="str" cm="1">
        <f t="array" ref="X1233">_xlfn.IFS(Sales_Table[[#This Row],[Revenue]]&gt;=50000,"High",Sales_Table[[#This Row],[Revenue]]&gt;=20000,"Medium",Sales_Table[[#This Row],[Revenue]]&lt;20000,"Low")</f>
        <v>Low</v>
      </c>
      <c r="Y1233" t="str">
        <f>IF(Sales_Table[[#This Row],[Payment Method_clean]]="cash","Offline","Online")</f>
        <v>Online</v>
      </c>
      <c r="Z1233">
        <f>IFERROR(Sales_Table[[#This Row],[Revenue]],0)</f>
        <v>4543</v>
      </c>
    </row>
    <row r="1234" spans="1:26" x14ac:dyDescent="0.3">
      <c r="A1234">
        <v>1233</v>
      </c>
      <c r="B1234" s="2">
        <f t="shared" si="133"/>
        <v>45343.333333333336</v>
      </c>
      <c r="C1234" t="s">
        <v>3011</v>
      </c>
      <c r="D1234" t="s">
        <v>45</v>
      </c>
      <c r="E1234" t="str">
        <f>PROPER(TRIM(CLEAN(Sales_Table[[#This Row],[Region]])))</f>
        <v>North</v>
      </c>
      <c r="F1234" t="s">
        <v>28</v>
      </c>
      <c r="G1234" t="str">
        <f t="shared" si="134"/>
        <v>Clothing</v>
      </c>
      <c r="H1234" t="str">
        <f>PROPER(TRIM(CLEAN(Sales_Table[[#This Row],[Product Name]])))</f>
        <v>Mixer Grinder</v>
      </c>
      <c r="I1234" t="s">
        <v>29</v>
      </c>
      <c r="J1234" t="str">
        <f t="shared" si="135"/>
        <v>CUST0729</v>
      </c>
      <c r="K1234" t="s">
        <v>3012</v>
      </c>
      <c r="L1234" t="str">
        <f>PROPER(TRIM(CLEAN(Sales_Table[[#This Row],[Salesperson]])))</f>
        <v>Karthik</v>
      </c>
      <c r="M1234" t="s">
        <v>70</v>
      </c>
      <c r="N1234" t="str">
        <f t="shared" si="136"/>
        <v>Credit Card</v>
      </c>
      <c r="O1234" t="s">
        <v>65</v>
      </c>
      <c r="P1234">
        <f t="shared" si="137"/>
        <v>4</v>
      </c>
      <c r="Q1234" t="s">
        <v>113</v>
      </c>
      <c r="R1234">
        <f t="shared" si="138"/>
        <v>4889</v>
      </c>
      <c r="S1234" t="s">
        <v>3013</v>
      </c>
      <c r="T1234">
        <f t="shared" si="139"/>
        <v>19556</v>
      </c>
      <c r="U1234">
        <f>YEAR(Sales_Table[[#This Row],[Date_clean]])</f>
        <v>2024</v>
      </c>
      <c r="V1234" t="str">
        <f>TEXT(Sales_Table[[#This Row],[Date_clean]],"mmmm")</f>
        <v>February</v>
      </c>
      <c r="W1234">
        <f>WEEKNUM(Sales_Table[[#This Row],[Date_clean]],2)</f>
        <v>8</v>
      </c>
      <c r="X1234" t="str" cm="1">
        <f t="array" ref="X1234">_xlfn.IFS(Sales_Table[[#This Row],[Revenue]]&gt;=50000,"High",Sales_Table[[#This Row],[Revenue]]&gt;=20000,"Medium",Sales_Table[[#This Row],[Revenue]]&lt;20000,"Low")</f>
        <v>Low</v>
      </c>
      <c r="Y1234" t="str">
        <f>IF(Sales_Table[[#This Row],[Payment Method_clean]]="cash","Offline","Online")</f>
        <v>Online</v>
      </c>
      <c r="Z1234">
        <f>IFERROR(Sales_Table[[#This Row],[Revenue]],0)</f>
        <v>19556</v>
      </c>
    </row>
    <row r="1235" spans="1:26" x14ac:dyDescent="0.3">
      <c r="A1235">
        <v>1234</v>
      </c>
      <c r="B1235" s="2">
        <f t="shared" si="133"/>
        <v>45343.375</v>
      </c>
      <c r="C1235" t="s">
        <v>3014</v>
      </c>
      <c r="D1235" t="s">
        <v>45</v>
      </c>
      <c r="E1235" t="str">
        <f>PROPER(TRIM(CLEAN(Sales_Table[[#This Row],[Region]])))</f>
        <v>North</v>
      </c>
      <c r="F1235" t="s">
        <v>37</v>
      </c>
      <c r="G1235" t="str">
        <f t="shared" si="134"/>
        <v>Home Appliances</v>
      </c>
      <c r="H1235" t="str">
        <f>PROPER(TRIM(CLEAN(Sales_Table[[#This Row],[Product Name]])))</f>
        <v>Laptop</v>
      </c>
      <c r="I1235" t="s">
        <v>52</v>
      </c>
      <c r="J1235" t="str">
        <f t="shared" si="135"/>
        <v>CUST0096</v>
      </c>
      <c r="K1235" t="s">
        <v>47</v>
      </c>
      <c r="L1235" t="str">
        <f>PROPER(TRIM(CLEAN(Sales_Table[[#This Row],[Salesperson]])))</f>
        <v>Karthik</v>
      </c>
      <c r="M1235" t="s">
        <v>70</v>
      </c>
      <c r="N1235" t="str">
        <f t="shared" si="136"/>
        <v>Cash</v>
      </c>
      <c r="O1235" t="s">
        <v>32</v>
      </c>
      <c r="P1235">
        <f t="shared" si="137"/>
        <v>2</v>
      </c>
      <c r="Q1235" t="s">
        <v>196</v>
      </c>
      <c r="R1235">
        <f t="shared" si="138"/>
        <v>1012</v>
      </c>
      <c r="S1235" t="s">
        <v>3015</v>
      </c>
      <c r="T1235">
        <f t="shared" si="139"/>
        <v>2024</v>
      </c>
      <c r="U1235">
        <f>YEAR(Sales_Table[[#This Row],[Date_clean]])</f>
        <v>2024</v>
      </c>
      <c r="V1235" t="str">
        <f>TEXT(Sales_Table[[#This Row],[Date_clean]],"mmmm")</f>
        <v>February</v>
      </c>
      <c r="W1235">
        <f>WEEKNUM(Sales_Table[[#This Row],[Date_clean]],2)</f>
        <v>8</v>
      </c>
      <c r="X1235" t="str" cm="1">
        <f t="array" ref="X1235">_xlfn.IFS(Sales_Table[[#This Row],[Revenue]]&gt;=50000,"High",Sales_Table[[#This Row],[Revenue]]&gt;=20000,"Medium",Sales_Table[[#This Row],[Revenue]]&lt;20000,"Low")</f>
        <v>Low</v>
      </c>
      <c r="Y1235" t="str">
        <f>IF(Sales_Table[[#This Row],[Payment Method_clean]]="cash","Offline","Online")</f>
        <v>Offline</v>
      </c>
      <c r="Z1235">
        <f>IFERROR(Sales_Table[[#This Row],[Revenue]],0)</f>
        <v>2024</v>
      </c>
    </row>
    <row r="1236" spans="1:26" x14ac:dyDescent="0.3">
      <c r="A1236">
        <v>1235</v>
      </c>
      <c r="B1236" s="2">
        <f t="shared" si="133"/>
        <v>45343.416666666664</v>
      </c>
      <c r="C1236" t="s">
        <v>3016</v>
      </c>
      <c r="D1236" t="s">
        <v>84</v>
      </c>
      <c r="E1236" t="str">
        <f>PROPER(TRIM(CLEAN(Sales_Table[[#This Row],[Region]])))</f>
        <v>South</v>
      </c>
      <c r="F1236" t="s">
        <v>46</v>
      </c>
      <c r="G1236" t="str">
        <f t="shared" si="134"/>
        <v>Electronics</v>
      </c>
      <c r="H1236" t="str">
        <f>PROPER(TRIM(CLEAN(Sales_Table[[#This Row],[Product Name]])))</f>
        <v>Rice 5Kg</v>
      </c>
      <c r="I1236" t="s">
        <v>73</v>
      </c>
      <c r="J1236" t="str">
        <f t="shared" si="135"/>
        <v>CUST0164</v>
      </c>
      <c r="K1236" t="s">
        <v>2198</v>
      </c>
      <c r="L1236" t="str">
        <f>PROPER(TRIM(CLEAN(Sales_Table[[#This Row],[Salesperson]])))</f>
        <v>Karthik</v>
      </c>
      <c r="M1236" t="s">
        <v>70</v>
      </c>
      <c r="N1236" t="str">
        <f t="shared" si="136"/>
        <v>Debit Card</v>
      </c>
      <c r="O1236" t="s">
        <v>41</v>
      </c>
      <c r="P1236">
        <f t="shared" si="137"/>
        <v>4</v>
      </c>
      <c r="Q1236" t="s">
        <v>113</v>
      </c>
      <c r="R1236">
        <f t="shared" si="138"/>
        <v>4342</v>
      </c>
      <c r="S1236" t="s">
        <v>3017</v>
      </c>
      <c r="T1236">
        <f t="shared" si="139"/>
        <v>17368</v>
      </c>
      <c r="U1236">
        <f>YEAR(Sales_Table[[#This Row],[Date_clean]])</f>
        <v>2024</v>
      </c>
      <c r="V1236" t="str">
        <f>TEXT(Sales_Table[[#This Row],[Date_clean]],"mmmm")</f>
        <v>February</v>
      </c>
      <c r="W1236">
        <f>WEEKNUM(Sales_Table[[#This Row],[Date_clean]],2)</f>
        <v>8</v>
      </c>
      <c r="X1236" t="str" cm="1">
        <f t="array" ref="X1236">_xlfn.IFS(Sales_Table[[#This Row],[Revenue]]&gt;=50000,"High",Sales_Table[[#This Row],[Revenue]]&gt;=20000,"Medium",Sales_Table[[#This Row],[Revenue]]&lt;20000,"Low")</f>
        <v>Low</v>
      </c>
      <c r="Y1236" t="str">
        <f>IF(Sales_Table[[#This Row],[Payment Method_clean]]="cash","Offline","Online")</f>
        <v>Online</v>
      </c>
      <c r="Z1236">
        <f>IFERROR(Sales_Table[[#This Row],[Revenue]],0)</f>
        <v>17368</v>
      </c>
    </row>
    <row r="1237" spans="1:26" x14ac:dyDescent="0.3">
      <c r="A1237">
        <v>1236</v>
      </c>
      <c r="B1237" s="2">
        <f t="shared" si="133"/>
        <v>45343.458333333336</v>
      </c>
      <c r="C1237" t="s">
        <v>3018</v>
      </c>
      <c r="D1237" t="s">
        <v>36</v>
      </c>
      <c r="E1237" t="str">
        <f>PROPER(TRIM(CLEAN(Sales_Table[[#This Row],[Region]])))</f>
        <v>West</v>
      </c>
      <c r="F1237" t="s">
        <v>46</v>
      </c>
      <c r="G1237" t="str">
        <f t="shared" si="134"/>
        <v>Electronics</v>
      </c>
      <c r="H1237" t="str">
        <f>PROPER(TRIM(CLEAN(Sales_Table[[#This Row],[Product Name]])))</f>
        <v>Men T-Shirt</v>
      </c>
      <c r="I1237" t="s">
        <v>38</v>
      </c>
      <c r="J1237" t="str">
        <f t="shared" si="135"/>
        <v>CUST0148</v>
      </c>
      <c r="K1237" t="s">
        <v>2694</v>
      </c>
      <c r="L1237" t="str">
        <f>PROPER(TRIM(CLEAN(Sales_Table[[#This Row],[Salesperson]])))</f>
        <v>Rahul</v>
      </c>
      <c r="M1237" t="s">
        <v>31</v>
      </c>
      <c r="N1237" t="str">
        <f t="shared" si="136"/>
        <v>Credit Card</v>
      </c>
      <c r="O1237" t="s">
        <v>65</v>
      </c>
      <c r="P1237">
        <f t="shared" si="137"/>
        <v>8</v>
      </c>
      <c r="Q1237" t="s">
        <v>42</v>
      </c>
      <c r="R1237">
        <f t="shared" si="138"/>
        <v>1811</v>
      </c>
      <c r="S1237" t="s">
        <v>3019</v>
      </c>
      <c r="T1237">
        <f t="shared" si="139"/>
        <v>14488</v>
      </c>
      <c r="U1237">
        <f>YEAR(Sales_Table[[#This Row],[Date_clean]])</f>
        <v>2024</v>
      </c>
      <c r="V1237" t="str">
        <f>TEXT(Sales_Table[[#This Row],[Date_clean]],"mmmm")</f>
        <v>February</v>
      </c>
      <c r="W1237">
        <f>WEEKNUM(Sales_Table[[#This Row],[Date_clean]],2)</f>
        <v>8</v>
      </c>
      <c r="X1237" t="str" cm="1">
        <f t="array" ref="X1237">_xlfn.IFS(Sales_Table[[#This Row],[Revenue]]&gt;=50000,"High",Sales_Table[[#This Row],[Revenue]]&gt;=20000,"Medium",Sales_Table[[#This Row],[Revenue]]&lt;20000,"Low")</f>
        <v>Low</v>
      </c>
      <c r="Y1237" t="str">
        <f>IF(Sales_Table[[#This Row],[Payment Method_clean]]="cash","Offline","Online")</f>
        <v>Online</v>
      </c>
      <c r="Z1237">
        <f>IFERROR(Sales_Table[[#This Row],[Revenue]],0)</f>
        <v>14488</v>
      </c>
    </row>
    <row r="1238" spans="1:26" x14ac:dyDescent="0.3">
      <c r="A1238">
        <v>1237</v>
      </c>
      <c r="B1238" s="2">
        <f t="shared" si="133"/>
        <v>45343.5</v>
      </c>
      <c r="C1238" t="s">
        <v>3020</v>
      </c>
      <c r="D1238" t="s">
        <v>45</v>
      </c>
      <c r="E1238" t="str">
        <f>PROPER(TRIM(CLEAN(Sales_Table[[#This Row],[Region]])))</f>
        <v>North</v>
      </c>
      <c r="F1238" t="s">
        <v>78</v>
      </c>
      <c r="G1238" t="str">
        <f t="shared" si="134"/>
        <v>Grocery</v>
      </c>
      <c r="H1238" t="str">
        <f>PROPER(TRIM(CLEAN(Sales_Table[[#This Row],[Product Name]])))</f>
        <v>Rice 5Kg</v>
      </c>
      <c r="I1238" t="s">
        <v>73</v>
      </c>
      <c r="J1238" t="str">
        <f t="shared" si="135"/>
        <v>CUST0530</v>
      </c>
      <c r="K1238" t="s">
        <v>1119</v>
      </c>
      <c r="L1238" t="str">
        <f>PROPER(TRIM(CLEAN(Sales_Table[[#This Row],[Salesperson]])))</f>
        <v>Meena</v>
      </c>
      <c r="M1238" t="s">
        <v>40</v>
      </c>
      <c r="N1238" t="str">
        <f t="shared" si="136"/>
        <v>Cash</v>
      </c>
      <c r="O1238" t="s">
        <v>32</v>
      </c>
      <c r="P1238">
        <f t="shared" si="137"/>
        <v>5</v>
      </c>
      <c r="Q1238" t="s">
        <v>89</v>
      </c>
      <c r="R1238">
        <f t="shared" si="138"/>
        <v>774</v>
      </c>
      <c r="S1238" t="s">
        <v>3021</v>
      </c>
      <c r="T1238">
        <f t="shared" si="139"/>
        <v>3870</v>
      </c>
      <c r="U1238">
        <f>YEAR(Sales_Table[[#This Row],[Date_clean]])</f>
        <v>2024</v>
      </c>
      <c r="V1238" t="str">
        <f>TEXT(Sales_Table[[#This Row],[Date_clean]],"mmmm")</f>
        <v>February</v>
      </c>
      <c r="W1238">
        <f>WEEKNUM(Sales_Table[[#This Row],[Date_clean]],2)</f>
        <v>8</v>
      </c>
      <c r="X1238" t="str" cm="1">
        <f t="array" ref="X1238">_xlfn.IFS(Sales_Table[[#This Row],[Revenue]]&gt;=50000,"High",Sales_Table[[#This Row],[Revenue]]&gt;=20000,"Medium",Sales_Table[[#This Row],[Revenue]]&lt;20000,"Low")</f>
        <v>Low</v>
      </c>
      <c r="Y1238" t="str">
        <f>IF(Sales_Table[[#This Row],[Payment Method_clean]]="cash","Offline","Online")</f>
        <v>Offline</v>
      </c>
      <c r="Z1238">
        <f>IFERROR(Sales_Table[[#This Row],[Revenue]],0)</f>
        <v>3870</v>
      </c>
    </row>
    <row r="1239" spans="1:26" x14ac:dyDescent="0.3">
      <c r="A1239">
        <v>1238</v>
      </c>
      <c r="B1239" s="2">
        <f t="shared" si="133"/>
        <v>45343.541666666664</v>
      </c>
      <c r="C1239" t="s">
        <v>3022</v>
      </c>
      <c r="D1239" t="s">
        <v>36</v>
      </c>
      <c r="E1239" t="str">
        <f>PROPER(TRIM(CLEAN(Sales_Table[[#This Row],[Region]])))</f>
        <v>West</v>
      </c>
      <c r="F1239" t="s">
        <v>28</v>
      </c>
      <c r="G1239" t="str">
        <f t="shared" si="134"/>
        <v>Clothing</v>
      </c>
      <c r="H1239" t="str">
        <f>PROPER(TRIM(CLEAN(Sales_Table[[#This Row],[Product Name]])))</f>
        <v>Men T-Shirt</v>
      </c>
      <c r="I1239" t="s">
        <v>38</v>
      </c>
      <c r="J1239" t="str">
        <f t="shared" si="135"/>
        <v>CUST0294</v>
      </c>
      <c r="K1239" t="s">
        <v>1853</v>
      </c>
      <c r="L1239" t="str">
        <f>PROPER(TRIM(CLEAN(Sales_Table[[#This Row],[Salesperson]])))</f>
        <v>Rahul</v>
      </c>
      <c r="M1239" t="s">
        <v>31</v>
      </c>
      <c r="N1239" t="str">
        <f t="shared" si="136"/>
        <v>Cash</v>
      </c>
      <c r="O1239" t="s">
        <v>32</v>
      </c>
      <c r="P1239">
        <f t="shared" si="137"/>
        <v>1</v>
      </c>
      <c r="Q1239" t="s">
        <v>93</v>
      </c>
      <c r="R1239">
        <f t="shared" si="138"/>
        <v>1539</v>
      </c>
      <c r="S1239" t="s">
        <v>3023</v>
      </c>
      <c r="T1239">
        <f t="shared" si="139"/>
        <v>1539</v>
      </c>
      <c r="U1239">
        <f>YEAR(Sales_Table[[#This Row],[Date_clean]])</f>
        <v>2024</v>
      </c>
      <c r="V1239" t="str">
        <f>TEXT(Sales_Table[[#This Row],[Date_clean]],"mmmm")</f>
        <v>February</v>
      </c>
      <c r="W1239">
        <f>WEEKNUM(Sales_Table[[#This Row],[Date_clean]],2)</f>
        <v>8</v>
      </c>
      <c r="X1239" t="str" cm="1">
        <f t="array" ref="X1239">_xlfn.IFS(Sales_Table[[#This Row],[Revenue]]&gt;=50000,"High",Sales_Table[[#This Row],[Revenue]]&gt;=20000,"Medium",Sales_Table[[#This Row],[Revenue]]&lt;20000,"Low")</f>
        <v>Low</v>
      </c>
      <c r="Y1239" t="str">
        <f>IF(Sales_Table[[#This Row],[Payment Method_clean]]="cash","Offline","Online")</f>
        <v>Offline</v>
      </c>
      <c r="Z1239">
        <f>IFERROR(Sales_Table[[#This Row],[Revenue]],0)</f>
        <v>1539</v>
      </c>
    </row>
    <row r="1240" spans="1:26" x14ac:dyDescent="0.3">
      <c r="A1240">
        <v>1239</v>
      </c>
      <c r="B1240" s="2">
        <f t="shared" si="133"/>
        <v>45343.583333333336</v>
      </c>
      <c r="C1240" t="s">
        <v>3024</v>
      </c>
      <c r="D1240" t="s">
        <v>45</v>
      </c>
      <c r="E1240" t="str">
        <f>PROPER(TRIM(CLEAN(Sales_Table[[#This Row],[Region]])))</f>
        <v>North</v>
      </c>
      <c r="F1240" t="s">
        <v>46</v>
      </c>
      <c r="G1240" t="str">
        <f t="shared" si="134"/>
        <v>Electronics</v>
      </c>
      <c r="H1240" t="str">
        <f>PROPER(TRIM(CLEAN(Sales_Table[[#This Row],[Product Name]])))</f>
        <v>Mixer Grinder</v>
      </c>
      <c r="I1240" t="s">
        <v>29</v>
      </c>
      <c r="J1240" t="str">
        <f t="shared" si="135"/>
        <v>CUST0195</v>
      </c>
      <c r="K1240" t="s">
        <v>314</v>
      </c>
      <c r="L1240" t="str">
        <f>PROPER(TRIM(CLEAN(Sales_Table[[#This Row],[Salesperson]])))</f>
        <v>Karthik</v>
      </c>
      <c r="M1240" t="s">
        <v>70</v>
      </c>
      <c r="N1240" t="str">
        <f t="shared" si="136"/>
        <v>Cash</v>
      </c>
      <c r="O1240" t="s">
        <v>32</v>
      </c>
      <c r="P1240">
        <f t="shared" si="137"/>
        <v>7</v>
      </c>
      <c r="Q1240" t="s">
        <v>49</v>
      </c>
      <c r="R1240">
        <f t="shared" si="138"/>
        <v>2834</v>
      </c>
      <c r="S1240" t="s">
        <v>3025</v>
      </c>
      <c r="T1240">
        <f t="shared" si="139"/>
        <v>19838</v>
      </c>
      <c r="U1240">
        <f>YEAR(Sales_Table[[#This Row],[Date_clean]])</f>
        <v>2024</v>
      </c>
      <c r="V1240" t="str">
        <f>TEXT(Sales_Table[[#This Row],[Date_clean]],"mmmm")</f>
        <v>February</v>
      </c>
      <c r="W1240">
        <f>WEEKNUM(Sales_Table[[#This Row],[Date_clean]],2)</f>
        <v>8</v>
      </c>
      <c r="X1240" t="str" cm="1">
        <f t="array" ref="X1240">_xlfn.IFS(Sales_Table[[#This Row],[Revenue]]&gt;=50000,"High",Sales_Table[[#This Row],[Revenue]]&gt;=20000,"Medium",Sales_Table[[#This Row],[Revenue]]&lt;20000,"Low")</f>
        <v>Low</v>
      </c>
      <c r="Y1240" t="str">
        <f>IF(Sales_Table[[#This Row],[Payment Method_clean]]="cash","Offline","Online")</f>
        <v>Offline</v>
      </c>
      <c r="Z1240">
        <f>IFERROR(Sales_Table[[#This Row],[Revenue]],0)</f>
        <v>19838</v>
      </c>
    </row>
    <row r="1241" spans="1:26" x14ac:dyDescent="0.3">
      <c r="A1241">
        <v>1240</v>
      </c>
      <c r="B1241" s="2">
        <f t="shared" si="133"/>
        <v>45343.625</v>
      </c>
      <c r="C1241" t="s">
        <v>3026</v>
      </c>
      <c r="D1241" t="s">
        <v>27</v>
      </c>
      <c r="E1241" t="str">
        <f>PROPER(TRIM(CLEAN(Sales_Table[[#This Row],[Region]])))</f>
        <v>East</v>
      </c>
      <c r="F1241" t="s">
        <v>28</v>
      </c>
      <c r="G1241" t="str">
        <f t="shared" si="134"/>
        <v>Clothing</v>
      </c>
      <c r="H1241" t="str">
        <f>PROPER(TRIM(CLEAN(Sales_Table[[#This Row],[Product Name]])))</f>
        <v>Led Tv 42Inch</v>
      </c>
      <c r="I1241" t="s">
        <v>58</v>
      </c>
      <c r="J1241" t="str">
        <f t="shared" si="135"/>
        <v>CUST0663</v>
      </c>
      <c r="K1241" t="s">
        <v>1890</v>
      </c>
      <c r="L1241" t="str">
        <f>PROPER(TRIM(CLEAN(Sales_Table[[#This Row],[Salesperson]])))</f>
        <v>Suresh</v>
      </c>
      <c r="M1241" t="s">
        <v>54</v>
      </c>
      <c r="N1241" t="str">
        <f t="shared" si="136"/>
        <v>Credit Card</v>
      </c>
      <c r="O1241" t="s">
        <v>65</v>
      </c>
      <c r="P1241">
        <f t="shared" si="137"/>
        <v>1</v>
      </c>
      <c r="Q1241" t="s">
        <v>93</v>
      </c>
      <c r="R1241">
        <f t="shared" si="138"/>
        <v>3730</v>
      </c>
      <c r="S1241" t="s">
        <v>3027</v>
      </c>
      <c r="T1241">
        <f t="shared" si="139"/>
        <v>3730</v>
      </c>
      <c r="U1241">
        <f>YEAR(Sales_Table[[#This Row],[Date_clean]])</f>
        <v>2024</v>
      </c>
      <c r="V1241" t="str">
        <f>TEXT(Sales_Table[[#This Row],[Date_clean]],"mmmm")</f>
        <v>February</v>
      </c>
      <c r="W1241">
        <f>WEEKNUM(Sales_Table[[#This Row],[Date_clean]],2)</f>
        <v>8</v>
      </c>
      <c r="X1241" t="str" cm="1">
        <f t="array" ref="X1241">_xlfn.IFS(Sales_Table[[#This Row],[Revenue]]&gt;=50000,"High",Sales_Table[[#This Row],[Revenue]]&gt;=20000,"Medium",Sales_Table[[#This Row],[Revenue]]&lt;20000,"Low")</f>
        <v>Low</v>
      </c>
      <c r="Y1241" t="str">
        <f>IF(Sales_Table[[#This Row],[Payment Method_clean]]="cash","Offline","Online")</f>
        <v>Online</v>
      </c>
      <c r="Z1241">
        <f>IFERROR(Sales_Table[[#This Row],[Revenue]],0)</f>
        <v>3730</v>
      </c>
    </row>
    <row r="1242" spans="1:26" x14ac:dyDescent="0.3">
      <c r="A1242">
        <v>1241</v>
      </c>
      <c r="B1242" s="2">
        <f t="shared" si="133"/>
        <v>45343.666666666664</v>
      </c>
      <c r="C1242" t="s">
        <v>3028</v>
      </c>
      <c r="D1242" t="s">
        <v>45</v>
      </c>
      <c r="E1242" t="str">
        <f>PROPER(TRIM(CLEAN(Sales_Table[[#This Row],[Region]])))</f>
        <v>North</v>
      </c>
      <c r="F1242" t="s">
        <v>46</v>
      </c>
      <c r="G1242" t="str">
        <f t="shared" si="134"/>
        <v>Electronics</v>
      </c>
      <c r="H1242" t="str">
        <f>PROPER(TRIM(CLEAN(Sales_Table[[#This Row],[Product Name]])))</f>
        <v>Laptop</v>
      </c>
      <c r="I1242" t="s">
        <v>52</v>
      </c>
      <c r="J1242" t="str">
        <f t="shared" si="135"/>
        <v>CUST0480</v>
      </c>
      <c r="K1242" t="s">
        <v>133</v>
      </c>
      <c r="L1242" t="str">
        <f>PROPER(TRIM(CLEAN(Sales_Table[[#This Row],[Salesperson]])))</f>
        <v>Anita</v>
      </c>
      <c r="M1242" t="s">
        <v>64</v>
      </c>
      <c r="N1242" t="str">
        <f t="shared" si="136"/>
        <v>Debit Card</v>
      </c>
      <c r="O1242" t="s">
        <v>41</v>
      </c>
      <c r="P1242">
        <f t="shared" si="137"/>
        <v>9</v>
      </c>
      <c r="Q1242" t="s">
        <v>130</v>
      </c>
      <c r="R1242">
        <f t="shared" si="138"/>
        <v>785</v>
      </c>
      <c r="S1242" t="s">
        <v>3029</v>
      </c>
      <c r="T1242">
        <f t="shared" si="139"/>
        <v>7065</v>
      </c>
      <c r="U1242">
        <f>YEAR(Sales_Table[[#This Row],[Date_clean]])</f>
        <v>2024</v>
      </c>
      <c r="V1242" t="str">
        <f>TEXT(Sales_Table[[#This Row],[Date_clean]],"mmmm")</f>
        <v>February</v>
      </c>
      <c r="W1242">
        <f>WEEKNUM(Sales_Table[[#This Row],[Date_clean]],2)</f>
        <v>8</v>
      </c>
      <c r="X1242" t="str" cm="1">
        <f t="array" ref="X1242">_xlfn.IFS(Sales_Table[[#This Row],[Revenue]]&gt;=50000,"High",Sales_Table[[#This Row],[Revenue]]&gt;=20000,"Medium",Sales_Table[[#This Row],[Revenue]]&lt;20000,"Low")</f>
        <v>Low</v>
      </c>
      <c r="Y1242" t="str">
        <f>IF(Sales_Table[[#This Row],[Payment Method_clean]]="cash","Offline","Online")</f>
        <v>Online</v>
      </c>
      <c r="Z1242">
        <f>IFERROR(Sales_Table[[#This Row],[Revenue]],0)</f>
        <v>7065</v>
      </c>
    </row>
    <row r="1243" spans="1:26" x14ac:dyDescent="0.3">
      <c r="A1243">
        <v>1242</v>
      </c>
      <c r="B1243" s="2">
        <f t="shared" si="133"/>
        <v>45343.708333333336</v>
      </c>
      <c r="C1243" t="s">
        <v>3030</v>
      </c>
      <c r="D1243" t="s">
        <v>36</v>
      </c>
      <c r="E1243" t="str">
        <f>PROPER(TRIM(CLEAN(Sales_Table[[#This Row],[Region]])))</f>
        <v>West</v>
      </c>
      <c r="F1243" t="s">
        <v>37</v>
      </c>
      <c r="G1243" t="str">
        <f t="shared" si="134"/>
        <v>Home Appliances</v>
      </c>
      <c r="H1243" t="str">
        <f>PROPER(TRIM(CLEAN(Sales_Table[[#This Row],[Product Name]])))</f>
        <v>Washing Machine</v>
      </c>
      <c r="I1243" t="s">
        <v>79</v>
      </c>
      <c r="J1243" t="str">
        <f t="shared" si="135"/>
        <v>CUST0123</v>
      </c>
      <c r="K1243" t="s">
        <v>3031</v>
      </c>
      <c r="L1243" t="str">
        <f>PROPER(TRIM(CLEAN(Sales_Table[[#This Row],[Salesperson]])))</f>
        <v>Karthik</v>
      </c>
      <c r="M1243" t="s">
        <v>70</v>
      </c>
      <c r="N1243" t="str">
        <f t="shared" si="136"/>
        <v>Debit Card</v>
      </c>
      <c r="O1243" t="s">
        <v>41</v>
      </c>
      <c r="P1243">
        <f t="shared" si="137"/>
        <v>3</v>
      </c>
      <c r="Q1243" t="s">
        <v>66</v>
      </c>
      <c r="R1243">
        <f t="shared" si="138"/>
        <v>1226</v>
      </c>
      <c r="S1243" t="s">
        <v>2506</v>
      </c>
      <c r="T1243">
        <f t="shared" si="139"/>
        <v>3678</v>
      </c>
      <c r="U1243">
        <f>YEAR(Sales_Table[[#This Row],[Date_clean]])</f>
        <v>2024</v>
      </c>
      <c r="V1243" t="str">
        <f>TEXT(Sales_Table[[#This Row],[Date_clean]],"mmmm")</f>
        <v>February</v>
      </c>
      <c r="W1243">
        <f>WEEKNUM(Sales_Table[[#This Row],[Date_clean]],2)</f>
        <v>8</v>
      </c>
      <c r="X1243" t="str" cm="1">
        <f t="array" ref="X1243">_xlfn.IFS(Sales_Table[[#This Row],[Revenue]]&gt;=50000,"High",Sales_Table[[#This Row],[Revenue]]&gt;=20000,"Medium",Sales_Table[[#This Row],[Revenue]]&lt;20000,"Low")</f>
        <v>Low</v>
      </c>
      <c r="Y1243" t="str">
        <f>IF(Sales_Table[[#This Row],[Payment Method_clean]]="cash","Offline","Online")</f>
        <v>Online</v>
      </c>
      <c r="Z1243">
        <f>IFERROR(Sales_Table[[#This Row],[Revenue]],0)</f>
        <v>3678</v>
      </c>
    </row>
    <row r="1244" spans="1:26" x14ac:dyDescent="0.3">
      <c r="A1244">
        <v>1243</v>
      </c>
      <c r="B1244" s="2">
        <f t="shared" si="133"/>
        <v>45343.75</v>
      </c>
      <c r="C1244" t="s">
        <v>3032</v>
      </c>
      <c r="D1244" t="s">
        <v>27</v>
      </c>
      <c r="E1244" t="str">
        <f>PROPER(TRIM(CLEAN(Sales_Table[[#This Row],[Region]])))</f>
        <v>East</v>
      </c>
      <c r="F1244" t="s">
        <v>37</v>
      </c>
      <c r="G1244" t="str">
        <f t="shared" si="134"/>
        <v>Home Appliances</v>
      </c>
      <c r="H1244" t="str">
        <f>PROPER(TRIM(CLEAN(Sales_Table[[#This Row],[Product Name]])))</f>
        <v>Laptop</v>
      </c>
      <c r="I1244" t="s">
        <v>52</v>
      </c>
      <c r="J1244" t="str">
        <f t="shared" si="135"/>
        <v>CUST0400</v>
      </c>
      <c r="K1244" t="s">
        <v>183</v>
      </c>
      <c r="L1244" t="str">
        <f>PROPER(TRIM(CLEAN(Sales_Table[[#This Row],[Salesperson]])))</f>
        <v>Suresh</v>
      </c>
      <c r="M1244" t="s">
        <v>54</v>
      </c>
      <c r="N1244" t="str">
        <f t="shared" si="136"/>
        <v>Cash</v>
      </c>
      <c r="O1244" t="s">
        <v>32</v>
      </c>
      <c r="P1244">
        <f t="shared" si="137"/>
        <v>12</v>
      </c>
      <c r="Q1244" t="s">
        <v>33</v>
      </c>
      <c r="R1244">
        <f t="shared" si="138"/>
        <v>4316</v>
      </c>
      <c r="S1244" t="s">
        <v>3033</v>
      </c>
      <c r="T1244">
        <f t="shared" si="139"/>
        <v>51792</v>
      </c>
      <c r="U1244">
        <f>YEAR(Sales_Table[[#This Row],[Date_clean]])</f>
        <v>2024</v>
      </c>
      <c r="V1244" t="str">
        <f>TEXT(Sales_Table[[#This Row],[Date_clean]],"mmmm")</f>
        <v>February</v>
      </c>
      <c r="W1244">
        <f>WEEKNUM(Sales_Table[[#This Row],[Date_clean]],2)</f>
        <v>8</v>
      </c>
      <c r="X1244" t="str" cm="1">
        <f t="array" ref="X1244">_xlfn.IFS(Sales_Table[[#This Row],[Revenue]]&gt;=50000,"High",Sales_Table[[#This Row],[Revenue]]&gt;=20000,"Medium",Sales_Table[[#This Row],[Revenue]]&lt;20000,"Low")</f>
        <v>High</v>
      </c>
      <c r="Y1244" t="str">
        <f>IF(Sales_Table[[#This Row],[Payment Method_clean]]="cash","Offline","Online")</f>
        <v>Offline</v>
      </c>
      <c r="Z1244">
        <f>IFERROR(Sales_Table[[#This Row],[Revenue]],0)</f>
        <v>51792</v>
      </c>
    </row>
    <row r="1245" spans="1:26" x14ac:dyDescent="0.3">
      <c r="A1245">
        <v>1244</v>
      </c>
      <c r="B1245" s="2">
        <f t="shared" si="133"/>
        <v>45343.791666666664</v>
      </c>
      <c r="C1245" t="s">
        <v>3034</v>
      </c>
      <c r="D1245" t="s">
        <v>27</v>
      </c>
      <c r="E1245" t="str">
        <f>PROPER(TRIM(CLEAN(Sales_Table[[#This Row],[Region]])))</f>
        <v>East</v>
      </c>
      <c r="F1245" t="s">
        <v>46</v>
      </c>
      <c r="G1245" t="str">
        <f t="shared" si="134"/>
        <v>Electronics</v>
      </c>
      <c r="H1245" t="str">
        <f>PROPER(TRIM(CLEAN(Sales_Table[[#This Row],[Product Name]])))</f>
        <v>Mixer Grinder</v>
      </c>
      <c r="I1245" t="s">
        <v>29</v>
      </c>
      <c r="J1245" t="str">
        <f t="shared" si="135"/>
        <v>CUST0699</v>
      </c>
      <c r="K1245" t="s">
        <v>425</v>
      </c>
      <c r="L1245" t="str">
        <f>PROPER(TRIM(CLEAN(Sales_Table[[#This Row],[Salesperson]])))</f>
        <v>Meena</v>
      </c>
      <c r="M1245" t="s">
        <v>40</v>
      </c>
      <c r="N1245" t="str">
        <f t="shared" si="136"/>
        <v>Credit Card</v>
      </c>
      <c r="O1245" t="s">
        <v>65</v>
      </c>
      <c r="P1245">
        <f t="shared" si="137"/>
        <v>3</v>
      </c>
      <c r="Q1245" t="s">
        <v>66</v>
      </c>
      <c r="R1245">
        <f t="shared" si="138"/>
        <v>2566</v>
      </c>
      <c r="S1245" t="s">
        <v>3035</v>
      </c>
      <c r="T1245">
        <f t="shared" si="139"/>
        <v>7698</v>
      </c>
      <c r="U1245">
        <f>YEAR(Sales_Table[[#This Row],[Date_clean]])</f>
        <v>2024</v>
      </c>
      <c r="V1245" t="str">
        <f>TEXT(Sales_Table[[#This Row],[Date_clean]],"mmmm")</f>
        <v>February</v>
      </c>
      <c r="W1245">
        <f>WEEKNUM(Sales_Table[[#This Row],[Date_clean]],2)</f>
        <v>8</v>
      </c>
      <c r="X1245" t="str" cm="1">
        <f t="array" ref="X1245">_xlfn.IFS(Sales_Table[[#This Row],[Revenue]]&gt;=50000,"High",Sales_Table[[#This Row],[Revenue]]&gt;=20000,"Medium",Sales_Table[[#This Row],[Revenue]]&lt;20000,"Low")</f>
        <v>Low</v>
      </c>
      <c r="Y1245" t="str">
        <f>IF(Sales_Table[[#This Row],[Payment Method_clean]]="cash","Offline","Online")</f>
        <v>Online</v>
      </c>
      <c r="Z1245">
        <f>IFERROR(Sales_Table[[#This Row],[Revenue]],0)</f>
        <v>7698</v>
      </c>
    </row>
    <row r="1246" spans="1:26" x14ac:dyDescent="0.3">
      <c r="A1246">
        <v>1245</v>
      </c>
      <c r="B1246" s="2">
        <f t="shared" si="133"/>
        <v>45343.833333333336</v>
      </c>
      <c r="C1246" t="s">
        <v>3036</v>
      </c>
      <c r="D1246" t="s">
        <v>27</v>
      </c>
      <c r="E1246" t="str">
        <f>PROPER(TRIM(CLEAN(Sales_Table[[#This Row],[Region]])))</f>
        <v>East</v>
      </c>
      <c r="F1246" t="s">
        <v>37</v>
      </c>
      <c r="G1246" t="str">
        <f t="shared" si="134"/>
        <v>Home Appliances</v>
      </c>
      <c r="H1246" t="str">
        <f>PROPER(TRIM(CLEAN(Sales_Table[[#This Row],[Product Name]])))</f>
        <v>Rice 5Kg</v>
      </c>
      <c r="I1246" t="s">
        <v>73</v>
      </c>
      <c r="J1246" t="str">
        <f t="shared" si="135"/>
        <v>CUST0452</v>
      </c>
      <c r="K1246" t="s">
        <v>2359</v>
      </c>
      <c r="L1246" t="str">
        <f>PROPER(TRIM(CLEAN(Sales_Table[[#This Row],[Salesperson]])))</f>
        <v>Karthik</v>
      </c>
      <c r="M1246" t="s">
        <v>70</v>
      </c>
      <c r="N1246" t="str">
        <f t="shared" si="136"/>
        <v>Cash</v>
      </c>
      <c r="O1246" t="s">
        <v>32</v>
      </c>
      <c r="P1246">
        <f t="shared" si="137"/>
        <v>6</v>
      </c>
      <c r="Q1246" t="s">
        <v>75</v>
      </c>
      <c r="R1246">
        <f t="shared" si="138"/>
        <v>2497</v>
      </c>
      <c r="S1246" t="s">
        <v>312</v>
      </c>
      <c r="T1246">
        <f t="shared" si="139"/>
        <v>14982</v>
      </c>
      <c r="U1246">
        <f>YEAR(Sales_Table[[#This Row],[Date_clean]])</f>
        <v>2024</v>
      </c>
      <c r="V1246" t="str">
        <f>TEXT(Sales_Table[[#This Row],[Date_clean]],"mmmm")</f>
        <v>February</v>
      </c>
      <c r="W1246">
        <f>WEEKNUM(Sales_Table[[#This Row],[Date_clean]],2)</f>
        <v>8</v>
      </c>
      <c r="X1246" t="str" cm="1">
        <f t="array" ref="X1246">_xlfn.IFS(Sales_Table[[#This Row],[Revenue]]&gt;=50000,"High",Sales_Table[[#This Row],[Revenue]]&gt;=20000,"Medium",Sales_Table[[#This Row],[Revenue]]&lt;20000,"Low")</f>
        <v>Low</v>
      </c>
      <c r="Y1246" t="str">
        <f>IF(Sales_Table[[#This Row],[Payment Method_clean]]="cash","Offline","Online")</f>
        <v>Offline</v>
      </c>
      <c r="Z1246">
        <f>IFERROR(Sales_Table[[#This Row],[Revenue]],0)</f>
        <v>14982</v>
      </c>
    </row>
    <row r="1247" spans="1:26" x14ac:dyDescent="0.3">
      <c r="A1247">
        <v>1246</v>
      </c>
      <c r="B1247" s="2">
        <f t="shared" si="133"/>
        <v>45343.875</v>
      </c>
      <c r="C1247" t="s">
        <v>3037</v>
      </c>
      <c r="D1247" t="s">
        <v>36</v>
      </c>
      <c r="E1247" t="str">
        <f>PROPER(TRIM(CLEAN(Sales_Table[[#This Row],[Region]])))</f>
        <v>West</v>
      </c>
      <c r="F1247" t="s">
        <v>46</v>
      </c>
      <c r="G1247" t="str">
        <f t="shared" si="134"/>
        <v>Electronics</v>
      </c>
      <c r="H1247" t="str">
        <f>PROPER(TRIM(CLEAN(Sales_Table[[#This Row],[Product Name]])))</f>
        <v>Washing Machine</v>
      </c>
      <c r="I1247" t="s">
        <v>79</v>
      </c>
      <c r="J1247" t="str">
        <f t="shared" si="135"/>
        <v>CUST0661</v>
      </c>
      <c r="K1247" t="s">
        <v>634</v>
      </c>
      <c r="L1247" t="str">
        <f>PROPER(TRIM(CLEAN(Sales_Table[[#This Row],[Salesperson]])))</f>
        <v>Suresh</v>
      </c>
      <c r="M1247" t="s">
        <v>54</v>
      </c>
      <c r="N1247" t="str">
        <f t="shared" si="136"/>
        <v>Net Banking</v>
      </c>
      <c r="O1247" t="s">
        <v>60</v>
      </c>
      <c r="P1247">
        <f t="shared" si="137"/>
        <v>10</v>
      </c>
      <c r="Q1247" t="s">
        <v>117</v>
      </c>
      <c r="R1247">
        <f t="shared" si="138"/>
        <v>4237</v>
      </c>
      <c r="S1247" t="s">
        <v>3038</v>
      </c>
      <c r="T1247">
        <f t="shared" si="139"/>
        <v>42370</v>
      </c>
      <c r="U1247">
        <f>YEAR(Sales_Table[[#This Row],[Date_clean]])</f>
        <v>2024</v>
      </c>
      <c r="V1247" t="str">
        <f>TEXT(Sales_Table[[#This Row],[Date_clean]],"mmmm")</f>
        <v>February</v>
      </c>
      <c r="W1247">
        <f>WEEKNUM(Sales_Table[[#This Row],[Date_clean]],2)</f>
        <v>8</v>
      </c>
      <c r="X1247" t="str" cm="1">
        <f t="array" ref="X1247">_xlfn.IFS(Sales_Table[[#This Row],[Revenue]]&gt;=50000,"High",Sales_Table[[#This Row],[Revenue]]&gt;=20000,"Medium",Sales_Table[[#This Row],[Revenue]]&lt;20000,"Low")</f>
        <v>Medium</v>
      </c>
      <c r="Y1247" t="str">
        <f>IF(Sales_Table[[#This Row],[Payment Method_clean]]="cash","Offline","Online")</f>
        <v>Online</v>
      </c>
      <c r="Z1247">
        <f>IFERROR(Sales_Table[[#This Row],[Revenue]],0)</f>
        <v>42370</v>
      </c>
    </row>
    <row r="1248" spans="1:26" x14ac:dyDescent="0.3">
      <c r="A1248">
        <v>1247</v>
      </c>
      <c r="B1248" s="2">
        <f t="shared" si="133"/>
        <v>45343.916666666664</v>
      </c>
      <c r="C1248" t="s">
        <v>3039</v>
      </c>
      <c r="D1248" t="s">
        <v>84</v>
      </c>
      <c r="E1248" t="str">
        <f>PROPER(TRIM(CLEAN(Sales_Table[[#This Row],[Region]])))</f>
        <v>South</v>
      </c>
      <c r="F1248" t="s">
        <v>37</v>
      </c>
      <c r="G1248" t="str">
        <f t="shared" si="134"/>
        <v>Home Appliances</v>
      </c>
      <c r="H1248" t="str">
        <f>PROPER(TRIM(CLEAN(Sales_Table[[#This Row],[Product Name]])))</f>
        <v>Led Tv 42Inch</v>
      </c>
      <c r="I1248" t="s">
        <v>58</v>
      </c>
      <c r="J1248" t="str">
        <f t="shared" si="135"/>
        <v>CUST0104</v>
      </c>
      <c r="K1248" t="s">
        <v>438</v>
      </c>
      <c r="L1248" t="str">
        <f>PROPER(TRIM(CLEAN(Sales_Table[[#This Row],[Salesperson]])))</f>
        <v>Karthik</v>
      </c>
      <c r="M1248" t="s">
        <v>70</v>
      </c>
      <c r="N1248" t="str">
        <f t="shared" si="136"/>
        <v>Debit Card</v>
      </c>
      <c r="O1248" t="s">
        <v>41</v>
      </c>
      <c r="P1248">
        <f t="shared" si="137"/>
        <v>6</v>
      </c>
      <c r="Q1248" t="s">
        <v>75</v>
      </c>
      <c r="R1248">
        <f t="shared" si="138"/>
        <v>3538</v>
      </c>
      <c r="S1248" t="s">
        <v>3040</v>
      </c>
      <c r="T1248">
        <f t="shared" si="139"/>
        <v>21228</v>
      </c>
      <c r="U1248">
        <f>YEAR(Sales_Table[[#This Row],[Date_clean]])</f>
        <v>2024</v>
      </c>
      <c r="V1248" t="str">
        <f>TEXT(Sales_Table[[#This Row],[Date_clean]],"mmmm")</f>
        <v>February</v>
      </c>
      <c r="W1248">
        <f>WEEKNUM(Sales_Table[[#This Row],[Date_clean]],2)</f>
        <v>8</v>
      </c>
      <c r="X1248" t="str" cm="1">
        <f t="array" ref="X1248">_xlfn.IFS(Sales_Table[[#This Row],[Revenue]]&gt;=50000,"High",Sales_Table[[#This Row],[Revenue]]&gt;=20000,"Medium",Sales_Table[[#This Row],[Revenue]]&lt;20000,"Low")</f>
        <v>Medium</v>
      </c>
      <c r="Y1248" t="str">
        <f>IF(Sales_Table[[#This Row],[Payment Method_clean]]="cash","Offline","Online")</f>
        <v>Online</v>
      </c>
      <c r="Z1248">
        <f>IFERROR(Sales_Table[[#This Row],[Revenue]],0)</f>
        <v>21228</v>
      </c>
    </row>
    <row r="1249" spans="1:26" x14ac:dyDescent="0.3">
      <c r="A1249">
        <v>1248</v>
      </c>
      <c r="B1249" s="2">
        <f t="shared" si="133"/>
        <v>45343.958333333336</v>
      </c>
      <c r="C1249" t="s">
        <v>3041</v>
      </c>
      <c r="D1249" t="s">
        <v>84</v>
      </c>
      <c r="E1249" t="str">
        <f>PROPER(TRIM(CLEAN(Sales_Table[[#This Row],[Region]])))</f>
        <v>South</v>
      </c>
      <c r="F1249" t="s">
        <v>78</v>
      </c>
      <c r="G1249" t="str">
        <f t="shared" si="134"/>
        <v>Grocery</v>
      </c>
      <c r="H1249" t="str">
        <f>PROPER(TRIM(CLEAN(Sales_Table[[#This Row],[Product Name]])))</f>
        <v>Mixer Grinder</v>
      </c>
      <c r="I1249" t="s">
        <v>29</v>
      </c>
      <c r="J1249" t="str">
        <f t="shared" si="135"/>
        <v>CUST0755</v>
      </c>
      <c r="K1249" t="s">
        <v>2511</v>
      </c>
      <c r="L1249" t="str">
        <f>PROPER(TRIM(CLEAN(Sales_Table[[#This Row],[Salesperson]])))</f>
        <v>Rahul</v>
      </c>
      <c r="M1249" t="s">
        <v>31</v>
      </c>
      <c r="N1249" t="str">
        <f t="shared" si="136"/>
        <v>Upi</v>
      </c>
      <c r="O1249" t="s">
        <v>48</v>
      </c>
      <c r="P1249">
        <f t="shared" si="137"/>
        <v>13</v>
      </c>
      <c r="Q1249" t="s">
        <v>81</v>
      </c>
      <c r="R1249">
        <f t="shared" si="138"/>
        <v>4224</v>
      </c>
      <c r="S1249" t="s">
        <v>3042</v>
      </c>
      <c r="T1249">
        <f t="shared" si="139"/>
        <v>54912</v>
      </c>
      <c r="U1249">
        <f>YEAR(Sales_Table[[#This Row],[Date_clean]])</f>
        <v>2024</v>
      </c>
      <c r="V1249" t="str">
        <f>TEXT(Sales_Table[[#This Row],[Date_clean]],"mmmm")</f>
        <v>February</v>
      </c>
      <c r="W1249">
        <f>WEEKNUM(Sales_Table[[#This Row],[Date_clean]],2)</f>
        <v>8</v>
      </c>
      <c r="X1249" t="str" cm="1">
        <f t="array" ref="X1249">_xlfn.IFS(Sales_Table[[#This Row],[Revenue]]&gt;=50000,"High",Sales_Table[[#This Row],[Revenue]]&gt;=20000,"Medium",Sales_Table[[#This Row],[Revenue]]&lt;20000,"Low")</f>
        <v>High</v>
      </c>
      <c r="Y1249" t="str">
        <f>IF(Sales_Table[[#This Row],[Payment Method_clean]]="cash","Offline","Online")</f>
        <v>Online</v>
      </c>
      <c r="Z1249">
        <f>IFERROR(Sales_Table[[#This Row],[Revenue]],0)</f>
        <v>54912</v>
      </c>
    </row>
    <row r="1250" spans="1:26" x14ac:dyDescent="0.3">
      <c r="A1250">
        <v>1249</v>
      </c>
      <c r="B1250" s="2">
        <f t="shared" si="133"/>
        <v>45344</v>
      </c>
      <c r="C1250" t="s">
        <v>3043</v>
      </c>
      <c r="D1250" t="s">
        <v>84</v>
      </c>
      <c r="E1250" t="str">
        <f>PROPER(TRIM(CLEAN(Sales_Table[[#This Row],[Region]])))</f>
        <v>South</v>
      </c>
      <c r="F1250" t="s">
        <v>78</v>
      </c>
      <c r="G1250" t="str">
        <f t="shared" si="134"/>
        <v>Grocery</v>
      </c>
      <c r="H1250" t="str">
        <f>PROPER(TRIM(CLEAN(Sales_Table[[#This Row],[Product Name]])))</f>
        <v>Washing Machine</v>
      </c>
      <c r="I1250" t="s">
        <v>79</v>
      </c>
      <c r="J1250" t="str">
        <f t="shared" si="135"/>
        <v>CUST0462</v>
      </c>
      <c r="K1250" t="s">
        <v>539</v>
      </c>
      <c r="L1250" t="str">
        <f>PROPER(TRIM(CLEAN(Sales_Table[[#This Row],[Salesperson]])))</f>
        <v>Suresh</v>
      </c>
      <c r="M1250" t="s">
        <v>54</v>
      </c>
      <c r="N1250" t="str">
        <f t="shared" si="136"/>
        <v>Cash</v>
      </c>
      <c r="O1250" t="s">
        <v>32</v>
      </c>
      <c r="P1250">
        <f t="shared" si="137"/>
        <v>11</v>
      </c>
      <c r="Q1250" t="s">
        <v>97</v>
      </c>
      <c r="R1250">
        <f t="shared" si="138"/>
        <v>1065</v>
      </c>
      <c r="S1250" t="s">
        <v>2735</v>
      </c>
      <c r="T1250">
        <f t="shared" si="139"/>
        <v>11715</v>
      </c>
      <c r="U1250">
        <f>YEAR(Sales_Table[[#This Row],[Date_clean]])</f>
        <v>2024</v>
      </c>
      <c r="V1250" t="str">
        <f>TEXT(Sales_Table[[#This Row],[Date_clean]],"mmmm")</f>
        <v>February</v>
      </c>
      <c r="W1250">
        <f>WEEKNUM(Sales_Table[[#This Row],[Date_clean]],2)</f>
        <v>8</v>
      </c>
      <c r="X1250" t="str" cm="1">
        <f t="array" ref="X1250">_xlfn.IFS(Sales_Table[[#This Row],[Revenue]]&gt;=50000,"High",Sales_Table[[#This Row],[Revenue]]&gt;=20000,"Medium",Sales_Table[[#This Row],[Revenue]]&lt;20000,"Low")</f>
        <v>Low</v>
      </c>
      <c r="Y1250" t="str">
        <f>IF(Sales_Table[[#This Row],[Payment Method_clean]]="cash","Offline","Online")</f>
        <v>Offline</v>
      </c>
      <c r="Z1250">
        <f>IFERROR(Sales_Table[[#This Row],[Revenue]],0)</f>
        <v>11715</v>
      </c>
    </row>
    <row r="1251" spans="1:26" x14ac:dyDescent="0.3">
      <c r="A1251">
        <v>1250</v>
      </c>
      <c r="B1251" s="2">
        <f t="shared" si="133"/>
        <v>45344.041666666664</v>
      </c>
      <c r="C1251" t="s">
        <v>3044</v>
      </c>
      <c r="D1251" t="s">
        <v>36</v>
      </c>
      <c r="E1251" t="str">
        <f>PROPER(TRIM(CLEAN(Sales_Table[[#This Row],[Region]])))</f>
        <v>West</v>
      </c>
      <c r="F1251" t="s">
        <v>78</v>
      </c>
      <c r="G1251" t="str">
        <f t="shared" si="134"/>
        <v>Grocery</v>
      </c>
      <c r="H1251" t="str">
        <f>PROPER(TRIM(CLEAN(Sales_Table[[#This Row],[Product Name]])))</f>
        <v>Mixer Grinder</v>
      </c>
      <c r="I1251" t="s">
        <v>29</v>
      </c>
      <c r="J1251" t="str">
        <f t="shared" si="135"/>
        <v>CUST0743</v>
      </c>
      <c r="K1251" t="s">
        <v>898</v>
      </c>
      <c r="L1251" t="str">
        <f>PROPER(TRIM(CLEAN(Sales_Table[[#This Row],[Salesperson]])))</f>
        <v>Rahul</v>
      </c>
      <c r="M1251" t="s">
        <v>31</v>
      </c>
      <c r="N1251" t="str">
        <f t="shared" si="136"/>
        <v>Net Banking</v>
      </c>
      <c r="O1251" t="s">
        <v>60</v>
      </c>
      <c r="P1251">
        <f t="shared" si="137"/>
        <v>11</v>
      </c>
      <c r="Q1251" t="s">
        <v>97</v>
      </c>
      <c r="R1251">
        <f t="shared" si="138"/>
        <v>1019</v>
      </c>
      <c r="S1251" t="s">
        <v>3045</v>
      </c>
      <c r="T1251">
        <f t="shared" si="139"/>
        <v>11209</v>
      </c>
      <c r="U1251">
        <f>YEAR(Sales_Table[[#This Row],[Date_clean]])</f>
        <v>2024</v>
      </c>
      <c r="V1251" t="str">
        <f>TEXT(Sales_Table[[#This Row],[Date_clean]],"mmmm")</f>
        <v>February</v>
      </c>
      <c r="W1251">
        <f>WEEKNUM(Sales_Table[[#This Row],[Date_clean]],2)</f>
        <v>8</v>
      </c>
      <c r="X1251" t="str" cm="1">
        <f t="array" ref="X1251">_xlfn.IFS(Sales_Table[[#This Row],[Revenue]]&gt;=50000,"High",Sales_Table[[#This Row],[Revenue]]&gt;=20000,"Medium",Sales_Table[[#This Row],[Revenue]]&lt;20000,"Low")</f>
        <v>Low</v>
      </c>
      <c r="Y1251" t="str">
        <f>IF(Sales_Table[[#This Row],[Payment Method_clean]]="cash","Offline","Online")</f>
        <v>Online</v>
      </c>
      <c r="Z1251">
        <f>IFERROR(Sales_Table[[#This Row],[Revenue]],0)</f>
        <v>11209</v>
      </c>
    </row>
    <row r="1252" spans="1:26" x14ac:dyDescent="0.3">
      <c r="A1252">
        <v>1251</v>
      </c>
      <c r="B1252" s="2">
        <f t="shared" si="133"/>
        <v>45344.083333333336</v>
      </c>
      <c r="C1252" t="s">
        <v>3046</v>
      </c>
      <c r="D1252" t="s">
        <v>27</v>
      </c>
      <c r="E1252" t="str">
        <f>PROPER(TRIM(CLEAN(Sales_Table[[#This Row],[Region]])))</f>
        <v>East</v>
      </c>
      <c r="F1252" t="s">
        <v>28</v>
      </c>
      <c r="G1252" t="str">
        <f t="shared" si="134"/>
        <v>Clothing</v>
      </c>
      <c r="H1252" t="str">
        <f>PROPER(TRIM(CLEAN(Sales_Table[[#This Row],[Product Name]])))</f>
        <v>Mixer Grinder</v>
      </c>
      <c r="I1252" t="s">
        <v>29</v>
      </c>
      <c r="J1252" t="str">
        <f t="shared" si="135"/>
        <v>CUST0718</v>
      </c>
      <c r="K1252" t="s">
        <v>2446</v>
      </c>
      <c r="L1252" t="str">
        <f>PROPER(TRIM(CLEAN(Sales_Table[[#This Row],[Salesperson]])))</f>
        <v>Rahul</v>
      </c>
      <c r="M1252" t="s">
        <v>31</v>
      </c>
      <c r="N1252" t="str">
        <f t="shared" si="136"/>
        <v>Debit Card</v>
      </c>
      <c r="O1252" t="s">
        <v>41</v>
      </c>
      <c r="P1252">
        <f t="shared" si="137"/>
        <v>6</v>
      </c>
      <c r="Q1252" t="s">
        <v>75</v>
      </c>
      <c r="R1252">
        <f t="shared" si="138"/>
        <v>2972</v>
      </c>
      <c r="S1252" t="s">
        <v>3047</v>
      </c>
      <c r="T1252">
        <f t="shared" si="139"/>
        <v>17832</v>
      </c>
      <c r="U1252">
        <f>YEAR(Sales_Table[[#This Row],[Date_clean]])</f>
        <v>2024</v>
      </c>
      <c r="V1252" t="str">
        <f>TEXT(Sales_Table[[#This Row],[Date_clean]],"mmmm")</f>
        <v>February</v>
      </c>
      <c r="W1252">
        <f>WEEKNUM(Sales_Table[[#This Row],[Date_clean]],2)</f>
        <v>8</v>
      </c>
      <c r="X1252" t="str" cm="1">
        <f t="array" ref="X1252">_xlfn.IFS(Sales_Table[[#This Row],[Revenue]]&gt;=50000,"High",Sales_Table[[#This Row],[Revenue]]&gt;=20000,"Medium",Sales_Table[[#This Row],[Revenue]]&lt;20000,"Low")</f>
        <v>Low</v>
      </c>
      <c r="Y1252" t="str">
        <f>IF(Sales_Table[[#This Row],[Payment Method_clean]]="cash","Offline","Online")</f>
        <v>Online</v>
      </c>
      <c r="Z1252">
        <f>IFERROR(Sales_Table[[#This Row],[Revenue]],0)</f>
        <v>17832</v>
      </c>
    </row>
    <row r="1253" spans="1:26" x14ac:dyDescent="0.3">
      <c r="A1253">
        <v>1252</v>
      </c>
      <c r="B1253" s="2">
        <f t="shared" si="133"/>
        <v>45344.125</v>
      </c>
      <c r="C1253" t="s">
        <v>3048</v>
      </c>
      <c r="D1253" t="s">
        <v>84</v>
      </c>
      <c r="E1253" t="str">
        <f>PROPER(TRIM(CLEAN(Sales_Table[[#This Row],[Region]])))</f>
        <v>South</v>
      </c>
      <c r="F1253" t="s">
        <v>28</v>
      </c>
      <c r="G1253" t="str">
        <f t="shared" si="134"/>
        <v>Clothing</v>
      </c>
      <c r="H1253" t="str">
        <f>PROPER(TRIM(CLEAN(Sales_Table[[#This Row],[Product Name]])))</f>
        <v>Led Tv 42Inch</v>
      </c>
      <c r="I1253" t="s">
        <v>58</v>
      </c>
      <c r="J1253" t="str">
        <f t="shared" si="135"/>
        <v>CUST0710</v>
      </c>
      <c r="K1253" t="s">
        <v>2122</v>
      </c>
      <c r="L1253" t="str">
        <f>PROPER(TRIM(CLEAN(Sales_Table[[#This Row],[Salesperson]])))</f>
        <v>Suresh</v>
      </c>
      <c r="M1253" t="s">
        <v>54</v>
      </c>
      <c r="N1253" t="str">
        <f t="shared" si="136"/>
        <v>Credit Card</v>
      </c>
      <c r="O1253" t="s">
        <v>65</v>
      </c>
      <c r="P1253">
        <f t="shared" si="137"/>
        <v>13</v>
      </c>
      <c r="Q1253" t="s">
        <v>81</v>
      </c>
      <c r="R1253">
        <f t="shared" si="138"/>
        <v>1608</v>
      </c>
      <c r="S1253" t="s">
        <v>3049</v>
      </c>
      <c r="T1253">
        <f t="shared" si="139"/>
        <v>20904</v>
      </c>
      <c r="U1253">
        <f>YEAR(Sales_Table[[#This Row],[Date_clean]])</f>
        <v>2024</v>
      </c>
      <c r="V1253" t="str">
        <f>TEXT(Sales_Table[[#This Row],[Date_clean]],"mmmm")</f>
        <v>February</v>
      </c>
      <c r="W1253">
        <f>WEEKNUM(Sales_Table[[#This Row],[Date_clean]],2)</f>
        <v>8</v>
      </c>
      <c r="X1253" t="str" cm="1">
        <f t="array" ref="X1253">_xlfn.IFS(Sales_Table[[#This Row],[Revenue]]&gt;=50000,"High",Sales_Table[[#This Row],[Revenue]]&gt;=20000,"Medium",Sales_Table[[#This Row],[Revenue]]&lt;20000,"Low")</f>
        <v>Medium</v>
      </c>
      <c r="Y1253" t="str">
        <f>IF(Sales_Table[[#This Row],[Payment Method_clean]]="cash","Offline","Online")</f>
        <v>Online</v>
      </c>
      <c r="Z1253">
        <f>IFERROR(Sales_Table[[#This Row],[Revenue]],0)</f>
        <v>20904</v>
      </c>
    </row>
    <row r="1254" spans="1:26" x14ac:dyDescent="0.3">
      <c r="A1254">
        <v>1253</v>
      </c>
      <c r="B1254" s="2">
        <f t="shared" si="133"/>
        <v>45344.166666666664</v>
      </c>
      <c r="C1254" t="s">
        <v>3050</v>
      </c>
      <c r="D1254" t="s">
        <v>36</v>
      </c>
      <c r="E1254" t="str">
        <f>PROPER(TRIM(CLEAN(Sales_Table[[#This Row],[Region]])))</f>
        <v>West</v>
      </c>
      <c r="F1254" t="s">
        <v>78</v>
      </c>
      <c r="G1254" t="str">
        <f t="shared" si="134"/>
        <v>Grocery</v>
      </c>
      <c r="H1254" t="str">
        <f>PROPER(TRIM(CLEAN(Sales_Table[[#This Row],[Product Name]])))</f>
        <v>Men T-Shirt</v>
      </c>
      <c r="I1254" t="s">
        <v>38</v>
      </c>
      <c r="J1254" t="str">
        <f t="shared" si="135"/>
        <v>CUST0396</v>
      </c>
      <c r="K1254" t="s">
        <v>282</v>
      </c>
      <c r="L1254" t="str">
        <f>PROPER(TRIM(CLEAN(Sales_Table[[#This Row],[Salesperson]])))</f>
        <v>Anita</v>
      </c>
      <c r="M1254" t="s">
        <v>64</v>
      </c>
      <c r="N1254" t="str">
        <f t="shared" si="136"/>
        <v>Debit Card</v>
      </c>
      <c r="O1254" t="s">
        <v>41</v>
      </c>
      <c r="P1254">
        <f t="shared" si="137"/>
        <v>1</v>
      </c>
      <c r="Q1254" t="s">
        <v>93</v>
      </c>
      <c r="R1254">
        <f t="shared" si="138"/>
        <v>1312</v>
      </c>
      <c r="S1254" t="s">
        <v>3051</v>
      </c>
      <c r="T1254">
        <f t="shared" si="139"/>
        <v>1312</v>
      </c>
      <c r="U1254">
        <f>YEAR(Sales_Table[[#This Row],[Date_clean]])</f>
        <v>2024</v>
      </c>
      <c r="V1254" t="str">
        <f>TEXT(Sales_Table[[#This Row],[Date_clean]],"mmmm")</f>
        <v>February</v>
      </c>
      <c r="W1254">
        <f>WEEKNUM(Sales_Table[[#This Row],[Date_clean]],2)</f>
        <v>8</v>
      </c>
      <c r="X1254" t="str" cm="1">
        <f t="array" ref="X1254">_xlfn.IFS(Sales_Table[[#This Row],[Revenue]]&gt;=50000,"High",Sales_Table[[#This Row],[Revenue]]&gt;=20000,"Medium",Sales_Table[[#This Row],[Revenue]]&lt;20000,"Low")</f>
        <v>Low</v>
      </c>
      <c r="Y1254" t="str">
        <f>IF(Sales_Table[[#This Row],[Payment Method_clean]]="cash","Offline","Online")</f>
        <v>Online</v>
      </c>
      <c r="Z1254">
        <f>IFERROR(Sales_Table[[#This Row],[Revenue]],0)</f>
        <v>1312</v>
      </c>
    </row>
    <row r="1255" spans="1:26" x14ac:dyDescent="0.3">
      <c r="A1255">
        <v>1254</v>
      </c>
      <c r="B1255" s="2">
        <f t="shared" si="133"/>
        <v>45344.208333333336</v>
      </c>
      <c r="C1255" t="s">
        <v>3052</v>
      </c>
      <c r="D1255" t="s">
        <v>84</v>
      </c>
      <c r="E1255" t="str">
        <f>PROPER(TRIM(CLEAN(Sales_Table[[#This Row],[Region]])))</f>
        <v>South</v>
      </c>
      <c r="F1255" t="s">
        <v>28</v>
      </c>
      <c r="G1255" t="str">
        <f t="shared" si="134"/>
        <v>Clothing</v>
      </c>
      <c r="H1255" t="str">
        <f>PROPER(TRIM(CLEAN(Sales_Table[[#This Row],[Product Name]])))</f>
        <v>Washing Machine</v>
      </c>
      <c r="I1255" t="s">
        <v>79</v>
      </c>
      <c r="J1255" t="str">
        <f t="shared" si="135"/>
        <v>CUST0337</v>
      </c>
      <c r="K1255" t="s">
        <v>1373</v>
      </c>
      <c r="L1255" t="str">
        <f>PROPER(TRIM(CLEAN(Sales_Table[[#This Row],[Salesperson]])))</f>
        <v>Suresh</v>
      </c>
      <c r="M1255" t="s">
        <v>54</v>
      </c>
      <c r="N1255" t="str">
        <f t="shared" si="136"/>
        <v>Credit Card</v>
      </c>
      <c r="O1255" t="s">
        <v>65</v>
      </c>
      <c r="P1255">
        <f t="shared" si="137"/>
        <v>5</v>
      </c>
      <c r="Q1255" t="s">
        <v>89</v>
      </c>
      <c r="R1255">
        <f t="shared" si="138"/>
        <v>971</v>
      </c>
      <c r="S1255" t="s">
        <v>2294</v>
      </c>
      <c r="T1255">
        <f t="shared" si="139"/>
        <v>4855</v>
      </c>
      <c r="U1255">
        <f>YEAR(Sales_Table[[#This Row],[Date_clean]])</f>
        <v>2024</v>
      </c>
      <c r="V1255" t="str">
        <f>TEXT(Sales_Table[[#This Row],[Date_clean]],"mmmm")</f>
        <v>February</v>
      </c>
      <c r="W1255">
        <f>WEEKNUM(Sales_Table[[#This Row],[Date_clean]],2)</f>
        <v>8</v>
      </c>
      <c r="X1255" t="str" cm="1">
        <f t="array" ref="X1255">_xlfn.IFS(Sales_Table[[#This Row],[Revenue]]&gt;=50000,"High",Sales_Table[[#This Row],[Revenue]]&gt;=20000,"Medium",Sales_Table[[#This Row],[Revenue]]&lt;20000,"Low")</f>
        <v>Low</v>
      </c>
      <c r="Y1255" t="str">
        <f>IF(Sales_Table[[#This Row],[Payment Method_clean]]="cash","Offline","Online")</f>
        <v>Online</v>
      </c>
      <c r="Z1255">
        <f>IFERROR(Sales_Table[[#This Row],[Revenue]],0)</f>
        <v>4855</v>
      </c>
    </row>
    <row r="1256" spans="1:26" x14ac:dyDescent="0.3">
      <c r="A1256">
        <v>1255</v>
      </c>
      <c r="B1256" s="2">
        <f t="shared" si="133"/>
        <v>45344.25</v>
      </c>
      <c r="C1256" t="s">
        <v>3053</v>
      </c>
      <c r="D1256" t="s">
        <v>45</v>
      </c>
      <c r="E1256" t="str">
        <f>PROPER(TRIM(CLEAN(Sales_Table[[#This Row],[Region]])))</f>
        <v>North</v>
      </c>
      <c r="F1256" t="s">
        <v>37</v>
      </c>
      <c r="G1256" t="str">
        <f t="shared" si="134"/>
        <v>Home Appliances</v>
      </c>
      <c r="H1256" t="str">
        <f>PROPER(TRIM(CLEAN(Sales_Table[[#This Row],[Product Name]])))</f>
        <v>Led Tv 42Inch</v>
      </c>
      <c r="I1256" t="s">
        <v>58</v>
      </c>
      <c r="J1256" t="str">
        <f t="shared" si="135"/>
        <v>CUST0599</v>
      </c>
      <c r="K1256" t="s">
        <v>2393</v>
      </c>
      <c r="L1256" t="str">
        <f>PROPER(TRIM(CLEAN(Sales_Table[[#This Row],[Salesperson]])))</f>
        <v>Anita</v>
      </c>
      <c r="M1256" t="s">
        <v>64</v>
      </c>
      <c r="N1256" t="str">
        <f t="shared" si="136"/>
        <v>Credit Card</v>
      </c>
      <c r="O1256" t="s">
        <v>65</v>
      </c>
      <c r="P1256">
        <f t="shared" si="137"/>
        <v>12</v>
      </c>
      <c r="Q1256" t="s">
        <v>33</v>
      </c>
      <c r="R1256">
        <f t="shared" si="138"/>
        <v>4490</v>
      </c>
      <c r="S1256" t="s">
        <v>3054</v>
      </c>
      <c r="T1256">
        <f t="shared" si="139"/>
        <v>53880</v>
      </c>
      <c r="U1256">
        <f>YEAR(Sales_Table[[#This Row],[Date_clean]])</f>
        <v>2024</v>
      </c>
      <c r="V1256" t="str">
        <f>TEXT(Sales_Table[[#This Row],[Date_clean]],"mmmm")</f>
        <v>February</v>
      </c>
      <c r="W1256">
        <f>WEEKNUM(Sales_Table[[#This Row],[Date_clean]],2)</f>
        <v>8</v>
      </c>
      <c r="X1256" t="str" cm="1">
        <f t="array" ref="X1256">_xlfn.IFS(Sales_Table[[#This Row],[Revenue]]&gt;=50000,"High",Sales_Table[[#This Row],[Revenue]]&gt;=20000,"Medium",Sales_Table[[#This Row],[Revenue]]&lt;20000,"Low")</f>
        <v>High</v>
      </c>
      <c r="Y1256" t="str">
        <f>IF(Sales_Table[[#This Row],[Payment Method_clean]]="cash","Offline","Online")</f>
        <v>Online</v>
      </c>
      <c r="Z1256">
        <f>IFERROR(Sales_Table[[#This Row],[Revenue]],0)</f>
        <v>53880</v>
      </c>
    </row>
    <row r="1257" spans="1:26" x14ac:dyDescent="0.3">
      <c r="A1257">
        <v>1256</v>
      </c>
      <c r="B1257" s="2">
        <f t="shared" si="133"/>
        <v>45344.291666666664</v>
      </c>
      <c r="C1257" t="s">
        <v>3055</v>
      </c>
      <c r="D1257" t="s">
        <v>84</v>
      </c>
      <c r="E1257" t="str">
        <f>PROPER(TRIM(CLEAN(Sales_Table[[#This Row],[Region]])))</f>
        <v>South</v>
      </c>
      <c r="F1257" t="s">
        <v>46</v>
      </c>
      <c r="G1257" t="str">
        <f t="shared" si="134"/>
        <v>Electronics</v>
      </c>
      <c r="H1257" t="str">
        <f>PROPER(TRIM(CLEAN(Sales_Table[[#This Row],[Product Name]])))</f>
        <v>Mixer Grinder</v>
      </c>
      <c r="I1257" t="s">
        <v>29</v>
      </c>
      <c r="J1257" t="str">
        <f t="shared" si="135"/>
        <v>CUST0142</v>
      </c>
      <c r="K1257" t="s">
        <v>3056</v>
      </c>
      <c r="L1257" t="str">
        <f>PROPER(TRIM(CLEAN(Sales_Table[[#This Row],[Salesperson]])))</f>
        <v>Karthik</v>
      </c>
      <c r="M1257" t="s">
        <v>70</v>
      </c>
      <c r="N1257" t="str">
        <f t="shared" si="136"/>
        <v>Cash</v>
      </c>
      <c r="O1257" t="s">
        <v>32</v>
      </c>
      <c r="P1257">
        <f t="shared" si="137"/>
        <v>6</v>
      </c>
      <c r="Q1257" t="s">
        <v>75</v>
      </c>
      <c r="R1257">
        <f t="shared" si="138"/>
        <v>3354</v>
      </c>
      <c r="S1257" t="s">
        <v>3057</v>
      </c>
      <c r="T1257">
        <f t="shared" si="139"/>
        <v>20124</v>
      </c>
      <c r="U1257">
        <f>YEAR(Sales_Table[[#This Row],[Date_clean]])</f>
        <v>2024</v>
      </c>
      <c r="V1257" t="str">
        <f>TEXT(Sales_Table[[#This Row],[Date_clean]],"mmmm")</f>
        <v>February</v>
      </c>
      <c r="W1257">
        <f>WEEKNUM(Sales_Table[[#This Row],[Date_clean]],2)</f>
        <v>8</v>
      </c>
      <c r="X1257" t="str" cm="1">
        <f t="array" ref="X1257">_xlfn.IFS(Sales_Table[[#This Row],[Revenue]]&gt;=50000,"High",Sales_Table[[#This Row],[Revenue]]&gt;=20000,"Medium",Sales_Table[[#This Row],[Revenue]]&lt;20000,"Low")</f>
        <v>Medium</v>
      </c>
      <c r="Y1257" t="str">
        <f>IF(Sales_Table[[#This Row],[Payment Method_clean]]="cash","Offline","Online")</f>
        <v>Offline</v>
      </c>
      <c r="Z1257">
        <f>IFERROR(Sales_Table[[#This Row],[Revenue]],0)</f>
        <v>20124</v>
      </c>
    </row>
    <row r="1258" spans="1:26" x14ac:dyDescent="0.3">
      <c r="A1258">
        <v>1257</v>
      </c>
      <c r="B1258" s="2">
        <f t="shared" si="133"/>
        <v>45344.333333333336</v>
      </c>
      <c r="C1258" t="s">
        <v>3058</v>
      </c>
      <c r="D1258" t="s">
        <v>84</v>
      </c>
      <c r="E1258" t="str">
        <f>PROPER(TRIM(CLEAN(Sales_Table[[#This Row],[Region]])))</f>
        <v>South</v>
      </c>
      <c r="F1258" t="s">
        <v>46</v>
      </c>
      <c r="G1258" t="str">
        <f t="shared" si="134"/>
        <v>Electronics</v>
      </c>
      <c r="H1258" t="str">
        <f>PROPER(TRIM(CLEAN(Sales_Table[[#This Row],[Product Name]])))</f>
        <v>Led Tv 42Inch</v>
      </c>
      <c r="I1258" t="s">
        <v>58</v>
      </c>
      <c r="J1258" t="str">
        <f t="shared" si="135"/>
        <v>CUST0317</v>
      </c>
      <c r="K1258" t="s">
        <v>96</v>
      </c>
      <c r="L1258" t="str">
        <f>PROPER(TRIM(CLEAN(Sales_Table[[#This Row],[Salesperson]])))</f>
        <v>Karthik</v>
      </c>
      <c r="M1258" t="s">
        <v>70</v>
      </c>
      <c r="N1258" t="str">
        <f t="shared" si="136"/>
        <v>Cash</v>
      </c>
      <c r="O1258" t="s">
        <v>32</v>
      </c>
      <c r="P1258">
        <f t="shared" si="137"/>
        <v>8</v>
      </c>
      <c r="Q1258" t="s">
        <v>42</v>
      </c>
      <c r="R1258">
        <f t="shared" si="138"/>
        <v>963</v>
      </c>
      <c r="S1258" t="s">
        <v>3059</v>
      </c>
      <c r="T1258">
        <f t="shared" si="139"/>
        <v>7704</v>
      </c>
      <c r="U1258">
        <f>YEAR(Sales_Table[[#This Row],[Date_clean]])</f>
        <v>2024</v>
      </c>
      <c r="V1258" t="str">
        <f>TEXT(Sales_Table[[#This Row],[Date_clean]],"mmmm")</f>
        <v>February</v>
      </c>
      <c r="W1258">
        <f>WEEKNUM(Sales_Table[[#This Row],[Date_clean]],2)</f>
        <v>8</v>
      </c>
      <c r="X1258" t="str" cm="1">
        <f t="array" ref="X1258">_xlfn.IFS(Sales_Table[[#This Row],[Revenue]]&gt;=50000,"High",Sales_Table[[#This Row],[Revenue]]&gt;=20000,"Medium",Sales_Table[[#This Row],[Revenue]]&lt;20000,"Low")</f>
        <v>Low</v>
      </c>
      <c r="Y1258" t="str">
        <f>IF(Sales_Table[[#This Row],[Payment Method_clean]]="cash","Offline","Online")</f>
        <v>Offline</v>
      </c>
      <c r="Z1258">
        <f>IFERROR(Sales_Table[[#This Row],[Revenue]],0)</f>
        <v>7704</v>
      </c>
    </row>
    <row r="1259" spans="1:26" x14ac:dyDescent="0.3">
      <c r="A1259">
        <v>1258</v>
      </c>
      <c r="B1259" s="2">
        <f t="shared" si="133"/>
        <v>45344.375</v>
      </c>
      <c r="C1259" t="s">
        <v>3060</v>
      </c>
      <c r="D1259" t="s">
        <v>27</v>
      </c>
      <c r="E1259" t="str">
        <f>PROPER(TRIM(CLEAN(Sales_Table[[#This Row],[Region]])))</f>
        <v>East</v>
      </c>
      <c r="F1259" t="s">
        <v>46</v>
      </c>
      <c r="G1259" t="str">
        <f t="shared" si="134"/>
        <v>Electronics</v>
      </c>
      <c r="H1259" t="str">
        <f>PROPER(TRIM(CLEAN(Sales_Table[[#This Row],[Product Name]])))</f>
        <v>Men T-Shirt</v>
      </c>
      <c r="I1259" t="s">
        <v>38</v>
      </c>
      <c r="J1259" t="str">
        <f t="shared" si="135"/>
        <v>CUST0711</v>
      </c>
      <c r="K1259" t="s">
        <v>2808</v>
      </c>
      <c r="L1259" t="str">
        <f>PROPER(TRIM(CLEAN(Sales_Table[[#This Row],[Salesperson]])))</f>
        <v>Suresh</v>
      </c>
      <c r="M1259" t="s">
        <v>54</v>
      </c>
      <c r="N1259" t="str">
        <f t="shared" si="136"/>
        <v>Debit Card</v>
      </c>
      <c r="O1259" t="s">
        <v>41</v>
      </c>
      <c r="P1259">
        <f t="shared" si="137"/>
        <v>13</v>
      </c>
      <c r="Q1259" t="s">
        <v>81</v>
      </c>
      <c r="R1259">
        <f t="shared" si="138"/>
        <v>4053</v>
      </c>
      <c r="S1259" t="s">
        <v>2972</v>
      </c>
      <c r="T1259">
        <f t="shared" si="139"/>
        <v>52689</v>
      </c>
      <c r="U1259">
        <f>YEAR(Sales_Table[[#This Row],[Date_clean]])</f>
        <v>2024</v>
      </c>
      <c r="V1259" t="str">
        <f>TEXT(Sales_Table[[#This Row],[Date_clean]],"mmmm")</f>
        <v>February</v>
      </c>
      <c r="W1259">
        <f>WEEKNUM(Sales_Table[[#This Row],[Date_clean]],2)</f>
        <v>8</v>
      </c>
      <c r="X1259" t="str" cm="1">
        <f t="array" ref="X1259">_xlfn.IFS(Sales_Table[[#This Row],[Revenue]]&gt;=50000,"High",Sales_Table[[#This Row],[Revenue]]&gt;=20000,"Medium",Sales_Table[[#This Row],[Revenue]]&lt;20000,"Low")</f>
        <v>High</v>
      </c>
      <c r="Y1259" t="str">
        <f>IF(Sales_Table[[#This Row],[Payment Method_clean]]="cash","Offline","Online")</f>
        <v>Online</v>
      </c>
      <c r="Z1259">
        <f>IFERROR(Sales_Table[[#This Row],[Revenue]],0)</f>
        <v>52689</v>
      </c>
    </row>
    <row r="1260" spans="1:26" x14ac:dyDescent="0.3">
      <c r="A1260">
        <v>1259</v>
      </c>
      <c r="B1260" s="2">
        <f t="shared" si="133"/>
        <v>45344.416666666664</v>
      </c>
      <c r="C1260" t="s">
        <v>3061</v>
      </c>
      <c r="D1260" t="s">
        <v>36</v>
      </c>
      <c r="E1260" t="str">
        <f>PROPER(TRIM(CLEAN(Sales_Table[[#This Row],[Region]])))</f>
        <v>West</v>
      </c>
      <c r="F1260" t="s">
        <v>78</v>
      </c>
      <c r="G1260" t="str">
        <f t="shared" si="134"/>
        <v>Grocery</v>
      </c>
      <c r="H1260" t="str">
        <f>PROPER(TRIM(CLEAN(Sales_Table[[#This Row],[Product Name]])))</f>
        <v>Laptop</v>
      </c>
      <c r="I1260" t="s">
        <v>52</v>
      </c>
      <c r="J1260" t="str">
        <f t="shared" si="135"/>
        <v>CUST0558</v>
      </c>
      <c r="K1260" t="s">
        <v>3062</v>
      </c>
      <c r="L1260" t="str">
        <f>PROPER(TRIM(CLEAN(Sales_Table[[#This Row],[Salesperson]])))</f>
        <v>Karthik</v>
      </c>
      <c r="M1260" t="s">
        <v>70</v>
      </c>
      <c r="N1260" t="str">
        <f t="shared" si="136"/>
        <v>Net Banking</v>
      </c>
      <c r="O1260" t="s">
        <v>60</v>
      </c>
      <c r="P1260">
        <f t="shared" si="137"/>
        <v>1</v>
      </c>
      <c r="Q1260" t="s">
        <v>93</v>
      </c>
      <c r="R1260">
        <f t="shared" si="138"/>
        <v>3208</v>
      </c>
      <c r="S1260" t="s">
        <v>3063</v>
      </c>
      <c r="T1260">
        <f t="shared" si="139"/>
        <v>3208</v>
      </c>
      <c r="U1260">
        <f>YEAR(Sales_Table[[#This Row],[Date_clean]])</f>
        <v>2024</v>
      </c>
      <c r="V1260" t="str">
        <f>TEXT(Sales_Table[[#This Row],[Date_clean]],"mmmm")</f>
        <v>February</v>
      </c>
      <c r="W1260">
        <f>WEEKNUM(Sales_Table[[#This Row],[Date_clean]],2)</f>
        <v>8</v>
      </c>
      <c r="X1260" t="str" cm="1">
        <f t="array" ref="X1260">_xlfn.IFS(Sales_Table[[#This Row],[Revenue]]&gt;=50000,"High",Sales_Table[[#This Row],[Revenue]]&gt;=20000,"Medium",Sales_Table[[#This Row],[Revenue]]&lt;20000,"Low")</f>
        <v>Low</v>
      </c>
      <c r="Y1260" t="str">
        <f>IF(Sales_Table[[#This Row],[Payment Method_clean]]="cash","Offline","Online")</f>
        <v>Online</v>
      </c>
      <c r="Z1260">
        <f>IFERROR(Sales_Table[[#This Row],[Revenue]],0)</f>
        <v>3208</v>
      </c>
    </row>
    <row r="1261" spans="1:26" x14ac:dyDescent="0.3">
      <c r="A1261">
        <v>1260</v>
      </c>
      <c r="B1261" s="2">
        <f t="shared" si="133"/>
        <v>45344.458333333336</v>
      </c>
      <c r="C1261" t="s">
        <v>3064</v>
      </c>
      <c r="D1261" t="s">
        <v>27</v>
      </c>
      <c r="E1261" t="str">
        <f>PROPER(TRIM(CLEAN(Sales_Table[[#This Row],[Region]])))</f>
        <v>East</v>
      </c>
      <c r="F1261" t="s">
        <v>28</v>
      </c>
      <c r="G1261" t="str">
        <f t="shared" si="134"/>
        <v>Clothing</v>
      </c>
      <c r="H1261" t="str">
        <f>PROPER(TRIM(CLEAN(Sales_Table[[#This Row],[Product Name]])))</f>
        <v>Washing Machine</v>
      </c>
      <c r="I1261" t="s">
        <v>79</v>
      </c>
      <c r="J1261" t="str">
        <f t="shared" si="135"/>
        <v>CUST0800</v>
      </c>
      <c r="K1261" t="s">
        <v>1525</v>
      </c>
      <c r="L1261" t="str">
        <f>PROPER(TRIM(CLEAN(Sales_Table[[#This Row],[Salesperson]])))</f>
        <v>Meena</v>
      </c>
      <c r="M1261" t="s">
        <v>40</v>
      </c>
      <c r="N1261" t="str">
        <f t="shared" si="136"/>
        <v>Debit Card</v>
      </c>
      <c r="O1261" t="s">
        <v>41</v>
      </c>
      <c r="P1261">
        <f t="shared" si="137"/>
        <v>5</v>
      </c>
      <c r="Q1261" t="s">
        <v>89</v>
      </c>
      <c r="R1261">
        <f t="shared" si="138"/>
        <v>3155</v>
      </c>
      <c r="S1261" t="s">
        <v>1575</v>
      </c>
      <c r="T1261">
        <f t="shared" si="139"/>
        <v>15775</v>
      </c>
      <c r="U1261">
        <f>YEAR(Sales_Table[[#This Row],[Date_clean]])</f>
        <v>2024</v>
      </c>
      <c r="V1261" t="str">
        <f>TEXT(Sales_Table[[#This Row],[Date_clean]],"mmmm")</f>
        <v>February</v>
      </c>
      <c r="W1261">
        <f>WEEKNUM(Sales_Table[[#This Row],[Date_clean]],2)</f>
        <v>8</v>
      </c>
      <c r="X1261" t="str" cm="1">
        <f t="array" ref="X1261">_xlfn.IFS(Sales_Table[[#This Row],[Revenue]]&gt;=50000,"High",Sales_Table[[#This Row],[Revenue]]&gt;=20000,"Medium",Sales_Table[[#This Row],[Revenue]]&lt;20000,"Low")</f>
        <v>Low</v>
      </c>
      <c r="Y1261" t="str">
        <f>IF(Sales_Table[[#This Row],[Payment Method_clean]]="cash","Offline","Online")</f>
        <v>Online</v>
      </c>
      <c r="Z1261">
        <f>IFERROR(Sales_Table[[#This Row],[Revenue]],0)</f>
        <v>15775</v>
      </c>
    </row>
    <row r="1262" spans="1:26" x14ac:dyDescent="0.3">
      <c r="A1262">
        <v>1261</v>
      </c>
      <c r="B1262" s="2">
        <f t="shared" si="133"/>
        <v>45344.5</v>
      </c>
      <c r="C1262" t="s">
        <v>3065</v>
      </c>
      <c r="D1262" t="s">
        <v>27</v>
      </c>
      <c r="E1262" t="str">
        <f>PROPER(TRIM(CLEAN(Sales_Table[[#This Row],[Region]])))</f>
        <v>East</v>
      </c>
      <c r="F1262" t="s">
        <v>37</v>
      </c>
      <c r="G1262" t="str">
        <f t="shared" si="134"/>
        <v>Home Appliances</v>
      </c>
      <c r="H1262" t="str">
        <f>PROPER(TRIM(CLEAN(Sales_Table[[#This Row],[Product Name]])))</f>
        <v>Men T-Shirt</v>
      </c>
      <c r="I1262" t="s">
        <v>38</v>
      </c>
      <c r="J1262" t="str">
        <f t="shared" si="135"/>
        <v>CUST0527</v>
      </c>
      <c r="K1262" t="s">
        <v>2962</v>
      </c>
      <c r="L1262" t="str">
        <f>PROPER(TRIM(CLEAN(Sales_Table[[#This Row],[Salesperson]])))</f>
        <v>Rahul</v>
      </c>
      <c r="M1262" t="s">
        <v>31</v>
      </c>
      <c r="N1262" t="str">
        <f t="shared" si="136"/>
        <v>Upi</v>
      </c>
      <c r="O1262" t="s">
        <v>48</v>
      </c>
      <c r="P1262">
        <f t="shared" si="137"/>
        <v>3</v>
      </c>
      <c r="Q1262" t="s">
        <v>66</v>
      </c>
      <c r="R1262">
        <f t="shared" si="138"/>
        <v>4094</v>
      </c>
      <c r="S1262" t="s">
        <v>619</v>
      </c>
      <c r="T1262">
        <f t="shared" si="139"/>
        <v>12282</v>
      </c>
      <c r="U1262">
        <f>YEAR(Sales_Table[[#This Row],[Date_clean]])</f>
        <v>2024</v>
      </c>
      <c r="V1262" t="str">
        <f>TEXT(Sales_Table[[#This Row],[Date_clean]],"mmmm")</f>
        <v>February</v>
      </c>
      <c r="W1262">
        <f>WEEKNUM(Sales_Table[[#This Row],[Date_clean]],2)</f>
        <v>8</v>
      </c>
      <c r="X1262" t="str" cm="1">
        <f t="array" ref="X1262">_xlfn.IFS(Sales_Table[[#This Row],[Revenue]]&gt;=50000,"High",Sales_Table[[#This Row],[Revenue]]&gt;=20000,"Medium",Sales_Table[[#This Row],[Revenue]]&lt;20000,"Low")</f>
        <v>Low</v>
      </c>
      <c r="Y1262" t="str">
        <f>IF(Sales_Table[[#This Row],[Payment Method_clean]]="cash","Offline","Online")</f>
        <v>Online</v>
      </c>
      <c r="Z1262">
        <f>IFERROR(Sales_Table[[#This Row],[Revenue]],0)</f>
        <v>12282</v>
      </c>
    </row>
    <row r="1263" spans="1:26" x14ac:dyDescent="0.3">
      <c r="A1263">
        <v>1262</v>
      </c>
      <c r="B1263" s="2">
        <f t="shared" si="133"/>
        <v>45344.541666666664</v>
      </c>
      <c r="C1263" t="s">
        <v>3066</v>
      </c>
      <c r="D1263" t="s">
        <v>27</v>
      </c>
      <c r="E1263" t="str">
        <f>PROPER(TRIM(CLEAN(Sales_Table[[#This Row],[Region]])))</f>
        <v>East</v>
      </c>
      <c r="F1263" t="s">
        <v>37</v>
      </c>
      <c r="G1263" t="str">
        <f t="shared" si="134"/>
        <v>Home Appliances</v>
      </c>
      <c r="H1263" t="str">
        <f>PROPER(TRIM(CLEAN(Sales_Table[[#This Row],[Product Name]])))</f>
        <v>Rice 5Kg</v>
      </c>
      <c r="I1263" t="s">
        <v>73</v>
      </c>
      <c r="J1263" t="str">
        <f t="shared" si="135"/>
        <v>CUST0556</v>
      </c>
      <c r="K1263" t="s">
        <v>1796</v>
      </c>
      <c r="L1263" t="str">
        <f>PROPER(TRIM(CLEAN(Sales_Table[[#This Row],[Salesperson]])))</f>
        <v>Rahul</v>
      </c>
      <c r="M1263" t="s">
        <v>31</v>
      </c>
      <c r="N1263" t="str">
        <f t="shared" si="136"/>
        <v>Credit Card</v>
      </c>
      <c r="O1263" t="s">
        <v>65</v>
      </c>
      <c r="P1263">
        <f t="shared" si="137"/>
        <v>2</v>
      </c>
      <c r="Q1263" t="s">
        <v>196</v>
      </c>
      <c r="R1263">
        <f t="shared" si="138"/>
        <v>2782</v>
      </c>
      <c r="S1263" t="s">
        <v>3067</v>
      </c>
      <c r="T1263">
        <f t="shared" si="139"/>
        <v>5564</v>
      </c>
      <c r="U1263">
        <f>YEAR(Sales_Table[[#This Row],[Date_clean]])</f>
        <v>2024</v>
      </c>
      <c r="V1263" t="str">
        <f>TEXT(Sales_Table[[#This Row],[Date_clean]],"mmmm")</f>
        <v>February</v>
      </c>
      <c r="W1263">
        <f>WEEKNUM(Sales_Table[[#This Row],[Date_clean]],2)</f>
        <v>8</v>
      </c>
      <c r="X1263" t="str" cm="1">
        <f t="array" ref="X1263">_xlfn.IFS(Sales_Table[[#This Row],[Revenue]]&gt;=50000,"High",Sales_Table[[#This Row],[Revenue]]&gt;=20000,"Medium",Sales_Table[[#This Row],[Revenue]]&lt;20000,"Low")</f>
        <v>Low</v>
      </c>
      <c r="Y1263" t="str">
        <f>IF(Sales_Table[[#This Row],[Payment Method_clean]]="cash","Offline","Online")</f>
        <v>Online</v>
      </c>
      <c r="Z1263">
        <f>IFERROR(Sales_Table[[#This Row],[Revenue]],0)</f>
        <v>5564</v>
      </c>
    </row>
    <row r="1264" spans="1:26" x14ac:dyDescent="0.3">
      <c r="A1264">
        <v>1263</v>
      </c>
      <c r="B1264" s="2">
        <f t="shared" si="133"/>
        <v>45344.583333333336</v>
      </c>
      <c r="C1264" t="s">
        <v>3068</v>
      </c>
      <c r="D1264" t="s">
        <v>27</v>
      </c>
      <c r="E1264" t="str">
        <f>PROPER(TRIM(CLEAN(Sales_Table[[#This Row],[Region]])))</f>
        <v>East</v>
      </c>
      <c r="F1264" t="s">
        <v>78</v>
      </c>
      <c r="G1264" t="str">
        <f t="shared" si="134"/>
        <v>Grocery</v>
      </c>
      <c r="H1264" t="str">
        <f>PROPER(TRIM(CLEAN(Sales_Table[[#This Row],[Product Name]])))</f>
        <v>Washing Machine</v>
      </c>
      <c r="I1264" t="s">
        <v>79</v>
      </c>
      <c r="J1264" t="str">
        <f t="shared" si="135"/>
        <v>CUST0401</v>
      </c>
      <c r="K1264" t="s">
        <v>180</v>
      </c>
      <c r="L1264" t="str">
        <f>PROPER(TRIM(CLEAN(Sales_Table[[#This Row],[Salesperson]])))</f>
        <v>Anita</v>
      </c>
      <c r="M1264" t="s">
        <v>64</v>
      </c>
      <c r="N1264" t="str">
        <f t="shared" si="136"/>
        <v>Credit Card</v>
      </c>
      <c r="O1264" t="s">
        <v>65</v>
      </c>
      <c r="P1264">
        <f t="shared" si="137"/>
        <v>11</v>
      </c>
      <c r="Q1264" t="s">
        <v>97</v>
      </c>
      <c r="R1264">
        <f t="shared" si="138"/>
        <v>4790</v>
      </c>
      <c r="S1264" t="s">
        <v>3069</v>
      </c>
      <c r="T1264">
        <f t="shared" si="139"/>
        <v>52690</v>
      </c>
      <c r="U1264">
        <f>YEAR(Sales_Table[[#This Row],[Date_clean]])</f>
        <v>2024</v>
      </c>
      <c r="V1264" t="str">
        <f>TEXT(Sales_Table[[#This Row],[Date_clean]],"mmmm")</f>
        <v>February</v>
      </c>
      <c r="W1264">
        <f>WEEKNUM(Sales_Table[[#This Row],[Date_clean]],2)</f>
        <v>8</v>
      </c>
      <c r="X1264" t="str" cm="1">
        <f t="array" ref="X1264">_xlfn.IFS(Sales_Table[[#This Row],[Revenue]]&gt;=50000,"High",Sales_Table[[#This Row],[Revenue]]&gt;=20000,"Medium",Sales_Table[[#This Row],[Revenue]]&lt;20000,"Low")</f>
        <v>High</v>
      </c>
      <c r="Y1264" t="str">
        <f>IF(Sales_Table[[#This Row],[Payment Method_clean]]="cash","Offline","Online")</f>
        <v>Online</v>
      </c>
      <c r="Z1264">
        <f>IFERROR(Sales_Table[[#This Row],[Revenue]],0)</f>
        <v>52690</v>
      </c>
    </row>
    <row r="1265" spans="1:26" x14ac:dyDescent="0.3">
      <c r="A1265">
        <v>1264</v>
      </c>
      <c r="B1265" s="2">
        <f t="shared" si="133"/>
        <v>45344.625</v>
      </c>
      <c r="C1265" t="s">
        <v>3070</v>
      </c>
      <c r="D1265" t="s">
        <v>27</v>
      </c>
      <c r="E1265" t="str">
        <f>PROPER(TRIM(CLEAN(Sales_Table[[#This Row],[Region]])))</f>
        <v>East</v>
      </c>
      <c r="F1265" t="s">
        <v>37</v>
      </c>
      <c r="G1265" t="str">
        <f t="shared" si="134"/>
        <v>Home Appliances</v>
      </c>
      <c r="H1265" t="str">
        <f>PROPER(TRIM(CLEAN(Sales_Table[[#This Row],[Product Name]])))</f>
        <v>Men T-Shirt</v>
      </c>
      <c r="I1265" t="s">
        <v>38</v>
      </c>
      <c r="J1265" t="str">
        <f t="shared" si="135"/>
        <v>CUST0681</v>
      </c>
      <c r="K1265" t="s">
        <v>3071</v>
      </c>
      <c r="L1265" t="str">
        <f>PROPER(TRIM(CLEAN(Sales_Table[[#This Row],[Salesperson]])))</f>
        <v>Karthik</v>
      </c>
      <c r="M1265" t="s">
        <v>70</v>
      </c>
      <c r="N1265" t="str">
        <f t="shared" si="136"/>
        <v>Cash</v>
      </c>
      <c r="O1265" t="s">
        <v>32</v>
      </c>
      <c r="P1265">
        <f t="shared" si="137"/>
        <v>8</v>
      </c>
      <c r="Q1265" t="s">
        <v>42</v>
      </c>
      <c r="R1265">
        <f t="shared" si="138"/>
        <v>713</v>
      </c>
      <c r="S1265" t="s">
        <v>1782</v>
      </c>
      <c r="T1265">
        <f t="shared" si="139"/>
        <v>5704</v>
      </c>
      <c r="U1265">
        <f>YEAR(Sales_Table[[#This Row],[Date_clean]])</f>
        <v>2024</v>
      </c>
      <c r="V1265" t="str">
        <f>TEXT(Sales_Table[[#This Row],[Date_clean]],"mmmm")</f>
        <v>February</v>
      </c>
      <c r="W1265">
        <f>WEEKNUM(Sales_Table[[#This Row],[Date_clean]],2)</f>
        <v>8</v>
      </c>
      <c r="X1265" t="str" cm="1">
        <f t="array" ref="X1265">_xlfn.IFS(Sales_Table[[#This Row],[Revenue]]&gt;=50000,"High",Sales_Table[[#This Row],[Revenue]]&gt;=20000,"Medium",Sales_Table[[#This Row],[Revenue]]&lt;20000,"Low")</f>
        <v>Low</v>
      </c>
      <c r="Y1265" t="str">
        <f>IF(Sales_Table[[#This Row],[Payment Method_clean]]="cash","Offline","Online")</f>
        <v>Offline</v>
      </c>
      <c r="Z1265">
        <f>IFERROR(Sales_Table[[#This Row],[Revenue]],0)</f>
        <v>5704</v>
      </c>
    </row>
    <row r="1266" spans="1:26" x14ac:dyDescent="0.3">
      <c r="A1266">
        <v>1265</v>
      </c>
      <c r="B1266" s="2">
        <f t="shared" si="133"/>
        <v>45344.666666666664</v>
      </c>
      <c r="C1266" t="s">
        <v>3072</v>
      </c>
      <c r="D1266" t="s">
        <v>84</v>
      </c>
      <c r="E1266" t="str">
        <f>PROPER(TRIM(CLEAN(Sales_Table[[#This Row],[Region]])))</f>
        <v>South</v>
      </c>
      <c r="F1266" t="s">
        <v>37</v>
      </c>
      <c r="G1266" t="str">
        <f t="shared" si="134"/>
        <v>Home Appliances</v>
      </c>
      <c r="H1266" t="str">
        <f>PROPER(TRIM(CLEAN(Sales_Table[[#This Row],[Product Name]])))</f>
        <v>Mixer Grinder</v>
      </c>
      <c r="I1266" t="s">
        <v>29</v>
      </c>
      <c r="J1266" t="str">
        <f t="shared" si="135"/>
        <v>CUST0310</v>
      </c>
      <c r="K1266" t="s">
        <v>1225</v>
      </c>
      <c r="L1266" t="str">
        <f>PROPER(TRIM(CLEAN(Sales_Table[[#This Row],[Salesperson]])))</f>
        <v>Anita</v>
      </c>
      <c r="M1266" t="s">
        <v>64</v>
      </c>
      <c r="N1266" t="str">
        <f t="shared" si="136"/>
        <v>Net Banking</v>
      </c>
      <c r="O1266" t="s">
        <v>60</v>
      </c>
      <c r="P1266">
        <f t="shared" si="137"/>
        <v>7</v>
      </c>
      <c r="Q1266" t="s">
        <v>49</v>
      </c>
      <c r="R1266">
        <f t="shared" si="138"/>
        <v>1972</v>
      </c>
      <c r="S1266" t="s">
        <v>3073</v>
      </c>
      <c r="T1266">
        <f t="shared" si="139"/>
        <v>13804</v>
      </c>
      <c r="U1266">
        <f>YEAR(Sales_Table[[#This Row],[Date_clean]])</f>
        <v>2024</v>
      </c>
      <c r="V1266" t="str">
        <f>TEXT(Sales_Table[[#This Row],[Date_clean]],"mmmm")</f>
        <v>February</v>
      </c>
      <c r="W1266">
        <f>WEEKNUM(Sales_Table[[#This Row],[Date_clean]],2)</f>
        <v>8</v>
      </c>
      <c r="X1266" t="str" cm="1">
        <f t="array" ref="X1266">_xlfn.IFS(Sales_Table[[#This Row],[Revenue]]&gt;=50000,"High",Sales_Table[[#This Row],[Revenue]]&gt;=20000,"Medium",Sales_Table[[#This Row],[Revenue]]&lt;20000,"Low")</f>
        <v>Low</v>
      </c>
      <c r="Y1266" t="str">
        <f>IF(Sales_Table[[#This Row],[Payment Method_clean]]="cash","Offline","Online")</f>
        <v>Online</v>
      </c>
      <c r="Z1266">
        <f>IFERROR(Sales_Table[[#This Row],[Revenue]],0)</f>
        <v>13804</v>
      </c>
    </row>
    <row r="1267" spans="1:26" x14ac:dyDescent="0.3">
      <c r="A1267">
        <v>1266</v>
      </c>
      <c r="B1267" s="2">
        <f t="shared" si="133"/>
        <v>45344.708333333336</v>
      </c>
      <c r="C1267" t="s">
        <v>3074</v>
      </c>
      <c r="D1267" t="s">
        <v>27</v>
      </c>
      <c r="E1267" t="str">
        <f>PROPER(TRIM(CLEAN(Sales_Table[[#This Row],[Region]])))</f>
        <v>East</v>
      </c>
      <c r="F1267" t="s">
        <v>37</v>
      </c>
      <c r="G1267" t="str">
        <f t="shared" si="134"/>
        <v>Home Appliances</v>
      </c>
      <c r="H1267" t="str">
        <f>PROPER(TRIM(CLEAN(Sales_Table[[#This Row],[Product Name]])))</f>
        <v>Washing Machine</v>
      </c>
      <c r="I1267" t="s">
        <v>79</v>
      </c>
      <c r="J1267" t="str">
        <f t="shared" si="135"/>
        <v>CUST0495</v>
      </c>
      <c r="K1267" t="s">
        <v>1989</v>
      </c>
      <c r="L1267" t="str">
        <f>PROPER(TRIM(CLEAN(Sales_Table[[#This Row],[Salesperson]])))</f>
        <v>Rahul</v>
      </c>
      <c r="M1267" t="s">
        <v>31</v>
      </c>
      <c r="N1267" t="str">
        <f t="shared" si="136"/>
        <v>Cash</v>
      </c>
      <c r="O1267" t="s">
        <v>32</v>
      </c>
      <c r="P1267">
        <f t="shared" si="137"/>
        <v>10</v>
      </c>
      <c r="Q1267" t="s">
        <v>117</v>
      </c>
      <c r="R1267">
        <f t="shared" si="138"/>
        <v>3254</v>
      </c>
      <c r="S1267" t="s">
        <v>2757</v>
      </c>
      <c r="T1267">
        <f t="shared" si="139"/>
        <v>32540</v>
      </c>
      <c r="U1267">
        <f>YEAR(Sales_Table[[#This Row],[Date_clean]])</f>
        <v>2024</v>
      </c>
      <c r="V1267" t="str">
        <f>TEXT(Sales_Table[[#This Row],[Date_clean]],"mmmm")</f>
        <v>February</v>
      </c>
      <c r="W1267">
        <f>WEEKNUM(Sales_Table[[#This Row],[Date_clean]],2)</f>
        <v>8</v>
      </c>
      <c r="X1267" t="str" cm="1">
        <f t="array" ref="X1267">_xlfn.IFS(Sales_Table[[#This Row],[Revenue]]&gt;=50000,"High",Sales_Table[[#This Row],[Revenue]]&gt;=20000,"Medium",Sales_Table[[#This Row],[Revenue]]&lt;20000,"Low")</f>
        <v>Medium</v>
      </c>
      <c r="Y1267" t="str">
        <f>IF(Sales_Table[[#This Row],[Payment Method_clean]]="cash","Offline","Online")</f>
        <v>Offline</v>
      </c>
      <c r="Z1267">
        <f>IFERROR(Sales_Table[[#This Row],[Revenue]],0)</f>
        <v>32540</v>
      </c>
    </row>
    <row r="1268" spans="1:26" x14ac:dyDescent="0.3">
      <c r="A1268">
        <v>1267</v>
      </c>
      <c r="B1268" s="2">
        <f t="shared" si="133"/>
        <v>45344.75</v>
      </c>
      <c r="C1268" t="s">
        <v>3075</v>
      </c>
      <c r="D1268" t="s">
        <v>27</v>
      </c>
      <c r="E1268" t="str">
        <f>PROPER(TRIM(CLEAN(Sales_Table[[#This Row],[Region]])))</f>
        <v>East</v>
      </c>
      <c r="F1268" t="s">
        <v>37</v>
      </c>
      <c r="G1268" t="str">
        <f t="shared" si="134"/>
        <v>Home Appliances</v>
      </c>
      <c r="H1268" t="str">
        <f>PROPER(TRIM(CLEAN(Sales_Table[[#This Row],[Product Name]])))</f>
        <v>Washing Machine</v>
      </c>
      <c r="I1268" t="s">
        <v>79</v>
      </c>
      <c r="J1268" t="str">
        <f t="shared" si="135"/>
        <v>CUST0556</v>
      </c>
      <c r="K1268" t="s">
        <v>1796</v>
      </c>
      <c r="L1268" t="str">
        <f>PROPER(TRIM(CLEAN(Sales_Table[[#This Row],[Salesperson]])))</f>
        <v>Rahul</v>
      </c>
      <c r="M1268" t="s">
        <v>31</v>
      </c>
      <c r="N1268" t="str">
        <f t="shared" si="136"/>
        <v>Upi</v>
      </c>
      <c r="O1268" t="s">
        <v>48</v>
      </c>
      <c r="P1268">
        <f t="shared" si="137"/>
        <v>7</v>
      </c>
      <c r="Q1268" t="s">
        <v>49</v>
      </c>
      <c r="R1268">
        <f t="shared" si="138"/>
        <v>4660</v>
      </c>
      <c r="S1268" t="s">
        <v>3076</v>
      </c>
      <c r="T1268">
        <f t="shared" si="139"/>
        <v>32620</v>
      </c>
      <c r="U1268">
        <f>YEAR(Sales_Table[[#This Row],[Date_clean]])</f>
        <v>2024</v>
      </c>
      <c r="V1268" t="str">
        <f>TEXT(Sales_Table[[#This Row],[Date_clean]],"mmmm")</f>
        <v>February</v>
      </c>
      <c r="W1268">
        <f>WEEKNUM(Sales_Table[[#This Row],[Date_clean]],2)</f>
        <v>8</v>
      </c>
      <c r="X1268" t="str" cm="1">
        <f t="array" ref="X1268">_xlfn.IFS(Sales_Table[[#This Row],[Revenue]]&gt;=50000,"High",Sales_Table[[#This Row],[Revenue]]&gt;=20000,"Medium",Sales_Table[[#This Row],[Revenue]]&lt;20000,"Low")</f>
        <v>Medium</v>
      </c>
      <c r="Y1268" t="str">
        <f>IF(Sales_Table[[#This Row],[Payment Method_clean]]="cash","Offline","Online")</f>
        <v>Online</v>
      </c>
      <c r="Z1268">
        <f>IFERROR(Sales_Table[[#This Row],[Revenue]],0)</f>
        <v>32620</v>
      </c>
    </row>
    <row r="1269" spans="1:26" x14ac:dyDescent="0.3">
      <c r="A1269">
        <v>1268</v>
      </c>
      <c r="B1269" s="2">
        <f t="shared" si="133"/>
        <v>45344.791666666664</v>
      </c>
      <c r="C1269" t="s">
        <v>3077</v>
      </c>
      <c r="D1269" t="s">
        <v>36</v>
      </c>
      <c r="E1269" t="str">
        <f>PROPER(TRIM(CLEAN(Sales_Table[[#This Row],[Region]])))</f>
        <v>West</v>
      </c>
      <c r="F1269" t="s">
        <v>28</v>
      </c>
      <c r="G1269" t="str">
        <f t="shared" si="134"/>
        <v>Clothing</v>
      </c>
      <c r="H1269" t="str">
        <f>PROPER(TRIM(CLEAN(Sales_Table[[#This Row],[Product Name]])))</f>
        <v>Led Tv 42Inch</v>
      </c>
      <c r="I1269" t="s">
        <v>58</v>
      </c>
      <c r="J1269" t="str">
        <f t="shared" si="135"/>
        <v>CUST0610</v>
      </c>
      <c r="K1269" t="s">
        <v>2291</v>
      </c>
      <c r="L1269" t="str">
        <f>PROPER(TRIM(CLEAN(Sales_Table[[#This Row],[Salesperson]])))</f>
        <v>Karthik</v>
      </c>
      <c r="M1269" t="s">
        <v>70</v>
      </c>
      <c r="N1269" t="str">
        <f t="shared" si="136"/>
        <v>Debit Card</v>
      </c>
      <c r="O1269" t="s">
        <v>41</v>
      </c>
      <c r="P1269">
        <f t="shared" si="137"/>
        <v>5</v>
      </c>
      <c r="Q1269" t="s">
        <v>89</v>
      </c>
      <c r="R1269">
        <f t="shared" si="138"/>
        <v>3473</v>
      </c>
      <c r="S1269" t="s">
        <v>3078</v>
      </c>
      <c r="T1269">
        <f t="shared" si="139"/>
        <v>17365</v>
      </c>
      <c r="U1269">
        <f>YEAR(Sales_Table[[#This Row],[Date_clean]])</f>
        <v>2024</v>
      </c>
      <c r="V1269" t="str">
        <f>TEXT(Sales_Table[[#This Row],[Date_clean]],"mmmm")</f>
        <v>February</v>
      </c>
      <c r="W1269">
        <f>WEEKNUM(Sales_Table[[#This Row],[Date_clean]],2)</f>
        <v>8</v>
      </c>
      <c r="X1269" t="str" cm="1">
        <f t="array" ref="X1269">_xlfn.IFS(Sales_Table[[#This Row],[Revenue]]&gt;=50000,"High",Sales_Table[[#This Row],[Revenue]]&gt;=20000,"Medium",Sales_Table[[#This Row],[Revenue]]&lt;20000,"Low")</f>
        <v>Low</v>
      </c>
      <c r="Y1269" t="str">
        <f>IF(Sales_Table[[#This Row],[Payment Method_clean]]="cash","Offline","Online")</f>
        <v>Online</v>
      </c>
      <c r="Z1269">
        <f>IFERROR(Sales_Table[[#This Row],[Revenue]],0)</f>
        <v>17365</v>
      </c>
    </row>
    <row r="1270" spans="1:26" x14ac:dyDescent="0.3">
      <c r="A1270">
        <v>1269</v>
      </c>
      <c r="B1270" s="2">
        <f t="shared" si="133"/>
        <v>45344.833333333336</v>
      </c>
      <c r="C1270" t="s">
        <v>3079</v>
      </c>
      <c r="D1270" t="s">
        <v>45</v>
      </c>
      <c r="E1270" t="str">
        <f>PROPER(TRIM(CLEAN(Sales_Table[[#This Row],[Region]])))</f>
        <v>North</v>
      </c>
      <c r="F1270" t="s">
        <v>37</v>
      </c>
      <c r="G1270" t="str">
        <f t="shared" si="134"/>
        <v>Home Appliances</v>
      </c>
      <c r="H1270" t="str">
        <f>PROPER(TRIM(CLEAN(Sales_Table[[#This Row],[Product Name]])))</f>
        <v>Mixer Grinder</v>
      </c>
      <c r="I1270" t="s">
        <v>29</v>
      </c>
      <c r="J1270" t="str">
        <f t="shared" si="135"/>
        <v>CUST0773</v>
      </c>
      <c r="K1270" t="s">
        <v>3080</v>
      </c>
      <c r="L1270" t="str">
        <f>PROPER(TRIM(CLEAN(Sales_Table[[#This Row],[Salesperson]])))</f>
        <v>Meena</v>
      </c>
      <c r="M1270" t="s">
        <v>40</v>
      </c>
      <c r="N1270" t="str">
        <f t="shared" si="136"/>
        <v>Debit Card</v>
      </c>
      <c r="O1270" t="s">
        <v>41</v>
      </c>
      <c r="P1270">
        <f t="shared" si="137"/>
        <v>12</v>
      </c>
      <c r="Q1270" t="s">
        <v>33</v>
      </c>
      <c r="R1270">
        <f t="shared" si="138"/>
        <v>3291</v>
      </c>
      <c r="S1270" t="s">
        <v>3081</v>
      </c>
      <c r="T1270">
        <f t="shared" si="139"/>
        <v>39492</v>
      </c>
      <c r="U1270">
        <f>YEAR(Sales_Table[[#This Row],[Date_clean]])</f>
        <v>2024</v>
      </c>
      <c r="V1270" t="str">
        <f>TEXT(Sales_Table[[#This Row],[Date_clean]],"mmmm")</f>
        <v>February</v>
      </c>
      <c r="W1270">
        <f>WEEKNUM(Sales_Table[[#This Row],[Date_clean]],2)</f>
        <v>8</v>
      </c>
      <c r="X1270" t="str" cm="1">
        <f t="array" ref="X1270">_xlfn.IFS(Sales_Table[[#This Row],[Revenue]]&gt;=50000,"High",Sales_Table[[#This Row],[Revenue]]&gt;=20000,"Medium",Sales_Table[[#This Row],[Revenue]]&lt;20000,"Low")</f>
        <v>Medium</v>
      </c>
      <c r="Y1270" t="str">
        <f>IF(Sales_Table[[#This Row],[Payment Method_clean]]="cash","Offline","Online")</f>
        <v>Online</v>
      </c>
      <c r="Z1270">
        <f>IFERROR(Sales_Table[[#This Row],[Revenue]],0)</f>
        <v>39492</v>
      </c>
    </row>
    <row r="1271" spans="1:26" x14ac:dyDescent="0.3">
      <c r="A1271">
        <v>1270</v>
      </c>
      <c r="B1271" s="2">
        <f t="shared" si="133"/>
        <v>45344.875</v>
      </c>
      <c r="C1271" t="s">
        <v>3082</v>
      </c>
      <c r="D1271" t="s">
        <v>84</v>
      </c>
      <c r="E1271" t="str">
        <f>PROPER(TRIM(CLEAN(Sales_Table[[#This Row],[Region]])))</f>
        <v>South</v>
      </c>
      <c r="F1271" t="s">
        <v>46</v>
      </c>
      <c r="G1271" t="str">
        <f t="shared" si="134"/>
        <v>Electronics</v>
      </c>
      <c r="H1271" t="str">
        <f>PROPER(TRIM(CLEAN(Sales_Table[[#This Row],[Product Name]])))</f>
        <v>Rice 5Kg</v>
      </c>
      <c r="I1271" t="s">
        <v>73</v>
      </c>
      <c r="J1271" t="str">
        <f t="shared" si="135"/>
        <v>CUST0109</v>
      </c>
      <c r="K1271" t="s">
        <v>1389</v>
      </c>
      <c r="L1271" t="str">
        <f>PROPER(TRIM(CLEAN(Sales_Table[[#This Row],[Salesperson]])))</f>
        <v>Meena</v>
      </c>
      <c r="M1271" t="s">
        <v>40</v>
      </c>
      <c r="N1271" t="str">
        <f t="shared" si="136"/>
        <v>Net Banking</v>
      </c>
      <c r="O1271" t="s">
        <v>60</v>
      </c>
      <c r="P1271">
        <f t="shared" si="137"/>
        <v>13</v>
      </c>
      <c r="Q1271" t="s">
        <v>81</v>
      </c>
      <c r="R1271">
        <f t="shared" si="138"/>
        <v>667</v>
      </c>
      <c r="S1271" t="s">
        <v>1104</v>
      </c>
      <c r="T1271">
        <f t="shared" si="139"/>
        <v>8671</v>
      </c>
      <c r="U1271">
        <f>YEAR(Sales_Table[[#This Row],[Date_clean]])</f>
        <v>2024</v>
      </c>
      <c r="V1271" t="str">
        <f>TEXT(Sales_Table[[#This Row],[Date_clean]],"mmmm")</f>
        <v>February</v>
      </c>
      <c r="W1271">
        <f>WEEKNUM(Sales_Table[[#This Row],[Date_clean]],2)</f>
        <v>8</v>
      </c>
      <c r="X1271" t="str" cm="1">
        <f t="array" ref="X1271">_xlfn.IFS(Sales_Table[[#This Row],[Revenue]]&gt;=50000,"High",Sales_Table[[#This Row],[Revenue]]&gt;=20000,"Medium",Sales_Table[[#This Row],[Revenue]]&lt;20000,"Low")</f>
        <v>Low</v>
      </c>
      <c r="Y1271" t="str">
        <f>IF(Sales_Table[[#This Row],[Payment Method_clean]]="cash","Offline","Online")</f>
        <v>Online</v>
      </c>
      <c r="Z1271">
        <f>IFERROR(Sales_Table[[#This Row],[Revenue]],0)</f>
        <v>8671</v>
      </c>
    </row>
    <row r="1272" spans="1:26" x14ac:dyDescent="0.3">
      <c r="A1272">
        <v>1271</v>
      </c>
      <c r="B1272" s="2">
        <f t="shared" si="133"/>
        <v>45344.916666666664</v>
      </c>
      <c r="C1272" t="s">
        <v>3083</v>
      </c>
      <c r="D1272" t="s">
        <v>84</v>
      </c>
      <c r="E1272" t="str">
        <f>PROPER(TRIM(CLEAN(Sales_Table[[#This Row],[Region]])))</f>
        <v>South</v>
      </c>
      <c r="F1272" t="s">
        <v>78</v>
      </c>
      <c r="G1272" t="str">
        <f t="shared" si="134"/>
        <v>Grocery</v>
      </c>
      <c r="H1272" t="str">
        <f>PROPER(TRIM(CLEAN(Sales_Table[[#This Row],[Product Name]])))</f>
        <v>Laptop</v>
      </c>
      <c r="I1272" t="s">
        <v>52</v>
      </c>
      <c r="J1272" t="str">
        <f t="shared" si="135"/>
        <v>CUST0795</v>
      </c>
      <c r="K1272" t="s">
        <v>2090</v>
      </c>
      <c r="L1272" t="str">
        <f>PROPER(TRIM(CLEAN(Sales_Table[[#This Row],[Salesperson]])))</f>
        <v>Karthik</v>
      </c>
      <c r="M1272" t="s">
        <v>70</v>
      </c>
      <c r="N1272" t="str">
        <f t="shared" si="136"/>
        <v>Cash</v>
      </c>
      <c r="O1272" t="s">
        <v>32</v>
      </c>
      <c r="P1272">
        <f t="shared" si="137"/>
        <v>9</v>
      </c>
      <c r="Q1272" t="s">
        <v>130</v>
      </c>
      <c r="R1272">
        <f t="shared" si="138"/>
        <v>4233</v>
      </c>
      <c r="S1272" t="s">
        <v>3084</v>
      </c>
      <c r="T1272">
        <f t="shared" si="139"/>
        <v>38097</v>
      </c>
      <c r="U1272">
        <f>YEAR(Sales_Table[[#This Row],[Date_clean]])</f>
        <v>2024</v>
      </c>
      <c r="V1272" t="str">
        <f>TEXT(Sales_Table[[#This Row],[Date_clean]],"mmmm")</f>
        <v>February</v>
      </c>
      <c r="W1272">
        <f>WEEKNUM(Sales_Table[[#This Row],[Date_clean]],2)</f>
        <v>8</v>
      </c>
      <c r="X1272" t="str" cm="1">
        <f t="array" ref="X1272">_xlfn.IFS(Sales_Table[[#This Row],[Revenue]]&gt;=50000,"High",Sales_Table[[#This Row],[Revenue]]&gt;=20000,"Medium",Sales_Table[[#This Row],[Revenue]]&lt;20000,"Low")</f>
        <v>Medium</v>
      </c>
      <c r="Y1272" t="str">
        <f>IF(Sales_Table[[#This Row],[Payment Method_clean]]="cash","Offline","Online")</f>
        <v>Offline</v>
      </c>
      <c r="Z1272">
        <f>IFERROR(Sales_Table[[#This Row],[Revenue]],0)</f>
        <v>38097</v>
      </c>
    </row>
    <row r="1273" spans="1:26" x14ac:dyDescent="0.3">
      <c r="A1273">
        <v>1272</v>
      </c>
      <c r="B1273" s="2">
        <f t="shared" si="133"/>
        <v>45344.958333333336</v>
      </c>
      <c r="C1273" t="s">
        <v>3085</v>
      </c>
      <c r="D1273" t="s">
        <v>84</v>
      </c>
      <c r="E1273" t="str">
        <f>PROPER(TRIM(CLEAN(Sales_Table[[#This Row],[Region]])))</f>
        <v>South</v>
      </c>
      <c r="F1273" t="s">
        <v>28</v>
      </c>
      <c r="G1273" t="str">
        <f t="shared" si="134"/>
        <v>Clothing</v>
      </c>
      <c r="H1273" t="str">
        <f>PROPER(TRIM(CLEAN(Sales_Table[[#This Row],[Product Name]])))</f>
        <v>Men T-Shirt</v>
      </c>
      <c r="I1273" t="s">
        <v>38</v>
      </c>
      <c r="J1273" t="str">
        <f t="shared" si="135"/>
        <v>CUST0372</v>
      </c>
      <c r="K1273" t="s">
        <v>3086</v>
      </c>
      <c r="L1273" t="str">
        <f>PROPER(TRIM(CLEAN(Sales_Table[[#This Row],[Salesperson]])))</f>
        <v>Karthik</v>
      </c>
      <c r="M1273" t="s">
        <v>70</v>
      </c>
      <c r="N1273" t="str">
        <f t="shared" si="136"/>
        <v>Cash</v>
      </c>
      <c r="O1273" t="s">
        <v>32</v>
      </c>
      <c r="P1273">
        <f t="shared" si="137"/>
        <v>5</v>
      </c>
      <c r="Q1273" t="s">
        <v>89</v>
      </c>
      <c r="R1273">
        <f t="shared" si="138"/>
        <v>344</v>
      </c>
      <c r="S1273" t="s">
        <v>3087</v>
      </c>
      <c r="T1273">
        <f t="shared" si="139"/>
        <v>1720</v>
      </c>
      <c r="U1273">
        <f>YEAR(Sales_Table[[#This Row],[Date_clean]])</f>
        <v>2024</v>
      </c>
      <c r="V1273" t="str">
        <f>TEXT(Sales_Table[[#This Row],[Date_clean]],"mmmm")</f>
        <v>February</v>
      </c>
      <c r="W1273">
        <f>WEEKNUM(Sales_Table[[#This Row],[Date_clean]],2)</f>
        <v>8</v>
      </c>
      <c r="X1273" t="str" cm="1">
        <f t="array" ref="X1273">_xlfn.IFS(Sales_Table[[#This Row],[Revenue]]&gt;=50000,"High",Sales_Table[[#This Row],[Revenue]]&gt;=20000,"Medium",Sales_Table[[#This Row],[Revenue]]&lt;20000,"Low")</f>
        <v>Low</v>
      </c>
      <c r="Y1273" t="str">
        <f>IF(Sales_Table[[#This Row],[Payment Method_clean]]="cash","Offline","Online")</f>
        <v>Offline</v>
      </c>
      <c r="Z1273">
        <f>IFERROR(Sales_Table[[#This Row],[Revenue]],0)</f>
        <v>1720</v>
      </c>
    </row>
    <row r="1274" spans="1:26" x14ac:dyDescent="0.3">
      <c r="A1274">
        <v>1273</v>
      </c>
      <c r="B1274" s="2">
        <f t="shared" si="133"/>
        <v>45345</v>
      </c>
      <c r="C1274" t="s">
        <v>3088</v>
      </c>
      <c r="D1274" t="s">
        <v>27</v>
      </c>
      <c r="E1274" t="str">
        <f>PROPER(TRIM(CLEAN(Sales_Table[[#This Row],[Region]])))</f>
        <v>East</v>
      </c>
      <c r="F1274" t="s">
        <v>37</v>
      </c>
      <c r="G1274" t="str">
        <f t="shared" si="134"/>
        <v>Home Appliances</v>
      </c>
      <c r="H1274" t="str">
        <f>PROPER(TRIM(CLEAN(Sales_Table[[#This Row],[Product Name]])))</f>
        <v>Led Tv 42Inch</v>
      </c>
      <c r="I1274" t="s">
        <v>58</v>
      </c>
      <c r="J1274" t="str">
        <f t="shared" si="135"/>
        <v>CUST0616</v>
      </c>
      <c r="K1274" t="s">
        <v>231</v>
      </c>
      <c r="L1274" t="str">
        <f>PROPER(TRIM(CLEAN(Sales_Table[[#This Row],[Salesperson]])))</f>
        <v>Anita</v>
      </c>
      <c r="M1274" t="s">
        <v>64</v>
      </c>
      <c r="N1274" t="str">
        <f t="shared" si="136"/>
        <v>Upi</v>
      </c>
      <c r="O1274" t="s">
        <v>48</v>
      </c>
      <c r="P1274">
        <f t="shared" si="137"/>
        <v>2</v>
      </c>
      <c r="Q1274" t="s">
        <v>196</v>
      </c>
      <c r="R1274">
        <f t="shared" si="138"/>
        <v>120</v>
      </c>
      <c r="S1274" t="s">
        <v>2222</v>
      </c>
      <c r="T1274">
        <f t="shared" si="139"/>
        <v>240</v>
      </c>
      <c r="U1274">
        <f>YEAR(Sales_Table[[#This Row],[Date_clean]])</f>
        <v>2024</v>
      </c>
      <c r="V1274" t="str">
        <f>TEXT(Sales_Table[[#This Row],[Date_clean]],"mmmm")</f>
        <v>February</v>
      </c>
      <c r="W1274">
        <f>WEEKNUM(Sales_Table[[#This Row],[Date_clean]],2)</f>
        <v>8</v>
      </c>
      <c r="X1274" t="str" cm="1">
        <f t="array" ref="X1274">_xlfn.IFS(Sales_Table[[#This Row],[Revenue]]&gt;=50000,"High",Sales_Table[[#This Row],[Revenue]]&gt;=20000,"Medium",Sales_Table[[#This Row],[Revenue]]&lt;20000,"Low")</f>
        <v>Low</v>
      </c>
      <c r="Y1274" t="str">
        <f>IF(Sales_Table[[#This Row],[Payment Method_clean]]="cash","Offline","Online")</f>
        <v>Online</v>
      </c>
      <c r="Z1274">
        <f>IFERROR(Sales_Table[[#This Row],[Revenue]],0)</f>
        <v>240</v>
      </c>
    </row>
    <row r="1275" spans="1:26" x14ac:dyDescent="0.3">
      <c r="A1275">
        <v>1274</v>
      </c>
      <c r="B1275" s="2">
        <f t="shared" si="133"/>
        <v>45345.041666666664</v>
      </c>
      <c r="C1275" t="s">
        <v>3089</v>
      </c>
      <c r="D1275" t="s">
        <v>27</v>
      </c>
      <c r="E1275" t="str">
        <f>PROPER(TRIM(CLEAN(Sales_Table[[#This Row],[Region]])))</f>
        <v>East</v>
      </c>
      <c r="F1275" t="s">
        <v>28</v>
      </c>
      <c r="G1275" t="str">
        <f t="shared" si="134"/>
        <v>Clothing</v>
      </c>
      <c r="H1275" t="str">
        <f>PROPER(TRIM(CLEAN(Sales_Table[[#This Row],[Product Name]])))</f>
        <v>Men T-Shirt</v>
      </c>
      <c r="I1275" t="s">
        <v>38</v>
      </c>
      <c r="J1275" t="str">
        <f t="shared" si="135"/>
        <v>CUST0768</v>
      </c>
      <c r="K1275" t="s">
        <v>459</v>
      </c>
      <c r="L1275" t="str">
        <f>PROPER(TRIM(CLEAN(Sales_Table[[#This Row],[Salesperson]])))</f>
        <v>Karthik</v>
      </c>
      <c r="M1275" t="s">
        <v>70</v>
      </c>
      <c r="N1275" t="str">
        <f t="shared" si="136"/>
        <v>Debit Card</v>
      </c>
      <c r="O1275" t="s">
        <v>41</v>
      </c>
      <c r="P1275">
        <f t="shared" si="137"/>
        <v>3</v>
      </c>
      <c r="Q1275" t="s">
        <v>66</v>
      </c>
      <c r="R1275">
        <f t="shared" si="138"/>
        <v>493</v>
      </c>
      <c r="S1275" t="s">
        <v>3090</v>
      </c>
      <c r="T1275">
        <f t="shared" si="139"/>
        <v>1479</v>
      </c>
      <c r="U1275">
        <f>YEAR(Sales_Table[[#This Row],[Date_clean]])</f>
        <v>2024</v>
      </c>
      <c r="V1275" t="str">
        <f>TEXT(Sales_Table[[#This Row],[Date_clean]],"mmmm")</f>
        <v>February</v>
      </c>
      <c r="W1275">
        <f>WEEKNUM(Sales_Table[[#This Row],[Date_clean]],2)</f>
        <v>8</v>
      </c>
      <c r="X1275" t="str" cm="1">
        <f t="array" ref="X1275">_xlfn.IFS(Sales_Table[[#This Row],[Revenue]]&gt;=50000,"High",Sales_Table[[#This Row],[Revenue]]&gt;=20000,"Medium",Sales_Table[[#This Row],[Revenue]]&lt;20000,"Low")</f>
        <v>Low</v>
      </c>
      <c r="Y1275" t="str">
        <f>IF(Sales_Table[[#This Row],[Payment Method_clean]]="cash","Offline","Online")</f>
        <v>Online</v>
      </c>
      <c r="Z1275">
        <f>IFERROR(Sales_Table[[#This Row],[Revenue]],0)</f>
        <v>1479</v>
      </c>
    </row>
    <row r="1276" spans="1:26" x14ac:dyDescent="0.3">
      <c r="A1276">
        <v>1275</v>
      </c>
      <c r="B1276" s="2">
        <f t="shared" si="133"/>
        <v>45345.083333333336</v>
      </c>
      <c r="C1276" t="s">
        <v>3091</v>
      </c>
      <c r="D1276" t="s">
        <v>27</v>
      </c>
      <c r="E1276" t="str">
        <f>PROPER(TRIM(CLEAN(Sales_Table[[#This Row],[Region]])))</f>
        <v>East</v>
      </c>
      <c r="F1276" t="s">
        <v>37</v>
      </c>
      <c r="G1276" t="str">
        <f t="shared" si="134"/>
        <v>Home Appliances</v>
      </c>
      <c r="H1276" t="str">
        <f>PROPER(TRIM(CLEAN(Sales_Table[[#This Row],[Product Name]])))</f>
        <v>Rice 5Kg</v>
      </c>
      <c r="I1276" t="s">
        <v>73</v>
      </c>
      <c r="J1276" t="str">
        <f t="shared" si="135"/>
        <v>CUST0206</v>
      </c>
      <c r="K1276" t="s">
        <v>1293</v>
      </c>
      <c r="L1276" t="str">
        <f>PROPER(TRIM(CLEAN(Sales_Table[[#This Row],[Salesperson]])))</f>
        <v>Meena</v>
      </c>
      <c r="M1276" t="s">
        <v>40</v>
      </c>
      <c r="N1276" t="str">
        <f t="shared" si="136"/>
        <v>Cash</v>
      </c>
      <c r="O1276" t="s">
        <v>32</v>
      </c>
      <c r="P1276">
        <f t="shared" si="137"/>
        <v>4</v>
      </c>
      <c r="Q1276" t="s">
        <v>113</v>
      </c>
      <c r="R1276">
        <f t="shared" si="138"/>
        <v>3914</v>
      </c>
      <c r="S1276" t="s">
        <v>3092</v>
      </c>
      <c r="T1276">
        <f t="shared" si="139"/>
        <v>15656</v>
      </c>
      <c r="U1276">
        <f>YEAR(Sales_Table[[#This Row],[Date_clean]])</f>
        <v>2024</v>
      </c>
      <c r="V1276" t="str">
        <f>TEXT(Sales_Table[[#This Row],[Date_clean]],"mmmm")</f>
        <v>February</v>
      </c>
      <c r="W1276">
        <f>WEEKNUM(Sales_Table[[#This Row],[Date_clean]],2)</f>
        <v>8</v>
      </c>
      <c r="X1276" t="str" cm="1">
        <f t="array" ref="X1276">_xlfn.IFS(Sales_Table[[#This Row],[Revenue]]&gt;=50000,"High",Sales_Table[[#This Row],[Revenue]]&gt;=20000,"Medium",Sales_Table[[#This Row],[Revenue]]&lt;20000,"Low")</f>
        <v>Low</v>
      </c>
      <c r="Y1276" t="str">
        <f>IF(Sales_Table[[#This Row],[Payment Method_clean]]="cash","Offline","Online")</f>
        <v>Offline</v>
      </c>
      <c r="Z1276">
        <f>IFERROR(Sales_Table[[#This Row],[Revenue]],0)</f>
        <v>15656</v>
      </c>
    </row>
    <row r="1277" spans="1:26" x14ac:dyDescent="0.3">
      <c r="A1277">
        <v>1276</v>
      </c>
      <c r="B1277" s="2">
        <f t="shared" si="133"/>
        <v>45345.125</v>
      </c>
      <c r="C1277" t="s">
        <v>3093</v>
      </c>
      <c r="D1277" t="s">
        <v>36</v>
      </c>
      <c r="E1277" t="str">
        <f>PROPER(TRIM(CLEAN(Sales_Table[[#This Row],[Region]])))</f>
        <v>West</v>
      </c>
      <c r="F1277" t="s">
        <v>46</v>
      </c>
      <c r="G1277" t="str">
        <f t="shared" si="134"/>
        <v>Electronics</v>
      </c>
      <c r="H1277" t="str">
        <f>PROPER(TRIM(CLEAN(Sales_Table[[#This Row],[Product Name]])))</f>
        <v>Rice 5Kg</v>
      </c>
      <c r="I1277" t="s">
        <v>73</v>
      </c>
      <c r="J1277" t="str">
        <f t="shared" si="135"/>
        <v>CUST0043</v>
      </c>
      <c r="K1277" t="s">
        <v>756</v>
      </c>
      <c r="L1277" t="str">
        <f>PROPER(TRIM(CLEAN(Sales_Table[[#This Row],[Salesperson]])))</f>
        <v>Karthik</v>
      </c>
      <c r="M1277" t="s">
        <v>70</v>
      </c>
      <c r="N1277" t="str">
        <f t="shared" si="136"/>
        <v>Net Banking</v>
      </c>
      <c r="O1277" t="s">
        <v>60</v>
      </c>
      <c r="P1277">
        <f t="shared" si="137"/>
        <v>5</v>
      </c>
      <c r="Q1277" t="s">
        <v>89</v>
      </c>
      <c r="R1277">
        <f t="shared" si="138"/>
        <v>2155</v>
      </c>
      <c r="S1277" t="s">
        <v>3094</v>
      </c>
      <c r="T1277">
        <f t="shared" si="139"/>
        <v>10775</v>
      </c>
      <c r="U1277">
        <f>YEAR(Sales_Table[[#This Row],[Date_clean]])</f>
        <v>2024</v>
      </c>
      <c r="V1277" t="str">
        <f>TEXT(Sales_Table[[#This Row],[Date_clean]],"mmmm")</f>
        <v>February</v>
      </c>
      <c r="W1277">
        <f>WEEKNUM(Sales_Table[[#This Row],[Date_clean]],2)</f>
        <v>8</v>
      </c>
      <c r="X1277" t="str" cm="1">
        <f t="array" ref="X1277">_xlfn.IFS(Sales_Table[[#This Row],[Revenue]]&gt;=50000,"High",Sales_Table[[#This Row],[Revenue]]&gt;=20000,"Medium",Sales_Table[[#This Row],[Revenue]]&lt;20000,"Low")</f>
        <v>Low</v>
      </c>
      <c r="Y1277" t="str">
        <f>IF(Sales_Table[[#This Row],[Payment Method_clean]]="cash","Offline","Online")</f>
        <v>Online</v>
      </c>
      <c r="Z1277">
        <f>IFERROR(Sales_Table[[#This Row],[Revenue]],0)</f>
        <v>10775</v>
      </c>
    </row>
    <row r="1278" spans="1:26" x14ac:dyDescent="0.3">
      <c r="A1278">
        <v>1277</v>
      </c>
      <c r="B1278" s="2">
        <f t="shared" si="133"/>
        <v>45345.166666666664</v>
      </c>
      <c r="C1278" t="s">
        <v>3095</v>
      </c>
      <c r="D1278" t="s">
        <v>45</v>
      </c>
      <c r="E1278" t="str">
        <f>PROPER(TRIM(CLEAN(Sales_Table[[#This Row],[Region]])))</f>
        <v>North</v>
      </c>
      <c r="F1278" t="s">
        <v>78</v>
      </c>
      <c r="G1278" t="str">
        <f t="shared" si="134"/>
        <v>Grocery</v>
      </c>
      <c r="H1278" t="str">
        <f>PROPER(TRIM(CLEAN(Sales_Table[[#This Row],[Product Name]])))</f>
        <v>Washing Machine</v>
      </c>
      <c r="I1278" t="s">
        <v>79</v>
      </c>
      <c r="J1278" t="str">
        <f t="shared" si="135"/>
        <v>CUST0245</v>
      </c>
      <c r="K1278" t="s">
        <v>2100</v>
      </c>
      <c r="L1278" t="str">
        <f>PROPER(TRIM(CLEAN(Sales_Table[[#This Row],[Salesperson]])))</f>
        <v>Anita</v>
      </c>
      <c r="M1278" t="s">
        <v>64</v>
      </c>
      <c r="N1278" t="str">
        <f t="shared" si="136"/>
        <v>Debit Card</v>
      </c>
      <c r="O1278" t="s">
        <v>41</v>
      </c>
      <c r="P1278">
        <f t="shared" si="137"/>
        <v>13</v>
      </c>
      <c r="Q1278" t="s">
        <v>81</v>
      </c>
      <c r="R1278">
        <f t="shared" si="138"/>
        <v>3615</v>
      </c>
      <c r="S1278" t="s">
        <v>3096</v>
      </c>
      <c r="T1278">
        <f t="shared" si="139"/>
        <v>46995</v>
      </c>
      <c r="U1278">
        <f>YEAR(Sales_Table[[#This Row],[Date_clean]])</f>
        <v>2024</v>
      </c>
      <c r="V1278" t="str">
        <f>TEXT(Sales_Table[[#This Row],[Date_clean]],"mmmm")</f>
        <v>February</v>
      </c>
      <c r="W1278">
        <f>WEEKNUM(Sales_Table[[#This Row],[Date_clean]],2)</f>
        <v>8</v>
      </c>
      <c r="X1278" t="str" cm="1">
        <f t="array" ref="X1278">_xlfn.IFS(Sales_Table[[#This Row],[Revenue]]&gt;=50000,"High",Sales_Table[[#This Row],[Revenue]]&gt;=20000,"Medium",Sales_Table[[#This Row],[Revenue]]&lt;20000,"Low")</f>
        <v>Medium</v>
      </c>
      <c r="Y1278" t="str">
        <f>IF(Sales_Table[[#This Row],[Payment Method_clean]]="cash","Offline","Online")</f>
        <v>Online</v>
      </c>
      <c r="Z1278">
        <f>IFERROR(Sales_Table[[#This Row],[Revenue]],0)</f>
        <v>46995</v>
      </c>
    </row>
    <row r="1279" spans="1:26" x14ac:dyDescent="0.3">
      <c r="A1279">
        <v>1278</v>
      </c>
      <c r="B1279" s="2">
        <f t="shared" si="133"/>
        <v>45345.208333333336</v>
      </c>
      <c r="C1279" t="s">
        <v>3097</v>
      </c>
      <c r="D1279" t="s">
        <v>27</v>
      </c>
      <c r="E1279" t="str">
        <f>PROPER(TRIM(CLEAN(Sales_Table[[#This Row],[Region]])))</f>
        <v>East</v>
      </c>
      <c r="F1279" t="s">
        <v>37</v>
      </c>
      <c r="G1279" t="str">
        <f t="shared" si="134"/>
        <v>Home Appliances</v>
      </c>
      <c r="H1279" t="str">
        <f>PROPER(TRIM(CLEAN(Sales_Table[[#This Row],[Product Name]])))</f>
        <v>Rice 5Kg</v>
      </c>
      <c r="I1279" t="s">
        <v>73</v>
      </c>
      <c r="J1279" t="str">
        <f t="shared" si="135"/>
        <v>CUST0287</v>
      </c>
      <c r="K1279" t="s">
        <v>1333</v>
      </c>
      <c r="L1279" t="str">
        <f>PROPER(TRIM(CLEAN(Sales_Table[[#This Row],[Salesperson]])))</f>
        <v>Anita</v>
      </c>
      <c r="M1279" t="s">
        <v>64</v>
      </c>
      <c r="N1279" t="str">
        <f t="shared" si="136"/>
        <v>Upi</v>
      </c>
      <c r="O1279" t="s">
        <v>48</v>
      </c>
      <c r="P1279">
        <f t="shared" si="137"/>
        <v>3</v>
      </c>
      <c r="Q1279" t="s">
        <v>66</v>
      </c>
      <c r="R1279">
        <f t="shared" si="138"/>
        <v>2475</v>
      </c>
      <c r="S1279" t="s">
        <v>3098</v>
      </c>
      <c r="T1279">
        <f t="shared" si="139"/>
        <v>7425</v>
      </c>
      <c r="U1279">
        <f>YEAR(Sales_Table[[#This Row],[Date_clean]])</f>
        <v>2024</v>
      </c>
      <c r="V1279" t="str">
        <f>TEXT(Sales_Table[[#This Row],[Date_clean]],"mmmm")</f>
        <v>February</v>
      </c>
      <c r="W1279">
        <f>WEEKNUM(Sales_Table[[#This Row],[Date_clean]],2)</f>
        <v>8</v>
      </c>
      <c r="X1279" t="str" cm="1">
        <f t="array" ref="X1279">_xlfn.IFS(Sales_Table[[#This Row],[Revenue]]&gt;=50000,"High",Sales_Table[[#This Row],[Revenue]]&gt;=20000,"Medium",Sales_Table[[#This Row],[Revenue]]&lt;20000,"Low")</f>
        <v>Low</v>
      </c>
      <c r="Y1279" t="str">
        <f>IF(Sales_Table[[#This Row],[Payment Method_clean]]="cash","Offline","Online")</f>
        <v>Online</v>
      </c>
      <c r="Z1279">
        <f>IFERROR(Sales_Table[[#This Row],[Revenue]],0)</f>
        <v>7425</v>
      </c>
    </row>
    <row r="1280" spans="1:26" x14ac:dyDescent="0.3">
      <c r="A1280">
        <v>1279</v>
      </c>
      <c r="B1280" s="2">
        <f t="shared" si="133"/>
        <v>45345.25</v>
      </c>
      <c r="C1280" t="s">
        <v>3099</v>
      </c>
      <c r="D1280" t="s">
        <v>45</v>
      </c>
      <c r="E1280" t="str">
        <f>PROPER(TRIM(CLEAN(Sales_Table[[#This Row],[Region]])))</f>
        <v>North</v>
      </c>
      <c r="F1280" t="s">
        <v>37</v>
      </c>
      <c r="G1280" t="str">
        <f t="shared" si="134"/>
        <v>Home Appliances</v>
      </c>
      <c r="H1280" t="str">
        <f>PROPER(TRIM(CLEAN(Sales_Table[[#This Row],[Product Name]])))</f>
        <v>Men T-Shirt</v>
      </c>
      <c r="I1280" t="s">
        <v>38</v>
      </c>
      <c r="J1280" t="str">
        <f t="shared" si="135"/>
        <v>CUST0355</v>
      </c>
      <c r="K1280" t="s">
        <v>144</v>
      </c>
      <c r="L1280" t="str">
        <f>PROPER(TRIM(CLEAN(Sales_Table[[#This Row],[Salesperson]])))</f>
        <v>Anita</v>
      </c>
      <c r="M1280" t="s">
        <v>64</v>
      </c>
      <c r="N1280" t="str">
        <f t="shared" si="136"/>
        <v>Net Banking</v>
      </c>
      <c r="O1280" t="s">
        <v>60</v>
      </c>
      <c r="P1280">
        <f t="shared" si="137"/>
        <v>12</v>
      </c>
      <c r="Q1280" t="s">
        <v>33</v>
      </c>
      <c r="R1280">
        <f t="shared" si="138"/>
        <v>2010</v>
      </c>
      <c r="S1280" t="s">
        <v>3100</v>
      </c>
      <c r="T1280">
        <f t="shared" si="139"/>
        <v>24120</v>
      </c>
      <c r="U1280">
        <f>YEAR(Sales_Table[[#This Row],[Date_clean]])</f>
        <v>2024</v>
      </c>
      <c r="V1280" t="str">
        <f>TEXT(Sales_Table[[#This Row],[Date_clean]],"mmmm")</f>
        <v>February</v>
      </c>
      <c r="W1280">
        <f>WEEKNUM(Sales_Table[[#This Row],[Date_clean]],2)</f>
        <v>8</v>
      </c>
      <c r="X1280" t="str" cm="1">
        <f t="array" ref="X1280">_xlfn.IFS(Sales_Table[[#This Row],[Revenue]]&gt;=50000,"High",Sales_Table[[#This Row],[Revenue]]&gt;=20000,"Medium",Sales_Table[[#This Row],[Revenue]]&lt;20000,"Low")</f>
        <v>Medium</v>
      </c>
      <c r="Y1280" t="str">
        <f>IF(Sales_Table[[#This Row],[Payment Method_clean]]="cash","Offline","Online")</f>
        <v>Online</v>
      </c>
      <c r="Z1280">
        <f>IFERROR(Sales_Table[[#This Row],[Revenue]],0)</f>
        <v>24120</v>
      </c>
    </row>
    <row r="1281" spans="1:26" x14ac:dyDescent="0.3">
      <c r="A1281">
        <v>1280</v>
      </c>
      <c r="B1281" s="2">
        <f t="shared" si="133"/>
        <v>45345.291666666664</v>
      </c>
      <c r="C1281" t="s">
        <v>3101</v>
      </c>
      <c r="D1281" t="s">
        <v>36</v>
      </c>
      <c r="E1281" t="str">
        <f>PROPER(TRIM(CLEAN(Sales_Table[[#This Row],[Region]])))</f>
        <v>West</v>
      </c>
      <c r="F1281" t="s">
        <v>37</v>
      </c>
      <c r="G1281" t="str">
        <f t="shared" si="134"/>
        <v>Home Appliances</v>
      </c>
      <c r="H1281" t="str">
        <f>PROPER(TRIM(CLEAN(Sales_Table[[#This Row],[Product Name]])))</f>
        <v>Mixer Grinder</v>
      </c>
      <c r="I1281" t="s">
        <v>29</v>
      </c>
      <c r="J1281" t="str">
        <f t="shared" si="135"/>
        <v>CUST0785</v>
      </c>
      <c r="K1281" t="s">
        <v>908</v>
      </c>
      <c r="L1281" t="str">
        <f>PROPER(TRIM(CLEAN(Sales_Table[[#This Row],[Salesperson]])))</f>
        <v>Anita</v>
      </c>
      <c r="M1281" t="s">
        <v>64</v>
      </c>
      <c r="N1281" t="str">
        <f t="shared" si="136"/>
        <v>Credit Card</v>
      </c>
      <c r="O1281" t="s">
        <v>65</v>
      </c>
      <c r="P1281">
        <f t="shared" si="137"/>
        <v>14</v>
      </c>
      <c r="Q1281" t="s">
        <v>55</v>
      </c>
      <c r="R1281">
        <f t="shared" si="138"/>
        <v>389</v>
      </c>
      <c r="S1281" t="s">
        <v>3102</v>
      </c>
      <c r="T1281">
        <f t="shared" si="139"/>
        <v>5446</v>
      </c>
      <c r="U1281">
        <f>YEAR(Sales_Table[[#This Row],[Date_clean]])</f>
        <v>2024</v>
      </c>
      <c r="V1281" t="str">
        <f>TEXT(Sales_Table[[#This Row],[Date_clean]],"mmmm")</f>
        <v>February</v>
      </c>
      <c r="W1281">
        <f>WEEKNUM(Sales_Table[[#This Row],[Date_clean]],2)</f>
        <v>8</v>
      </c>
      <c r="X1281" t="str" cm="1">
        <f t="array" ref="X1281">_xlfn.IFS(Sales_Table[[#This Row],[Revenue]]&gt;=50000,"High",Sales_Table[[#This Row],[Revenue]]&gt;=20000,"Medium",Sales_Table[[#This Row],[Revenue]]&lt;20000,"Low")</f>
        <v>Low</v>
      </c>
      <c r="Y1281" t="str">
        <f>IF(Sales_Table[[#This Row],[Payment Method_clean]]="cash","Offline","Online")</f>
        <v>Online</v>
      </c>
      <c r="Z1281">
        <f>IFERROR(Sales_Table[[#This Row],[Revenue]],0)</f>
        <v>5446</v>
      </c>
    </row>
    <row r="1282" spans="1:26" x14ac:dyDescent="0.3">
      <c r="A1282">
        <v>1281</v>
      </c>
      <c r="B1282" s="2">
        <f t="shared" si="133"/>
        <v>45345.333333333336</v>
      </c>
      <c r="C1282" t="s">
        <v>3103</v>
      </c>
      <c r="D1282" t="s">
        <v>84</v>
      </c>
      <c r="E1282" t="str">
        <f>PROPER(TRIM(CLEAN(Sales_Table[[#This Row],[Region]])))</f>
        <v>South</v>
      </c>
      <c r="F1282" t="s">
        <v>37</v>
      </c>
      <c r="G1282" t="str">
        <f t="shared" si="134"/>
        <v>Home Appliances</v>
      </c>
      <c r="H1282" t="str">
        <f>PROPER(TRIM(CLEAN(Sales_Table[[#This Row],[Product Name]])))</f>
        <v>Mixer Grinder</v>
      </c>
      <c r="I1282" t="s">
        <v>29</v>
      </c>
      <c r="J1282" t="str">
        <f t="shared" si="135"/>
        <v>CUST0476</v>
      </c>
      <c r="K1282" t="s">
        <v>3104</v>
      </c>
      <c r="L1282" t="str">
        <f>PROPER(TRIM(CLEAN(Sales_Table[[#This Row],[Salesperson]])))</f>
        <v>Suresh</v>
      </c>
      <c r="M1282" t="s">
        <v>54</v>
      </c>
      <c r="N1282" t="str">
        <f t="shared" si="136"/>
        <v>Upi</v>
      </c>
      <c r="O1282" t="s">
        <v>48</v>
      </c>
      <c r="P1282">
        <f t="shared" si="137"/>
        <v>7</v>
      </c>
      <c r="Q1282" t="s">
        <v>49</v>
      </c>
      <c r="R1282">
        <f t="shared" si="138"/>
        <v>2658</v>
      </c>
      <c r="S1282" t="s">
        <v>1744</v>
      </c>
      <c r="T1282">
        <f t="shared" si="139"/>
        <v>18606</v>
      </c>
      <c r="U1282">
        <f>YEAR(Sales_Table[[#This Row],[Date_clean]])</f>
        <v>2024</v>
      </c>
      <c r="V1282" t="str">
        <f>TEXT(Sales_Table[[#This Row],[Date_clean]],"mmmm")</f>
        <v>February</v>
      </c>
      <c r="W1282">
        <f>WEEKNUM(Sales_Table[[#This Row],[Date_clean]],2)</f>
        <v>8</v>
      </c>
      <c r="X1282" t="str" cm="1">
        <f t="array" ref="X1282">_xlfn.IFS(Sales_Table[[#This Row],[Revenue]]&gt;=50000,"High",Sales_Table[[#This Row],[Revenue]]&gt;=20000,"Medium",Sales_Table[[#This Row],[Revenue]]&lt;20000,"Low")</f>
        <v>Low</v>
      </c>
      <c r="Y1282" t="str">
        <f>IF(Sales_Table[[#This Row],[Payment Method_clean]]="cash","Offline","Online")</f>
        <v>Online</v>
      </c>
      <c r="Z1282">
        <f>IFERROR(Sales_Table[[#This Row],[Revenue]],0)</f>
        <v>18606</v>
      </c>
    </row>
    <row r="1283" spans="1:26" x14ac:dyDescent="0.3">
      <c r="A1283">
        <v>1282</v>
      </c>
      <c r="B1283" s="2">
        <f t="shared" ref="B1283:B1346" si="140">DATEVALUE(LEFT(C1283,10))+TIMEVALUE(MID(C1283,12,8))</f>
        <v>45345.375</v>
      </c>
      <c r="C1283" t="s">
        <v>3105</v>
      </c>
      <c r="D1283" t="s">
        <v>27</v>
      </c>
      <c r="E1283" t="str">
        <f>PROPER(TRIM(CLEAN(Sales_Table[[#This Row],[Region]])))</f>
        <v>East</v>
      </c>
      <c r="F1283" t="s">
        <v>78</v>
      </c>
      <c r="G1283" t="str">
        <f t="shared" ref="G1283:G1346" si="141">PROPER(TRIM(CLEAN(F1283)))</f>
        <v>Grocery</v>
      </c>
      <c r="H1283" t="str">
        <f>PROPER(TRIM(CLEAN(Sales_Table[[#This Row],[Product Name]])))</f>
        <v>Washing Machine</v>
      </c>
      <c r="I1283" t="s">
        <v>79</v>
      </c>
      <c r="J1283" t="str">
        <f t="shared" ref="J1283:J1346" si="142">TRIM(K1283)</f>
        <v>CUST0083</v>
      </c>
      <c r="K1283" t="s">
        <v>1684</v>
      </c>
      <c r="L1283" t="str">
        <f>PROPER(TRIM(CLEAN(Sales_Table[[#This Row],[Salesperson]])))</f>
        <v>Karthik</v>
      </c>
      <c r="M1283" t="s">
        <v>70</v>
      </c>
      <c r="N1283" t="str">
        <f t="shared" ref="N1283:N1346" si="143">PROPER(TRIM(O1283))</f>
        <v>Net Banking</v>
      </c>
      <c r="O1283" t="s">
        <v>60</v>
      </c>
      <c r="P1283">
        <f t="shared" ref="P1283:P1346" si="144">VALUE(Q1283)</f>
        <v>5</v>
      </c>
      <c r="Q1283" t="s">
        <v>89</v>
      </c>
      <c r="R1283">
        <f t="shared" ref="R1283:R1346" si="145">VALUE(S1283)</f>
        <v>460</v>
      </c>
      <c r="S1283" t="s">
        <v>3106</v>
      </c>
      <c r="T1283">
        <f t="shared" ref="T1283:T1346" si="146">P1283*R1283</f>
        <v>2300</v>
      </c>
      <c r="U1283">
        <f>YEAR(Sales_Table[[#This Row],[Date_clean]])</f>
        <v>2024</v>
      </c>
      <c r="V1283" t="str">
        <f>TEXT(Sales_Table[[#This Row],[Date_clean]],"mmmm")</f>
        <v>February</v>
      </c>
      <c r="W1283">
        <f>WEEKNUM(Sales_Table[[#This Row],[Date_clean]],2)</f>
        <v>8</v>
      </c>
      <c r="X1283" t="str" cm="1">
        <f t="array" ref="X1283">_xlfn.IFS(Sales_Table[[#This Row],[Revenue]]&gt;=50000,"High",Sales_Table[[#This Row],[Revenue]]&gt;=20000,"Medium",Sales_Table[[#This Row],[Revenue]]&lt;20000,"Low")</f>
        <v>Low</v>
      </c>
      <c r="Y1283" t="str">
        <f>IF(Sales_Table[[#This Row],[Payment Method_clean]]="cash","Offline","Online")</f>
        <v>Online</v>
      </c>
      <c r="Z1283">
        <f>IFERROR(Sales_Table[[#This Row],[Revenue]],0)</f>
        <v>2300</v>
      </c>
    </row>
    <row r="1284" spans="1:26" x14ac:dyDescent="0.3">
      <c r="A1284">
        <v>1283</v>
      </c>
      <c r="B1284" s="2">
        <f t="shared" si="140"/>
        <v>45345.416666666664</v>
      </c>
      <c r="C1284" t="s">
        <v>3107</v>
      </c>
      <c r="D1284" t="s">
        <v>45</v>
      </c>
      <c r="E1284" t="str">
        <f>PROPER(TRIM(CLEAN(Sales_Table[[#This Row],[Region]])))</f>
        <v>North</v>
      </c>
      <c r="F1284" t="s">
        <v>78</v>
      </c>
      <c r="G1284" t="str">
        <f t="shared" si="141"/>
        <v>Grocery</v>
      </c>
      <c r="H1284" t="str">
        <f>PROPER(TRIM(CLEAN(Sales_Table[[#This Row],[Product Name]])))</f>
        <v>Laptop</v>
      </c>
      <c r="I1284" t="s">
        <v>52</v>
      </c>
      <c r="J1284" t="str">
        <f t="shared" si="142"/>
        <v>CUST0110</v>
      </c>
      <c r="K1284" t="s">
        <v>974</v>
      </c>
      <c r="L1284" t="str">
        <f>PROPER(TRIM(CLEAN(Sales_Table[[#This Row],[Salesperson]])))</f>
        <v>Rahul</v>
      </c>
      <c r="M1284" t="s">
        <v>31</v>
      </c>
      <c r="N1284" t="str">
        <f t="shared" si="143"/>
        <v>Cash</v>
      </c>
      <c r="O1284" t="s">
        <v>32</v>
      </c>
      <c r="P1284">
        <f t="shared" si="144"/>
        <v>5</v>
      </c>
      <c r="Q1284" t="s">
        <v>89</v>
      </c>
      <c r="R1284">
        <f t="shared" si="145"/>
        <v>1722</v>
      </c>
      <c r="S1284" t="s">
        <v>1465</v>
      </c>
      <c r="T1284">
        <f t="shared" si="146"/>
        <v>8610</v>
      </c>
      <c r="U1284">
        <f>YEAR(Sales_Table[[#This Row],[Date_clean]])</f>
        <v>2024</v>
      </c>
      <c r="V1284" t="str">
        <f>TEXT(Sales_Table[[#This Row],[Date_clean]],"mmmm")</f>
        <v>February</v>
      </c>
      <c r="W1284">
        <f>WEEKNUM(Sales_Table[[#This Row],[Date_clean]],2)</f>
        <v>8</v>
      </c>
      <c r="X1284" t="str" cm="1">
        <f t="array" ref="X1284">_xlfn.IFS(Sales_Table[[#This Row],[Revenue]]&gt;=50000,"High",Sales_Table[[#This Row],[Revenue]]&gt;=20000,"Medium",Sales_Table[[#This Row],[Revenue]]&lt;20000,"Low")</f>
        <v>Low</v>
      </c>
      <c r="Y1284" t="str">
        <f>IF(Sales_Table[[#This Row],[Payment Method_clean]]="cash","Offline","Online")</f>
        <v>Offline</v>
      </c>
      <c r="Z1284">
        <f>IFERROR(Sales_Table[[#This Row],[Revenue]],0)</f>
        <v>8610</v>
      </c>
    </row>
    <row r="1285" spans="1:26" x14ac:dyDescent="0.3">
      <c r="A1285">
        <v>1284</v>
      </c>
      <c r="B1285" s="2">
        <f t="shared" si="140"/>
        <v>45345.458333333336</v>
      </c>
      <c r="C1285" t="s">
        <v>3108</v>
      </c>
      <c r="D1285" t="s">
        <v>45</v>
      </c>
      <c r="E1285" t="str">
        <f>PROPER(TRIM(CLEAN(Sales_Table[[#This Row],[Region]])))</f>
        <v>North</v>
      </c>
      <c r="F1285" t="s">
        <v>46</v>
      </c>
      <c r="G1285" t="str">
        <f t="shared" si="141"/>
        <v>Electronics</v>
      </c>
      <c r="H1285" t="str">
        <f>PROPER(TRIM(CLEAN(Sales_Table[[#This Row],[Product Name]])))</f>
        <v>Men T-Shirt</v>
      </c>
      <c r="I1285" t="s">
        <v>38</v>
      </c>
      <c r="J1285" t="str">
        <f t="shared" si="142"/>
        <v>CUST0190</v>
      </c>
      <c r="K1285" t="s">
        <v>1051</v>
      </c>
      <c r="L1285" t="str">
        <f>PROPER(TRIM(CLEAN(Sales_Table[[#This Row],[Salesperson]])))</f>
        <v>Karthik</v>
      </c>
      <c r="M1285" t="s">
        <v>70</v>
      </c>
      <c r="N1285" t="str">
        <f t="shared" si="143"/>
        <v>Credit Card</v>
      </c>
      <c r="O1285" t="s">
        <v>65</v>
      </c>
      <c r="P1285">
        <f t="shared" si="144"/>
        <v>6</v>
      </c>
      <c r="Q1285" t="s">
        <v>75</v>
      </c>
      <c r="R1285">
        <f t="shared" si="145"/>
        <v>4414</v>
      </c>
      <c r="S1285" t="s">
        <v>3109</v>
      </c>
      <c r="T1285">
        <f t="shared" si="146"/>
        <v>26484</v>
      </c>
      <c r="U1285">
        <f>YEAR(Sales_Table[[#This Row],[Date_clean]])</f>
        <v>2024</v>
      </c>
      <c r="V1285" t="str">
        <f>TEXT(Sales_Table[[#This Row],[Date_clean]],"mmmm")</f>
        <v>February</v>
      </c>
      <c r="W1285">
        <f>WEEKNUM(Sales_Table[[#This Row],[Date_clean]],2)</f>
        <v>8</v>
      </c>
      <c r="X1285" t="str" cm="1">
        <f t="array" ref="X1285">_xlfn.IFS(Sales_Table[[#This Row],[Revenue]]&gt;=50000,"High",Sales_Table[[#This Row],[Revenue]]&gt;=20000,"Medium",Sales_Table[[#This Row],[Revenue]]&lt;20000,"Low")</f>
        <v>Medium</v>
      </c>
      <c r="Y1285" t="str">
        <f>IF(Sales_Table[[#This Row],[Payment Method_clean]]="cash","Offline","Online")</f>
        <v>Online</v>
      </c>
      <c r="Z1285">
        <f>IFERROR(Sales_Table[[#This Row],[Revenue]],0)</f>
        <v>26484</v>
      </c>
    </row>
    <row r="1286" spans="1:26" x14ac:dyDescent="0.3">
      <c r="A1286">
        <v>1285</v>
      </c>
      <c r="B1286" s="2">
        <f t="shared" si="140"/>
        <v>45345.5</v>
      </c>
      <c r="C1286" t="s">
        <v>3110</v>
      </c>
      <c r="D1286" t="s">
        <v>27</v>
      </c>
      <c r="E1286" t="str">
        <f>PROPER(TRIM(CLEAN(Sales_Table[[#This Row],[Region]])))</f>
        <v>East</v>
      </c>
      <c r="F1286" t="s">
        <v>78</v>
      </c>
      <c r="G1286" t="str">
        <f t="shared" si="141"/>
        <v>Grocery</v>
      </c>
      <c r="H1286" t="str">
        <f>PROPER(TRIM(CLEAN(Sales_Table[[#This Row],[Product Name]])))</f>
        <v>Men T-Shirt</v>
      </c>
      <c r="I1286" t="s">
        <v>38</v>
      </c>
      <c r="J1286" t="str">
        <f t="shared" si="142"/>
        <v>CUST0800</v>
      </c>
      <c r="K1286" t="s">
        <v>1525</v>
      </c>
      <c r="L1286" t="str">
        <f>PROPER(TRIM(CLEAN(Sales_Table[[#This Row],[Salesperson]])))</f>
        <v>Suresh</v>
      </c>
      <c r="M1286" t="s">
        <v>54</v>
      </c>
      <c r="N1286" t="str">
        <f t="shared" si="143"/>
        <v>Upi</v>
      </c>
      <c r="O1286" t="s">
        <v>48</v>
      </c>
      <c r="P1286">
        <f t="shared" si="144"/>
        <v>7</v>
      </c>
      <c r="Q1286" t="s">
        <v>49</v>
      </c>
      <c r="R1286">
        <f t="shared" si="145"/>
        <v>4194</v>
      </c>
      <c r="S1286" t="s">
        <v>3111</v>
      </c>
      <c r="T1286">
        <f t="shared" si="146"/>
        <v>29358</v>
      </c>
      <c r="U1286">
        <f>YEAR(Sales_Table[[#This Row],[Date_clean]])</f>
        <v>2024</v>
      </c>
      <c r="V1286" t="str">
        <f>TEXT(Sales_Table[[#This Row],[Date_clean]],"mmmm")</f>
        <v>February</v>
      </c>
      <c r="W1286">
        <f>WEEKNUM(Sales_Table[[#This Row],[Date_clean]],2)</f>
        <v>8</v>
      </c>
      <c r="X1286" t="str" cm="1">
        <f t="array" ref="X1286">_xlfn.IFS(Sales_Table[[#This Row],[Revenue]]&gt;=50000,"High",Sales_Table[[#This Row],[Revenue]]&gt;=20000,"Medium",Sales_Table[[#This Row],[Revenue]]&lt;20000,"Low")</f>
        <v>Medium</v>
      </c>
      <c r="Y1286" t="str">
        <f>IF(Sales_Table[[#This Row],[Payment Method_clean]]="cash","Offline","Online")</f>
        <v>Online</v>
      </c>
      <c r="Z1286">
        <f>IFERROR(Sales_Table[[#This Row],[Revenue]],0)</f>
        <v>29358</v>
      </c>
    </row>
    <row r="1287" spans="1:26" x14ac:dyDescent="0.3">
      <c r="A1287">
        <v>1286</v>
      </c>
      <c r="B1287" s="2">
        <f t="shared" si="140"/>
        <v>45345.541666666664</v>
      </c>
      <c r="C1287" t="s">
        <v>3112</v>
      </c>
      <c r="D1287" t="s">
        <v>84</v>
      </c>
      <c r="E1287" t="str">
        <f>PROPER(TRIM(CLEAN(Sales_Table[[#This Row],[Region]])))</f>
        <v>South</v>
      </c>
      <c r="F1287" t="s">
        <v>37</v>
      </c>
      <c r="G1287" t="str">
        <f t="shared" si="141"/>
        <v>Home Appliances</v>
      </c>
      <c r="H1287" t="str">
        <f>PROPER(TRIM(CLEAN(Sales_Table[[#This Row],[Product Name]])))</f>
        <v>Rice 5Kg</v>
      </c>
      <c r="I1287" t="s">
        <v>73</v>
      </c>
      <c r="J1287" t="str">
        <f t="shared" si="142"/>
        <v>CUST0251</v>
      </c>
      <c r="K1287" t="s">
        <v>2404</v>
      </c>
      <c r="L1287" t="str">
        <f>PROPER(TRIM(CLEAN(Sales_Table[[#This Row],[Salesperson]])))</f>
        <v>Anita</v>
      </c>
      <c r="M1287" t="s">
        <v>64</v>
      </c>
      <c r="N1287" t="str">
        <f t="shared" si="143"/>
        <v>Cash</v>
      </c>
      <c r="O1287" t="s">
        <v>32</v>
      </c>
      <c r="P1287">
        <f t="shared" si="144"/>
        <v>10</v>
      </c>
      <c r="Q1287" t="s">
        <v>117</v>
      </c>
      <c r="R1287">
        <f t="shared" si="145"/>
        <v>2553</v>
      </c>
      <c r="S1287" t="s">
        <v>3113</v>
      </c>
      <c r="T1287">
        <f t="shared" si="146"/>
        <v>25530</v>
      </c>
      <c r="U1287">
        <f>YEAR(Sales_Table[[#This Row],[Date_clean]])</f>
        <v>2024</v>
      </c>
      <c r="V1287" t="str">
        <f>TEXT(Sales_Table[[#This Row],[Date_clean]],"mmmm")</f>
        <v>February</v>
      </c>
      <c r="W1287">
        <f>WEEKNUM(Sales_Table[[#This Row],[Date_clean]],2)</f>
        <v>8</v>
      </c>
      <c r="X1287" t="str" cm="1">
        <f t="array" ref="X1287">_xlfn.IFS(Sales_Table[[#This Row],[Revenue]]&gt;=50000,"High",Sales_Table[[#This Row],[Revenue]]&gt;=20000,"Medium",Sales_Table[[#This Row],[Revenue]]&lt;20000,"Low")</f>
        <v>Medium</v>
      </c>
      <c r="Y1287" t="str">
        <f>IF(Sales_Table[[#This Row],[Payment Method_clean]]="cash","Offline","Online")</f>
        <v>Offline</v>
      </c>
      <c r="Z1287">
        <f>IFERROR(Sales_Table[[#This Row],[Revenue]],0)</f>
        <v>25530</v>
      </c>
    </row>
    <row r="1288" spans="1:26" x14ac:dyDescent="0.3">
      <c r="A1288">
        <v>1287</v>
      </c>
      <c r="B1288" s="2">
        <f t="shared" si="140"/>
        <v>45345.583333333336</v>
      </c>
      <c r="C1288" t="s">
        <v>3114</v>
      </c>
      <c r="D1288" t="s">
        <v>84</v>
      </c>
      <c r="E1288" t="str">
        <f>PROPER(TRIM(CLEAN(Sales_Table[[#This Row],[Region]])))</f>
        <v>South</v>
      </c>
      <c r="F1288" t="s">
        <v>46</v>
      </c>
      <c r="G1288" t="str">
        <f t="shared" si="141"/>
        <v>Electronics</v>
      </c>
      <c r="H1288" t="str">
        <f>PROPER(TRIM(CLEAN(Sales_Table[[#This Row],[Product Name]])))</f>
        <v>Men T-Shirt</v>
      </c>
      <c r="I1288" t="s">
        <v>38</v>
      </c>
      <c r="J1288" t="str">
        <f t="shared" si="142"/>
        <v>CUST0724</v>
      </c>
      <c r="K1288" t="s">
        <v>3115</v>
      </c>
      <c r="L1288" t="str">
        <f>PROPER(TRIM(CLEAN(Sales_Table[[#This Row],[Salesperson]])))</f>
        <v>Suresh</v>
      </c>
      <c r="M1288" t="s">
        <v>54</v>
      </c>
      <c r="N1288" t="str">
        <f t="shared" si="143"/>
        <v>Credit Card</v>
      </c>
      <c r="O1288" t="s">
        <v>65</v>
      </c>
      <c r="P1288">
        <f t="shared" si="144"/>
        <v>10</v>
      </c>
      <c r="Q1288" t="s">
        <v>117</v>
      </c>
      <c r="R1288">
        <f t="shared" si="145"/>
        <v>2115</v>
      </c>
      <c r="S1288" t="s">
        <v>3116</v>
      </c>
      <c r="T1288">
        <f t="shared" si="146"/>
        <v>21150</v>
      </c>
      <c r="U1288">
        <f>YEAR(Sales_Table[[#This Row],[Date_clean]])</f>
        <v>2024</v>
      </c>
      <c r="V1288" t="str">
        <f>TEXT(Sales_Table[[#This Row],[Date_clean]],"mmmm")</f>
        <v>February</v>
      </c>
      <c r="W1288">
        <f>WEEKNUM(Sales_Table[[#This Row],[Date_clean]],2)</f>
        <v>8</v>
      </c>
      <c r="X1288" t="str" cm="1">
        <f t="array" ref="X1288">_xlfn.IFS(Sales_Table[[#This Row],[Revenue]]&gt;=50000,"High",Sales_Table[[#This Row],[Revenue]]&gt;=20000,"Medium",Sales_Table[[#This Row],[Revenue]]&lt;20000,"Low")</f>
        <v>Medium</v>
      </c>
      <c r="Y1288" t="str">
        <f>IF(Sales_Table[[#This Row],[Payment Method_clean]]="cash","Offline","Online")</f>
        <v>Online</v>
      </c>
      <c r="Z1288">
        <f>IFERROR(Sales_Table[[#This Row],[Revenue]],0)</f>
        <v>21150</v>
      </c>
    </row>
    <row r="1289" spans="1:26" x14ac:dyDescent="0.3">
      <c r="A1289">
        <v>1288</v>
      </c>
      <c r="B1289" s="2">
        <f t="shared" si="140"/>
        <v>45345.625</v>
      </c>
      <c r="C1289" t="s">
        <v>3117</v>
      </c>
      <c r="D1289" t="s">
        <v>84</v>
      </c>
      <c r="E1289" t="str">
        <f>PROPER(TRIM(CLEAN(Sales_Table[[#This Row],[Region]])))</f>
        <v>South</v>
      </c>
      <c r="F1289" t="s">
        <v>46</v>
      </c>
      <c r="G1289" t="str">
        <f t="shared" si="141"/>
        <v>Electronics</v>
      </c>
      <c r="H1289" t="str">
        <f>PROPER(TRIM(CLEAN(Sales_Table[[#This Row],[Product Name]])))</f>
        <v>Led Tv 42Inch</v>
      </c>
      <c r="I1289" t="s">
        <v>58</v>
      </c>
      <c r="J1289" t="str">
        <f t="shared" si="142"/>
        <v>CUST0291</v>
      </c>
      <c r="K1289" t="s">
        <v>2370</v>
      </c>
      <c r="L1289" t="str">
        <f>PROPER(TRIM(CLEAN(Sales_Table[[#This Row],[Salesperson]])))</f>
        <v>Meena</v>
      </c>
      <c r="M1289" t="s">
        <v>40</v>
      </c>
      <c r="N1289" t="str">
        <f t="shared" si="143"/>
        <v>Debit Card</v>
      </c>
      <c r="O1289" t="s">
        <v>41</v>
      </c>
      <c r="P1289">
        <f t="shared" si="144"/>
        <v>8</v>
      </c>
      <c r="Q1289" t="s">
        <v>42</v>
      </c>
      <c r="R1289">
        <f t="shared" si="145"/>
        <v>2140</v>
      </c>
      <c r="S1289" t="s">
        <v>3118</v>
      </c>
      <c r="T1289">
        <f t="shared" si="146"/>
        <v>17120</v>
      </c>
      <c r="U1289">
        <f>YEAR(Sales_Table[[#This Row],[Date_clean]])</f>
        <v>2024</v>
      </c>
      <c r="V1289" t="str">
        <f>TEXT(Sales_Table[[#This Row],[Date_clean]],"mmmm")</f>
        <v>February</v>
      </c>
      <c r="W1289">
        <f>WEEKNUM(Sales_Table[[#This Row],[Date_clean]],2)</f>
        <v>8</v>
      </c>
      <c r="X1289" t="str" cm="1">
        <f t="array" ref="X1289">_xlfn.IFS(Sales_Table[[#This Row],[Revenue]]&gt;=50000,"High",Sales_Table[[#This Row],[Revenue]]&gt;=20000,"Medium",Sales_Table[[#This Row],[Revenue]]&lt;20000,"Low")</f>
        <v>Low</v>
      </c>
      <c r="Y1289" t="str">
        <f>IF(Sales_Table[[#This Row],[Payment Method_clean]]="cash","Offline","Online")</f>
        <v>Online</v>
      </c>
      <c r="Z1289">
        <f>IFERROR(Sales_Table[[#This Row],[Revenue]],0)</f>
        <v>17120</v>
      </c>
    </row>
    <row r="1290" spans="1:26" x14ac:dyDescent="0.3">
      <c r="A1290">
        <v>1289</v>
      </c>
      <c r="B1290" s="2">
        <f t="shared" si="140"/>
        <v>45345.666666666664</v>
      </c>
      <c r="C1290" t="s">
        <v>3119</v>
      </c>
      <c r="D1290" t="s">
        <v>36</v>
      </c>
      <c r="E1290" t="str">
        <f>PROPER(TRIM(CLEAN(Sales_Table[[#This Row],[Region]])))</f>
        <v>West</v>
      </c>
      <c r="F1290" t="s">
        <v>46</v>
      </c>
      <c r="G1290" t="str">
        <f t="shared" si="141"/>
        <v>Electronics</v>
      </c>
      <c r="H1290" t="str">
        <f>PROPER(TRIM(CLEAN(Sales_Table[[#This Row],[Product Name]])))</f>
        <v>Laptop</v>
      </c>
      <c r="I1290" t="s">
        <v>52</v>
      </c>
      <c r="J1290" t="str">
        <f t="shared" si="142"/>
        <v>CUST0645</v>
      </c>
      <c r="K1290" t="s">
        <v>689</v>
      </c>
      <c r="L1290" t="str">
        <f>PROPER(TRIM(CLEAN(Sales_Table[[#This Row],[Salesperson]])))</f>
        <v>Meena</v>
      </c>
      <c r="M1290" t="s">
        <v>40</v>
      </c>
      <c r="N1290" t="str">
        <f t="shared" si="143"/>
        <v>Cash</v>
      </c>
      <c r="O1290" t="s">
        <v>32</v>
      </c>
      <c r="P1290">
        <f t="shared" si="144"/>
        <v>9</v>
      </c>
      <c r="Q1290" t="s">
        <v>130</v>
      </c>
      <c r="R1290">
        <f t="shared" si="145"/>
        <v>2144</v>
      </c>
      <c r="S1290" t="s">
        <v>3120</v>
      </c>
      <c r="T1290">
        <f t="shared" si="146"/>
        <v>19296</v>
      </c>
      <c r="U1290">
        <f>YEAR(Sales_Table[[#This Row],[Date_clean]])</f>
        <v>2024</v>
      </c>
      <c r="V1290" t="str">
        <f>TEXT(Sales_Table[[#This Row],[Date_clean]],"mmmm")</f>
        <v>February</v>
      </c>
      <c r="W1290">
        <f>WEEKNUM(Sales_Table[[#This Row],[Date_clean]],2)</f>
        <v>8</v>
      </c>
      <c r="X1290" t="str" cm="1">
        <f t="array" ref="X1290">_xlfn.IFS(Sales_Table[[#This Row],[Revenue]]&gt;=50000,"High",Sales_Table[[#This Row],[Revenue]]&gt;=20000,"Medium",Sales_Table[[#This Row],[Revenue]]&lt;20000,"Low")</f>
        <v>Low</v>
      </c>
      <c r="Y1290" t="str">
        <f>IF(Sales_Table[[#This Row],[Payment Method_clean]]="cash","Offline","Online")</f>
        <v>Offline</v>
      </c>
      <c r="Z1290">
        <f>IFERROR(Sales_Table[[#This Row],[Revenue]],0)</f>
        <v>19296</v>
      </c>
    </row>
    <row r="1291" spans="1:26" x14ac:dyDescent="0.3">
      <c r="A1291">
        <v>1290</v>
      </c>
      <c r="B1291" s="2">
        <f t="shared" si="140"/>
        <v>45345.708333333336</v>
      </c>
      <c r="C1291" t="s">
        <v>3121</v>
      </c>
      <c r="D1291" t="s">
        <v>45</v>
      </c>
      <c r="E1291" t="str">
        <f>PROPER(TRIM(CLEAN(Sales_Table[[#This Row],[Region]])))</f>
        <v>North</v>
      </c>
      <c r="F1291" t="s">
        <v>37</v>
      </c>
      <c r="G1291" t="str">
        <f t="shared" si="141"/>
        <v>Home Appliances</v>
      </c>
      <c r="H1291" t="str">
        <f>PROPER(TRIM(CLEAN(Sales_Table[[#This Row],[Product Name]])))</f>
        <v>Rice 5Kg</v>
      </c>
      <c r="I1291" t="s">
        <v>73</v>
      </c>
      <c r="J1291" t="str">
        <f t="shared" si="142"/>
        <v>CUST0201</v>
      </c>
      <c r="K1291" t="s">
        <v>116</v>
      </c>
      <c r="L1291" t="str">
        <f>PROPER(TRIM(CLEAN(Sales_Table[[#This Row],[Salesperson]])))</f>
        <v>Karthik</v>
      </c>
      <c r="M1291" t="s">
        <v>70</v>
      </c>
      <c r="N1291" t="str">
        <f t="shared" si="143"/>
        <v>Net Banking</v>
      </c>
      <c r="O1291" t="s">
        <v>60</v>
      </c>
      <c r="P1291">
        <f t="shared" si="144"/>
        <v>11</v>
      </c>
      <c r="Q1291" t="s">
        <v>97</v>
      </c>
      <c r="R1291">
        <f t="shared" si="145"/>
        <v>2900</v>
      </c>
      <c r="S1291" t="s">
        <v>3122</v>
      </c>
      <c r="T1291">
        <f t="shared" si="146"/>
        <v>31900</v>
      </c>
      <c r="U1291">
        <f>YEAR(Sales_Table[[#This Row],[Date_clean]])</f>
        <v>2024</v>
      </c>
      <c r="V1291" t="str">
        <f>TEXT(Sales_Table[[#This Row],[Date_clean]],"mmmm")</f>
        <v>February</v>
      </c>
      <c r="W1291">
        <f>WEEKNUM(Sales_Table[[#This Row],[Date_clean]],2)</f>
        <v>8</v>
      </c>
      <c r="X1291" t="str" cm="1">
        <f t="array" ref="X1291">_xlfn.IFS(Sales_Table[[#This Row],[Revenue]]&gt;=50000,"High",Sales_Table[[#This Row],[Revenue]]&gt;=20000,"Medium",Sales_Table[[#This Row],[Revenue]]&lt;20000,"Low")</f>
        <v>Medium</v>
      </c>
      <c r="Y1291" t="str">
        <f>IF(Sales_Table[[#This Row],[Payment Method_clean]]="cash","Offline","Online")</f>
        <v>Online</v>
      </c>
      <c r="Z1291">
        <f>IFERROR(Sales_Table[[#This Row],[Revenue]],0)</f>
        <v>31900</v>
      </c>
    </row>
    <row r="1292" spans="1:26" x14ac:dyDescent="0.3">
      <c r="A1292">
        <v>1291</v>
      </c>
      <c r="B1292" s="2">
        <f t="shared" si="140"/>
        <v>45345.75</v>
      </c>
      <c r="C1292" t="s">
        <v>3123</v>
      </c>
      <c r="D1292" t="s">
        <v>45</v>
      </c>
      <c r="E1292" t="str">
        <f>PROPER(TRIM(CLEAN(Sales_Table[[#This Row],[Region]])))</f>
        <v>North</v>
      </c>
      <c r="F1292" t="s">
        <v>28</v>
      </c>
      <c r="G1292" t="str">
        <f t="shared" si="141"/>
        <v>Clothing</v>
      </c>
      <c r="H1292" t="str">
        <f>PROPER(TRIM(CLEAN(Sales_Table[[#This Row],[Product Name]])))</f>
        <v>Led Tv 42Inch</v>
      </c>
      <c r="I1292" t="s">
        <v>58</v>
      </c>
      <c r="J1292" t="str">
        <f t="shared" si="142"/>
        <v>CUST0797</v>
      </c>
      <c r="K1292" t="s">
        <v>2614</v>
      </c>
      <c r="L1292" t="str">
        <f>PROPER(TRIM(CLEAN(Sales_Table[[#This Row],[Salesperson]])))</f>
        <v>Karthik</v>
      </c>
      <c r="M1292" t="s">
        <v>70</v>
      </c>
      <c r="N1292" t="str">
        <f t="shared" si="143"/>
        <v>Upi</v>
      </c>
      <c r="O1292" t="s">
        <v>48</v>
      </c>
      <c r="P1292">
        <f t="shared" si="144"/>
        <v>4</v>
      </c>
      <c r="Q1292" t="s">
        <v>113</v>
      </c>
      <c r="R1292">
        <f t="shared" si="145"/>
        <v>3070</v>
      </c>
      <c r="S1292" t="s">
        <v>3124</v>
      </c>
      <c r="T1292">
        <f t="shared" si="146"/>
        <v>12280</v>
      </c>
      <c r="U1292">
        <f>YEAR(Sales_Table[[#This Row],[Date_clean]])</f>
        <v>2024</v>
      </c>
      <c r="V1292" t="str">
        <f>TEXT(Sales_Table[[#This Row],[Date_clean]],"mmmm")</f>
        <v>February</v>
      </c>
      <c r="W1292">
        <f>WEEKNUM(Sales_Table[[#This Row],[Date_clean]],2)</f>
        <v>8</v>
      </c>
      <c r="X1292" t="str" cm="1">
        <f t="array" ref="X1292">_xlfn.IFS(Sales_Table[[#This Row],[Revenue]]&gt;=50000,"High",Sales_Table[[#This Row],[Revenue]]&gt;=20000,"Medium",Sales_Table[[#This Row],[Revenue]]&lt;20000,"Low")</f>
        <v>Low</v>
      </c>
      <c r="Y1292" t="str">
        <f>IF(Sales_Table[[#This Row],[Payment Method_clean]]="cash","Offline","Online")</f>
        <v>Online</v>
      </c>
      <c r="Z1292">
        <f>IFERROR(Sales_Table[[#This Row],[Revenue]],0)</f>
        <v>12280</v>
      </c>
    </row>
    <row r="1293" spans="1:26" x14ac:dyDescent="0.3">
      <c r="A1293">
        <v>1292</v>
      </c>
      <c r="B1293" s="2">
        <f t="shared" si="140"/>
        <v>45345.791666666664</v>
      </c>
      <c r="C1293" t="s">
        <v>3125</v>
      </c>
      <c r="D1293" t="s">
        <v>45</v>
      </c>
      <c r="E1293" t="str">
        <f>PROPER(TRIM(CLEAN(Sales_Table[[#This Row],[Region]])))</f>
        <v>North</v>
      </c>
      <c r="F1293" t="s">
        <v>37</v>
      </c>
      <c r="G1293" t="str">
        <f t="shared" si="141"/>
        <v>Home Appliances</v>
      </c>
      <c r="H1293" t="str">
        <f>PROPER(TRIM(CLEAN(Sales_Table[[#This Row],[Product Name]])))</f>
        <v>Washing Machine</v>
      </c>
      <c r="I1293" t="s">
        <v>79</v>
      </c>
      <c r="J1293" t="str">
        <f t="shared" si="142"/>
        <v>CUST0326</v>
      </c>
      <c r="K1293" t="s">
        <v>3126</v>
      </c>
      <c r="L1293" t="str">
        <f>PROPER(TRIM(CLEAN(Sales_Table[[#This Row],[Salesperson]])))</f>
        <v>Rahul</v>
      </c>
      <c r="M1293" t="s">
        <v>31</v>
      </c>
      <c r="N1293" t="str">
        <f t="shared" si="143"/>
        <v>Credit Card</v>
      </c>
      <c r="O1293" t="s">
        <v>65</v>
      </c>
      <c r="P1293">
        <f t="shared" si="144"/>
        <v>5</v>
      </c>
      <c r="Q1293" t="s">
        <v>89</v>
      </c>
      <c r="R1293">
        <f t="shared" si="145"/>
        <v>931</v>
      </c>
      <c r="S1293" t="s">
        <v>3127</v>
      </c>
      <c r="T1293">
        <f t="shared" si="146"/>
        <v>4655</v>
      </c>
      <c r="U1293">
        <f>YEAR(Sales_Table[[#This Row],[Date_clean]])</f>
        <v>2024</v>
      </c>
      <c r="V1293" t="str">
        <f>TEXT(Sales_Table[[#This Row],[Date_clean]],"mmmm")</f>
        <v>February</v>
      </c>
      <c r="W1293">
        <f>WEEKNUM(Sales_Table[[#This Row],[Date_clean]],2)</f>
        <v>8</v>
      </c>
      <c r="X1293" t="str" cm="1">
        <f t="array" ref="X1293">_xlfn.IFS(Sales_Table[[#This Row],[Revenue]]&gt;=50000,"High",Sales_Table[[#This Row],[Revenue]]&gt;=20000,"Medium",Sales_Table[[#This Row],[Revenue]]&lt;20000,"Low")</f>
        <v>Low</v>
      </c>
      <c r="Y1293" t="str">
        <f>IF(Sales_Table[[#This Row],[Payment Method_clean]]="cash","Offline","Online")</f>
        <v>Online</v>
      </c>
      <c r="Z1293">
        <f>IFERROR(Sales_Table[[#This Row],[Revenue]],0)</f>
        <v>4655</v>
      </c>
    </row>
    <row r="1294" spans="1:26" x14ac:dyDescent="0.3">
      <c r="A1294">
        <v>1293</v>
      </c>
      <c r="B1294" s="2">
        <f t="shared" si="140"/>
        <v>45345.833333333336</v>
      </c>
      <c r="C1294" t="s">
        <v>3128</v>
      </c>
      <c r="D1294" t="s">
        <v>36</v>
      </c>
      <c r="E1294" t="str">
        <f>PROPER(TRIM(CLEAN(Sales_Table[[#This Row],[Region]])))</f>
        <v>West</v>
      </c>
      <c r="F1294" t="s">
        <v>78</v>
      </c>
      <c r="G1294" t="str">
        <f t="shared" si="141"/>
        <v>Grocery</v>
      </c>
      <c r="H1294" t="str">
        <f>PROPER(TRIM(CLEAN(Sales_Table[[#This Row],[Product Name]])))</f>
        <v>Mixer Grinder</v>
      </c>
      <c r="I1294" t="s">
        <v>29</v>
      </c>
      <c r="J1294" t="str">
        <f t="shared" si="142"/>
        <v>CUST0511</v>
      </c>
      <c r="K1294" t="s">
        <v>700</v>
      </c>
      <c r="L1294" t="str">
        <f>PROPER(TRIM(CLEAN(Sales_Table[[#This Row],[Salesperson]])))</f>
        <v>Rahul</v>
      </c>
      <c r="M1294" t="s">
        <v>31</v>
      </c>
      <c r="N1294" t="str">
        <f t="shared" si="143"/>
        <v>Cash</v>
      </c>
      <c r="O1294" t="s">
        <v>32</v>
      </c>
      <c r="P1294">
        <f t="shared" si="144"/>
        <v>5</v>
      </c>
      <c r="Q1294" t="s">
        <v>89</v>
      </c>
      <c r="R1294">
        <f t="shared" si="145"/>
        <v>1893</v>
      </c>
      <c r="S1294" t="s">
        <v>3129</v>
      </c>
      <c r="T1294">
        <f t="shared" si="146"/>
        <v>9465</v>
      </c>
      <c r="U1294">
        <f>YEAR(Sales_Table[[#This Row],[Date_clean]])</f>
        <v>2024</v>
      </c>
      <c r="V1294" t="str">
        <f>TEXT(Sales_Table[[#This Row],[Date_clean]],"mmmm")</f>
        <v>February</v>
      </c>
      <c r="W1294">
        <f>WEEKNUM(Sales_Table[[#This Row],[Date_clean]],2)</f>
        <v>8</v>
      </c>
      <c r="X1294" t="str" cm="1">
        <f t="array" ref="X1294">_xlfn.IFS(Sales_Table[[#This Row],[Revenue]]&gt;=50000,"High",Sales_Table[[#This Row],[Revenue]]&gt;=20000,"Medium",Sales_Table[[#This Row],[Revenue]]&lt;20000,"Low")</f>
        <v>Low</v>
      </c>
      <c r="Y1294" t="str">
        <f>IF(Sales_Table[[#This Row],[Payment Method_clean]]="cash","Offline","Online")</f>
        <v>Offline</v>
      </c>
      <c r="Z1294">
        <f>IFERROR(Sales_Table[[#This Row],[Revenue]],0)</f>
        <v>9465</v>
      </c>
    </row>
    <row r="1295" spans="1:26" x14ac:dyDescent="0.3">
      <c r="A1295">
        <v>1294</v>
      </c>
      <c r="B1295" s="2">
        <f t="shared" si="140"/>
        <v>45345.875</v>
      </c>
      <c r="C1295" t="s">
        <v>3130</v>
      </c>
      <c r="D1295" t="s">
        <v>45</v>
      </c>
      <c r="E1295" t="str">
        <f>PROPER(TRIM(CLEAN(Sales_Table[[#This Row],[Region]])))</f>
        <v>North</v>
      </c>
      <c r="F1295" t="s">
        <v>78</v>
      </c>
      <c r="G1295" t="str">
        <f t="shared" si="141"/>
        <v>Grocery</v>
      </c>
      <c r="H1295" t="str">
        <f>PROPER(TRIM(CLEAN(Sales_Table[[#This Row],[Product Name]])))</f>
        <v>Washing Machine</v>
      </c>
      <c r="I1295" t="s">
        <v>79</v>
      </c>
      <c r="J1295" t="str">
        <f t="shared" si="142"/>
        <v>CUST0409</v>
      </c>
      <c r="K1295" t="s">
        <v>109</v>
      </c>
      <c r="L1295" t="str">
        <f>PROPER(TRIM(CLEAN(Sales_Table[[#This Row],[Salesperson]])))</f>
        <v>Meena</v>
      </c>
      <c r="M1295" t="s">
        <v>40</v>
      </c>
      <c r="N1295" t="str">
        <f t="shared" si="143"/>
        <v>Debit Card</v>
      </c>
      <c r="O1295" t="s">
        <v>41</v>
      </c>
      <c r="P1295">
        <f t="shared" si="144"/>
        <v>8</v>
      </c>
      <c r="Q1295" t="s">
        <v>42</v>
      </c>
      <c r="R1295">
        <f t="shared" si="145"/>
        <v>3792</v>
      </c>
      <c r="S1295" t="s">
        <v>3131</v>
      </c>
      <c r="T1295">
        <f t="shared" si="146"/>
        <v>30336</v>
      </c>
      <c r="U1295">
        <f>YEAR(Sales_Table[[#This Row],[Date_clean]])</f>
        <v>2024</v>
      </c>
      <c r="V1295" t="str">
        <f>TEXT(Sales_Table[[#This Row],[Date_clean]],"mmmm")</f>
        <v>February</v>
      </c>
      <c r="W1295">
        <f>WEEKNUM(Sales_Table[[#This Row],[Date_clean]],2)</f>
        <v>8</v>
      </c>
      <c r="X1295" t="str" cm="1">
        <f t="array" ref="X1295">_xlfn.IFS(Sales_Table[[#This Row],[Revenue]]&gt;=50000,"High",Sales_Table[[#This Row],[Revenue]]&gt;=20000,"Medium",Sales_Table[[#This Row],[Revenue]]&lt;20000,"Low")</f>
        <v>Medium</v>
      </c>
      <c r="Y1295" t="str">
        <f>IF(Sales_Table[[#This Row],[Payment Method_clean]]="cash","Offline","Online")</f>
        <v>Online</v>
      </c>
      <c r="Z1295">
        <f>IFERROR(Sales_Table[[#This Row],[Revenue]],0)</f>
        <v>30336</v>
      </c>
    </row>
    <row r="1296" spans="1:26" x14ac:dyDescent="0.3">
      <c r="A1296">
        <v>1295</v>
      </c>
      <c r="B1296" s="2">
        <f t="shared" si="140"/>
        <v>45345.916666666664</v>
      </c>
      <c r="C1296" t="s">
        <v>3132</v>
      </c>
      <c r="D1296" t="s">
        <v>36</v>
      </c>
      <c r="E1296" t="str">
        <f>PROPER(TRIM(CLEAN(Sales_Table[[#This Row],[Region]])))</f>
        <v>West</v>
      </c>
      <c r="F1296" t="s">
        <v>37</v>
      </c>
      <c r="G1296" t="str">
        <f t="shared" si="141"/>
        <v>Home Appliances</v>
      </c>
      <c r="H1296" t="str">
        <f>PROPER(TRIM(CLEAN(Sales_Table[[#This Row],[Product Name]])))</f>
        <v>Mixer Grinder</v>
      </c>
      <c r="I1296" t="s">
        <v>29</v>
      </c>
      <c r="J1296" t="str">
        <f t="shared" si="142"/>
        <v>CUST0607</v>
      </c>
      <c r="K1296" t="s">
        <v>886</v>
      </c>
      <c r="L1296" t="str">
        <f>PROPER(TRIM(CLEAN(Sales_Table[[#This Row],[Salesperson]])))</f>
        <v>Anita</v>
      </c>
      <c r="M1296" t="s">
        <v>64</v>
      </c>
      <c r="N1296" t="str">
        <f t="shared" si="143"/>
        <v>Upi</v>
      </c>
      <c r="O1296" t="s">
        <v>48</v>
      </c>
      <c r="P1296">
        <f t="shared" si="144"/>
        <v>9</v>
      </c>
      <c r="Q1296" t="s">
        <v>130</v>
      </c>
      <c r="R1296">
        <f t="shared" si="145"/>
        <v>1891</v>
      </c>
      <c r="S1296" t="s">
        <v>3133</v>
      </c>
      <c r="T1296">
        <f t="shared" si="146"/>
        <v>17019</v>
      </c>
      <c r="U1296">
        <f>YEAR(Sales_Table[[#This Row],[Date_clean]])</f>
        <v>2024</v>
      </c>
      <c r="V1296" t="str">
        <f>TEXT(Sales_Table[[#This Row],[Date_clean]],"mmmm")</f>
        <v>February</v>
      </c>
      <c r="W1296">
        <f>WEEKNUM(Sales_Table[[#This Row],[Date_clean]],2)</f>
        <v>8</v>
      </c>
      <c r="X1296" t="str" cm="1">
        <f t="array" ref="X1296">_xlfn.IFS(Sales_Table[[#This Row],[Revenue]]&gt;=50000,"High",Sales_Table[[#This Row],[Revenue]]&gt;=20000,"Medium",Sales_Table[[#This Row],[Revenue]]&lt;20000,"Low")</f>
        <v>Low</v>
      </c>
      <c r="Y1296" t="str">
        <f>IF(Sales_Table[[#This Row],[Payment Method_clean]]="cash","Offline","Online")</f>
        <v>Online</v>
      </c>
      <c r="Z1296">
        <f>IFERROR(Sales_Table[[#This Row],[Revenue]],0)</f>
        <v>17019</v>
      </c>
    </row>
    <row r="1297" spans="1:26" x14ac:dyDescent="0.3">
      <c r="A1297">
        <v>1296</v>
      </c>
      <c r="B1297" s="2">
        <f t="shared" si="140"/>
        <v>45345.958333333336</v>
      </c>
      <c r="C1297" t="s">
        <v>3134</v>
      </c>
      <c r="D1297" t="s">
        <v>84</v>
      </c>
      <c r="E1297" t="str">
        <f>PROPER(TRIM(CLEAN(Sales_Table[[#This Row],[Region]])))</f>
        <v>South</v>
      </c>
      <c r="F1297" t="s">
        <v>37</v>
      </c>
      <c r="G1297" t="str">
        <f t="shared" si="141"/>
        <v>Home Appliances</v>
      </c>
      <c r="H1297" t="str">
        <f>PROPER(TRIM(CLEAN(Sales_Table[[#This Row],[Product Name]])))</f>
        <v>Washing Machine</v>
      </c>
      <c r="I1297" t="s">
        <v>79</v>
      </c>
      <c r="J1297" t="str">
        <f t="shared" si="142"/>
        <v>CUST0790</v>
      </c>
      <c r="K1297" t="s">
        <v>344</v>
      </c>
      <c r="L1297" t="str">
        <f>PROPER(TRIM(CLEAN(Sales_Table[[#This Row],[Salesperson]])))</f>
        <v>Suresh</v>
      </c>
      <c r="M1297" t="s">
        <v>54</v>
      </c>
      <c r="N1297" t="str">
        <f t="shared" si="143"/>
        <v>Upi</v>
      </c>
      <c r="O1297" t="s">
        <v>48</v>
      </c>
      <c r="P1297">
        <f t="shared" si="144"/>
        <v>7</v>
      </c>
      <c r="Q1297" t="s">
        <v>49</v>
      </c>
      <c r="R1297">
        <f t="shared" si="145"/>
        <v>2941</v>
      </c>
      <c r="S1297" t="s">
        <v>3135</v>
      </c>
      <c r="T1297">
        <f t="shared" si="146"/>
        <v>20587</v>
      </c>
      <c r="U1297">
        <f>YEAR(Sales_Table[[#This Row],[Date_clean]])</f>
        <v>2024</v>
      </c>
      <c r="V1297" t="str">
        <f>TEXT(Sales_Table[[#This Row],[Date_clean]],"mmmm")</f>
        <v>February</v>
      </c>
      <c r="W1297">
        <f>WEEKNUM(Sales_Table[[#This Row],[Date_clean]],2)</f>
        <v>8</v>
      </c>
      <c r="X1297" t="str" cm="1">
        <f t="array" ref="X1297">_xlfn.IFS(Sales_Table[[#This Row],[Revenue]]&gt;=50000,"High",Sales_Table[[#This Row],[Revenue]]&gt;=20000,"Medium",Sales_Table[[#This Row],[Revenue]]&lt;20000,"Low")</f>
        <v>Medium</v>
      </c>
      <c r="Y1297" t="str">
        <f>IF(Sales_Table[[#This Row],[Payment Method_clean]]="cash","Offline","Online")</f>
        <v>Online</v>
      </c>
      <c r="Z1297">
        <f>IFERROR(Sales_Table[[#This Row],[Revenue]],0)</f>
        <v>20587</v>
      </c>
    </row>
    <row r="1298" spans="1:26" x14ac:dyDescent="0.3">
      <c r="A1298">
        <v>1297</v>
      </c>
      <c r="B1298" s="2">
        <f t="shared" si="140"/>
        <v>45346</v>
      </c>
      <c r="C1298" t="s">
        <v>3136</v>
      </c>
      <c r="D1298" t="s">
        <v>27</v>
      </c>
      <c r="E1298" t="str">
        <f>PROPER(TRIM(CLEAN(Sales_Table[[#This Row],[Region]])))</f>
        <v>East</v>
      </c>
      <c r="F1298" t="s">
        <v>46</v>
      </c>
      <c r="G1298" t="str">
        <f t="shared" si="141"/>
        <v>Electronics</v>
      </c>
      <c r="H1298" t="str">
        <f>PROPER(TRIM(CLEAN(Sales_Table[[#This Row],[Product Name]])))</f>
        <v>Men T-Shirt</v>
      </c>
      <c r="I1298" t="s">
        <v>38</v>
      </c>
      <c r="J1298" t="str">
        <f t="shared" si="142"/>
        <v>CUST0508</v>
      </c>
      <c r="K1298" t="s">
        <v>521</v>
      </c>
      <c r="L1298" t="str">
        <f>PROPER(TRIM(CLEAN(Sales_Table[[#This Row],[Salesperson]])))</f>
        <v>Rahul</v>
      </c>
      <c r="M1298" t="s">
        <v>31</v>
      </c>
      <c r="N1298" t="str">
        <f t="shared" si="143"/>
        <v>Cash</v>
      </c>
      <c r="O1298" t="s">
        <v>32</v>
      </c>
      <c r="P1298">
        <f t="shared" si="144"/>
        <v>5</v>
      </c>
      <c r="Q1298" t="s">
        <v>89</v>
      </c>
      <c r="R1298">
        <f t="shared" si="145"/>
        <v>4790</v>
      </c>
      <c r="S1298" t="s">
        <v>3069</v>
      </c>
      <c r="T1298">
        <f t="shared" si="146"/>
        <v>23950</v>
      </c>
      <c r="U1298">
        <f>YEAR(Sales_Table[[#This Row],[Date_clean]])</f>
        <v>2024</v>
      </c>
      <c r="V1298" t="str">
        <f>TEXT(Sales_Table[[#This Row],[Date_clean]],"mmmm")</f>
        <v>February</v>
      </c>
      <c r="W1298">
        <f>WEEKNUM(Sales_Table[[#This Row],[Date_clean]],2)</f>
        <v>8</v>
      </c>
      <c r="X1298" t="str" cm="1">
        <f t="array" ref="X1298">_xlfn.IFS(Sales_Table[[#This Row],[Revenue]]&gt;=50000,"High",Sales_Table[[#This Row],[Revenue]]&gt;=20000,"Medium",Sales_Table[[#This Row],[Revenue]]&lt;20000,"Low")</f>
        <v>Medium</v>
      </c>
      <c r="Y1298" t="str">
        <f>IF(Sales_Table[[#This Row],[Payment Method_clean]]="cash","Offline","Online")</f>
        <v>Offline</v>
      </c>
      <c r="Z1298">
        <f>IFERROR(Sales_Table[[#This Row],[Revenue]],0)</f>
        <v>23950</v>
      </c>
    </row>
    <row r="1299" spans="1:26" x14ac:dyDescent="0.3">
      <c r="A1299">
        <v>1298</v>
      </c>
      <c r="B1299" s="2">
        <f t="shared" si="140"/>
        <v>45346.041666666664</v>
      </c>
      <c r="C1299" t="s">
        <v>3137</v>
      </c>
      <c r="D1299" t="s">
        <v>45</v>
      </c>
      <c r="E1299" t="str">
        <f>PROPER(TRIM(CLEAN(Sales_Table[[#This Row],[Region]])))</f>
        <v>North</v>
      </c>
      <c r="F1299" t="s">
        <v>37</v>
      </c>
      <c r="G1299" t="str">
        <f t="shared" si="141"/>
        <v>Home Appliances</v>
      </c>
      <c r="H1299" t="str">
        <f>PROPER(TRIM(CLEAN(Sales_Table[[#This Row],[Product Name]])))</f>
        <v>Led Tv 42Inch</v>
      </c>
      <c r="I1299" t="s">
        <v>58</v>
      </c>
      <c r="J1299" t="str">
        <f t="shared" si="142"/>
        <v>CUST0731</v>
      </c>
      <c r="K1299" t="s">
        <v>1152</v>
      </c>
      <c r="L1299" t="str">
        <f>PROPER(TRIM(CLEAN(Sales_Table[[#This Row],[Salesperson]])))</f>
        <v>Rahul</v>
      </c>
      <c r="M1299" t="s">
        <v>31</v>
      </c>
      <c r="N1299" t="str">
        <f t="shared" si="143"/>
        <v>Debit Card</v>
      </c>
      <c r="O1299" t="s">
        <v>41</v>
      </c>
      <c r="P1299">
        <f t="shared" si="144"/>
        <v>3</v>
      </c>
      <c r="Q1299" t="s">
        <v>66</v>
      </c>
      <c r="R1299">
        <f t="shared" si="145"/>
        <v>2254</v>
      </c>
      <c r="S1299" t="s">
        <v>3138</v>
      </c>
      <c r="T1299">
        <f t="shared" si="146"/>
        <v>6762</v>
      </c>
      <c r="U1299">
        <f>YEAR(Sales_Table[[#This Row],[Date_clean]])</f>
        <v>2024</v>
      </c>
      <c r="V1299" t="str">
        <f>TEXT(Sales_Table[[#This Row],[Date_clean]],"mmmm")</f>
        <v>February</v>
      </c>
      <c r="W1299">
        <f>WEEKNUM(Sales_Table[[#This Row],[Date_clean]],2)</f>
        <v>8</v>
      </c>
      <c r="X1299" t="str" cm="1">
        <f t="array" ref="X1299">_xlfn.IFS(Sales_Table[[#This Row],[Revenue]]&gt;=50000,"High",Sales_Table[[#This Row],[Revenue]]&gt;=20000,"Medium",Sales_Table[[#This Row],[Revenue]]&lt;20000,"Low")</f>
        <v>Low</v>
      </c>
      <c r="Y1299" t="str">
        <f>IF(Sales_Table[[#This Row],[Payment Method_clean]]="cash","Offline","Online")</f>
        <v>Online</v>
      </c>
      <c r="Z1299">
        <f>IFERROR(Sales_Table[[#This Row],[Revenue]],0)</f>
        <v>6762</v>
      </c>
    </row>
    <row r="1300" spans="1:26" x14ac:dyDescent="0.3">
      <c r="A1300">
        <v>1299</v>
      </c>
      <c r="B1300" s="2">
        <f t="shared" si="140"/>
        <v>45346.083333333336</v>
      </c>
      <c r="C1300" t="s">
        <v>3139</v>
      </c>
      <c r="D1300" t="s">
        <v>45</v>
      </c>
      <c r="E1300" t="str">
        <f>PROPER(TRIM(CLEAN(Sales_Table[[#This Row],[Region]])))</f>
        <v>North</v>
      </c>
      <c r="F1300" t="s">
        <v>46</v>
      </c>
      <c r="G1300" t="str">
        <f t="shared" si="141"/>
        <v>Electronics</v>
      </c>
      <c r="H1300" t="str">
        <f>PROPER(TRIM(CLEAN(Sales_Table[[#This Row],[Product Name]])))</f>
        <v>Mixer Grinder</v>
      </c>
      <c r="I1300" t="s">
        <v>29</v>
      </c>
      <c r="J1300" t="str">
        <f t="shared" si="142"/>
        <v>CUST0601</v>
      </c>
      <c r="K1300" t="s">
        <v>1829</v>
      </c>
      <c r="L1300" t="str">
        <f>PROPER(TRIM(CLEAN(Sales_Table[[#This Row],[Salesperson]])))</f>
        <v>Anita</v>
      </c>
      <c r="M1300" t="s">
        <v>64</v>
      </c>
      <c r="N1300" t="str">
        <f t="shared" si="143"/>
        <v>Credit Card</v>
      </c>
      <c r="O1300" t="s">
        <v>65</v>
      </c>
      <c r="P1300">
        <f t="shared" si="144"/>
        <v>1</v>
      </c>
      <c r="Q1300" t="s">
        <v>93</v>
      </c>
      <c r="R1300">
        <f t="shared" si="145"/>
        <v>680</v>
      </c>
      <c r="S1300" t="s">
        <v>3140</v>
      </c>
      <c r="T1300">
        <f t="shared" si="146"/>
        <v>680</v>
      </c>
      <c r="U1300">
        <f>YEAR(Sales_Table[[#This Row],[Date_clean]])</f>
        <v>2024</v>
      </c>
      <c r="V1300" t="str">
        <f>TEXT(Sales_Table[[#This Row],[Date_clean]],"mmmm")</f>
        <v>February</v>
      </c>
      <c r="W1300">
        <f>WEEKNUM(Sales_Table[[#This Row],[Date_clean]],2)</f>
        <v>8</v>
      </c>
      <c r="X1300" t="str" cm="1">
        <f t="array" ref="X1300">_xlfn.IFS(Sales_Table[[#This Row],[Revenue]]&gt;=50000,"High",Sales_Table[[#This Row],[Revenue]]&gt;=20000,"Medium",Sales_Table[[#This Row],[Revenue]]&lt;20000,"Low")</f>
        <v>Low</v>
      </c>
      <c r="Y1300" t="str">
        <f>IF(Sales_Table[[#This Row],[Payment Method_clean]]="cash","Offline","Online")</f>
        <v>Online</v>
      </c>
      <c r="Z1300">
        <f>IFERROR(Sales_Table[[#This Row],[Revenue]],0)</f>
        <v>680</v>
      </c>
    </row>
    <row r="1301" spans="1:26" x14ac:dyDescent="0.3">
      <c r="A1301">
        <v>1300</v>
      </c>
      <c r="B1301" s="2">
        <f t="shared" si="140"/>
        <v>45346.125</v>
      </c>
      <c r="C1301" t="s">
        <v>3141</v>
      </c>
      <c r="D1301" t="s">
        <v>84</v>
      </c>
      <c r="E1301" t="str">
        <f>PROPER(TRIM(CLEAN(Sales_Table[[#This Row],[Region]])))</f>
        <v>South</v>
      </c>
      <c r="F1301" t="s">
        <v>78</v>
      </c>
      <c r="G1301" t="str">
        <f t="shared" si="141"/>
        <v>Grocery</v>
      </c>
      <c r="H1301" t="str">
        <f>PROPER(TRIM(CLEAN(Sales_Table[[#This Row],[Product Name]])))</f>
        <v>Rice 5Kg</v>
      </c>
      <c r="I1301" t="s">
        <v>73</v>
      </c>
      <c r="J1301" t="str">
        <f t="shared" si="142"/>
        <v>CUST0072</v>
      </c>
      <c r="K1301" t="s">
        <v>1234</v>
      </c>
      <c r="L1301" t="str">
        <f>PROPER(TRIM(CLEAN(Sales_Table[[#This Row],[Salesperson]])))</f>
        <v>Anita</v>
      </c>
      <c r="M1301" t="s">
        <v>64</v>
      </c>
      <c r="N1301" t="str">
        <f t="shared" si="143"/>
        <v>Cash</v>
      </c>
      <c r="O1301" t="s">
        <v>32</v>
      </c>
      <c r="P1301">
        <f t="shared" si="144"/>
        <v>11</v>
      </c>
      <c r="Q1301" t="s">
        <v>97</v>
      </c>
      <c r="R1301">
        <f t="shared" si="145"/>
        <v>2953</v>
      </c>
      <c r="S1301" t="s">
        <v>1385</v>
      </c>
      <c r="T1301">
        <f t="shared" si="146"/>
        <v>32483</v>
      </c>
      <c r="U1301">
        <f>YEAR(Sales_Table[[#This Row],[Date_clean]])</f>
        <v>2024</v>
      </c>
      <c r="V1301" t="str">
        <f>TEXT(Sales_Table[[#This Row],[Date_clean]],"mmmm")</f>
        <v>February</v>
      </c>
      <c r="W1301">
        <f>WEEKNUM(Sales_Table[[#This Row],[Date_clean]],2)</f>
        <v>8</v>
      </c>
      <c r="X1301" t="str" cm="1">
        <f t="array" ref="X1301">_xlfn.IFS(Sales_Table[[#This Row],[Revenue]]&gt;=50000,"High",Sales_Table[[#This Row],[Revenue]]&gt;=20000,"Medium",Sales_Table[[#This Row],[Revenue]]&lt;20000,"Low")</f>
        <v>Medium</v>
      </c>
      <c r="Y1301" t="str">
        <f>IF(Sales_Table[[#This Row],[Payment Method_clean]]="cash","Offline","Online")</f>
        <v>Offline</v>
      </c>
      <c r="Z1301">
        <f>IFERROR(Sales_Table[[#This Row],[Revenue]],0)</f>
        <v>32483</v>
      </c>
    </row>
    <row r="1302" spans="1:26" x14ac:dyDescent="0.3">
      <c r="A1302">
        <v>1301</v>
      </c>
      <c r="B1302" s="2">
        <f t="shared" si="140"/>
        <v>45346.166666666664</v>
      </c>
      <c r="C1302" t="s">
        <v>3142</v>
      </c>
      <c r="D1302" t="s">
        <v>27</v>
      </c>
      <c r="E1302" t="str">
        <f>PROPER(TRIM(CLEAN(Sales_Table[[#This Row],[Region]])))</f>
        <v>East</v>
      </c>
      <c r="F1302" t="s">
        <v>46</v>
      </c>
      <c r="G1302" t="str">
        <f t="shared" si="141"/>
        <v>Electronics</v>
      </c>
      <c r="H1302" t="str">
        <f>PROPER(TRIM(CLEAN(Sales_Table[[#This Row],[Product Name]])))</f>
        <v>Led Tv 42Inch</v>
      </c>
      <c r="I1302" t="s">
        <v>58</v>
      </c>
      <c r="J1302" t="str">
        <f t="shared" si="142"/>
        <v>CUST0247</v>
      </c>
      <c r="K1302" t="s">
        <v>1089</v>
      </c>
      <c r="L1302" t="str">
        <f>PROPER(TRIM(CLEAN(Sales_Table[[#This Row],[Salesperson]])))</f>
        <v>Karthik</v>
      </c>
      <c r="M1302" t="s">
        <v>70</v>
      </c>
      <c r="N1302" t="str">
        <f t="shared" si="143"/>
        <v>Credit Card</v>
      </c>
      <c r="O1302" t="s">
        <v>65</v>
      </c>
      <c r="P1302">
        <f t="shared" si="144"/>
        <v>9</v>
      </c>
      <c r="Q1302" t="s">
        <v>130</v>
      </c>
      <c r="R1302">
        <f t="shared" si="145"/>
        <v>2336</v>
      </c>
      <c r="S1302" t="s">
        <v>3143</v>
      </c>
      <c r="T1302">
        <f t="shared" si="146"/>
        <v>21024</v>
      </c>
      <c r="U1302">
        <f>YEAR(Sales_Table[[#This Row],[Date_clean]])</f>
        <v>2024</v>
      </c>
      <c r="V1302" t="str">
        <f>TEXT(Sales_Table[[#This Row],[Date_clean]],"mmmm")</f>
        <v>February</v>
      </c>
      <c r="W1302">
        <f>WEEKNUM(Sales_Table[[#This Row],[Date_clean]],2)</f>
        <v>8</v>
      </c>
      <c r="X1302" t="str" cm="1">
        <f t="array" ref="X1302">_xlfn.IFS(Sales_Table[[#This Row],[Revenue]]&gt;=50000,"High",Sales_Table[[#This Row],[Revenue]]&gt;=20000,"Medium",Sales_Table[[#This Row],[Revenue]]&lt;20000,"Low")</f>
        <v>Medium</v>
      </c>
      <c r="Y1302" t="str">
        <f>IF(Sales_Table[[#This Row],[Payment Method_clean]]="cash","Offline","Online")</f>
        <v>Online</v>
      </c>
      <c r="Z1302">
        <f>IFERROR(Sales_Table[[#This Row],[Revenue]],0)</f>
        <v>21024</v>
      </c>
    </row>
    <row r="1303" spans="1:26" x14ac:dyDescent="0.3">
      <c r="A1303">
        <v>1302</v>
      </c>
      <c r="B1303" s="2">
        <f t="shared" si="140"/>
        <v>45346.208333333336</v>
      </c>
      <c r="C1303" t="s">
        <v>3144</v>
      </c>
      <c r="D1303" t="s">
        <v>36</v>
      </c>
      <c r="E1303" t="str">
        <f>PROPER(TRIM(CLEAN(Sales_Table[[#This Row],[Region]])))</f>
        <v>West</v>
      </c>
      <c r="F1303" t="s">
        <v>37</v>
      </c>
      <c r="G1303" t="str">
        <f t="shared" si="141"/>
        <v>Home Appliances</v>
      </c>
      <c r="H1303" t="str">
        <f>PROPER(TRIM(CLEAN(Sales_Table[[#This Row],[Product Name]])))</f>
        <v>Rice 5Kg</v>
      </c>
      <c r="I1303" t="s">
        <v>73</v>
      </c>
      <c r="J1303" t="str">
        <f t="shared" si="142"/>
        <v>CUST0641</v>
      </c>
      <c r="K1303" t="s">
        <v>3145</v>
      </c>
      <c r="L1303" t="str">
        <f>PROPER(TRIM(CLEAN(Sales_Table[[#This Row],[Salesperson]])))</f>
        <v>Suresh</v>
      </c>
      <c r="M1303" t="s">
        <v>54</v>
      </c>
      <c r="N1303" t="str">
        <f t="shared" si="143"/>
        <v>Upi</v>
      </c>
      <c r="O1303" t="s">
        <v>48</v>
      </c>
      <c r="P1303">
        <f t="shared" si="144"/>
        <v>5</v>
      </c>
      <c r="Q1303" t="s">
        <v>89</v>
      </c>
      <c r="R1303">
        <f t="shared" si="145"/>
        <v>4276</v>
      </c>
      <c r="S1303" t="s">
        <v>3146</v>
      </c>
      <c r="T1303">
        <f t="shared" si="146"/>
        <v>21380</v>
      </c>
      <c r="U1303">
        <f>YEAR(Sales_Table[[#This Row],[Date_clean]])</f>
        <v>2024</v>
      </c>
      <c r="V1303" t="str">
        <f>TEXT(Sales_Table[[#This Row],[Date_clean]],"mmmm")</f>
        <v>February</v>
      </c>
      <c r="W1303">
        <f>WEEKNUM(Sales_Table[[#This Row],[Date_clean]],2)</f>
        <v>8</v>
      </c>
      <c r="X1303" t="str" cm="1">
        <f t="array" ref="X1303">_xlfn.IFS(Sales_Table[[#This Row],[Revenue]]&gt;=50000,"High",Sales_Table[[#This Row],[Revenue]]&gt;=20000,"Medium",Sales_Table[[#This Row],[Revenue]]&lt;20000,"Low")</f>
        <v>Medium</v>
      </c>
      <c r="Y1303" t="str">
        <f>IF(Sales_Table[[#This Row],[Payment Method_clean]]="cash","Offline","Online")</f>
        <v>Online</v>
      </c>
      <c r="Z1303">
        <f>IFERROR(Sales_Table[[#This Row],[Revenue]],0)</f>
        <v>21380</v>
      </c>
    </row>
    <row r="1304" spans="1:26" x14ac:dyDescent="0.3">
      <c r="A1304">
        <v>1303</v>
      </c>
      <c r="B1304" s="2">
        <f t="shared" si="140"/>
        <v>45346.25</v>
      </c>
      <c r="C1304" t="s">
        <v>3147</v>
      </c>
      <c r="D1304" t="s">
        <v>27</v>
      </c>
      <c r="E1304" t="str">
        <f>PROPER(TRIM(CLEAN(Sales_Table[[#This Row],[Region]])))</f>
        <v>East</v>
      </c>
      <c r="F1304" t="s">
        <v>78</v>
      </c>
      <c r="G1304" t="str">
        <f t="shared" si="141"/>
        <v>Grocery</v>
      </c>
      <c r="H1304" t="str">
        <f>PROPER(TRIM(CLEAN(Sales_Table[[#This Row],[Product Name]])))</f>
        <v>Led Tv 42Inch</v>
      </c>
      <c r="I1304" t="s">
        <v>58</v>
      </c>
      <c r="J1304" t="str">
        <f t="shared" si="142"/>
        <v>CUST0724</v>
      </c>
      <c r="K1304" t="s">
        <v>3115</v>
      </c>
      <c r="L1304" t="str">
        <f>PROPER(TRIM(CLEAN(Sales_Table[[#This Row],[Salesperson]])))</f>
        <v>Anita</v>
      </c>
      <c r="M1304" t="s">
        <v>64</v>
      </c>
      <c r="N1304" t="str">
        <f t="shared" si="143"/>
        <v>Credit Card</v>
      </c>
      <c r="O1304" t="s">
        <v>65</v>
      </c>
      <c r="P1304">
        <f t="shared" si="144"/>
        <v>9</v>
      </c>
      <c r="Q1304" t="s">
        <v>130</v>
      </c>
      <c r="R1304">
        <f t="shared" si="145"/>
        <v>2255</v>
      </c>
      <c r="S1304" t="s">
        <v>3148</v>
      </c>
      <c r="T1304">
        <f t="shared" si="146"/>
        <v>20295</v>
      </c>
      <c r="U1304">
        <f>YEAR(Sales_Table[[#This Row],[Date_clean]])</f>
        <v>2024</v>
      </c>
      <c r="V1304" t="str">
        <f>TEXT(Sales_Table[[#This Row],[Date_clean]],"mmmm")</f>
        <v>February</v>
      </c>
      <c r="W1304">
        <f>WEEKNUM(Sales_Table[[#This Row],[Date_clean]],2)</f>
        <v>8</v>
      </c>
      <c r="X1304" t="str" cm="1">
        <f t="array" ref="X1304">_xlfn.IFS(Sales_Table[[#This Row],[Revenue]]&gt;=50000,"High",Sales_Table[[#This Row],[Revenue]]&gt;=20000,"Medium",Sales_Table[[#This Row],[Revenue]]&lt;20000,"Low")</f>
        <v>Medium</v>
      </c>
      <c r="Y1304" t="str">
        <f>IF(Sales_Table[[#This Row],[Payment Method_clean]]="cash","Offline","Online")</f>
        <v>Online</v>
      </c>
      <c r="Z1304">
        <f>IFERROR(Sales_Table[[#This Row],[Revenue]],0)</f>
        <v>20295</v>
      </c>
    </row>
    <row r="1305" spans="1:26" x14ac:dyDescent="0.3">
      <c r="A1305">
        <v>1304</v>
      </c>
      <c r="B1305" s="2">
        <f t="shared" si="140"/>
        <v>45346.291666666664</v>
      </c>
      <c r="C1305" t="s">
        <v>3149</v>
      </c>
      <c r="D1305" t="s">
        <v>84</v>
      </c>
      <c r="E1305" t="str">
        <f>PROPER(TRIM(CLEAN(Sales_Table[[#This Row],[Region]])))</f>
        <v>South</v>
      </c>
      <c r="F1305" t="s">
        <v>28</v>
      </c>
      <c r="G1305" t="str">
        <f t="shared" si="141"/>
        <v>Clothing</v>
      </c>
      <c r="H1305" t="str">
        <f>PROPER(TRIM(CLEAN(Sales_Table[[#This Row],[Product Name]])))</f>
        <v>Led Tv 42Inch</v>
      </c>
      <c r="I1305" t="s">
        <v>58</v>
      </c>
      <c r="J1305" t="str">
        <f t="shared" si="142"/>
        <v>CUST0608</v>
      </c>
      <c r="K1305" t="s">
        <v>396</v>
      </c>
      <c r="L1305" t="str">
        <f>PROPER(TRIM(CLEAN(Sales_Table[[#This Row],[Salesperson]])))</f>
        <v>Rahul</v>
      </c>
      <c r="M1305" t="s">
        <v>31</v>
      </c>
      <c r="N1305" t="str">
        <f t="shared" si="143"/>
        <v>Debit Card</v>
      </c>
      <c r="O1305" t="s">
        <v>41</v>
      </c>
      <c r="P1305">
        <f t="shared" si="144"/>
        <v>10</v>
      </c>
      <c r="Q1305" t="s">
        <v>117</v>
      </c>
      <c r="R1305">
        <f t="shared" si="145"/>
        <v>1444</v>
      </c>
      <c r="S1305" t="s">
        <v>3150</v>
      </c>
      <c r="T1305">
        <f t="shared" si="146"/>
        <v>14440</v>
      </c>
      <c r="U1305">
        <f>YEAR(Sales_Table[[#This Row],[Date_clean]])</f>
        <v>2024</v>
      </c>
      <c r="V1305" t="str">
        <f>TEXT(Sales_Table[[#This Row],[Date_clean]],"mmmm")</f>
        <v>February</v>
      </c>
      <c r="W1305">
        <f>WEEKNUM(Sales_Table[[#This Row],[Date_clean]],2)</f>
        <v>8</v>
      </c>
      <c r="X1305" t="str" cm="1">
        <f t="array" ref="X1305">_xlfn.IFS(Sales_Table[[#This Row],[Revenue]]&gt;=50000,"High",Sales_Table[[#This Row],[Revenue]]&gt;=20000,"Medium",Sales_Table[[#This Row],[Revenue]]&lt;20000,"Low")</f>
        <v>Low</v>
      </c>
      <c r="Y1305" t="str">
        <f>IF(Sales_Table[[#This Row],[Payment Method_clean]]="cash","Offline","Online")</f>
        <v>Online</v>
      </c>
      <c r="Z1305">
        <f>IFERROR(Sales_Table[[#This Row],[Revenue]],0)</f>
        <v>14440</v>
      </c>
    </row>
    <row r="1306" spans="1:26" x14ac:dyDescent="0.3">
      <c r="A1306">
        <v>1305</v>
      </c>
      <c r="B1306" s="2">
        <f t="shared" si="140"/>
        <v>45346.333333333336</v>
      </c>
      <c r="C1306" t="s">
        <v>3151</v>
      </c>
      <c r="D1306" t="s">
        <v>84</v>
      </c>
      <c r="E1306" t="str">
        <f>PROPER(TRIM(CLEAN(Sales_Table[[#This Row],[Region]])))</f>
        <v>South</v>
      </c>
      <c r="F1306" t="s">
        <v>46</v>
      </c>
      <c r="G1306" t="str">
        <f t="shared" si="141"/>
        <v>Electronics</v>
      </c>
      <c r="H1306" t="str">
        <f>PROPER(TRIM(CLEAN(Sales_Table[[#This Row],[Product Name]])))</f>
        <v>Washing Machine</v>
      </c>
      <c r="I1306" t="s">
        <v>79</v>
      </c>
      <c r="J1306" t="str">
        <f t="shared" si="142"/>
        <v>CUST0587</v>
      </c>
      <c r="K1306" t="s">
        <v>802</v>
      </c>
      <c r="L1306" t="str">
        <f>PROPER(TRIM(CLEAN(Sales_Table[[#This Row],[Salesperson]])))</f>
        <v>Rahul</v>
      </c>
      <c r="M1306" t="s">
        <v>31</v>
      </c>
      <c r="N1306" t="str">
        <f t="shared" si="143"/>
        <v>Net Banking</v>
      </c>
      <c r="O1306" t="s">
        <v>60</v>
      </c>
      <c r="P1306">
        <f t="shared" si="144"/>
        <v>12</v>
      </c>
      <c r="Q1306" t="s">
        <v>33</v>
      </c>
      <c r="R1306">
        <f t="shared" si="145"/>
        <v>445</v>
      </c>
      <c r="S1306" t="s">
        <v>3152</v>
      </c>
      <c r="T1306">
        <f t="shared" si="146"/>
        <v>5340</v>
      </c>
      <c r="U1306">
        <f>YEAR(Sales_Table[[#This Row],[Date_clean]])</f>
        <v>2024</v>
      </c>
      <c r="V1306" t="str">
        <f>TEXT(Sales_Table[[#This Row],[Date_clean]],"mmmm")</f>
        <v>February</v>
      </c>
      <c r="W1306">
        <f>WEEKNUM(Sales_Table[[#This Row],[Date_clean]],2)</f>
        <v>8</v>
      </c>
      <c r="X1306" t="str" cm="1">
        <f t="array" ref="X1306">_xlfn.IFS(Sales_Table[[#This Row],[Revenue]]&gt;=50000,"High",Sales_Table[[#This Row],[Revenue]]&gt;=20000,"Medium",Sales_Table[[#This Row],[Revenue]]&lt;20000,"Low")</f>
        <v>Low</v>
      </c>
      <c r="Y1306" t="str">
        <f>IF(Sales_Table[[#This Row],[Payment Method_clean]]="cash","Offline","Online")</f>
        <v>Online</v>
      </c>
      <c r="Z1306">
        <f>IFERROR(Sales_Table[[#This Row],[Revenue]],0)</f>
        <v>5340</v>
      </c>
    </row>
    <row r="1307" spans="1:26" x14ac:dyDescent="0.3">
      <c r="A1307">
        <v>1306</v>
      </c>
      <c r="B1307" s="2">
        <f t="shared" si="140"/>
        <v>45346.375</v>
      </c>
      <c r="C1307" t="s">
        <v>3153</v>
      </c>
      <c r="D1307" t="s">
        <v>27</v>
      </c>
      <c r="E1307" t="str">
        <f>PROPER(TRIM(CLEAN(Sales_Table[[#This Row],[Region]])))</f>
        <v>East</v>
      </c>
      <c r="F1307" t="s">
        <v>78</v>
      </c>
      <c r="G1307" t="str">
        <f t="shared" si="141"/>
        <v>Grocery</v>
      </c>
      <c r="H1307" t="str">
        <f>PROPER(TRIM(CLEAN(Sales_Table[[#This Row],[Product Name]])))</f>
        <v>Mixer Grinder</v>
      </c>
      <c r="I1307" t="s">
        <v>29</v>
      </c>
      <c r="J1307" t="str">
        <f t="shared" si="142"/>
        <v>CUST0566</v>
      </c>
      <c r="K1307" t="s">
        <v>3154</v>
      </c>
      <c r="L1307" t="str">
        <f>PROPER(TRIM(CLEAN(Sales_Table[[#This Row],[Salesperson]])))</f>
        <v>Meena</v>
      </c>
      <c r="M1307" t="s">
        <v>40</v>
      </c>
      <c r="N1307" t="str">
        <f t="shared" si="143"/>
        <v>Debit Card</v>
      </c>
      <c r="O1307" t="s">
        <v>41</v>
      </c>
      <c r="P1307">
        <f t="shared" si="144"/>
        <v>13</v>
      </c>
      <c r="Q1307" t="s">
        <v>81</v>
      </c>
      <c r="R1307">
        <f t="shared" si="145"/>
        <v>1986</v>
      </c>
      <c r="S1307" t="s">
        <v>1463</v>
      </c>
      <c r="T1307">
        <f t="shared" si="146"/>
        <v>25818</v>
      </c>
      <c r="U1307">
        <f>YEAR(Sales_Table[[#This Row],[Date_clean]])</f>
        <v>2024</v>
      </c>
      <c r="V1307" t="str">
        <f>TEXT(Sales_Table[[#This Row],[Date_clean]],"mmmm")</f>
        <v>February</v>
      </c>
      <c r="W1307">
        <f>WEEKNUM(Sales_Table[[#This Row],[Date_clean]],2)</f>
        <v>8</v>
      </c>
      <c r="X1307" t="str" cm="1">
        <f t="array" ref="X1307">_xlfn.IFS(Sales_Table[[#This Row],[Revenue]]&gt;=50000,"High",Sales_Table[[#This Row],[Revenue]]&gt;=20000,"Medium",Sales_Table[[#This Row],[Revenue]]&lt;20000,"Low")</f>
        <v>Medium</v>
      </c>
      <c r="Y1307" t="str">
        <f>IF(Sales_Table[[#This Row],[Payment Method_clean]]="cash","Offline","Online")</f>
        <v>Online</v>
      </c>
      <c r="Z1307">
        <f>IFERROR(Sales_Table[[#This Row],[Revenue]],0)</f>
        <v>25818</v>
      </c>
    </row>
    <row r="1308" spans="1:26" x14ac:dyDescent="0.3">
      <c r="A1308">
        <v>1307</v>
      </c>
      <c r="B1308" s="2">
        <f t="shared" si="140"/>
        <v>45346.416666666664</v>
      </c>
      <c r="C1308" t="s">
        <v>3155</v>
      </c>
      <c r="D1308" t="s">
        <v>36</v>
      </c>
      <c r="E1308" t="str">
        <f>PROPER(TRIM(CLEAN(Sales_Table[[#This Row],[Region]])))</f>
        <v>West</v>
      </c>
      <c r="F1308" t="s">
        <v>46</v>
      </c>
      <c r="G1308" t="str">
        <f t="shared" si="141"/>
        <v>Electronics</v>
      </c>
      <c r="H1308" t="str">
        <f>PROPER(TRIM(CLEAN(Sales_Table[[#This Row],[Product Name]])))</f>
        <v>Mixer Grinder</v>
      </c>
      <c r="I1308" t="s">
        <v>29</v>
      </c>
      <c r="J1308" t="str">
        <f t="shared" si="142"/>
        <v>CUST0344</v>
      </c>
      <c r="K1308" t="s">
        <v>3156</v>
      </c>
      <c r="L1308" t="str">
        <f>PROPER(TRIM(CLEAN(Sales_Table[[#This Row],[Salesperson]])))</f>
        <v>Anita</v>
      </c>
      <c r="M1308" t="s">
        <v>64</v>
      </c>
      <c r="N1308" t="str">
        <f t="shared" si="143"/>
        <v>Credit Card</v>
      </c>
      <c r="O1308" t="s">
        <v>65</v>
      </c>
      <c r="P1308">
        <f t="shared" si="144"/>
        <v>14</v>
      </c>
      <c r="Q1308" t="s">
        <v>55</v>
      </c>
      <c r="R1308">
        <f t="shared" si="145"/>
        <v>654</v>
      </c>
      <c r="S1308" t="s">
        <v>3157</v>
      </c>
      <c r="T1308">
        <f t="shared" si="146"/>
        <v>9156</v>
      </c>
      <c r="U1308">
        <f>YEAR(Sales_Table[[#This Row],[Date_clean]])</f>
        <v>2024</v>
      </c>
      <c r="V1308" t="str">
        <f>TEXT(Sales_Table[[#This Row],[Date_clean]],"mmmm")</f>
        <v>February</v>
      </c>
      <c r="W1308">
        <f>WEEKNUM(Sales_Table[[#This Row],[Date_clean]],2)</f>
        <v>8</v>
      </c>
      <c r="X1308" t="str" cm="1">
        <f t="array" ref="X1308">_xlfn.IFS(Sales_Table[[#This Row],[Revenue]]&gt;=50000,"High",Sales_Table[[#This Row],[Revenue]]&gt;=20000,"Medium",Sales_Table[[#This Row],[Revenue]]&lt;20000,"Low")</f>
        <v>Low</v>
      </c>
      <c r="Y1308" t="str">
        <f>IF(Sales_Table[[#This Row],[Payment Method_clean]]="cash","Offline","Online")</f>
        <v>Online</v>
      </c>
      <c r="Z1308">
        <f>IFERROR(Sales_Table[[#This Row],[Revenue]],0)</f>
        <v>9156</v>
      </c>
    </row>
    <row r="1309" spans="1:26" x14ac:dyDescent="0.3">
      <c r="A1309">
        <v>1308</v>
      </c>
      <c r="B1309" s="2">
        <f t="shared" si="140"/>
        <v>45346.458333333336</v>
      </c>
      <c r="C1309" t="s">
        <v>3158</v>
      </c>
      <c r="D1309" t="s">
        <v>36</v>
      </c>
      <c r="E1309" t="str">
        <f>PROPER(TRIM(CLEAN(Sales_Table[[#This Row],[Region]])))</f>
        <v>West</v>
      </c>
      <c r="F1309" t="s">
        <v>78</v>
      </c>
      <c r="G1309" t="str">
        <f t="shared" si="141"/>
        <v>Grocery</v>
      </c>
      <c r="H1309" t="str">
        <f>PROPER(TRIM(CLEAN(Sales_Table[[#This Row],[Product Name]])))</f>
        <v>Led Tv 42Inch</v>
      </c>
      <c r="I1309" t="s">
        <v>58</v>
      </c>
      <c r="J1309" t="str">
        <f t="shared" si="142"/>
        <v>CUST0054</v>
      </c>
      <c r="K1309" t="s">
        <v>222</v>
      </c>
      <c r="L1309" t="str">
        <f>PROPER(TRIM(CLEAN(Sales_Table[[#This Row],[Salesperson]])))</f>
        <v>Karthik</v>
      </c>
      <c r="M1309" t="s">
        <v>70</v>
      </c>
      <c r="N1309" t="str">
        <f t="shared" si="143"/>
        <v>Cash</v>
      </c>
      <c r="O1309" t="s">
        <v>32</v>
      </c>
      <c r="P1309">
        <f t="shared" si="144"/>
        <v>4</v>
      </c>
      <c r="Q1309" t="s">
        <v>113</v>
      </c>
      <c r="R1309">
        <f t="shared" si="145"/>
        <v>3870</v>
      </c>
      <c r="S1309" t="s">
        <v>1965</v>
      </c>
      <c r="T1309">
        <f t="shared" si="146"/>
        <v>15480</v>
      </c>
      <c r="U1309">
        <f>YEAR(Sales_Table[[#This Row],[Date_clean]])</f>
        <v>2024</v>
      </c>
      <c r="V1309" t="str">
        <f>TEXT(Sales_Table[[#This Row],[Date_clean]],"mmmm")</f>
        <v>February</v>
      </c>
      <c r="W1309">
        <f>WEEKNUM(Sales_Table[[#This Row],[Date_clean]],2)</f>
        <v>8</v>
      </c>
      <c r="X1309" t="str" cm="1">
        <f t="array" ref="X1309">_xlfn.IFS(Sales_Table[[#This Row],[Revenue]]&gt;=50000,"High",Sales_Table[[#This Row],[Revenue]]&gt;=20000,"Medium",Sales_Table[[#This Row],[Revenue]]&lt;20000,"Low")</f>
        <v>Low</v>
      </c>
      <c r="Y1309" t="str">
        <f>IF(Sales_Table[[#This Row],[Payment Method_clean]]="cash","Offline","Online")</f>
        <v>Offline</v>
      </c>
      <c r="Z1309">
        <f>IFERROR(Sales_Table[[#This Row],[Revenue]],0)</f>
        <v>15480</v>
      </c>
    </row>
    <row r="1310" spans="1:26" x14ac:dyDescent="0.3">
      <c r="A1310">
        <v>1309</v>
      </c>
      <c r="B1310" s="2">
        <f t="shared" si="140"/>
        <v>45346.5</v>
      </c>
      <c r="C1310" t="s">
        <v>3159</v>
      </c>
      <c r="D1310" t="s">
        <v>45</v>
      </c>
      <c r="E1310" t="str">
        <f>PROPER(TRIM(CLEAN(Sales_Table[[#This Row],[Region]])))</f>
        <v>North</v>
      </c>
      <c r="F1310" t="s">
        <v>78</v>
      </c>
      <c r="G1310" t="str">
        <f t="shared" si="141"/>
        <v>Grocery</v>
      </c>
      <c r="H1310" t="str">
        <f>PROPER(TRIM(CLEAN(Sales_Table[[#This Row],[Product Name]])))</f>
        <v>Men T-Shirt</v>
      </c>
      <c r="I1310" t="s">
        <v>38</v>
      </c>
      <c r="J1310" t="str">
        <f t="shared" si="142"/>
        <v>CUST0730</v>
      </c>
      <c r="K1310" t="s">
        <v>273</v>
      </c>
      <c r="L1310" t="str">
        <f>PROPER(TRIM(CLEAN(Sales_Table[[#This Row],[Salesperson]])))</f>
        <v>Suresh</v>
      </c>
      <c r="M1310" t="s">
        <v>54</v>
      </c>
      <c r="N1310" t="str">
        <f t="shared" si="143"/>
        <v>Upi</v>
      </c>
      <c r="O1310" t="s">
        <v>48</v>
      </c>
      <c r="P1310">
        <f t="shared" si="144"/>
        <v>5</v>
      </c>
      <c r="Q1310" t="s">
        <v>89</v>
      </c>
      <c r="R1310">
        <f t="shared" si="145"/>
        <v>4497</v>
      </c>
      <c r="S1310" t="s">
        <v>3160</v>
      </c>
      <c r="T1310">
        <f t="shared" si="146"/>
        <v>22485</v>
      </c>
      <c r="U1310">
        <f>YEAR(Sales_Table[[#This Row],[Date_clean]])</f>
        <v>2024</v>
      </c>
      <c r="V1310" t="str">
        <f>TEXT(Sales_Table[[#This Row],[Date_clean]],"mmmm")</f>
        <v>February</v>
      </c>
      <c r="W1310">
        <f>WEEKNUM(Sales_Table[[#This Row],[Date_clean]],2)</f>
        <v>8</v>
      </c>
      <c r="X1310" t="str" cm="1">
        <f t="array" ref="X1310">_xlfn.IFS(Sales_Table[[#This Row],[Revenue]]&gt;=50000,"High",Sales_Table[[#This Row],[Revenue]]&gt;=20000,"Medium",Sales_Table[[#This Row],[Revenue]]&lt;20000,"Low")</f>
        <v>Medium</v>
      </c>
      <c r="Y1310" t="str">
        <f>IF(Sales_Table[[#This Row],[Payment Method_clean]]="cash","Offline","Online")</f>
        <v>Online</v>
      </c>
      <c r="Z1310">
        <f>IFERROR(Sales_Table[[#This Row],[Revenue]],0)</f>
        <v>22485</v>
      </c>
    </row>
    <row r="1311" spans="1:26" x14ac:dyDescent="0.3">
      <c r="A1311">
        <v>1310</v>
      </c>
      <c r="B1311" s="2">
        <f t="shared" si="140"/>
        <v>45346.541666666664</v>
      </c>
      <c r="C1311" t="s">
        <v>3161</v>
      </c>
      <c r="D1311" t="s">
        <v>36</v>
      </c>
      <c r="E1311" t="str">
        <f>PROPER(TRIM(CLEAN(Sales_Table[[#This Row],[Region]])))</f>
        <v>West</v>
      </c>
      <c r="F1311" t="s">
        <v>46</v>
      </c>
      <c r="G1311" t="str">
        <f t="shared" si="141"/>
        <v>Electronics</v>
      </c>
      <c r="H1311" t="str">
        <f>PROPER(TRIM(CLEAN(Sales_Table[[#This Row],[Product Name]])))</f>
        <v>Men T-Shirt</v>
      </c>
      <c r="I1311" t="s">
        <v>38</v>
      </c>
      <c r="J1311" t="str">
        <f t="shared" si="142"/>
        <v>CUST0528</v>
      </c>
      <c r="K1311" t="s">
        <v>225</v>
      </c>
      <c r="L1311" t="str">
        <f>PROPER(TRIM(CLEAN(Sales_Table[[#This Row],[Salesperson]])))</f>
        <v>Karthik</v>
      </c>
      <c r="M1311" t="s">
        <v>70</v>
      </c>
      <c r="N1311" t="str">
        <f t="shared" si="143"/>
        <v>Net Banking</v>
      </c>
      <c r="O1311" t="s">
        <v>60</v>
      </c>
      <c r="P1311">
        <f t="shared" si="144"/>
        <v>4</v>
      </c>
      <c r="Q1311" t="s">
        <v>113</v>
      </c>
      <c r="R1311">
        <f t="shared" si="145"/>
        <v>299</v>
      </c>
      <c r="S1311" t="s">
        <v>3162</v>
      </c>
      <c r="T1311">
        <f t="shared" si="146"/>
        <v>1196</v>
      </c>
      <c r="U1311">
        <f>YEAR(Sales_Table[[#This Row],[Date_clean]])</f>
        <v>2024</v>
      </c>
      <c r="V1311" t="str">
        <f>TEXT(Sales_Table[[#This Row],[Date_clean]],"mmmm")</f>
        <v>February</v>
      </c>
      <c r="W1311">
        <f>WEEKNUM(Sales_Table[[#This Row],[Date_clean]],2)</f>
        <v>8</v>
      </c>
      <c r="X1311" t="str" cm="1">
        <f t="array" ref="X1311">_xlfn.IFS(Sales_Table[[#This Row],[Revenue]]&gt;=50000,"High",Sales_Table[[#This Row],[Revenue]]&gt;=20000,"Medium",Sales_Table[[#This Row],[Revenue]]&lt;20000,"Low")</f>
        <v>Low</v>
      </c>
      <c r="Y1311" t="str">
        <f>IF(Sales_Table[[#This Row],[Payment Method_clean]]="cash","Offline","Online")</f>
        <v>Online</v>
      </c>
      <c r="Z1311">
        <f>IFERROR(Sales_Table[[#This Row],[Revenue]],0)</f>
        <v>1196</v>
      </c>
    </row>
    <row r="1312" spans="1:26" x14ac:dyDescent="0.3">
      <c r="A1312">
        <v>1311</v>
      </c>
      <c r="B1312" s="2">
        <f t="shared" si="140"/>
        <v>45346.583333333336</v>
      </c>
      <c r="C1312" t="s">
        <v>3163</v>
      </c>
      <c r="D1312" t="s">
        <v>27</v>
      </c>
      <c r="E1312" t="str">
        <f>PROPER(TRIM(CLEAN(Sales_Table[[#This Row],[Region]])))</f>
        <v>East</v>
      </c>
      <c r="F1312" t="s">
        <v>28</v>
      </c>
      <c r="G1312" t="str">
        <f t="shared" si="141"/>
        <v>Clothing</v>
      </c>
      <c r="H1312" t="str">
        <f>PROPER(TRIM(CLEAN(Sales_Table[[#This Row],[Product Name]])))</f>
        <v>Rice 5Kg</v>
      </c>
      <c r="I1312" t="s">
        <v>73</v>
      </c>
      <c r="J1312" t="str">
        <f t="shared" si="142"/>
        <v>CUST0611</v>
      </c>
      <c r="K1312" t="s">
        <v>1299</v>
      </c>
      <c r="L1312" t="str">
        <f>PROPER(TRIM(CLEAN(Sales_Table[[#This Row],[Salesperson]])))</f>
        <v>Rahul</v>
      </c>
      <c r="M1312" t="s">
        <v>31</v>
      </c>
      <c r="N1312" t="str">
        <f t="shared" si="143"/>
        <v>Cash</v>
      </c>
      <c r="O1312" t="s">
        <v>32</v>
      </c>
      <c r="P1312">
        <f t="shared" si="144"/>
        <v>2</v>
      </c>
      <c r="Q1312" t="s">
        <v>196</v>
      </c>
      <c r="R1312">
        <f t="shared" si="145"/>
        <v>3040</v>
      </c>
      <c r="S1312" t="s">
        <v>2052</v>
      </c>
      <c r="T1312">
        <f t="shared" si="146"/>
        <v>6080</v>
      </c>
      <c r="U1312">
        <f>YEAR(Sales_Table[[#This Row],[Date_clean]])</f>
        <v>2024</v>
      </c>
      <c r="V1312" t="str">
        <f>TEXT(Sales_Table[[#This Row],[Date_clean]],"mmmm")</f>
        <v>February</v>
      </c>
      <c r="W1312">
        <f>WEEKNUM(Sales_Table[[#This Row],[Date_clean]],2)</f>
        <v>8</v>
      </c>
      <c r="X1312" t="str" cm="1">
        <f t="array" ref="X1312">_xlfn.IFS(Sales_Table[[#This Row],[Revenue]]&gt;=50000,"High",Sales_Table[[#This Row],[Revenue]]&gt;=20000,"Medium",Sales_Table[[#This Row],[Revenue]]&lt;20000,"Low")</f>
        <v>Low</v>
      </c>
      <c r="Y1312" t="str">
        <f>IF(Sales_Table[[#This Row],[Payment Method_clean]]="cash","Offline","Online")</f>
        <v>Offline</v>
      </c>
      <c r="Z1312">
        <f>IFERROR(Sales_Table[[#This Row],[Revenue]],0)</f>
        <v>6080</v>
      </c>
    </row>
    <row r="1313" spans="1:26" x14ac:dyDescent="0.3">
      <c r="A1313">
        <v>1312</v>
      </c>
      <c r="B1313" s="2">
        <f t="shared" si="140"/>
        <v>45346.625</v>
      </c>
      <c r="C1313" t="s">
        <v>3164</v>
      </c>
      <c r="D1313" t="s">
        <v>84</v>
      </c>
      <c r="E1313" t="str">
        <f>PROPER(TRIM(CLEAN(Sales_Table[[#This Row],[Region]])))</f>
        <v>South</v>
      </c>
      <c r="F1313" t="s">
        <v>78</v>
      </c>
      <c r="G1313" t="str">
        <f t="shared" si="141"/>
        <v>Grocery</v>
      </c>
      <c r="H1313" t="str">
        <f>PROPER(TRIM(CLEAN(Sales_Table[[#This Row],[Product Name]])))</f>
        <v>Rice 5Kg</v>
      </c>
      <c r="I1313" t="s">
        <v>73</v>
      </c>
      <c r="J1313" t="str">
        <f t="shared" si="142"/>
        <v>CUST0532</v>
      </c>
      <c r="K1313" t="s">
        <v>769</v>
      </c>
      <c r="L1313" t="str">
        <f>PROPER(TRIM(CLEAN(Sales_Table[[#This Row],[Salesperson]])))</f>
        <v>Karthik</v>
      </c>
      <c r="M1313" t="s">
        <v>70</v>
      </c>
      <c r="N1313" t="str">
        <f t="shared" si="143"/>
        <v>Cash</v>
      </c>
      <c r="O1313" t="s">
        <v>32</v>
      </c>
      <c r="P1313">
        <f t="shared" si="144"/>
        <v>12</v>
      </c>
      <c r="Q1313" t="s">
        <v>33</v>
      </c>
      <c r="R1313">
        <f t="shared" si="145"/>
        <v>3590</v>
      </c>
      <c r="S1313" t="s">
        <v>3165</v>
      </c>
      <c r="T1313">
        <f t="shared" si="146"/>
        <v>43080</v>
      </c>
      <c r="U1313">
        <f>YEAR(Sales_Table[[#This Row],[Date_clean]])</f>
        <v>2024</v>
      </c>
      <c r="V1313" t="str">
        <f>TEXT(Sales_Table[[#This Row],[Date_clean]],"mmmm")</f>
        <v>February</v>
      </c>
      <c r="W1313">
        <f>WEEKNUM(Sales_Table[[#This Row],[Date_clean]],2)</f>
        <v>8</v>
      </c>
      <c r="X1313" t="str" cm="1">
        <f t="array" ref="X1313">_xlfn.IFS(Sales_Table[[#This Row],[Revenue]]&gt;=50000,"High",Sales_Table[[#This Row],[Revenue]]&gt;=20000,"Medium",Sales_Table[[#This Row],[Revenue]]&lt;20000,"Low")</f>
        <v>Medium</v>
      </c>
      <c r="Y1313" t="str">
        <f>IF(Sales_Table[[#This Row],[Payment Method_clean]]="cash","Offline","Online")</f>
        <v>Offline</v>
      </c>
      <c r="Z1313">
        <f>IFERROR(Sales_Table[[#This Row],[Revenue]],0)</f>
        <v>43080</v>
      </c>
    </row>
    <row r="1314" spans="1:26" x14ac:dyDescent="0.3">
      <c r="A1314">
        <v>1313</v>
      </c>
      <c r="B1314" s="2">
        <f t="shared" si="140"/>
        <v>45346.666666666664</v>
      </c>
      <c r="C1314" t="s">
        <v>3166</v>
      </c>
      <c r="D1314" t="s">
        <v>45</v>
      </c>
      <c r="E1314" t="str">
        <f>PROPER(TRIM(CLEAN(Sales_Table[[#This Row],[Region]])))</f>
        <v>North</v>
      </c>
      <c r="F1314" t="s">
        <v>78</v>
      </c>
      <c r="G1314" t="str">
        <f t="shared" si="141"/>
        <v>Grocery</v>
      </c>
      <c r="H1314" t="str">
        <f>PROPER(TRIM(CLEAN(Sales_Table[[#This Row],[Product Name]])))</f>
        <v>Washing Machine</v>
      </c>
      <c r="I1314" t="s">
        <v>79</v>
      </c>
      <c r="J1314" t="str">
        <f t="shared" si="142"/>
        <v>CUST0558</v>
      </c>
      <c r="K1314" t="s">
        <v>3062</v>
      </c>
      <c r="L1314" t="str">
        <f>PROPER(TRIM(CLEAN(Sales_Table[[#This Row],[Salesperson]])))</f>
        <v>Rahul</v>
      </c>
      <c r="M1314" t="s">
        <v>31</v>
      </c>
      <c r="N1314" t="str">
        <f t="shared" si="143"/>
        <v>Debit Card</v>
      </c>
      <c r="O1314" t="s">
        <v>41</v>
      </c>
      <c r="P1314">
        <f t="shared" si="144"/>
        <v>1</v>
      </c>
      <c r="Q1314" t="s">
        <v>93</v>
      </c>
      <c r="R1314">
        <f t="shared" si="145"/>
        <v>406</v>
      </c>
      <c r="S1314" t="s">
        <v>826</v>
      </c>
      <c r="T1314">
        <f t="shared" si="146"/>
        <v>406</v>
      </c>
      <c r="U1314">
        <f>YEAR(Sales_Table[[#This Row],[Date_clean]])</f>
        <v>2024</v>
      </c>
      <c r="V1314" t="str">
        <f>TEXT(Sales_Table[[#This Row],[Date_clean]],"mmmm")</f>
        <v>February</v>
      </c>
      <c r="W1314">
        <f>WEEKNUM(Sales_Table[[#This Row],[Date_clean]],2)</f>
        <v>8</v>
      </c>
      <c r="X1314" t="str" cm="1">
        <f t="array" ref="X1314">_xlfn.IFS(Sales_Table[[#This Row],[Revenue]]&gt;=50000,"High",Sales_Table[[#This Row],[Revenue]]&gt;=20000,"Medium",Sales_Table[[#This Row],[Revenue]]&lt;20000,"Low")</f>
        <v>Low</v>
      </c>
      <c r="Y1314" t="str">
        <f>IF(Sales_Table[[#This Row],[Payment Method_clean]]="cash","Offline","Online")</f>
        <v>Online</v>
      </c>
      <c r="Z1314">
        <f>IFERROR(Sales_Table[[#This Row],[Revenue]],0)</f>
        <v>406</v>
      </c>
    </row>
    <row r="1315" spans="1:26" x14ac:dyDescent="0.3">
      <c r="A1315">
        <v>1314</v>
      </c>
      <c r="B1315" s="2">
        <f t="shared" si="140"/>
        <v>45346.708333333336</v>
      </c>
      <c r="C1315" t="s">
        <v>3167</v>
      </c>
      <c r="D1315" t="s">
        <v>45</v>
      </c>
      <c r="E1315" t="str">
        <f>PROPER(TRIM(CLEAN(Sales_Table[[#This Row],[Region]])))</f>
        <v>North</v>
      </c>
      <c r="F1315" t="s">
        <v>78</v>
      </c>
      <c r="G1315" t="str">
        <f t="shared" si="141"/>
        <v>Grocery</v>
      </c>
      <c r="H1315" t="str">
        <f>PROPER(TRIM(CLEAN(Sales_Table[[#This Row],[Product Name]])))</f>
        <v>Led Tv 42Inch</v>
      </c>
      <c r="I1315" t="s">
        <v>58</v>
      </c>
      <c r="J1315" t="str">
        <f t="shared" si="142"/>
        <v>CUST0193</v>
      </c>
      <c r="K1315" t="s">
        <v>713</v>
      </c>
      <c r="L1315" t="str">
        <f>PROPER(TRIM(CLEAN(Sales_Table[[#This Row],[Salesperson]])))</f>
        <v>Rahul</v>
      </c>
      <c r="M1315" t="s">
        <v>31</v>
      </c>
      <c r="N1315" t="str">
        <f t="shared" si="143"/>
        <v>Credit Card</v>
      </c>
      <c r="O1315" t="s">
        <v>65</v>
      </c>
      <c r="P1315">
        <f t="shared" si="144"/>
        <v>8</v>
      </c>
      <c r="Q1315" t="s">
        <v>42</v>
      </c>
      <c r="R1315">
        <f t="shared" si="145"/>
        <v>3175</v>
      </c>
      <c r="S1315" t="s">
        <v>3168</v>
      </c>
      <c r="T1315">
        <f t="shared" si="146"/>
        <v>25400</v>
      </c>
      <c r="U1315">
        <f>YEAR(Sales_Table[[#This Row],[Date_clean]])</f>
        <v>2024</v>
      </c>
      <c r="V1315" t="str">
        <f>TEXT(Sales_Table[[#This Row],[Date_clean]],"mmmm")</f>
        <v>February</v>
      </c>
      <c r="W1315">
        <f>WEEKNUM(Sales_Table[[#This Row],[Date_clean]],2)</f>
        <v>8</v>
      </c>
      <c r="X1315" t="str" cm="1">
        <f t="array" ref="X1315">_xlfn.IFS(Sales_Table[[#This Row],[Revenue]]&gt;=50000,"High",Sales_Table[[#This Row],[Revenue]]&gt;=20000,"Medium",Sales_Table[[#This Row],[Revenue]]&lt;20000,"Low")</f>
        <v>Medium</v>
      </c>
      <c r="Y1315" t="str">
        <f>IF(Sales_Table[[#This Row],[Payment Method_clean]]="cash","Offline","Online")</f>
        <v>Online</v>
      </c>
      <c r="Z1315">
        <f>IFERROR(Sales_Table[[#This Row],[Revenue]],0)</f>
        <v>25400</v>
      </c>
    </row>
    <row r="1316" spans="1:26" x14ac:dyDescent="0.3">
      <c r="A1316">
        <v>1315</v>
      </c>
      <c r="B1316" s="2">
        <f t="shared" si="140"/>
        <v>45346.75</v>
      </c>
      <c r="C1316" t="s">
        <v>3169</v>
      </c>
      <c r="D1316" t="s">
        <v>84</v>
      </c>
      <c r="E1316" t="str">
        <f>PROPER(TRIM(CLEAN(Sales_Table[[#This Row],[Region]])))</f>
        <v>South</v>
      </c>
      <c r="F1316" t="s">
        <v>28</v>
      </c>
      <c r="G1316" t="str">
        <f t="shared" si="141"/>
        <v>Clothing</v>
      </c>
      <c r="H1316" t="str">
        <f>PROPER(TRIM(CLEAN(Sales_Table[[#This Row],[Product Name]])))</f>
        <v>Rice 5Kg</v>
      </c>
      <c r="I1316" t="s">
        <v>73</v>
      </c>
      <c r="J1316" t="str">
        <f t="shared" si="142"/>
        <v>CUST0058</v>
      </c>
      <c r="K1316" t="s">
        <v>1381</v>
      </c>
      <c r="L1316" t="str">
        <f>PROPER(TRIM(CLEAN(Sales_Table[[#This Row],[Salesperson]])))</f>
        <v>Rahul</v>
      </c>
      <c r="M1316" t="s">
        <v>31</v>
      </c>
      <c r="N1316" t="str">
        <f t="shared" si="143"/>
        <v>Debit Card</v>
      </c>
      <c r="O1316" t="s">
        <v>41</v>
      </c>
      <c r="P1316">
        <f t="shared" si="144"/>
        <v>4</v>
      </c>
      <c r="Q1316" t="s">
        <v>113</v>
      </c>
      <c r="R1316">
        <f t="shared" si="145"/>
        <v>1756</v>
      </c>
      <c r="S1316" t="s">
        <v>604</v>
      </c>
      <c r="T1316">
        <f t="shared" si="146"/>
        <v>7024</v>
      </c>
      <c r="U1316">
        <f>YEAR(Sales_Table[[#This Row],[Date_clean]])</f>
        <v>2024</v>
      </c>
      <c r="V1316" t="str">
        <f>TEXT(Sales_Table[[#This Row],[Date_clean]],"mmmm")</f>
        <v>February</v>
      </c>
      <c r="W1316">
        <f>WEEKNUM(Sales_Table[[#This Row],[Date_clean]],2)</f>
        <v>8</v>
      </c>
      <c r="X1316" t="str" cm="1">
        <f t="array" ref="X1316">_xlfn.IFS(Sales_Table[[#This Row],[Revenue]]&gt;=50000,"High",Sales_Table[[#This Row],[Revenue]]&gt;=20000,"Medium",Sales_Table[[#This Row],[Revenue]]&lt;20000,"Low")</f>
        <v>Low</v>
      </c>
      <c r="Y1316" t="str">
        <f>IF(Sales_Table[[#This Row],[Payment Method_clean]]="cash","Offline","Online")</f>
        <v>Online</v>
      </c>
      <c r="Z1316">
        <f>IFERROR(Sales_Table[[#This Row],[Revenue]],0)</f>
        <v>7024</v>
      </c>
    </row>
    <row r="1317" spans="1:26" x14ac:dyDescent="0.3">
      <c r="A1317">
        <v>1316</v>
      </c>
      <c r="B1317" s="2">
        <f t="shared" si="140"/>
        <v>45346.791666666664</v>
      </c>
      <c r="C1317" t="s">
        <v>3170</v>
      </c>
      <c r="D1317" t="s">
        <v>36</v>
      </c>
      <c r="E1317" t="str">
        <f>PROPER(TRIM(CLEAN(Sales_Table[[#This Row],[Region]])))</f>
        <v>West</v>
      </c>
      <c r="F1317" t="s">
        <v>28</v>
      </c>
      <c r="G1317" t="str">
        <f t="shared" si="141"/>
        <v>Clothing</v>
      </c>
      <c r="H1317" t="str">
        <f>PROPER(TRIM(CLEAN(Sales_Table[[#This Row],[Product Name]])))</f>
        <v>Rice 5Kg</v>
      </c>
      <c r="I1317" t="s">
        <v>73</v>
      </c>
      <c r="J1317" t="str">
        <f t="shared" si="142"/>
        <v>CUST0437</v>
      </c>
      <c r="K1317" t="s">
        <v>350</v>
      </c>
      <c r="L1317" t="str">
        <f>PROPER(TRIM(CLEAN(Sales_Table[[#This Row],[Salesperson]])))</f>
        <v>Rahul</v>
      </c>
      <c r="M1317" t="s">
        <v>31</v>
      </c>
      <c r="N1317" t="str">
        <f t="shared" si="143"/>
        <v>Credit Card</v>
      </c>
      <c r="O1317" t="s">
        <v>65</v>
      </c>
      <c r="P1317">
        <f t="shared" si="144"/>
        <v>5</v>
      </c>
      <c r="Q1317" t="s">
        <v>89</v>
      </c>
      <c r="R1317">
        <f t="shared" si="145"/>
        <v>2792</v>
      </c>
      <c r="S1317" t="s">
        <v>3171</v>
      </c>
      <c r="T1317">
        <f t="shared" si="146"/>
        <v>13960</v>
      </c>
      <c r="U1317">
        <f>YEAR(Sales_Table[[#This Row],[Date_clean]])</f>
        <v>2024</v>
      </c>
      <c r="V1317" t="str">
        <f>TEXT(Sales_Table[[#This Row],[Date_clean]],"mmmm")</f>
        <v>February</v>
      </c>
      <c r="W1317">
        <f>WEEKNUM(Sales_Table[[#This Row],[Date_clean]],2)</f>
        <v>8</v>
      </c>
      <c r="X1317" t="str" cm="1">
        <f t="array" ref="X1317">_xlfn.IFS(Sales_Table[[#This Row],[Revenue]]&gt;=50000,"High",Sales_Table[[#This Row],[Revenue]]&gt;=20000,"Medium",Sales_Table[[#This Row],[Revenue]]&lt;20000,"Low")</f>
        <v>Low</v>
      </c>
      <c r="Y1317" t="str">
        <f>IF(Sales_Table[[#This Row],[Payment Method_clean]]="cash","Offline","Online")</f>
        <v>Online</v>
      </c>
      <c r="Z1317">
        <f>IFERROR(Sales_Table[[#This Row],[Revenue]],0)</f>
        <v>13960</v>
      </c>
    </row>
    <row r="1318" spans="1:26" x14ac:dyDescent="0.3">
      <c r="A1318">
        <v>1317</v>
      </c>
      <c r="B1318" s="2">
        <f t="shared" si="140"/>
        <v>45346.833333333336</v>
      </c>
      <c r="C1318" t="s">
        <v>3172</v>
      </c>
      <c r="D1318" t="s">
        <v>84</v>
      </c>
      <c r="E1318" t="str">
        <f>PROPER(TRIM(CLEAN(Sales_Table[[#This Row],[Region]])))</f>
        <v>South</v>
      </c>
      <c r="F1318" t="s">
        <v>37</v>
      </c>
      <c r="G1318" t="str">
        <f t="shared" si="141"/>
        <v>Home Appliances</v>
      </c>
      <c r="H1318" t="str">
        <f>PROPER(TRIM(CLEAN(Sales_Table[[#This Row],[Product Name]])))</f>
        <v>Laptop</v>
      </c>
      <c r="I1318" t="s">
        <v>52</v>
      </c>
      <c r="J1318" t="str">
        <f t="shared" si="142"/>
        <v>CUST0111</v>
      </c>
      <c r="K1318" t="s">
        <v>1408</v>
      </c>
      <c r="L1318" t="str">
        <f>PROPER(TRIM(CLEAN(Sales_Table[[#This Row],[Salesperson]])))</f>
        <v>Rahul</v>
      </c>
      <c r="M1318" t="s">
        <v>31</v>
      </c>
      <c r="N1318" t="str">
        <f t="shared" si="143"/>
        <v>Debit Card</v>
      </c>
      <c r="O1318" t="s">
        <v>41</v>
      </c>
      <c r="P1318">
        <f t="shared" si="144"/>
        <v>6</v>
      </c>
      <c r="Q1318" t="s">
        <v>75</v>
      </c>
      <c r="R1318">
        <f t="shared" si="145"/>
        <v>1864</v>
      </c>
      <c r="S1318" t="s">
        <v>3173</v>
      </c>
      <c r="T1318">
        <f t="shared" si="146"/>
        <v>11184</v>
      </c>
      <c r="U1318">
        <f>YEAR(Sales_Table[[#This Row],[Date_clean]])</f>
        <v>2024</v>
      </c>
      <c r="V1318" t="str">
        <f>TEXT(Sales_Table[[#This Row],[Date_clean]],"mmmm")</f>
        <v>February</v>
      </c>
      <c r="W1318">
        <f>WEEKNUM(Sales_Table[[#This Row],[Date_clean]],2)</f>
        <v>8</v>
      </c>
      <c r="X1318" t="str" cm="1">
        <f t="array" ref="X1318">_xlfn.IFS(Sales_Table[[#This Row],[Revenue]]&gt;=50000,"High",Sales_Table[[#This Row],[Revenue]]&gt;=20000,"Medium",Sales_Table[[#This Row],[Revenue]]&lt;20000,"Low")</f>
        <v>Low</v>
      </c>
      <c r="Y1318" t="str">
        <f>IF(Sales_Table[[#This Row],[Payment Method_clean]]="cash","Offline","Online")</f>
        <v>Online</v>
      </c>
      <c r="Z1318">
        <f>IFERROR(Sales_Table[[#This Row],[Revenue]],0)</f>
        <v>11184</v>
      </c>
    </row>
    <row r="1319" spans="1:26" x14ac:dyDescent="0.3">
      <c r="A1319">
        <v>1318</v>
      </c>
      <c r="B1319" s="2">
        <f t="shared" si="140"/>
        <v>45346.875</v>
      </c>
      <c r="C1319" t="s">
        <v>3174</v>
      </c>
      <c r="D1319" t="s">
        <v>36</v>
      </c>
      <c r="E1319" t="str">
        <f>PROPER(TRIM(CLEAN(Sales_Table[[#This Row],[Region]])))</f>
        <v>West</v>
      </c>
      <c r="F1319" t="s">
        <v>46</v>
      </c>
      <c r="G1319" t="str">
        <f t="shared" si="141"/>
        <v>Electronics</v>
      </c>
      <c r="H1319" t="str">
        <f>PROPER(TRIM(CLEAN(Sales_Table[[#This Row],[Product Name]])))</f>
        <v>Led Tv 42Inch</v>
      </c>
      <c r="I1319" t="s">
        <v>58</v>
      </c>
      <c r="J1319" t="str">
        <f t="shared" si="142"/>
        <v>CUST0129</v>
      </c>
      <c r="K1319" t="s">
        <v>326</v>
      </c>
      <c r="L1319" t="str">
        <f>PROPER(TRIM(CLEAN(Sales_Table[[#This Row],[Salesperson]])))</f>
        <v>Meena</v>
      </c>
      <c r="M1319" t="s">
        <v>40</v>
      </c>
      <c r="N1319" t="str">
        <f t="shared" si="143"/>
        <v>Cash</v>
      </c>
      <c r="O1319" t="s">
        <v>32</v>
      </c>
      <c r="P1319">
        <f t="shared" si="144"/>
        <v>14</v>
      </c>
      <c r="Q1319" t="s">
        <v>55</v>
      </c>
      <c r="R1319">
        <f t="shared" si="145"/>
        <v>375</v>
      </c>
      <c r="S1319" t="s">
        <v>2244</v>
      </c>
      <c r="T1319">
        <f t="shared" si="146"/>
        <v>5250</v>
      </c>
      <c r="U1319">
        <f>YEAR(Sales_Table[[#This Row],[Date_clean]])</f>
        <v>2024</v>
      </c>
      <c r="V1319" t="str">
        <f>TEXT(Sales_Table[[#This Row],[Date_clean]],"mmmm")</f>
        <v>February</v>
      </c>
      <c r="W1319">
        <f>WEEKNUM(Sales_Table[[#This Row],[Date_clean]],2)</f>
        <v>8</v>
      </c>
      <c r="X1319" t="str" cm="1">
        <f t="array" ref="X1319">_xlfn.IFS(Sales_Table[[#This Row],[Revenue]]&gt;=50000,"High",Sales_Table[[#This Row],[Revenue]]&gt;=20000,"Medium",Sales_Table[[#This Row],[Revenue]]&lt;20000,"Low")</f>
        <v>Low</v>
      </c>
      <c r="Y1319" t="str">
        <f>IF(Sales_Table[[#This Row],[Payment Method_clean]]="cash","Offline","Online")</f>
        <v>Offline</v>
      </c>
      <c r="Z1319">
        <f>IFERROR(Sales_Table[[#This Row],[Revenue]],0)</f>
        <v>5250</v>
      </c>
    </row>
    <row r="1320" spans="1:26" x14ac:dyDescent="0.3">
      <c r="A1320">
        <v>1319</v>
      </c>
      <c r="B1320" s="2">
        <f t="shared" si="140"/>
        <v>45346.916666666664</v>
      </c>
      <c r="C1320" t="s">
        <v>3175</v>
      </c>
      <c r="D1320" t="s">
        <v>84</v>
      </c>
      <c r="E1320" t="str">
        <f>PROPER(TRIM(CLEAN(Sales_Table[[#This Row],[Region]])))</f>
        <v>South</v>
      </c>
      <c r="F1320" t="s">
        <v>28</v>
      </c>
      <c r="G1320" t="str">
        <f t="shared" si="141"/>
        <v>Clothing</v>
      </c>
      <c r="H1320" t="str">
        <f>PROPER(TRIM(CLEAN(Sales_Table[[#This Row],[Product Name]])))</f>
        <v>Washing Machine</v>
      </c>
      <c r="I1320" t="s">
        <v>79</v>
      </c>
      <c r="J1320" t="str">
        <f t="shared" si="142"/>
        <v>CUST0706</v>
      </c>
      <c r="K1320" t="s">
        <v>3176</v>
      </c>
      <c r="L1320" t="str">
        <f>PROPER(TRIM(CLEAN(Sales_Table[[#This Row],[Salesperson]])))</f>
        <v>Karthik</v>
      </c>
      <c r="M1320" t="s">
        <v>70</v>
      </c>
      <c r="N1320" t="str">
        <f t="shared" si="143"/>
        <v>Upi</v>
      </c>
      <c r="O1320" t="s">
        <v>48</v>
      </c>
      <c r="P1320">
        <f t="shared" si="144"/>
        <v>8</v>
      </c>
      <c r="Q1320" t="s">
        <v>42</v>
      </c>
      <c r="R1320">
        <f t="shared" si="145"/>
        <v>3461</v>
      </c>
      <c r="S1320" t="s">
        <v>3177</v>
      </c>
      <c r="T1320">
        <f t="shared" si="146"/>
        <v>27688</v>
      </c>
      <c r="U1320">
        <f>YEAR(Sales_Table[[#This Row],[Date_clean]])</f>
        <v>2024</v>
      </c>
      <c r="V1320" t="str">
        <f>TEXT(Sales_Table[[#This Row],[Date_clean]],"mmmm")</f>
        <v>February</v>
      </c>
      <c r="W1320">
        <f>WEEKNUM(Sales_Table[[#This Row],[Date_clean]],2)</f>
        <v>8</v>
      </c>
      <c r="X1320" t="str" cm="1">
        <f t="array" ref="X1320">_xlfn.IFS(Sales_Table[[#This Row],[Revenue]]&gt;=50000,"High",Sales_Table[[#This Row],[Revenue]]&gt;=20000,"Medium",Sales_Table[[#This Row],[Revenue]]&lt;20000,"Low")</f>
        <v>Medium</v>
      </c>
      <c r="Y1320" t="str">
        <f>IF(Sales_Table[[#This Row],[Payment Method_clean]]="cash","Offline","Online")</f>
        <v>Online</v>
      </c>
      <c r="Z1320">
        <f>IFERROR(Sales_Table[[#This Row],[Revenue]],0)</f>
        <v>27688</v>
      </c>
    </row>
    <row r="1321" spans="1:26" x14ac:dyDescent="0.3">
      <c r="A1321">
        <v>1320</v>
      </c>
      <c r="B1321" s="2">
        <f t="shared" si="140"/>
        <v>45346.958333333336</v>
      </c>
      <c r="C1321" t="s">
        <v>3178</v>
      </c>
      <c r="D1321" t="s">
        <v>27</v>
      </c>
      <c r="E1321" t="str">
        <f>PROPER(TRIM(CLEAN(Sales_Table[[#This Row],[Region]])))</f>
        <v>East</v>
      </c>
      <c r="F1321" t="s">
        <v>46</v>
      </c>
      <c r="G1321" t="str">
        <f t="shared" si="141"/>
        <v>Electronics</v>
      </c>
      <c r="H1321" t="str">
        <f>PROPER(TRIM(CLEAN(Sales_Table[[#This Row],[Product Name]])))</f>
        <v>Rice 5Kg</v>
      </c>
      <c r="I1321" t="s">
        <v>73</v>
      </c>
      <c r="J1321" t="str">
        <f t="shared" si="142"/>
        <v>CUST0326</v>
      </c>
      <c r="K1321" t="s">
        <v>3126</v>
      </c>
      <c r="L1321" t="str">
        <f>PROPER(TRIM(CLEAN(Sales_Table[[#This Row],[Salesperson]])))</f>
        <v>Meena</v>
      </c>
      <c r="M1321" t="s">
        <v>40</v>
      </c>
      <c r="N1321" t="str">
        <f t="shared" si="143"/>
        <v>Credit Card</v>
      </c>
      <c r="O1321" t="s">
        <v>65</v>
      </c>
      <c r="P1321">
        <f t="shared" si="144"/>
        <v>11</v>
      </c>
      <c r="Q1321" t="s">
        <v>97</v>
      </c>
      <c r="R1321">
        <f t="shared" si="145"/>
        <v>1501</v>
      </c>
      <c r="S1321" t="s">
        <v>3179</v>
      </c>
      <c r="T1321">
        <f t="shared" si="146"/>
        <v>16511</v>
      </c>
      <c r="U1321">
        <f>YEAR(Sales_Table[[#This Row],[Date_clean]])</f>
        <v>2024</v>
      </c>
      <c r="V1321" t="str">
        <f>TEXT(Sales_Table[[#This Row],[Date_clean]],"mmmm")</f>
        <v>February</v>
      </c>
      <c r="W1321">
        <f>WEEKNUM(Sales_Table[[#This Row],[Date_clean]],2)</f>
        <v>8</v>
      </c>
      <c r="X1321" t="str" cm="1">
        <f t="array" ref="X1321">_xlfn.IFS(Sales_Table[[#This Row],[Revenue]]&gt;=50000,"High",Sales_Table[[#This Row],[Revenue]]&gt;=20000,"Medium",Sales_Table[[#This Row],[Revenue]]&lt;20000,"Low")</f>
        <v>Low</v>
      </c>
      <c r="Y1321" t="str">
        <f>IF(Sales_Table[[#This Row],[Payment Method_clean]]="cash","Offline","Online")</f>
        <v>Online</v>
      </c>
      <c r="Z1321">
        <f>IFERROR(Sales_Table[[#This Row],[Revenue]],0)</f>
        <v>16511</v>
      </c>
    </row>
    <row r="1322" spans="1:26" x14ac:dyDescent="0.3">
      <c r="A1322">
        <v>1321</v>
      </c>
      <c r="B1322" s="2">
        <f t="shared" si="140"/>
        <v>45347</v>
      </c>
      <c r="C1322" t="s">
        <v>3180</v>
      </c>
      <c r="D1322" t="s">
        <v>36</v>
      </c>
      <c r="E1322" t="str">
        <f>PROPER(TRIM(CLEAN(Sales_Table[[#This Row],[Region]])))</f>
        <v>West</v>
      </c>
      <c r="F1322" t="s">
        <v>37</v>
      </c>
      <c r="G1322" t="str">
        <f t="shared" si="141"/>
        <v>Home Appliances</v>
      </c>
      <c r="H1322" t="str">
        <f>PROPER(TRIM(CLEAN(Sales_Table[[#This Row],[Product Name]])))</f>
        <v>Washing Machine</v>
      </c>
      <c r="I1322" t="s">
        <v>79</v>
      </c>
      <c r="J1322" t="str">
        <f t="shared" si="142"/>
        <v>CUST0008</v>
      </c>
      <c r="K1322" t="s">
        <v>811</v>
      </c>
      <c r="L1322" t="str">
        <f>PROPER(TRIM(CLEAN(Sales_Table[[#This Row],[Salesperson]])))</f>
        <v>Meena</v>
      </c>
      <c r="M1322" t="s">
        <v>40</v>
      </c>
      <c r="N1322" t="str">
        <f t="shared" si="143"/>
        <v>Net Banking</v>
      </c>
      <c r="O1322" t="s">
        <v>60</v>
      </c>
      <c r="P1322">
        <f t="shared" si="144"/>
        <v>8</v>
      </c>
      <c r="Q1322" t="s">
        <v>42</v>
      </c>
      <c r="R1322">
        <f t="shared" si="145"/>
        <v>4833</v>
      </c>
      <c r="S1322" t="s">
        <v>3181</v>
      </c>
      <c r="T1322">
        <f t="shared" si="146"/>
        <v>38664</v>
      </c>
      <c r="U1322">
        <f>YEAR(Sales_Table[[#This Row],[Date_clean]])</f>
        <v>2024</v>
      </c>
      <c r="V1322" t="str">
        <f>TEXT(Sales_Table[[#This Row],[Date_clean]],"mmmm")</f>
        <v>February</v>
      </c>
      <c r="W1322">
        <f>WEEKNUM(Sales_Table[[#This Row],[Date_clean]],2)</f>
        <v>8</v>
      </c>
      <c r="X1322" t="str" cm="1">
        <f t="array" ref="X1322">_xlfn.IFS(Sales_Table[[#This Row],[Revenue]]&gt;=50000,"High",Sales_Table[[#This Row],[Revenue]]&gt;=20000,"Medium",Sales_Table[[#This Row],[Revenue]]&lt;20000,"Low")</f>
        <v>Medium</v>
      </c>
      <c r="Y1322" t="str">
        <f>IF(Sales_Table[[#This Row],[Payment Method_clean]]="cash","Offline","Online")</f>
        <v>Online</v>
      </c>
      <c r="Z1322">
        <f>IFERROR(Sales_Table[[#This Row],[Revenue]],0)</f>
        <v>38664</v>
      </c>
    </row>
    <row r="1323" spans="1:26" x14ac:dyDescent="0.3">
      <c r="A1323">
        <v>1322</v>
      </c>
      <c r="B1323" s="2">
        <f t="shared" si="140"/>
        <v>45347.041666666664</v>
      </c>
      <c r="C1323" t="s">
        <v>3182</v>
      </c>
      <c r="D1323" t="s">
        <v>27</v>
      </c>
      <c r="E1323" t="str">
        <f>PROPER(TRIM(CLEAN(Sales_Table[[#This Row],[Region]])))</f>
        <v>East</v>
      </c>
      <c r="F1323" t="s">
        <v>46</v>
      </c>
      <c r="G1323" t="str">
        <f t="shared" si="141"/>
        <v>Electronics</v>
      </c>
      <c r="H1323" t="str">
        <f>PROPER(TRIM(CLEAN(Sales_Table[[#This Row],[Product Name]])))</f>
        <v>Mixer Grinder</v>
      </c>
      <c r="I1323" t="s">
        <v>29</v>
      </c>
      <c r="J1323" t="str">
        <f t="shared" si="142"/>
        <v>CUST0029</v>
      </c>
      <c r="K1323" t="s">
        <v>813</v>
      </c>
      <c r="L1323" t="str">
        <f>PROPER(TRIM(CLEAN(Sales_Table[[#This Row],[Salesperson]])))</f>
        <v>Anita</v>
      </c>
      <c r="M1323" t="s">
        <v>64</v>
      </c>
      <c r="N1323" t="str">
        <f t="shared" si="143"/>
        <v>Net Banking</v>
      </c>
      <c r="O1323" t="s">
        <v>60</v>
      </c>
      <c r="P1323">
        <f t="shared" si="144"/>
        <v>7</v>
      </c>
      <c r="Q1323" t="s">
        <v>49</v>
      </c>
      <c r="R1323">
        <f t="shared" si="145"/>
        <v>1875</v>
      </c>
      <c r="S1323" t="s">
        <v>3183</v>
      </c>
      <c r="T1323">
        <f t="shared" si="146"/>
        <v>13125</v>
      </c>
      <c r="U1323">
        <f>YEAR(Sales_Table[[#This Row],[Date_clean]])</f>
        <v>2024</v>
      </c>
      <c r="V1323" t="str">
        <f>TEXT(Sales_Table[[#This Row],[Date_clean]],"mmmm")</f>
        <v>February</v>
      </c>
      <c r="W1323">
        <f>WEEKNUM(Sales_Table[[#This Row],[Date_clean]],2)</f>
        <v>8</v>
      </c>
      <c r="X1323" t="str" cm="1">
        <f t="array" ref="X1323">_xlfn.IFS(Sales_Table[[#This Row],[Revenue]]&gt;=50000,"High",Sales_Table[[#This Row],[Revenue]]&gt;=20000,"Medium",Sales_Table[[#This Row],[Revenue]]&lt;20000,"Low")</f>
        <v>Low</v>
      </c>
      <c r="Y1323" t="str">
        <f>IF(Sales_Table[[#This Row],[Payment Method_clean]]="cash","Offline","Online")</f>
        <v>Online</v>
      </c>
      <c r="Z1323">
        <f>IFERROR(Sales_Table[[#This Row],[Revenue]],0)</f>
        <v>13125</v>
      </c>
    </row>
    <row r="1324" spans="1:26" x14ac:dyDescent="0.3">
      <c r="A1324">
        <v>1323</v>
      </c>
      <c r="B1324" s="2">
        <f t="shared" si="140"/>
        <v>45347.083333333336</v>
      </c>
      <c r="C1324" t="s">
        <v>3184</v>
      </c>
      <c r="D1324" t="s">
        <v>45</v>
      </c>
      <c r="E1324" t="str">
        <f>PROPER(TRIM(CLEAN(Sales_Table[[#This Row],[Region]])))</f>
        <v>North</v>
      </c>
      <c r="F1324" t="s">
        <v>28</v>
      </c>
      <c r="G1324" t="str">
        <f t="shared" si="141"/>
        <v>Clothing</v>
      </c>
      <c r="H1324" t="str">
        <f>PROPER(TRIM(CLEAN(Sales_Table[[#This Row],[Product Name]])))</f>
        <v>Washing Machine</v>
      </c>
      <c r="I1324" t="s">
        <v>79</v>
      </c>
      <c r="J1324" t="str">
        <f t="shared" si="142"/>
        <v>CUST0112</v>
      </c>
      <c r="K1324" t="s">
        <v>748</v>
      </c>
      <c r="L1324" t="str">
        <f>PROPER(TRIM(CLEAN(Sales_Table[[#This Row],[Salesperson]])))</f>
        <v>Anita</v>
      </c>
      <c r="M1324" t="s">
        <v>64</v>
      </c>
      <c r="N1324" t="str">
        <f t="shared" si="143"/>
        <v>Cash</v>
      </c>
      <c r="O1324" t="s">
        <v>32</v>
      </c>
      <c r="P1324">
        <f t="shared" si="144"/>
        <v>4</v>
      </c>
      <c r="Q1324" t="s">
        <v>113</v>
      </c>
      <c r="R1324">
        <f t="shared" si="145"/>
        <v>3481</v>
      </c>
      <c r="S1324" t="s">
        <v>3185</v>
      </c>
      <c r="T1324">
        <f t="shared" si="146"/>
        <v>13924</v>
      </c>
      <c r="U1324">
        <f>YEAR(Sales_Table[[#This Row],[Date_clean]])</f>
        <v>2024</v>
      </c>
      <c r="V1324" t="str">
        <f>TEXT(Sales_Table[[#This Row],[Date_clean]],"mmmm")</f>
        <v>February</v>
      </c>
      <c r="W1324">
        <f>WEEKNUM(Sales_Table[[#This Row],[Date_clean]],2)</f>
        <v>8</v>
      </c>
      <c r="X1324" t="str" cm="1">
        <f t="array" ref="X1324">_xlfn.IFS(Sales_Table[[#This Row],[Revenue]]&gt;=50000,"High",Sales_Table[[#This Row],[Revenue]]&gt;=20000,"Medium",Sales_Table[[#This Row],[Revenue]]&lt;20000,"Low")</f>
        <v>Low</v>
      </c>
      <c r="Y1324" t="str">
        <f>IF(Sales_Table[[#This Row],[Payment Method_clean]]="cash","Offline","Online")</f>
        <v>Offline</v>
      </c>
      <c r="Z1324">
        <f>IFERROR(Sales_Table[[#This Row],[Revenue]],0)</f>
        <v>13924</v>
      </c>
    </row>
    <row r="1325" spans="1:26" x14ac:dyDescent="0.3">
      <c r="A1325">
        <v>1324</v>
      </c>
      <c r="B1325" s="2">
        <f t="shared" si="140"/>
        <v>45347.125</v>
      </c>
      <c r="C1325" t="s">
        <v>3186</v>
      </c>
      <c r="D1325" t="s">
        <v>84</v>
      </c>
      <c r="E1325" t="str">
        <f>PROPER(TRIM(CLEAN(Sales_Table[[#This Row],[Region]])))</f>
        <v>South</v>
      </c>
      <c r="F1325" t="s">
        <v>46</v>
      </c>
      <c r="G1325" t="str">
        <f t="shared" si="141"/>
        <v>Electronics</v>
      </c>
      <c r="H1325" t="str">
        <f>PROPER(TRIM(CLEAN(Sales_Table[[#This Row],[Product Name]])))</f>
        <v>Men T-Shirt</v>
      </c>
      <c r="I1325" t="s">
        <v>38</v>
      </c>
      <c r="J1325" t="str">
        <f t="shared" si="142"/>
        <v>CUST0673</v>
      </c>
      <c r="K1325" t="s">
        <v>3187</v>
      </c>
      <c r="L1325" t="str">
        <f>PROPER(TRIM(CLEAN(Sales_Table[[#This Row],[Salesperson]])))</f>
        <v>Anita</v>
      </c>
      <c r="M1325" t="s">
        <v>64</v>
      </c>
      <c r="N1325" t="str">
        <f t="shared" si="143"/>
        <v>Debit Card</v>
      </c>
      <c r="O1325" t="s">
        <v>41</v>
      </c>
      <c r="P1325">
        <f t="shared" si="144"/>
        <v>6</v>
      </c>
      <c r="Q1325" t="s">
        <v>75</v>
      </c>
      <c r="R1325">
        <f t="shared" si="145"/>
        <v>4150</v>
      </c>
      <c r="S1325" t="s">
        <v>2442</v>
      </c>
      <c r="T1325">
        <f t="shared" si="146"/>
        <v>24900</v>
      </c>
      <c r="U1325">
        <f>YEAR(Sales_Table[[#This Row],[Date_clean]])</f>
        <v>2024</v>
      </c>
      <c r="V1325" t="str">
        <f>TEXT(Sales_Table[[#This Row],[Date_clean]],"mmmm")</f>
        <v>February</v>
      </c>
      <c r="W1325">
        <f>WEEKNUM(Sales_Table[[#This Row],[Date_clean]],2)</f>
        <v>8</v>
      </c>
      <c r="X1325" t="str" cm="1">
        <f t="array" ref="X1325">_xlfn.IFS(Sales_Table[[#This Row],[Revenue]]&gt;=50000,"High",Sales_Table[[#This Row],[Revenue]]&gt;=20000,"Medium",Sales_Table[[#This Row],[Revenue]]&lt;20000,"Low")</f>
        <v>Medium</v>
      </c>
      <c r="Y1325" t="str">
        <f>IF(Sales_Table[[#This Row],[Payment Method_clean]]="cash","Offline","Online")</f>
        <v>Online</v>
      </c>
      <c r="Z1325">
        <f>IFERROR(Sales_Table[[#This Row],[Revenue]],0)</f>
        <v>24900</v>
      </c>
    </row>
    <row r="1326" spans="1:26" x14ac:dyDescent="0.3">
      <c r="A1326">
        <v>1325</v>
      </c>
      <c r="B1326" s="2">
        <f t="shared" si="140"/>
        <v>45347.166666666664</v>
      </c>
      <c r="C1326" t="s">
        <v>3188</v>
      </c>
      <c r="D1326" t="s">
        <v>45</v>
      </c>
      <c r="E1326" t="str">
        <f>PROPER(TRIM(CLEAN(Sales_Table[[#This Row],[Region]])))</f>
        <v>North</v>
      </c>
      <c r="F1326" t="s">
        <v>28</v>
      </c>
      <c r="G1326" t="str">
        <f t="shared" si="141"/>
        <v>Clothing</v>
      </c>
      <c r="H1326" t="str">
        <f>PROPER(TRIM(CLEAN(Sales_Table[[#This Row],[Product Name]])))</f>
        <v>Men T-Shirt</v>
      </c>
      <c r="I1326" t="s">
        <v>38</v>
      </c>
      <c r="J1326" t="str">
        <f t="shared" si="142"/>
        <v>CUST0131</v>
      </c>
      <c r="K1326" t="s">
        <v>3189</v>
      </c>
      <c r="L1326" t="str">
        <f>PROPER(TRIM(CLEAN(Sales_Table[[#This Row],[Salesperson]])))</f>
        <v>Suresh</v>
      </c>
      <c r="M1326" t="s">
        <v>54</v>
      </c>
      <c r="N1326" t="str">
        <f t="shared" si="143"/>
        <v>Debit Card</v>
      </c>
      <c r="O1326" t="s">
        <v>41</v>
      </c>
      <c r="P1326">
        <f t="shared" si="144"/>
        <v>4</v>
      </c>
      <c r="Q1326" t="s">
        <v>113</v>
      </c>
      <c r="R1326">
        <f t="shared" si="145"/>
        <v>3560</v>
      </c>
      <c r="S1326" t="s">
        <v>528</v>
      </c>
      <c r="T1326">
        <f t="shared" si="146"/>
        <v>14240</v>
      </c>
      <c r="U1326">
        <f>YEAR(Sales_Table[[#This Row],[Date_clean]])</f>
        <v>2024</v>
      </c>
      <c r="V1326" t="str">
        <f>TEXT(Sales_Table[[#This Row],[Date_clean]],"mmmm")</f>
        <v>February</v>
      </c>
      <c r="W1326">
        <f>WEEKNUM(Sales_Table[[#This Row],[Date_clean]],2)</f>
        <v>8</v>
      </c>
      <c r="X1326" t="str" cm="1">
        <f t="array" ref="X1326">_xlfn.IFS(Sales_Table[[#This Row],[Revenue]]&gt;=50000,"High",Sales_Table[[#This Row],[Revenue]]&gt;=20000,"Medium",Sales_Table[[#This Row],[Revenue]]&lt;20000,"Low")</f>
        <v>Low</v>
      </c>
      <c r="Y1326" t="str">
        <f>IF(Sales_Table[[#This Row],[Payment Method_clean]]="cash","Offline","Online")</f>
        <v>Online</v>
      </c>
      <c r="Z1326">
        <f>IFERROR(Sales_Table[[#This Row],[Revenue]],0)</f>
        <v>14240</v>
      </c>
    </row>
    <row r="1327" spans="1:26" x14ac:dyDescent="0.3">
      <c r="A1327">
        <v>1326</v>
      </c>
      <c r="B1327" s="2">
        <f t="shared" si="140"/>
        <v>45347.208333333336</v>
      </c>
      <c r="C1327" t="s">
        <v>3190</v>
      </c>
      <c r="D1327" t="s">
        <v>45</v>
      </c>
      <c r="E1327" t="str">
        <f>PROPER(TRIM(CLEAN(Sales_Table[[#This Row],[Region]])))</f>
        <v>North</v>
      </c>
      <c r="F1327" t="s">
        <v>46</v>
      </c>
      <c r="G1327" t="str">
        <f t="shared" si="141"/>
        <v>Electronics</v>
      </c>
      <c r="H1327" t="str">
        <f>PROPER(TRIM(CLEAN(Sales_Table[[#This Row],[Product Name]])))</f>
        <v>Washing Machine</v>
      </c>
      <c r="I1327" t="s">
        <v>79</v>
      </c>
      <c r="J1327" t="str">
        <f t="shared" si="142"/>
        <v>CUST0188</v>
      </c>
      <c r="K1327" t="s">
        <v>1217</v>
      </c>
      <c r="L1327" t="str">
        <f>PROPER(TRIM(CLEAN(Sales_Table[[#This Row],[Salesperson]])))</f>
        <v>Anita</v>
      </c>
      <c r="M1327" t="s">
        <v>64</v>
      </c>
      <c r="N1327" t="str">
        <f t="shared" si="143"/>
        <v>Cash</v>
      </c>
      <c r="O1327" t="s">
        <v>32</v>
      </c>
      <c r="P1327">
        <f t="shared" si="144"/>
        <v>14</v>
      </c>
      <c r="Q1327" t="s">
        <v>55</v>
      </c>
      <c r="R1327">
        <f t="shared" si="145"/>
        <v>1980</v>
      </c>
      <c r="S1327" t="s">
        <v>3191</v>
      </c>
      <c r="T1327">
        <f t="shared" si="146"/>
        <v>27720</v>
      </c>
      <c r="U1327">
        <f>YEAR(Sales_Table[[#This Row],[Date_clean]])</f>
        <v>2024</v>
      </c>
      <c r="V1327" t="str">
        <f>TEXT(Sales_Table[[#This Row],[Date_clean]],"mmmm")</f>
        <v>February</v>
      </c>
      <c r="W1327">
        <f>WEEKNUM(Sales_Table[[#This Row],[Date_clean]],2)</f>
        <v>8</v>
      </c>
      <c r="X1327" t="str" cm="1">
        <f t="array" ref="X1327">_xlfn.IFS(Sales_Table[[#This Row],[Revenue]]&gt;=50000,"High",Sales_Table[[#This Row],[Revenue]]&gt;=20000,"Medium",Sales_Table[[#This Row],[Revenue]]&lt;20000,"Low")</f>
        <v>Medium</v>
      </c>
      <c r="Y1327" t="str">
        <f>IF(Sales_Table[[#This Row],[Payment Method_clean]]="cash","Offline","Online")</f>
        <v>Offline</v>
      </c>
      <c r="Z1327">
        <f>IFERROR(Sales_Table[[#This Row],[Revenue]],0)</f>
        <v>27720</v>
      </c>
    </row>
    <row r="1328" spans="1:26" x14ac:dyDescent="0.3">
      <c r="A1328">
        <v>1327</v>
      </c>
      <c r="B1328" s="2">
        <f t="shared" si="140"/>
        <v>45347.25</v>
      </c>
      <c r="C1328" t="s">
        <v>3192</v>
      </c>
      <c r="D1328" t="s">
        <v>45</v>
      </c>
      <c r="E1328" t="str">
        <f>PROPER(TRIM(CLEAN(Sales_Table[[#This Row],[Region]])))</f>
        <v>North</v>
      </c>
      <c r="F1328" t="s">
        <v>28</v>
      </c>
      <c r="G1328" t="str">
        <f t="shared" si="141"/>
        <v>Clothing</v>
      </c>
      <c r="H1328" t="str">
        <f>PROPER(TRIM(CLEAN(Sales_Table[[#This Row],[Product Name]])))</f>
        <v>Men T-Shirt</v>
      </c>
      <c r="I1328" t="s">
        <v>38</v>
      </c>
      <c r="J1328" t="str">
        <f t="shared" si="142"/>
        <v>CUST0675</v>
      </c>
      <c r="K1328" t="s">
        <v>399</v>
      </c>
      <c r="L1328" t="str">
        <f>PROPER(TRIM(CLEAN(Sales_Table[[#This Row],[Salesperson]])))</f>
        <v>Karthik</v>
      </c>
      <c r="M1328" t="s">
        <v>70</v>
      </c>
      <c r="N1328" t="str">
        <f t="shared" si="143"/>
        <v>Net Banking</v>
      </c>
      <c r="O1328" t="s">
        <v>60</v>
      </c>
      <c r="P1328">
        <f t="shared" si="144"/>
        <v>7</v>
      </c>
      <c r="Q1328" t="s">
        <v>49</v>
      </c>
      <c r="R1328">
        <f t="shared" si="145"/>
        <v>3935</v>
      </c>
      <c r="S1328" t="s">
        <v>3193</v>
      </c>
      <c r="T1328">
        <f t="shared" si="146"/>
        <v>27545</v>
      </c>
      <c r="U1328">
        <f>YEAR(Sales_Table[[#This Row],[Date_clean]])</f>
        <v>2024</v>
      </c>
      <c r="V1328" t="str">
        <f>TEXT(Sales_Table[[#This Row],[Date_clean]],"mmmm")</f>
        <v>February</v>
      </c>
      <c r="W1328">
        <f>WEEKNUM(Sales_Table[[#This Row],[Date_clean]],2)</f>
        <v>8</v>
      </c>
      <c r="X1328" t="str" cm="1">
        <f t="array" ref="X1328">_xlfn.IFS(Sales_Table[[#This Row],[Revenue]]&gt;=50000,"High",Sales_Table[[#This Row],[Revenue]]&gt;=20000,"Medium",Sales_Table[[#This Row],[Revenue]]&lt;20000,"Low")</f>
        <v>Medium</v>
      </c>
      <c r="Y1328" t="str">
        <f>IF(Sales_Table[[#This Row],[Payment Method_clean]]="cash","Offline","Online")</f>
        <v>Online</v>
      </c>
      <c r="Z1328">
        <f>IFERROR(Sales_Table[[#This Row],[Revenue]],0)</f>
        <v>27545</v>
      </c>
    </row>
    <row r="1329" spans="1:26" x14ac:dyDescent="0.3">
      <c r="A1329">
        <v>1328</v>
      </c>
      <c r="B1329" s="2">
        <f t="shared" si="140"/>
        <v>45347.291666666664</v>
      </c>
      <c r="C1329" t="s">
        <v>3194</v>
      </c>
      <c r="D1329" t="s">
        <v>45</v>
      </c>
      <c r="E1329" t="str">
        <f>PROPER(TRIM(CLEAN(Sales_Table[[#This Row],[Region]])))</f>
        <v>North</v>
      </c>
      <c r="F1329" t="s">
        <v>28</v>
      </c>
      <c r="G1329" t="str">
        <f t="shared" si="141"/>
        <v>Clothing</v>
      </c>
      <c r="H1329" t="str">
        <f>PROPER(TRIM(CLEAN(Sales_Table[[#This Row],[Product Name]])))</f>
        <v>Mixer Grinder</v>
      </c>
      <c r="I1329" t="s">
        <v>29</v>
      </c>
      <c r="J1329" t="str">
        <f t="shared" si="142"/>
        <v>CUST0709</v>
      </c>
      <c r="K1329" t="s">
        <v>569</v>
      </c>
      <c r="L1329" t="str">
        <f>PROPER(TRIM(CLEAN(Sales_Table[[#This Row],[Salesperson]])))</f>
        <v>Meena</v>
      </c>
      <c r="M1329" t="s">
        <v>40</v>
      </c>
      <c r="N1329" t="str">
        <f t="shared" si="143"/>
        <v>Net Banking</v>
      </c>
      <c r="O1329" t="s">
        <v>60</v>
      </c>
      <c r="P1329">
        <f t="shared" si="144"/>
        <v>12</v>
      </c>
      <c r="Q1329" t="s">
        <v>33</v>
      </c>
      <c r="R1329">
        <f t="shared" si="145"/>
        <v>4378</v>
      </c>
      <c r="S1329" t="s">
        <v>3195</v>
      </c>
      <c r="T1329">
        <f t="shared" si="146"/>
        <v>52536</v>
      </c>
      <c r="U1329">
        <f>YEAR(Sales_Table[[#This Row],[Date_clean]])</f>
        <v>2024</v>
      </c>
      <c r="V1329" t="str">
        <f>TEXT(Sales_Table[[#This Row],[Date_clean]],"mmmm")</f>
        <v>February</v>
      </c>
      <c r="W1329">
        <f>WEEKNUM(Sales_Table[[#This Row],[Date_clean]],2)</f>
        <v>8</v>
      </c>
      <c r="X1329" t="str" cm="1">
        <f t="array" ref="X1329">_xlfn.IFS(Sales_Table[[#This Row],[Revenue]]&gt;=50000,"High",Sales_Table[[#This Row],[Revenue]]&gt;=20000,"Medium",Sales_Table[[#This Row],[Revenue]]&lt;20000,"Low")</f>
        <v>High</v>
      </c>
      <c r="Y1329" t="str">
        <f>IF(Sales_Table[[#This Row],[Payment Method_clean]]="cash","Offline","Online")</f>
        <v>Online</v>
      </c>
      <c r="Z1329">
        <f>IFERROR(Sales_Table[[#This Row],[Revenue]],0)</f>
        <v>52536</v>
      </c>
    </row>
    <row r="1330" spans="1:26" x14ac:dyDescent="0.3">
      <c r="A1330">
        <v>1329</v>
      </c>
      <c r="B1330" s="2">
        <f t="shared" si="140"/>
        <v>45347.333333333336</v>
      </c>
      <c r="C1330" t="s">
        <v>3196</v>
      </c>
      <c r="D1330" t="s">
        <v>84</v>
      </c>
      <c r="E1330" t="str">
        <f>PROPER(TRIM(CLEAN(Sales_Table[[#This Row],[Region]])))</f>
        <v>South</v>
      </c>
      <c r="F1330" t="s">
        <v>46</v>
      </c>
      <c r="G1330" t="str">
        <f t="shared" si="141"/>
        <v>Electronics</v>
      </c>
      <c r="H1330" t="str">
        <f>PROPER(TRIM(CLEAN(Sales_Table[[#This Row],[Product Name]])))</f>
        <v>Led Tv 42Inch</v>
      </c>
      <c r="I1330" t="s">
        <v>58</v>
      </c>
      <c r="J1330" t="str">
        <f t="shared" si="142"/>
        <v>CUST0475</v>
      </c>
      <c r="K1330" t="s">
        <v>3197</v>
      </c>
      <c r="L1330" t="str">
        <f>PROPER(TRIM(CLEAN(Sales_Table[[#This Row],[Salesperson]])))</f>
        <v>Karthik</v>
      </c>
      <c r="M1330" t="s">
        <v>70</v>
      </c>
      <c r="N1330" t="str">
        <f t="shared" si="143"/>
        <v>Debit Card</v>
      </c>
      <c r="O1330" t="s">
        <v>41</v>
      </c>
      <c r="P1330">
        <f t="shared" si="144"/>
        <v>13</v>
      </c>
      <c r="Q1330" t="s">
        <v>81</v>
      </c>
      <c r="R1330">
        <f t="shared" si="145"/>
        <v>1944</v>
      </c>
      <c r="S1330" t="s">
        <v>1742</v>
      </c>
      <c r="T1330">
        <f t="shared" si="146"/>
        <v>25272</v>
      </c>
      <c r="U1330">
        <f>YEAR(Sales_Table[[#This Row],[Date_clean]])</f>
        <v>2024</v>
      </c>
      <c r="V1330" t="str">
        <f>TEXT(Sales_Table[[#This Row],[Date_clean]],"mmmm")</f>
        <v>February</v>
      </c>
      <c r="W1330">
        <f>WEEKNUM(Sales_Table[[#This Row],[Date_clean]],2)</f>
        <v>8</v>
      </c>
      <c r="X1330" t="str" cm="1">
        <f t="array" ref="X1330">_xlfn.IFS(Sales_Table[[#This Row],[Revenue]]&gt;=50000,"High",Sales_Table[[#This Row],[Revenue]]&gt;=20000,"Medium",Sales_Table[[#This Row],[Revenue]]&lt;20000,"Low")</f>
        <v>Medium</v>
      </c>
      <c r="Y1330" t="str">
        <f>IF(Sales_Table[[#This Row],[Payment Method_clean]]="cash","Offline","Online")</f>
        <v>Online</v>
      </c>
      <c r="Z1330">
        <f>IFERROR(Sales_Table[[#This Row],[Revenue]],0)</f>
        <v>25272</v>
      </c>
    </row>
    <row r="1331" spans="1:26" x14ac:dyDescent="0.3">
      <c r="A1331">
        <v>1330</v>
      </c>
      <c r="B1331" s="2">
        <f t="shared" si="140"/>
        <v>45347.375</v>
      </c>
      <c r="C1331" t="s">
        <v>3198</v>
      </c>
      <c r="D1331" t="s">
        <v>45</v>
      </c>
      <c r="E1331" t="str">
        <f>PROPER(TRIM(CLEAN(Sales_Table[[#This Row],[Region]])))</f>
        <v>North</v>
      </c>
      <c r="F1331" t="s">
        <v>37</v>
      </c>
      <c r="G1331" t="str">
        <f t="shared" si="141"/>
        <v>Home Appliances</v>
      </c>
      <c r="H1331" t="str">
        <f>PROPER(TRIM(CLEAN(Sales_Table[[#This Row],[Product Name]])))</f>
        <v>Men T-Shirt</v>
      </c>
      <c r="I1331" t="s">
        <v>38</v>
      </c>
      <c r="J1331" t="str">
        <f t="shared" si="142"/>
        <v>CUST0364</v>
      </c>
      <c r="K1331" t="s">
        <v>928</v>
      </c>
      <c r="L1331" t="str">
        <f>PROPER(TRIM(CLEAN(Sales_Table[[#This Row],[Salesperson]])))</f>
        <v>Anita</v>
      </c>
      <c r="M1331" t="s">
        <v>64</v>
      </c>
      <c r="N1331" t="str">
        <f t="shared" si="143"/>
        <v>Credit Card</v>
      </c>
      <c r="O1331" t="s">
        <v>65</v>
      </c>
      <c r="P1331">
        <f t="shared" si="144"/>
        <v>12</v>
      </c>
      <c r="Q1331" t="s">
        <v>33</v>
      </c>
      <c r="R1331">
        <f t="shared" si="145"/>
        <v>3477</v>
      </c>
      <c r="S1331" t="s">
        <v>1266</v>
      </c>
      <c r="T1331">
        <f t="shared" si="146"/>
        <v>41724</v>
      </c>
      <c r="U1331">
        <f>YEAR(Sales_Table[[#This Row],[Date_clean]])</f>
        <v>2024</v>
      </c>
      <c r="V1331" t="str">
        <f>TEXT(Sales_Table[[#This Row],[Date_clean]],"mmmm")</f>
        <v>February</v>
      </c>
      <c r="W1331">
        <f>WEEKNUM(Sales_Table[[#This Row],[Date_clean]],2)</f>
        <v>8</v>
      </c>
      <c r="X1331" t="str" cm="1">
        <f t="array" ref="X1331">_xlfn.IFS(Sales_Table[[#This Row],[Revenue]]&gt;=50000,"High",Sales_Table[[#This Row],[Revenue]]&gt;=20000,"Medium",Sales_Table[[#This Row],[Revenue]]&lt;20000,"Low")</f>
        <v>Medium</v>
      </c>
      <c r="Y1331" t="str">
        <f>IF(Sales_Table[[#This Row],[Payment Method_clean]]="cash","Offline","Online")</f>
        <v>Online</v>
      </c>
      <c r="Z1331">
        <f>IFERROR(Sales_Table[[#This Row],[Revenue]],0)</f>
        <v>41724</v>
      </c>
    </row>
    <row r="1332" spans="1:26" x14ac:dyDescent="0.3">
      <c r="A1332">
        <v>1331</v>
      </c>
      <c r="B1332" s="2">
        <f t="shared" si="140"/>
        <v>45347.416666666664</v>
      </c>
      <c r="C1332" t="s">
        <v>3199</v>
      </c>
      <c r="D1332" t="s">
        <v>84</v>
      </c>
      <c r="E1332" t="str">
        <f>PROPER(TRIM(CLEAN(Sales_Table[[#This Row],[Region]])))</f>
        <v>South</v>
      </c>
      <c r="F1332" t="s">
        <v>78</v>
      </c>
      <c r="G1332" t="str">
        <f t="shared" si="141"/>
        <v>Grocery</v>
      </c>
      <c r="H1332" t="str">
        <f>PROPER(TRIM(CLEAN(Sales_Table[[#This Row],[Product Name]])))</f>
        <v>Men T-Shirt</v>
      </c>
      <c r="I1332" t="s">
        <v>38</v>
      </c>
      <c r="J1332" t="str">
        <f t="shared" si="142"/>
        <v>CUST0204</v>
      </c>
      <c r="K1332" t="s">
        <v>367</v>
      </c>
      <c r="L1332" t="str">
        <f>PROPER(TRIM(CLEAN(Sales_Table[[#This Row],[Salesperson]])))</f>
        <v>Suresh</v>
      </c>
      <c r="M1332" t="s">
        <v>54</v>
      </c>
      <c r="N1332" t="str">
        <f t="shared" si="143"/>
        <v>Upi</v>
      </c>
      <c r="O1332" t="s">
        <v>48</v>
      </c>
      <c r="P1332">
        <f t="shared" si="144"/>
        <v>13</v>
      </c>
      <c r="Q1332" t="s">
        <v>81</v>
      </c>
      <c r="R1332">
        <f t="shared" si="145"/>
        <v>171</v>
      </c>
      <c r="S1332" t="s">
        <v>3200</v>
      </c>
      <c r="T1332">
        <f t="shared" si="146"/>
        <v>2223</v>
      </c>
      <c r="U1332">
        <f>YEAR(Sales_Table[[#This Row],[Date_clean]])</f>
        <v>2024</v>
      </c>
      <c r="V1332" t="str">
        <f>TEXT(Sales_Table[[#This Row],[Date_clean]],"mmmm")</f>
        <v>February</v>
      </c>
      <c r="W1332">
        <f>WEEKNUM(Sales_Table[[#This Row],[Date_clean]],2)</f>
        <v>8</v>
      </c>
      <c r="X1332" t="str" cm="1">
        <f t="array" ref="X1332">_xlfn.IFS(Sales_Table[[#This Row],[Revenue]]&gt;=50000,"High",Sales_Table[[#This Row],[Revenue]]&gt;=20000,"Medium",Sales_Table[[#This Row],[Revenue]]&lt;20000,"Low")</f>
        <v>Low</v>
      </c>
      <c r="Y1332" t="str">
        <f>IF(Sales_Table[[#This Row],[Payment Method_clean]]="cash","Offline","Online")</f>
        <v>Online</v>
      </c>
      <c r="Z1332">
        <f>IFERROR(Sales_Table[[#This Row],[Revenue]],0)</f>
        <v>2223</v>
      </c>
    </row>
    <row r="1333" spans="1:26" x14ac:dyDescent="0.3">
      <c r="A1333">
        <v>1332</v>
      </c>
      <c r="B1333" s="2">
        <f t="shared" si="140"/>
        <v>45347.458333333336</v>
      </c>
      <c r="C1333" t="s">
        <v>3201</v>
      </c>
      <c r="D1333" t="s">
        <v>84</v>
      </c>
      <c r="E1333" t="str">
        <f>PROPER(TRIM(CLEAN(Sales_Table[[#This Row],[Region]])))</f>
        <v>South</v>
      </c>
      <c r="F1333" t="s">
        <v>37</v>
      </c>
      <c r="G1333" t="str">
        <f t="shared" si="141"/>
        <v>Home Appliances</v>
      </c>
      <c r="H1333" t="str">
        <f>PROPER(TRIM(CLEAN(Sales_Table[[#This Row],[Product Name]])))</f>
        <v>Washing Machine</v>
      </c>
      <c r="I1333" t="s">
        <v>79</v>
      </c>
      <c r="J1333" t="str">
        <f t="shared" si="142"/>
        <v>CUST0212</v>
      </c>
      <c r="K1333" t="s">
        <v>865</v>
      </c>
      <c r="L1333" t="str">
        <f>PROPER(TRIM(CLEAN(Sales_Table[[#This Row],[Salesperson]])))</f>
        <v>Suresh</v>
      </c>
      <c r="M1333" t="s">
        <v>54</v>
      </c>
      <c r="N1333" t="str">
        <f t="shared" si="143"/>
        <v>Credit Card</v>
      </c>
      <c r="O1333" t="s">
        <v>65</v>
      </c>
      <c r="P1333">
        <f t="shared" si="144"/>
        <v>13</v>
      </c>
      <c r="Q1333" t="s">
        <v>81</v>
      </c>
      <c r="R1333">
        <f t="shared" si="145"/>
        <v>1776</v>
      </c>
      <c r="S1333" t="s">
        <v>3202</v>
      </c>
      <c r="T1333">
        <f t="shared" si="146"/>
        <v>23088</v>
      </c>
      <c r="U1333">
        <f>YEAR(Sales_Table[[#This Row],[Date_clean]])</f>
        <v>2024</v>
      </c>
      <c r="V1333" t="str">
        <f>TEXT(Sales_Table[[#This Row],[Date_clean]],"mmmm")</f>
        <v>February</v>
      </c>
      <c r="W1333">
        <f>WEEKNUM(Sales_Table[[#This Row],[Date_clean]],2)</f>
        <v>8</v>
      </c>
      <c r="X1333" t="str" cm="1">
        <f t="array" ref="X1333">_xlfn.IFS(Sales_Table[[#This Row],[Revenue]]&gt;=50000,"High",Sales_Table[[#This Row],[Revenue]]&gt;=20000,"Medium",Sales_Table[[#This Row],[Revenue]]&lt;20000,"Low")</f>
        <v>Medium</v>
      </c>
      <c r="Y1333" t="str">
        <f>IF(Sales_Table[[#This Row],[Payment Method_clean]]="cash","Offline","Online")</f>
        <v>Online</v>
      </c>
      <c r="Z1333">
        <f>IFERROR(Sales_Table[[#This Row],[Revenue]],0)</f>
        <v>23088</v>
      </c>
    </row>
    <row r="1334" spans="1:26" x14ac:dyDescent="0.3">
      <c r="A1334">
        <v>1333</v>
      </c>
      <c r="B1334" s="2">
        <f t="shared" si="140"/>
        <v>45347.5</v>
      </c>
      <c r="C1334" t="s">
        <v>3203</v>
      </c>
      <c r="D1334" t="s">
        <v>27</v>
      </c>
      <c r="E1334" t="str">
        <f>PROPER(TRIM(CLEAN(Sales_Table[[#This Row],[Region]])))</f>
        <v>East</v>
      </c>
      <c r="F1334" t="s">
        <v>46</v>
      </c>
      <c r="G1334" t="str">
        <f t="shared" si="141"/>
        <v>Electronics</v>
      </c>
      <c r="H1334" t="str">
        <f>PROPER(TRIM(CLEAN(Sales_Table[[#This Row],[Product Name]])))</f>
        <v>Mixer Grinder</v>
      </c>
      <c r="I1334" t="s">
        <v>29</v>
      </c>
      <c r="J1334" t="str">
        <f t="shared" si="142"/>
        <v>CUST0621</v>
      </c>
      <c r="K1334" t="s">
        <v>3204</v>
      </c>
      <c r="L1334" t="str">
        <f>PROPER(TRIM(CLEAN(Sales_Table[[#This Row],[Salesperson]])))</f>
        <v>Meena</v>
      </c>
      <c r="M1334" t="s">
        <v>40</v>
      </c>
      <c r="N1334" t="str">
        <f t="shared" si="143"/>
        <v>Net Banking</v>
      </c>
      <c r="O1334" t="s">
        <v>60</v>
      </c>
      <c r="P1334">
        <f t="shared" si="144"/>
        <v>11</v>
      </c>
      <c r="Q1334" t="s">
        <v>97</v>
      </c>
      <c r="R1334">
        <f t="shared" si="145"/>
        <v>1395</v>
      </c>
      <c r="S1334" t="s">
        <v>1979</v>
      </c>
      <c r="T1334">
        <f t="shared" si="146"/>
        <v>15345</v>
      </c>
      <c r="U1334">
        <f>YEAR(Sales_Table[[#This Row],[Date_clean]])</f>
        <v>2024</v>
      </c>
      <c r="V1334" t="str">
        <f>TEXT(Sales_Table[[#This Row],[Date_clean]],"mmmm")</f>
        <v>February</v>
      </c>
      <c r="W1334">
        <f>WEEKNUM(Sales_Table[[#This Row],[Date_clean]],2)</f>
        <v>8</v>
      </c>
      <c r="X1334" t="str" cm="1">
        <f t="array" ref="X1334">_xlfn.IFS(Sales_Table[[#This Row],[Revenue]]&gt;=50000,"High",Sales_Table[[#This Row],[Revenue]]&gt;=20000,"Medium",Sales_Table[[#This Row],[Revenue]]&lt;20000,"Low")</f>
        <v>Low</v>
      </c>
      <c r="Y1334" t="str">
        <f>IF(Sales_Table[[#This Row],[Payment Method_clean]]="cash","Offline","Online")</f>
        <v>Online</v>
      </c>
      <c r="Z1334">
        <f>IFERROR(Sales_Table[[#This Row],[Revenue]],0)</f>
        <v>15345</v>
      </c>
    </row>
    <row r="1335" spans="1:26" x14ac:dyDescent="0.3">
      <c r="A1335">
        <v>1334</v>
      </c>
      <c r="B1335" s="2">
        <f t="shared" si="140"/>
        <v>45347.541666666664</v>
      </c>
      <c r="C1335" t="s">
        <v>3205</v>
      </c>
      <c r="D1335" t="s">
        <v>36</v>
      </c>
      <c r="E1335" t="str">
        <f>PROPER(TRIM(CLEAN(Sales_Table[[#This Row],[Region]])))</f>
        <v>West</v>
      </c>
      <c r="F1335" t="s">
        <v>37</v>
      </c>
      <c r="G1335" t="str">
        <f t="shared" si="141"/>
        <v>Home Appliances</v>
      </c>
      <c r="H1335" t="str">
        <f>PROPER(TRIM(CLEAN(Sales_Table[[#This Row],[Product Name]])))</f>
        <v>Led Tv 42Inch</v>
      </c>
      <c r="I1335" t="s">
        <v>58</v>
      </c>
      <c r="J1335" t="str">
        <f t="shared" si="142"/>
        <v>CUST0276</v>
      </c>
      <c r="K1335" t="s">
        <v>470</v>
      </c>
      <c r="L1335" t="str">
        <f>PROPER(TRIM(CLEAN(Sales_Table[[#This Row],[Salesperson]])))</f>
        <v>Karthik</v>
      </c>
      <c r="M1335" t="s">
        <v>70</v>
      </c>
      <c r="N1335" t="str">
        <f t="shared" si="143"/>
        <v>Credit Card</v>
      </c>
      <c r="O1335" t="s">
        <v>65</v>
      </c>
      <c r="P1335">
        <f t="shared" si="144"/>
        <v>14</v>
      </c>
      <c r="Q1335" t="s">
        <v>55</v>
      </c>
      <c r="R1335">
        <f t="shared" si="145"/>
        <v>1143</v>
      </c>
      <c r="S1335" t="s">
        <v>3206</v>
      </c>
      <c r="T1335">
        <f t="shared" si="146"/>
        <v>16002</v>
      </c>
      <c r="U1335">
        <f>YEAR(Sales_Table[[#This Row],[Date_clean]])</f>
        <v>2024</v>
      </c>
      <c r="V1335" t="str">
        <f>TEXT(Sales_Table[[#This Row],[Date_clean]],"mmmm")</f>
        <v>February</v>
      </c>
      <c r="W1335">
        <f>WEEKNUM(Sales_Table[[#This Row],[Date_clean]],2)</f>
        <v>8</v>
      </c>
      <c r="X1335" t="str" cm="1">
        <f t="array" ref="X1335">_xlfn.IFS(Sales_Table[[#This Row],[Revenue]]&gt;=50000,"High",Sales_Table[[#This Row],[Revenue]]&gt;=20000,"Medium",Sales_Table[[#This Row],[Revenue]]&lt;20000,"Low")</f>
        <v>Low</v>
      </c>
      <c r="Y1335" t="str">
        <f>IF(Sales_Table[[#This Row],[Payment Method_clean]]="cash","Offline","Online")</f>
        <v>Online</v>
      </c>
      <c r="Z1335">
        <f>IFERROR(Sales_Table[[#This Row],[Revenue]],0)</f>
        <v>16002</v>
      </c>
    </row>
    <row r="1336" spans="1:26" x14ac:dyDescent="0.3">
      <c r="A1336">
        <v>1335</v>
      </c>
      <c r="B1336" s="2">
        <f t="shared" si="140"/>
        <v>45347.583333333336</v>
      </c>
      <c r="C1336" t="s">
        <v>3207</v>
      </c>
      <c r="D1336" t="s">
        <v>36</v>
      </c>
      <c r="E1336" t="str">
        <f>PROPER(TRIM(CLEAN(Sales_Table[[#This Row],[Region]])))</f>
        <v>West</v>
      </c>
      <c r="F1336" t="s">
        <v>28</v>
      </c>
      <c r="G1336" t="str">
        <f t="shared" si="141"/>
        <v>Clothing</v>
      </c>
      <c r="H1336" t="str">
        <f>PROPER(TRIM(CLEAN(Sales_Table[[#This Row],[Product Name]])))</f>
        <v>Washing Machine</v>
      </c>
      <c r="I1336" t="s">
        <v>79</v>
      </c>
      <c r="J1336" t="str">
        <f t="shared" si="142"/>
        <v>CUST0073</v>
      </c>
      <c r="K1336" t="s">
        <v>859</v>
      </c>
      <c r="L1336" t="str">
        <f>PROPER(TRIM(CLEAN(Sales_Table[[#This Row],[Salesperson]])))</f>
        <v>Rahul</v>
      </c>
      <c r="M1336" t="s">
        <v>31</v>
      </c>
      <c r="N1336" t="str">
        <f t="shared" si="143"/>
        <v>Upi</v>
      </c>
      <c r="O1336" t="s">
        <v>48</v>
      </c>
      <c r="P1336">
        <f t="shared" si="144"/>
        <v>1</v>
      </c>
      <c r="Q1336" t="s">
        <v>93</v>
      </c>
      <c r="R1336">
        <f t="shared" si="145"/>
        <v>2725</v>
      </c>
      <c r="S1336" t="s">
        <v>3208</v>
      </c>
      <c r="T1336">
        <f t="shared" si="146"/>
        <v>2725</v>
      </c>
      <c r="U1336">
        <f>YEAR(Sales_Table[[#This Row],[Date_clean]])</f>
        <v>2024</v>
      </c>
      <c r="V1336" t="str">
        <f>TEXT(Sales_Table[[#This Row],[Date_clean]],"mmmm")</f>
        <v>February</v>
      </c>
      <c r="W1336">
        <f>WEEKNUM(Sales_Table[[#This Row],[Date_clean]],2)</f>
        <v>8</v>
      </c>
      <c r="X1336" t="str" cm="1">
        <f t="array" ref="X1336">_xlfn.IFS(Sales_Table[[#This Row],[Revenue]]&gt;=50000,"High",Sales_Table[[#This Row],[Revenue]]&gt;=20000,"Medium",Sales_Table[[#This Row],[Revenue]]&lt;20000,"Low")</f>
        <v>Low</v>
      </c>
      <c r="Y1336" t="str">
        <f>IF(Sales_Table[[#This Row],[Payment Method_clean]]="cash","Offline","Online")</f>
        <v>Online</v>
      </c>
      <c r="Z1336">
        <f>IFERROR(Sales_Table[[#This Row],[Revenue]],0)</f>
        <v>2725</v>
      </c>
    </row>
    <row r="1337" spans="1:26" x14ac:dyDescent="0.3">
      <c r="A1337">
        <v>1336</v>
      </c>
      <c r="B1337" s="2">
        <f t="shared" si="140"/>
        <v>45347.625</v>
      </c>
      <c r="C1337" t="s">
        <v>3209</v>
      </c>
      <c r="D1337" t="s">
        <v>84</v>
      </c>
      <c r="E1337" t="str">
        <f>PROPER(TRIM(CLEAN(Sales_Table[[#This Row],[Region]])))</f>
        <v>South</v>
      </c>
      <c r="F1337" t="s">
        <v>78</v>
      </c>
      <c r="G1337" t="str">
        <f t="shared" si="141"/>
        <v>Grocery</v>
      </c>
      <c r="H1337" t="str">
        <f>PROPER(TRIM(CLEAN(Sales_Table[[#This Row],[Product Name]])))</f>
        <v>Washing Machine</v>
      </c>
      <c r="I1337" t="s">
        <v>79</v>
      </c>
      <c r="J1337" t="str">
        <f t="shared" si="142"/>
        <v>CUST0679</v>
      </c>
      <c r="K1337" t="s">
        <v>1134</v>
      </c>
      <c r="L1337" t="str">
        <f>PROPER(TRIM(CLEAN(Sales_Table[[#This Row],[Salesperson]])))</f>
        <v>Karthik</v>
      </c>
      <c r="M1337" t="s">
        <v>70</v>
      </c>
      <c r="N1337" t="str">
        <f t="shared" si="143"/>
        <v>Credit Card</v>
      </c>
      <c r="O1337" t="s">
        <v>65</v>
      </c>
      <c r="P1337">
        <f t="shared" si="144"/>
        <v>5</v>
      </c>
      <c r="Q1337" t="s">
        <v>89</v>
      </c>
      <c r="R1337">
        <f t="shared" si="145"/>
        <v>3142</v>
      </c>
      <c r="S1337" t="s">
        <v>3210</v>
      </c>
      <c r="T1337">
        <f t="shared" si="146"/>
        <v>15710</v>
      </c>
      <c r="U1337">
        <f>YEAR(Sales_Table[[#This Row],[Date_clean]])</f>
        <v>2024</v>
      </c>
      <c r="V1337" t="str">
        <f>TEXT(Sales_Table[[#This Row],[Date_clean]],"mmmm")</f>
        <v>February</v>
      </c>
      <c r="W1337">
        <f>WEEKNUM(Sales_Table[[#This Row],[Date_clean]],2)</f>
        <v>8</v>
      </c>
      <c r="X1337" t="str" cm="1">
        <f t="array" ref="X1337">_xlfn.IFS(Sales_Table[[#This Row],[Revenue]]&gt;=50000,"High",Sales_Table[[#This Row],[Revenue]]&gt;=20000,"Medium",Sales_Table[[#This Row],[Revenue]]&lt;20000,"Low")</f>
        <v>Low</v>
      </c>
      <c r="Y1337" t="str">
        <f>IF(Sales_Table[[#This Row],[Payment Method_clean]]="cash","Offline","Online")</f>
        <v>Online</v>
      </c>
      <c r="Z1337">
        <f>IFERROR(Sales_Table[[#This Row],[Revenue]],0)</f>
        <v>15710</v>
      </c>
    </row>
    <row r="1338" spans="1:26" x14ac:dyDescent="0.3">
      <c r="A1338">
        <v>1337</v>
      </c>
      <c r="B1338" s="2">
        <f t="shared" si="140"/>
        <v>45347.666666666664</v>
      </c>
      <c r="C1338" t="s">
        <v>3211</v>
      </c>
      <c r="D1338" t="s">
        <v>27</v>
      </c>
      <c r="E1338" t="str">
        <f>PROPER(TRIM(CLEAN(Sales_Table[[#This Row],[Region]])))</f>
        <v>East</v>
      </c>
      <c r="F1338" t="s">
        <v>46</v>
      </c>
      <c r="G1338" t="str">
        <f t="shared" si="141"/>
        <v>Electronics</v>
      </c>
      <c r="H1338" t="str">
        <f>PROPER(TRIM(CLEAN(Sales_Table[[#This Row],[Product Name]])))</f>
        <v>Laptop</v>
      </c>
      <c r="I1338" t="s">
        <v>52</v>
      </c>
      <c r="J1338" t="str">
        <f t="shared" si="142"/>
        <v>CUST0772</v>
      </c>
      <c r="K1338" t="s">
        <v>2816</v>
      </c>
      <c r="L1338" t="str">
        <f>PROPER(TRIM(CLEAN(Sales_Table[[#This Row],[Salesperson]])))</f>
        <v>Anita</v>
      </c>
      <c r="M1338" t="s">
        <v>64</v>
      </c>
      <c r="N1338" t="str">
        <f t="shared" si="143"/>
        <v>Credit Card</v>
      </c>
      <c r="O1338" t="s">
        <v>65</v>
      </c>
      <c r="P1338">
        <f t="shared" si="144"/>
        <v>14</v>
      </c>
      <c r="Q1338" t="s">
        <v>55</v>
      </c>
      <c r="R1338">
        <f t="shared" si="145"/>
        <v>914</v>
      </c>
      <c r="S1338" t="s">
        <v>3212</v>
      </c>
      <c r="T1338">
        <f t="shared" si="146"/>
        <v>12796</v>
      </c>
      <c r="U1338">
        <f>YEAR(Sales_Table[[#This Row],[Date_clean]])</f>
        <v>2024</v>
      </c>
      <c r="V1338" t="str">
        <f>TEXT(Sales_Table[[#This Row],[Date_clean]],"mmmm")</f>
        <v>February</v>
      </c>
      <c r="W1338">
        <f>WEEKNUM(Sales_Table[[#This Row],[Date_clean]],2)</f>
        <v>8</v>
      </c>
      <c r="X1338" t="str" cm="1">
        <f t="array" ref="X1338">_xlfn.IFS(Sales_Table[[#This Row],[Revenue]]&gt;=50000,"High",Sales_Table[[#This Row],[Revenue]]&gt;=20000,"Medium",Sales_Table[[#This Row],[Revenue]]&lt;20000,"Low")</f>
        <v>Low</v>
      </c>
      <c r="Y1338" t="str">
        <f>IF(Sales_Table[[#This Row],[Payment Method_clean]]="cash","Offline","Online")</f>
        <v>Online</v>
      </c>
      <c r="Z1338">
        <f>IFERROR(Sales_Table[[#This Row],[Revenue]],0)</f>
        <v>12796</v>
      </c>
    </row>
    <row r="1339" spans="1:26" x14ac:dyDescent="0.3">
      <c r="A1339">
        <v>1338</v>
      </c>
      <c r="B1339" s="2">
        <f t="shared" si="140"/>
        <v>45347.708333333336</v>
      </c>
      <c r="C1339" t="s">
        <v>3213</v>
      </c>
      <c r="D1339" t="s">
        <v>84</v>
      </c>
      <c r="E1339" t="str">
        <f>PROPER(TRIM(CLEAN(Sales_Table[[#This Row],[Region]])))</f>
        <v>South</v>
      </c>
      <c r="F1339" t="s">
        <v>46</v>
      </c>
      <c r="G1339" t="str">
        <f t="shared" si="141"/>
        <v>Electronics</v>
      </c>
      <c r="H1339" t="str">
        <f>PROPER(TRIM(CLEAN(Sales_Table[[#This Row],[Product Name]])))</f>
        <v>Mixer Grinder</v>
      </c>
      <c r="I1339" t="s">
        <v>29</v>
      </c>
      <c r="J1339" t="str">
        <f t="shared" si="142"/>
        <v>CUST0243</v>
      </c>
      <c r="K1339" t="s">
        <v>3214</v>
      </c>
      <c r="L1339" t="str">
        <f>PROPER(TRIM(CLEAN(Sales_Table[[#This Row],[Salesperson]])))</f>
        <v>Rahul</v>
      </c>
      <c r="M1339" t="s">
        <v>31</v>
      </c>
      <c r="N1339" t="str">
        <f t="shared" si="143"/>
        <v>Credit Card</v>
      </c>
      <c r="O1339" t="s">
        <v>65</v>
      </c>
      <c r="P1339">
        <f t="shared" si="144"/>
        <v>10</v>
      </c>
      <c r="Q1339" t="s">
        <v>117</v>
      </c>
      <c r="R1339">
        <f t="shared" si="145"/>
        <v>2294</v>
      </c>
      <c r="S1339" t="s">
        <v>3215</v>
      </c>
      <c r="T1339">
        <f t="shared" si="146"/>
        <v>22940</v>
      </c>
      <c r="U1339">
        <f>YEAR(Sales_Table[[#This Row],[Date_clean]])</f>
        <v>2024</v>
      </c>
      <c r="V1339" t="str">
        <f>TEXT(Sales_Table[[#This Row],[Date_clean]],"mmmm")</f>
        <v>February</v>
      </c>
      <c r="W1339">
        <f>WEEKNUM(Sales_Table[[#This Row],[Date_clean]],2)</f>
        <v>8</v>
      </c>
      <c r="X1339" t="str" cm="1">
        <f t="array" ref="X1339">_xlfn.IFS(Sales_Table[[#This Row],[Revenue]]&gt;=50000,"High",Sales_Table[[#This Row],[Revenue]]&gt;=20000,"Medium",Sales_Table[[#This Row],[Revenue]]&lt;20000,"Low")</f>
        <v>Medium</v>
      </c>
      <c r="Y1339" t="str">
        <f>IF(Sales_Table[[#This Row],[Payment Method_clean]]="cash","Offline","Online")</f>
        <v>Online</v>
      </c>
      <c r="Z1339">
        <f>IFERROR(Sales_Table[[#This Row],[Revenue]],0)</f>
        <v>22940</v>
      </c>
    </row>
    <row r="1340" spans="1:26" x14ac:dyDescent="0.3">
      <c r="A1340">
        <v>1339</v>
      </c>
      <c r="B1340" s="2">
        <f t="shared" si="140"/>
        <v>45347.75</v>
      </c>
      <c r="C1340" t="s">
        <v>3216</v>
      </c>
      <c r="D1340" t="s">
        <v>84</v>
      </c>
      <c r="E1340" t="str">
        <f>PROPER(TRIM(CLEAN(Sales_Table[[#This Row],[Region]])))</f>
        <v>South</v>
      </c>
      <c r="F1340" t="s">
        <v>46</v>
      </c>
      <c r="G1340" t="str">
        <f t="shared" si="141"/>
        <v>Electronics</v>
      </c>
      <c r="H1340" t="str">
        <f>PROPER(TRIM(CLEAN(Sales_Table[[#This Row],[Product Name]])))</f>
        <v>Led Tv 42Inch</v>
      </c>
      <c r="I1340" t="s">
        <v>58</v>
      </c>
      <c r="J1340" t="str">
        <f t="shared" si="142"/>
        <v>CUST0787</v>
      </c>
      <c r="K1340" t="s">
        <v>2625</v>
      </c>
      <c r="L1340" t="str">
        <f>PROPER(TRIM(CLEAN(Sales_Table[[#This Row],[Salesperson]])))</f>
        <v>Suresh</v>
      </c>
      <c r="M1340" t="s">
        <v>54</v>
      </c>
      <c r="N1340" t="str">
        <f t="shared" si="143"/>
        <v>Credit Card</v>
      </c>
      <c r="O1340" t="s">
        <v>65</v>
      </c>
      <c r="P1340">
        <f t="shared" si="144"/>
        <v>12</v>
      </c>
      <c r="Q1340" t="s">
        <v>33</v>
      </c>
      <c r="R1340">
        <f t="shared" si="145"/>
        <v>3600</v>
      </c>
      <c r="S1340" t="s">
        <v>3217</v>
      </c>
      <c r="T1340">
        <f t="shared" si="146"/>
        <v>43200</v>
      </c>
      <c r="U1340">
        <f>YEAR(Sales_Table[[#This Row],[Date_clean]])</f>
        <v>2024</v>
      </c>
      <c r="V1340" t="str">
        <f>TEXT(Sales_Table[[#This Row],[Date_clean]],"mmmm")</f>
        <v>February</v>
      </c>
      <c r="W1340">
        <f>WEEKNUM(Sales_Table[[#This Row],[Date_clean]],2)</f>
        <v>8</v>
      </c>
      <c r="X1340" t="str" cm="1">
        <f t="array" ref="X1340">_xlfn.IFS(Sales_Table[[#This Row],[Revenue]]&gt;=50000,"High",Sales_Table[[#This Row],[Revenue]]&gt;=20000,"Medium",Sales_Table[[#This Row],[Revenue]]&lt;20000,"Low")</f>
        <v>Medium</v>
      </c>
      <c r="Y1340" t="str">
        <f>IF(Sales_Table[[#This Row],[Payment Method_clean]]="cash","Offline","Online")</f>
        <v>Online</v>
      </c>
      <c r="Z1340">
        <f>IFERROR(Sales_Table[[#This Row],[Revenue]],0)</f>
        <v>43200</v>
      </c>
    </row>
    <row r="1341" spans="1:26" x14ac:dyDescent="0.3">
      <c r="A1341">
        <v>1340</v>
      </c>
      <c r="B1341" s="2">
        <f t="shared" si="140"/>
        <v>45347.791666666664</v>
      </c>
      <c r="C1341" t="s">
        <v>3218</v>
      </c>
      <c r="D1341" t="s">
        <v>84</v>
      </c>
      <c r="E1341" t="str">
        <f>PROPER(TRIM(CLEAN(Sales_Table[[#This Row],[Region]])))</f>
        <v>South</v>
      </c>
      <c r="F1341" t="s">
        <v>78</v>
      </c>
      <c r="G1341" t="str">
        <f t="shared" si="141"/>
        <v>Grocery</v>
      </c>
      <c r="H1341" t="str">
        <f>PROPER(TRIM(CLEAN(Sales_Table[[#This Row],[Product Name]])))</f>
        <v>Mixer Grinder</v>
      </c>
      <c r="I1341" t="s">
        <v>29</v>
      </c>
      <c r="J1341" t="str">
        <f t="shared" si="142"/>
        <v>CUST0102</v>
      </c>
      <c r="K1341" t="s">
        <v>3219</v>
      </c>
      <c r="L1341" t="str">
        <f>PROPER(TRIM(CLEAN(Sales_Table[[#This Row],[Salesperson]])))</f>
        <v>Meena</v>
      </c>
      <c r="M1341" t="s">
        <v>40</v>
      </c>
      <c r="N1341" t="str">
        <f t="shared" si="143"/>
        <v>Cash</v>
      </c>
      <c r="O1341" t="s">
        <v>32</v>
      </c>
      <c r="P1341">
        <f t="shared" si="144"/>
        <v>10</v>
      </c>
      <c r="Q1341" t="s">
        <v>117</v>
      </c>
      <c r="R1341">
        <f t="shared" si="145"/>
        <v>409</v>
      </c>
      <c r="S1341" t="s">
        <v>1531</v>
      </c>
      <c r="T1341">
        <f t="shared" si="146"/>
        <v>4090</v>
      </c>
      <c r="U1341">
        <f>YEAR(Sales_Table[[#This Row],[Date_clean]])</f>
        <v>2024</v>
      </c>
      <c r="V1341" t="str">
        <f>TEXT(Sales_Table[[#This Row],[Date_clean]],"mmmm")</f>
        <v>February</v>
      </c>
      <c r="W1341">
        <f>WEEKNUM(Sales_Table[[#This Row],[Date_clean]],2)</f>
        <v>8</v>
      </c>
      <c r="X1341" t="str" cm="1">
        <f t="array" ref="X1341">_xlfn.IFS(Sales_Table[[#This Row],[Revenue]]&gt;=50000,"High",Sales_Table[[#This Row],[Revenue]]&gt;=20000,"Medium",Sales_Table[[#This Row],[Revenue]]&lt;20000,"Low")</f>
        <v>Low</v>
      </c>
      <c r="Y1341" t="str">
        <f>IF(Sales_Table[[#This Row],[Payment Method_clean]]="cash","Offline","Online")</f>
        <v>Offline</v>
      </c>
      <c r="Z1341">
        <f>IFERROR(Sales_Table[[#This Row],[Revenue]],0)</f>
        <v>4090</v>
      </c>
    </row>
    <row r="1342" spans="1:26" x14ac:dyDescent="0.3">
      <c r="A1342">
        <v>1341</v>
      </c>
      <c r="B1342" s="2">
        <f t="shared" si="140"/>
        <v>45347.833333333336</v>
      </c>
      <c r="C1342" t="s">
        <v>3220</v>
      </c>
      <c r="D1342" t="s">
        <v>27</v>
      </c>
      <c r="E1342" t="str">
        <f>PROPER(TRIM(CLEAN(Sales_Table[[#This Row],[Region]])))</f>
        <v>East</v>
      </c>
      <c r="F1342" t="s">
        <v>28</v>
      </c>
      <c r="G1342" t="str">
        <f t="shared" si="141"/>
        <v>Clothing</v>
      </c>
      <c r="H1342" t="str">
        <f>PROPER(TRIM(CLEAN(Sales_Table[[#This Row],[Product Name]])))</f>
        <v>Led Tv 42Inch</v>
      </c>
      <c r="I1342" t="s">
        <v>58</v>
      </c>
      <c r="J1342" t="str">
        <f t="shared" si="142"/>
        <v>CUST0685</v>
      </c>
      <c r="K1342" t="s">
        <v>329</v>
      </c>
      <c r="L1342" t="str">
        <f>PROPER(TRIM(CLEAN(Sales_Table[[#This Row],[Salesperson]])))</f>
        <v>Meena</v>
      </c>
      <c r="M1342" t="s">
        <v>40</v>
      </c>
      <c r="N1342" t="str">
        <f t="shared" si="143"/>
        <v>Net Banking</v>
      </c>
      <c r="O1342" t="s">
        <v>60</v>
      </c>
      <c r="P1342">
        <f t="shared" si="144"/>
        <v>4</v>
      </c>
      <c r="Q1342" t="s">
        <v>113</v>
      </c>
      <c r="R1342">
        <f t="shared" si="145"/>
        <v>2161</v>
      </c>
      <c r="S1342" t="s">
        <v>3221</v>
      </c>
      <c r="T1342">
        <f t="shared" si="146"/>
        <v>8644</v>
      </c>
      <c r="U1342">
        <f>YEAR(Sales_Table[[#This Row],[Date_clean]])</f>
        <v>2024</v>
      </c>
      <c r="V1342" t="str">
        <f>TEXT(Sales_Table[[#This Row],[Date_clean]],"mmmm")</f>
        <v>February</v>
      </c>
      <c r="W1342">
        <f>WEEKNUM(Sales_Table[[#This Row],[Date_clean]],2)</f>
        <v>8</v>
      </c>
      <c r="X1342" t="str" cm="1">
        <f t="array" ref="X1342">_xlfn.IFS(Sales_Table[[#This Row],[Revenue]]&gt;=50000,"High",Sales_Table[[#This Row],[Revenue]]&gt;=20000,"Medium",Sales_Table[[#This Row],[Revenue]]&lt;20000,"Low")</f>
        <v>Low</v>
      </c>
      <c r="Y1342" t="str">
        <f>IF(Sales_Table[[#This Row],[Payment Method_clean]]="cash","Offline","Online")</f>
        <v>Online</v>
      </c>
      <c r="Z1342">
        <f>IFERROR(Sales_Table[[#This Row],[Revenue]],0)</f>
        <v>8644</v>
      </c>
    </row>
    <row r="1343" spans="1:26" x14ac:dyDescent="0.3">
      <c r="A1343">
        <v>1342</v>
      </c>
      <c r="B1343" s="2">
        <f t="shared" si="140"/>
        <v>45347.875</v>
      </c>
      <c r="C1343" t="s">
        <v>3222</v>
      </c>
      <c r="D1343" t="s">
        <v>36</v>
      </c>
      <c r="E1343" t="str">
        <f>PROPER(TRIM(CLEAN(Sales_Table[[#This Row],[Region]])))</f>
        <v>West</v>
      </c>
      <c r="F1343" t="s">
        <v>46</v>
      </c>
      <c r="G1343" t="str">
        <f t="shared" si="141"/>
        <v>Electronics</v>
      </c>
      <c r="H1343" t="str">
        <f>PROPER(TRIM(CLEAN(Sales_Table[[#This Row],[Product Name]])))</f>
        <v>Mixer Grinder</v>
      </c>
      <c r="I1343" t="s">
        <v>29</v>
      </c>
      <c r="J1343" t="str">
        <f t="shared" si="142"/>
        <v>CUST0171</v>
      </c>
      <c r="K1343" t="s">
        <v>1460</v>
      </c>
      <c r="L1343" t="str">
        <f>PROPER(TRIM(CLEAN(Sales_Table[[#This Row],[Salesperson]])))</f>
        <v>Suresh</v>
      </c>
      <c r="M1343" t="s">
        <v>54</v>
      </c>
      <c r="N1343" t="str">
        <f t="shared" si="143"/>
        <v>Upi</v>
      </c>
      <c r="O1343" t="s">
        <v>48</v>
      </c>
      <c r="P1343">
        <f t="shared" si="144"/>
        <v>11</v>
      </c>
      <c r="Q1343" t="s">
        <v>97</v>
      </c>
      <c r="R1343">
        <f t="shared" si="145"/>
        <v>4327</v>
      </c>
      <c r="S1343" t="s">
        <v>3223</v>
      </c>
      <c r="T1343">
        <f t="shared" si="146"/>
        <v>47597</v>
      </c>
      <c r="U1343">
        <f>YEAR(Sales_Table[[#This Row],[Date_clean]])</f>
        <v>2024</v>
      </c>
      <c r="V1343" t="str">
        <f>TEXT(Sales_Table[[#This Row],[Date_clean]],"mmmm")</f>
        <v>February</v>
      </c>
      <c r="W1343">
        <f>WEEKNUM(Sales_Table[[#This Row],[Date_clean]],2)</f>
        <v>8</v>
      </c>
      <c r="X1343" t="str" cm="1">
        <f t="array" ref="X1343">_xlfn.IFS(Sales_Table[[#This Row],[Revenue]]&gt;=50000,"High",Sales_Table[[#This Row],[Revenue]]&gt;=20000,"Medium",Sales_Table[[#This Row],[Revenue]]&lt;20000,"Low")</f>
        <v>Medium</v>
      </c>
      <c r="Y1343" t="str">
        <f>IF(Sales_Table[[#This Row],[Payment Method_clean]]="cash","Offline","Online")</f>
        <v>Online</v>
      </c>
      <c r="Z1343">
        <f>IFERROR(Sales_Table[[#This Row],[Revenue]],0)</f>
        <v>47597</v>
      </c>
    </row>
    <row r="1344" spans="1:26" x14ac:dyDescent="0.3">
      <c r="A1344">
        <v>1343</v>
      </c>
      <c r="B1344" s="2">
        <f t="shared" si="140"/>
        <v>45347.916666666664</v>
      </c>
      <c r="C1344" t="s">
        <v>3224</v>
      </c>
      <c r="D1344" t="s">
        <v>27</v>
      </c>
      <c r="E1344" t="str">
        <f>PROPER(TRIM(CLEAN(Sales_Table[[#This Row],[Region]])))</f>
        <v>East</v>
      </c>
      <c r="F1344" t="s">
        <v>37</v>
      </c>
      <c r="G1344" t="str">
        <f t="shared" si="141"/>
        <v>Home Appliances</v>
      </c>
      <c r="H1344" t="str">
        <f>PROPER(TRIM(CLEAN(Sales_Table[[#This Row],[Product Name]])))</f>
        <v>Washing Machine</v>
      </c>
      <c r="I1344" t="s">
        <v>79</v>
      </c>
      <c r="J1344" t="str">
        <f t="shared" si="142"/>
        <v>CUST0653</v>
      </c>
      <c r="K1344" t="s">
        <v>2056</v>
      </c>
      <c r="L1344" t="str">
        <f>PROPER(TRIM(CLEAN(Sales_Table[[#This Row],[Salesperson]])))</f>
        <v>Anita</v>
      </c>
      <c r="M1344" t="s">
        <v>64</v>
      </c>
      <c r="N1344" t="str">
        <f t="shared" si="143"/>
        <v>Net Banking</v>
      </c>
      <c r="O1344" t="s">
        <v>60</v>
      </c>
      <c r="P1344">
        <f t="shared" si="144"/>
        <v>7</v>
      </c>
      <c r="Q1344" t="s">
        <v>49</v>
      </c>
      <c r="R1344">
        <f t="shared" si="145"/>
        <v>1977</v>
      </c>
      <c r="S1344" t="s">
        <v>3225</v>
      </c>
      <c r="T1344">
        <f t="shared" si="146"/>
        <v>13839</v>
      </c>
      <c r="U1344">
        <f>YEAR(Sales_Table[[#This Row],[Date_clean]])</f>
        <v>2024</v>
      </c>
      <c r="V1344" t="str">
        <f>TEXT(Sales_Table[[#This Row],[Date_clean]],"mmmm")</f>
        <v>February</v>
      </c>
      <c r="W1344">
        <f>WEEKNUM(Sales_Table[[#This Row],[Date_clean]],2)</f>
        <v>8</v>
      </c>
      <c r="X1344" t="str" cm="1">
        <f t="array" ref="X1344">_xlfn.IFS(Sales_Table[[#This Row],[Revenue]]&gt;=50000,"High",Sales_Table[[#This Row],[Revenue]]&gt;=20000,"Medium",Sales_Table[[#This Row],[Revenue]]&lt;20000,"Low")</f>
        <v>Low</v>
      </c>
      <c r="Y1344" t="str">
        <f>IF(Sales_Table[[#This Row],[Payment Method_clean]]="cash","Offline","Online")</f>
        <v>Online</v>
      </c>
      <c r="Z1344">
        <f>IFERROR(Sales_Table[[#This Row],[Revenue]],0)</f>
        <v>13839</v>
      </c>
    </row>
    <row r="1345" spans="1:26" x14ac:dyDescent="0.3">
      <c r="A1345">
        <v>1344</v>
      </c>
      <c r="B1345" s="2">
        <f t="shared" si="140"/>
        <v>45347.958333333336</v>
      </c>
      <c r="C1345" t="s">
        <v>3226</v>
      </c>
      <c r="D1345" t="s">
        <v>45</v>
      </c>
      <c r="E1345" t="str">
        <f>PROPER(TRIM(CLEAN(Sales_Table[[#This Row],[Region]])))</f>
        <v>North</v>
      </c>
      <c r="F1345" t="s">
        <v>46</v>
      </c>
      <c r="G1345" t="str">
        <f t="shared" si="141"/>
        <v>Electronics</v>
      </c>
      <c r="H1345" t="str">
        <f>PROPER(TRIM(CLEAN(Sales_Table[[#This Row],[Product Name]])))</f>
        <v>Washing Machine</v>
      </c>
      <c r="I1345" t="s">
        <v>79</v>
      </c>
      <c r="J1345" t="str">
        <f t="shared" si="142"/>
        <v>CUST0188</v>
      </c>
      <c r="K1345" t="s">
        <v>1217</v>
      </c>
      <c r="L1345" t="str">
        <f>PROPER(TRIM(CLEAN(Sales_Table[[#This Row],[Salesperson]])))</f>
        <v>Suresh</v>
      </c>
      <c r="M1345" t="s">
        <v>54</v>
      </c>
      <c r="N1345" t="str">
        <f t="shared" si="143"/>
        <v>Cash</v>
      </c>
      <c r="O1345" t="s">
        <v>32</v>
      </c>
      <c r="P1345">
        <f t="shared" si="144"/>
        <v>13</v>
      </c>
      <c r="Q1345" t="s">
        <v>81</v>
      </c>
      <c r="R1345">
        <f t="shared" si="145"/>
        <v>2902</v>
      </c>
      <c r="S1345" t="s">
        <v>3227</v>
      </c>
      <c r="T1345">
        <f t="shared" si="146"/>
        <v>37726</v>
      </c>
      <c r="U1345">
        <f>YEAR(Sales_Table[[#This Row],[Date_clean]])</f>
        <v>2024</v>
      </c>
      <c r="V1345" t="str">
        <f>TEXT(Sales_Table[[#This Row],[Date_clean]],"mmmm")</f>
        <v>February</v>
      </c>
      <c r="W1345">
        <f>WEEKNUM(Sales_Table[[#This Row],[Date_clean]],2)</f>
        <v>8</v>
      </c>
      <c r="X1345" t="str" cm="1">
        <f t="array" ref="X1345">_xlfn.IFS(Sales_Table[[#This Row],[Revenue]]&gt;=50000,"High",Sales_Table[[#This Row],[Revenue]]&gt;=20000,"Medium",Sales_Table[[#This Row],[Revenue]]&lt;20000,"Low")</f>
        <v>Medium</v>
      </c>
      <c r="Y1345" t="str">
        <f>IF(Sales_Table[[#This Row],[Payment Method_clean]]="cash","Offline","Online")</f>
        <v>Offline</v>
      </c>
      <c r="Z1345">
        <f>IFERROR(Sales_Table[[#This Row],[Revenue]],0)</f>
        <v>37726</v>
      </c>
    </row>
    <row r="1346" spans="1:26" x14ac:dyDescent="0.3">
      <c r="A1346">
        <v>1345</v>
      </c>
      <c r="B1346" s="2">
        <f t="shared" si="140"/>
        <v>45348</v>
      </c>
      <c r="C1346" t="s">
        <v>3228</v>
      </c>
      <c r="D1346" t="s">
        <v>27</v>
      </c>
      <c r="E1346" t="str">
        <f>PROPER(TRIM(CLEAN(Sales_Table[[#This Row],[Region]])))</f>
        <v>East</v>
      </c>
      <c r="F1346" t="s">
        <v>46</v>
      </c>
      <c r="G1346" t="str">
        <f t="shared" si="141"/>
        <v>Electronics</v>
      </c>
      <c r="H1346" t="str">
        <f>PROPER(TRIM(CLEAN(Sales_Table[[#This Row],[Product Name]])))</f>
        <v>Rice 5Kg</v>
      </c>
      <c r="I1346" t="s">
        <v>73</v>
      </c>
      <c r="J1346" t="str">
        <f t="shared" si="142"/>
        <v>CUST0441</v>
      </c>
      <c r="K1346" t="s">
        <v>2691</v>
      </c>
      <c r="L1346" t="str">
        <f>PROPER(TRIM(CLEAN(Sales_Table[[#This Row],[Salesperson]])))</f>
        <v>Anita</v>
      </c>
      <c r="M1346" t="s">
        <v>64</v>
      </c>
      <c r="N1346" t="str">
        <f t="shared" si="143"/>
        <v>Cash</v>
      </c>
      <c r="O1346" t="s">
        <v>32</v>
      </c>
      <c r="P1346">
        <f t="shared" si="144"/>
        <v>9</v>
      </c>
      <c r="Q1346" t="s">
        <v>130</v>
      </c>
      <c r="R1346">
        <f t="shared" si="145"/>
        <v>2586</v>
      </c>
      <c r="S1346" t="s">
        <v>3229</v>
      </c>
      <c r="T1346">
        <f t="shared" si="146"/>
        <v>23274</v>
      </c>
      <c r="U1346">
        <f>YEAR(Sales_Table[[#This Row],[Date_clean]])</f>
        <v>2024</v>
      </c>
      <c r="V1346" t="str">
        <f>TEXT(Sales_Table[[#This Row],[Date_clean]],"mmmm")</f>
        <v>February</v>
      </c>
      <c r="W1346">
        <f>WEEKNUM(Sales_Table[[#This Row],[Date_clean]],2)</f>
        <v>9</v>
      </c>
      <c r="X1346" t="str" cm="1">
        <f t="array" ref="X1346">_xlfn.IFS(Sales_Table[[#This Row],[Revenue]]&gt;=50000,"High",Sales_Table[[#This Row],[Revenue]]&gt;=20000,"Medium",Sales_Table[[#This Row],[Revenue]]&lt;20000,"Low")</f>
        <v>Medium</v>
      </c>
      <c r="Y1346" t="str">
        <f>IF(Sales_Table[[#This Row],[Payment Method_clean]]="cash","Offline","Online")</f>
        <v>Offline</v>
      </c>
      <c r="Z1346">
        <f>IFERROR(Sales_Table[[#This Row],[Revenue]],0)</f>
        <v>23274</v>
      </c>
    </row>
    <row r="1347" spans="1:26" x14ac:dyDescent="0.3">
      <c r="A1347">
        <v>1346</v>
      </c>
      <c r="B1347" s="2">
        <f t="shared" ref="B1347:B1410" si="147">DATEVALUE(LEFT(C1347,10))+TIMEVALUE(MID(C1347,12,8))</f>
        <v>45348.041666666664</v>
      </c>
      <c r="C1347" t="s">
        <v>3230</v>
      </c>
      <c r="D1347" t="s">
        <v>27</v>
      </c>
      <c r="E1347" t="str">
        <f>PROPER(TRIM(CLEAN(Sales_Table[[#This Row],[Region]])))</f>
        <v>East</v>
      </c>
      <c r="F1347" t="s">
        <v>46</v>
      </c>
      <c r="G1347" t="str">
        <f t="shared" ref="G1347:G1410" si="148">PROPER(TRIM(CLEAN(F1347)))</f>
        <v>Electronics</v>
      </c>
      <c r="H1347" t="str">
        <f>PROPER(TRIM(CLEAN(Sales_Table[[#This Row],[Product Name]])))</f>
        <v>Men T-Shirt</v>
      </c>
      <c r="I1347" t="s">
        <v>38</v>
      </c>
      <c r="J1347" t="str">
        <f t="shared" ref="J1347:J1410" si="149">TRIM(K1347)</f>
        <v>CUST0086</v>
      </c>
      <c r="K1347" t="s">
        <v>1013</v>
      </c>
      <c r="L1347" t="str">
        <f>PROPER(TRIM(CLEAN(Sales_Table[[#This Row],[Salesperson]])))</f>
        <v>Rahul</v>
      </c>
      <c r="M1347" t="s">
        <v>31</v>
      </c>
      <c r="N1347" t="str">
        <f t="shared" ref="N1347:N1410" si="150">PROPER(TRIM(O1347))</f>
        <v>Cash</v>
      </c>
      <c r="O1347" t="s">
        <v>32</v>
      </c>
      <c r="P1347">
        <f t="shared" ref="P1347:P1410" si="151">VALUE(Q1347)</f>
        <v>5</v>
      </c>
      <c r="Q1347" t="s">
        <v>89</v>
      </c>
      <c r="R1347">
        <f t="shared" ref="R1347:R1410" si="152">VALUE(S1347)</f>
        <v>4935</v>
      </c>
      <c r="S1347" t="s">
        <v>872</v>
      </c>
      <c r="T1347">
        <f t="shared" ref="T1347:T1410" si="153">P1347*R1347</f>
        <v>24675</v>
      </c>
      <c r="U1347">
        <f>YEAR(Sales_Table[[#This Row],[Date_clean]])</f>
        <v>2024</v>
      </c>
      <c r="V1347" t="str">
        <f>TEXT(Sales_Table[[#This Row],[Date_clean]],"mmmm")</f>
        <v>February</v>
      </c>
      <c r="W1347">
        <f>WEEKNUM(Sales_Table[[#This Row],[Date_clean]],2)</f>
        <v>9</v>
      </c>
      <c r="X1347" t="str" cm="1">
        <f t="array" ref="X1347">_xlfn.IFS(Sales_Table[[#This Row],[Revenue]]&gt;=50000,"High",Sales_Table[[#This Row],[Revenue]]&gt;=20000,"Medium",Sales_Table[[#This Row],[Revenue]]&lt;20000,"Low")</f>
        <v>Medium</v>
      </c>
      <c r="Y1347" t="str">
        <f>IF(Sales_Table[[#This Row],[Payment Method_clean]]="cash","Offline","Online")</f>
        <v>Offline</v>
      </c>
      <c r="Z1347">
        <f>IFERROR(Sales_Table[[#This Row],[Revenue]],0)</f>
        <v>24675</v>
      </c>
    </row>
    <row r="1348" spans="1:26" x14ac:dyDescent="0.3">
      <c r="A1348">
        <v>1347</v>
      </c>
      <c r="B1348" s="2">
        <f t="shared" si="147"/>
        <v>45348.083333333336</v>
      </c>
      <c r="C1348" t="s">
        <v>3231</v>
      </c>
      <c r="D1348" t="s">
        <v>27</v>
      </c>
      <c r="E1348" t="str">
        <f>PROPER(TRIM(CLEAN(Sales_Table[[#This Row],[Region]])))</f>
        <v>East</v>
      </c>
      <c r="F1348" t="s">
        <v>46</v>
      </c>
      <c r="G1348" t="str">
        <f t="shared" si="148"/>
        <v>Electronics</v>
      </c>
      <c r="H1348" t="str">
        <f>PROPER(TRIM(CLEAN(Sales_Table[[#This Row],[Product Name]])))</f>
        <v>Laptop</v>
      </c>
      <c r="I1348" t="s">
        <v>52</v>
      </c>
      <c r="J1348" t="str">
        <f t="shared" si="149"/>
        <v>CUST0476</v>
      </c>
      <c r="K1348" t="s">
        <v>3104</v>
      </c>
      <c r="L1348" t="str">
        <f>PROPER(TRIM(CLEAN(Sales_Table[[#This Row],[Salesperson]])))</f>
        <v>Suresh</v>
      </c>
      <c r="M1348" t="s">
        <v>54</v>
      </c>
      <c r="N1348" t="str">
        <f t="shared" si="150"/>
        <v>Cash</v>
      </c>
      <c r="O1348" t="s">
        <v>32</v>
      </c>
      <c r="P1348">
        <f t="shared" si="151"/>
        <v>4</v>
      </c>
      <c r="Q1348" t="s">
        <v>113</v>
      </c>
      <c r="R1348">
        <f t="shared" si="152"/>
        <v>3845</v>
      </c>
      <c r="S1348" t="s">
        <v>3232</v>
      </c>
      <c r="T1348">
        <f t="shared" si="153"/>
        <v>15380</v>
      </c>
      <c r="U1348">
        <f>YEAR(Sales_Table[[#This Row],[Date_clean]])</f>
        <v>2024</v>
      </c>
      <c r="V1348" t="str">
        <f>TEXT(Sales_Table[[#This Row],[Date_clean]],"mmmm")</f>
        <v>February</v>
      </c>
      <c r="W1348">
        <f>WEEKNUM(Sales_Table[[#This Row],[Date_clean]],2)</f>
        <v>9</v>
      </c>
      <c r="X1348" t="str" cm="1">
        <f t="array" ref="X1348">_xlfn.IFS(Sales_Table[[#This Row],[Revenue]]&gt;=50000,"High",Sales_Table[[#This Row],[Revenue]]&gt;=20000,"Medium",Sales_Table[[#This Row],[Revenue]]&lt;20000,"Low")</f>
        <v>Low</v>
      </c>
      <c r="Y1348" t="str">
        <f>IF(Sales_Table[[#This Row],[Payment Method_clean]]="cash","Offline","Online")</f>
        <v>Offline</v>
      </c>
      <c r="Z1348">
        <f>IFERROR(Sales_Table[[#This Row],[Revenue]],0)</f>
        <v>15380</v>
      </c>
    </row>
    <row r="1349" spans="1:26" x14ac:dyDescent="0.3">
      <c r="A1349">
        <v>1348</v>
      </c>
      <c r="B1349" s="2">
        <f t="shared" si="147"/>
        <v>45348.125</v>
      </c>
      <c r="C1349" t="s">
        <v>3233</v>
      </c>
      <c r="D1349" t="s">
        <v>27</v>
      </c>
      <c r="E1349" t="str">
        <f>PROPER(TRIM(CLEAN(Sales_Table[[#This Row],[Region]])))</f>
        <v>East</v>
      </c>
      <c r="F1349" t="s">
        <v>28</v>
      </c>
      <c r="G1349" t="str">
        <f t="shared" si="148"/>
        <v>Clothing</v>
      </c>
      <c r="H1349" t="str">
        <f>PROPER(TRIM(CLEAN(Sales_Table[[#This Row],[Product Name]])))</f>
        <v>Mixer Grinder</v>
      </c>
      <c r="I1349" t="s">
        <v>29</v>
      </c>
      <c r="J1349" t="str">
        <f t="shared" si="149"/>
        <v>CUST0052</v>
      </c>
      <c r="K1349" t="s">
        <v>3234</v>
      </c>
      <c r="L1349" t="str">
        <f>PROPER(TRIM(CLEAN(Sales_Table[[#This Row],[Salesperson]])))</f>
        <v>Anita</v>
      </c>
      <c r="M1349" t="s">
        <v>64</v>
      </c>
      <c r="N1349" t="str">
        <f t="shared" si="150"/>
        <v>Credit Card</v>
      </c>
      <c r="O1349" t="s">
        <v>65</v>
      </c>
      <c r="P1349">
        <f t="shared" si="151"/>
        <v>9</v>
      </c>
      <c r="Q1349" t="s">
        <v>130</v>
      </c>
      <c r="R1349">
        <f t="shared" si="152"/>
        <v>894</v>
      </c>
      <c r="S1349" t="s">
        <v>3235</v>
      </c>
      <c r="T1349">
        <f t="shared" si="153"/>
        <v>8046</v>
      </c>
      <c r="U1349">
        <f>YEAR(Sales_Table[[#This Row],[Date_clean]])</f>
        <v>2024</v>
      </c>
      <c r="V1349" t="str">
        <f>TEXT(Sales_Table[[#This Row],[Date_clean]],"mmmm")</f>
        <v>February</v>
      </c>
      <c r="W1349">
        <f>WEEKNUM(Sales_Table[[#This Row],[Date_clean]],2)</f>
        <v>9</v>
      </c>
      <c r="X1349" t="str" cm="1">
        <f t="array" ref="X1349">_xlfn.IFS(Sales_Table[[#This Row],[Revenue]]&gt;=50000,"High",Sales_Table[[#This Row],[Revenue]]&gt;=20000,"Medium",Sales_Table[[#This Row],[Revenue]]&lt;20000,"Low")</f>
        <v>Low</v>
      </c>
      <c r="Y1349" t="str">
        <f>IF(Sales_Table[[#This Row],[Payment Method_clean]]="cash","Offline","Online")</f>
        <v>Online</v>
      </c>
      <c r="Z1349">
        <f>IFERROR(Sales_Table[[#This Row],[Revenue]],0)</f>
        <v>8046</v>
      </c>
    </row>
    <row r="1350" spans="1:26" x14ac:dyDescent="0.3">
      <c r="A1350">
        <v>1349</v>
      </c>
      <c r="B1350" s="2">
        <f t="shared" si="147"/>
        <v>45348.166666666664</v>
      </c>
      <c r="C1350" t="s">
        <v>3236</v>
      </c>
      <c r="D1350" t="s">
        <v>36</v>
      </c>
      <c r="E1350" t="str">
        <f>PROPER(TRIM(CLEAN(Sales_Table[[#This Row],[Region]])))</f>
        <v>West</v>
      </c>
      <c r="F1350" t="s">
        <v>37</v>
      </c>
      <c r="G1350" t="str">
        <f t="shared" si="148"/>
        <v>Home Appliances</v>
      </c>
      <c r="H1350" t="str">
        <f>PROPER(TRIM(CLEAN(Sales_Table[[#This Row],[Product Name]])))</f>
        <v>Laptop</v>
      </c>
      <c r="I1350" t="s">
        <v>52</v>
      </c>
      <c r="J1350" t="str">
        <f t="shared" si="149"/>
        <v>CUST0111</v>
      </c>
      <c r="K1350" t="s">
        <v>1408</v>
      </c>
      <c r="L1350" t="str">
        <f>PROPER(TRIM(CLEAN(Sales_Table[[#This Row],[Salesperson]])))</f>
        <v>Rahul</v>
      </c>
      <c r="M1350" t="s">
        <v>31</v>
      </c>
      <c r="N1350" t="str">
        <f t="shared" si="150"/>
        <v>Net Banking</v>
      </c>
      <c r="O1350" t="s">
        <v>60</v>
      </c>
      <c r="P1350">
        <f t="shared" si="151"/>
        <v>5</v>
      </c>
      <c r="Q1350" t="s">
        <v>89</v>
      </c>
      <c r="R1350">
        <f t="shared" si="152"/>
        <v>4114</v>
      </c>
      <c r="S1350" t="s">
        <v>3237</v>
      </c>
      <c r="T1350">
        <f t="shared" si="153"/>
        <v>20570</v>
      </c>
      <c r="U1350">
        <f>YEAR(Sales_Table[[#This Row],[Date_clean]])</f>
        <v>2024</v>
      </c>
      <c r="V1350" t="str">
        <f>TEXT(Sales_Table[[#This Row],[Date_clean]],"mmmm")</f>
        <v>February</v>
      </c>
      <c r="W1350">
        <f>WEEKNUM(Sales_Table[[#This Row],[Date_clean]],2)</f>
        <v>9</v>
      </c>
      <c r="X1350" t="str" cm="1">
        <f t="array" ref="X1350">_xlfn.IFS(Sales_Table[[#This Row],[Revenue]]&gt;=50000,"High",Sales_Table[[#This Row],[Revenue]]&gt;=20000,"Medium",Sales_Table[[#This Row],[Revenue]]&lt;20000,"Low")</f>
        <v>Medium</v>
      </c>
      <c r="Y1350" t="str">
        <f>IF(Sales_Table[[#This Row],[Payment Method_clean]]="cash","Offline","Online")</f>
        <v>Online</v>
      </c>
      <c r="Z1350">
        <f>IFERROR(Sales_Table[[#This Row],[Revenue]],0)</f>
        <v>20570</v>
      </c>
    </row>
    <row r="1351" spans="1:26" x14ac:dyDescent="0.3">
      <c r="A1351">
        <v>1350</v>
      </c>
      <c r="B1351" s="2">
        <f t="shared" si="147"/>
        <v>45348.208333333336</v>
      </c>
      <c r="C1351" t="s">
        <v>3238</v>
      </c>
      <c r="D1351" t="s">
        <v>45</v>
      </c>
      <c r="E1351" t="str">
        <f>PROPER(TRIM(CLEAN(Sales_Table[[#This Row],[Region]])))</f>
        <v>North</v>
      </c>
      <c r="F1351" t="s">
        <v>28</v>
      </c>
      <c r="G1351" t="str">
        <f t="shared" si="148"/>
        <v>Clothing</v>
      </c>
      <c r="H1351" t="str">
        <f>PROPER(TRIM(CLEAN(Sales_Table[[#This Row],[Product Name]])))</f>
        <v>Rice 5Kg</v>
      </c>
      <c r="I1351" t="s">
        <v>73</v>
      </c>
      <c r="J1351" t="str">
        <f t="shared" si="149"/>
        <v>CUST0043</v>
      </c>
      <c r="K1351" t="s">
        <v>756</v>
      </c>
      <c r="L1351" t="str">
        <f>PROPER(TRIM(CLEAN(Sales_Table[[#This Row],[Salesperson]])))</f>
        <v>Suresh</v>
      </c>
      <c r="M1351" t="s">
        <v>54</v>
      </c>
      <c r="N1351" t="str">
        <f t="shared" si="150"/>
        <v>Debit Card</v>
      </c>
      <c r="O1351" t="s">
        <v>41</v>
      </c>
      <c r="P1351">
        <f t="shared" si="151"/>
        <v>9</v>
      </c>
      <c r="Q1351" t="s">
        <v>130</v>
      </c>
      <c r="R1351">
        <f t="shared" si="152"/>
        <v>4453</v>
      </c>
      <c r="S1351" t="s">
        <v>3239</v>
      </c>
      <c r="T1351">
        <f t="shared" si="153"/>
        <v>40077</v>
      </c>
      <c r="U1351">
        <f>YEAR(Sales_Table[[#This Row],[Date_clean]])</f>
        <v>2024</v>
      </c>
      <c r="V1351" t="str">
        <f>TEXT(Sales_Table[[#This Row],[Date_clean]],"mmmm")</f>
        <v>February</v>
      </c>
      <c r="W1351">
        <f>WEEKNUM(Sales_Table[[#This Row],[Date_clean]],2)</f>
        <v>9</v>
      </c>
      <c r="X1351" t="str" cm="1">
        <f t="array" ref="X1351">_xlfn.IFS(Sales_Table[[#This Row],[Revenue]]&gt;=50000,"High",Sales_Table[[#This Row],[Revenue]]&gt;=20000,"Medium",Sales_Table[[#This Row],[Revenue]]&lt;20000,"Low")</f>
        <v>Medium</v>
      </c>
      <c r="Y1351" t="str">
        <f>IF(Sales_Table[[#This Row],[Payment Method_clean]]="cash","Offline","Online")</f>
        <v>Online</v>
      </c>
      <c r="Z1351">
        <f>IFERROR(Sales_Table[[#This Row],[Revenue]],0)</f>
        <v>40077</v>
      </c>
    </row>
    <row r="1352" spans="1:26" x14ac:dyDescent="0.3">
      <c r="A1352">
        <v>1351</v>
      </c>
      <c r="B1352" s="2">
        <f t="shared" si="147"/>
        <v>45348.25</v>
      </c>
      <c r="C1352" t="s">
        <v>3240</v>
      </c>
      <c r="D1352" t="s">
        <v>36</v>
      </c>
      <c r="E1352" t="str">
        <f>PROPER(TRIM(CLEAN(Sales_Table[[#This Row],[Region]])))</f>
        <v>West</v>
      </c>
      <c r="F1352" t="s">
        <v>37</v>
      </c>
      <c r="G1352" t="str">
        <f t="shared" si="148"/>
        <v>Home Appliances</v>
      </c>
      <c r="H1352" t="str">
        <f>PROPER(TRIM(CLEAN(Sales_Table[[#This Row],[Product Name]])))</f>
        <v>Men T-Shirt</v>
      </c>
      <c r="I1352" t="s">
        <v>38</v>
      </c>
      <c r="J1352" t="str">
        <f t="shared" si="149"/>
        <v>CUST0211</v>
      </c>
      <c r="K1352" t="s">
        <v>150</v>
      </c>
      <c r="L1352" t="str">
        <f>PROPER(TRIM(CLEAN(Sales_Table[[#This Row],[Salesperson]])))</f>
        <v>Meena</v>
      </c>
      <c r="M1352" t="s">
        <v>40</v>
      </c>
      <c r="N1352" t="str">
        <f t="shared" si="150"/>
        <v>Upi</v>
      </c>
      <c r="O1352" t="s">
        <v>48</v>
      </c>
      <c r="P1352">
        <f t="shared" si="151"/>
        <v>8</v>
      </c>
      <c r="Q1352" t="s">
        <v>42</v>
      </c>
      <c r="R1352">
        <f t="shared" si="152"/>
        <v>3507</v>
      </c>
      <c r="S1352" t="s">
        <v>3241</v>
      </c>
      <c r="T1352">
        <f t="shared" si="153"/>
        <v>28056</v>
      </c>
      <c r="U1352">
        <f>YEAR(Sales_Table[[#This Row],[Date_clean]])</f>
        <v>2024</v>
      </c>
      <c r="V1352" t="str">
        <f>TEXT(Sales_Table[[#This Row],[Date_clean]],"mmmm")</f>
        <v>February</v>
      </c>
      <c r="W1352">
        <f>WEEKNUM(Sales_Table[[#This Row],[Date_clean]],2)</f>
        <v>9</v>
      </c>
      <c r="X1352" t="str" cm="1">
        <f t="array" ref="X1352">_xlfn.IFS(Sales_Table[[#This Row],[Revenue]]&gt;=50000,"High",Sales_Table[[#This Row],[Revenue]]&gt;=20000,"Medium",Sales_Table[[#This Row],[Revenue]]&lt;20000,"Low")</f>
        <v>Medium</v>
      </c>
      <c r="Y1352" t="str">
        <f>IF(Sales_Table[[#This Row],[Payment Method_clean]]="cash","Offline","Online")</f>
        <v>Online</v>
      </c>
      <c r="Z1352">
        <f>IFERROR(Sales_Table[[#This Row],[Revenue]],0)</f>
        <v>28056</v>
      </c>
    </row>
    <row r="1353" spans="1:26" x14ac:dyDescent="0.3">
      <c r="A1353">
        <v>1352</v>
      </c>
      <c r="B1353" s="2">
        <f t="shared" si="147"/>
        <v>45348.291666666664</v>
      </c>
      <c r="C1353" t="s">
        <v>3242</v>
      </c>
      <c r="D1353" t="s">
        <v>36</v>
      </c>
      <c r="E1353" t="str">
        <f>PROPER(TRIM(CLEAN(Sales_Table[[#This Row],[Region]])))</f>
        <v>West</v>
      </c>
      <c r="F1353" t="s">
        <v>46</v>
      </c>
      <c r="G1353" t="str">
        <f t="shared" si="148"/>
        <v>Electronics</v>
      </c>
      <c r="H1353" t="str">
        <f>PROPER(TRIM(CLEAN(Sales_Table[[#This Row],[Product Name]])))</f>
        <v>Mixer Grinder</v>
      </c>
      <c r="I1353" t="s">
        <v>29</v>
      </c>
      <c r="J1353" t="str">
        <f t="shared" si="149"/>
        <v>CUST0200</v>
      </c>
      <c r="K1353" t="s">
        <v>3243</v>
      </c>
      <c r="L1353" t="str">
        <f>PROPER(TRIM(CLEAN(Sales_Table[[#This Row],[Salesperson]])))</f>
        <v>Suresh</v>
      </c>
      <c r="M1353" t="s">
        <v>54</v>
      </c>
      <c r="N1353" t="str">
        <f t="shared" si="150"/>
        <v>Cash</v>
      </c>
      <c r="O1353" t="s">
        <v>32</v>
      </c>
      <c r="P1353">
        <f t="shared" si="151"/>
        <v>4</v>
      </c>
      <c r="Q1353" t="s">
        <v>113</v>
      </c>
      <c r="R1353">
        <f t="shared" si="152"/>
        <v>2556</v>
      </c>
      <c r="S1353" t="s">
        <v>3244</v>
      </c>
      <c r="T1353">
        <f t="shared" si="153"/>
        <v>10224</v>
      </c>
      <c r="U1353">
        <f>YEAR(Sales_Table[[#This Row],[Date_clean]])</f>
        <v>2024</v>
      </c>
      <c r="V1353" t="str">
        <f>TEXT(Sales_Table[[#This Row],[Date_clean]],"mmmm")</f>
        <v>February</v>
      </c>
      <c r="W1353">
        <f>WEEKNUM(Sales_Table[[#This Row],[Date_clean]],2)</f>
        <v>9</v>
      </c>
      <c r="X1353" t="str" cm="1">
        <f t="array" ref="X1353">_xlfn.IFS(Sales_Table[[#This Row],[Revenue]]&gt;=50000,"High",Sales_Table[[#This Row],[Revenue]]&gt;=20000,"Medium",Sales_Table[[#This Row],[Revenue]]&lt;20000,"Low")</f>
        <v>Low</v>
      </c>
      <c r="Y1353" t="str">
        <f>IF(Sales_Table[[#This Row],[Payment Method_clean]]="cash","Offline","Online")</f>
        <v>Offline</v>
      </c>
      <c r="Z1353">
        <f>IFERROR(Sales_Table[[#This Row],[Revenue]],0)</f>
        <v>10224</v>
      </c>
    </row>
    <row r="1354" spans="1:26" x14ac:dyDescent="0.3">
      <c r="A1354">
        <v>1353</v>
      </c>
      <c r="B1354" s="2">
        <f t="shared" si="147"/>
        <v>45348.333333333336</v>
      </c>
      <c r="C1354" t="s">
        <v>3245</v>
      </c>
      <c r="D1354" t="s">
        <v>27</v>
      </c>
      <c r="E1354" t="str">
        <f>PROPER(TRIM(CLEAN(Sales_Table[[#This Row],[Region]])))</f>
        <v>East</v>
      </c>
      <c r="F1354" t="s">
        <v>78</v>
      </c>
      <c r="G1354" t="str">
        <f t="shared" si="148"/>
        <v>Grocery</v>
      </c>
      <c r="H1354" t="str">
        <f>PROPER(TRIM(CLEAN(Sales_Table[[#This Row],[Product Name]])))</f>
        <v>Led Tv 42Inch</v>
      </c>
      <c r="I1354" t="s">
        <v>58</v>
      </c>
      <c r="J1354" t="str">
        <f t="shared" si="149"/>
        <v>CUST0752</v>
      </c>
      <c r="K1354" t="s">
        <v>1944</v>
      </c>
      <c r="L1354" t="str">
        <f>PROPER(TRIM(CLEAN(Sales_Table[[#This Row],[Salesperson]])))</f>
        <v>Karthik</v>
      </c>
      <c r="M1354" t="s">
        <v>70</v>
      </c>
      <c r="N1354" t="str">
        <f t="shared" si="150"/>
        <v>Net Banking</v>
      </c>
      <c r="O1354" t="s">
        <v>60</v>
      </c>
      <c r="P1354">
        <f t="shared" si="151"/>
        <v>11</v>
      </c>
      <c r="Q1354" t="s">
        <v>97</v>
      </c>
      <c r="R1354">
        <f t="shared" si="152"/>
        <v>1951</v>
      </c>
      <c r="S1354" t="s">
        <v>2210</v>
      </c>
      <c r="T1354">
        <f t="shared" si="153"/>
        <v>21461</v>
      </c>
      <c r="U1354">
        <f>YEAR(Sales_Table[[#This Row],[Date_clean]])</f>
        <v>2024</v>
      </c>
      <c r="V1354" t="str">
        <f>TEXT(Sales_Table[[#This Row],[Date_clean]],"mmmm")</f>
        <v>February</v>
      </c>
      <c r="W1354">
        <f>WEEKNUM(Sales_Table[[#This Row],[Date_clean]],2)</f>
        <v>9</v>
      </c>
      <c r="X1354" t="str" cm="1">
        <f t="array" ref="X1354">_xlfn.IFS(Sales_Table[[#This Row],[Revenue]]&gt;=50000,"High",Sales_Table[[#This Row],[Revenue]]&gt;=20000,"Medium",Sales_Table[[#This Row],[Revenue]]&lt;20000,"Low")</f>
        <v>Medium</v>
      </c>
      <c r="Y1354" t="str">
        <f>IF(Sales_Table[[#This Row],[Payment Method_clean]]="cash","Offline","Online")</f>
        <v>Online</v>
      </c>
      <c r="Z1354">
        <f>IFERROR(Sales_Table[[#This Row],[Revenue]],0)</f>
        <v>21461</v>
      </c>
    </row>
    <row r="1355" spans="1:26" x14ac:dyDescent="0.3">
      <c r="A1355">
        <v>1354</v>
      </c>
      <c r="B1355" s="2">
        <f t="shared" si="147"/>
        <v>45348.375</v>
      </c>
      <c r="C1355" t="s">
        <v>3246</v>
      </c>
      <c r="D1355" t="s">
        <v>84</v>
      </c>
      <c r="E1355" t="str">
        <f>PROPER(TRIM(CLEAN(Sales_Table[[#This Row],[Region]])))</f>
        <v>South</v>
      </c>
      <c r="F1355" t="s">
        <v>28</v>
      </c>
      <c r="G1355" t="str">
        <f t="shared" si="148"/>
        <v>Clothing</v>
      </c>
      <c r="H1355" t="str">
        <f>PROPER(TRIM(CLEAN(Sales_Table[[#This Row],[Product Name]])))</f>
        <v>Men T-Shirt</v>
      </c>
      <c r="I1355" t="s">
        <v>38</v>
      </c>
      <c r="J1355" t="str">
        <f t="shared" si="149"/>
        <v>CUST0627</v>
      </c>
      <c r="K1355" t="s">
        <v>3247</v>
      </c>
      <c r="L1355" t="str">
        <f>PROPER(TRIM(CLEAN(Sales_Table[[#This Row],[Salesperson]])))</f>
        <v>Suresh</v>
      </c>
      <c r="M1355" t="s">
        <v>54</v>
      </c>
      <c r="N1355" t="str">
        <f t="shared" si="150"/>
        <v>Cash</v>
      </c>
      <c r="O1355" t="s">
        <v>32</v>
      </c>
      <c r="P1355">
        <f t="shared" si="151"/>
        <v>11</v>
      </c>
      <c r="Q1355" t="s">
        <v>97</v>
      </c>
      <c r="R1355">
        <f t="shared" si="152"/>
        <v>1074</v>
      </c>
      <c r="S1355" t="s">
        <v>2123</v>
      </c>
      <c r="T1355">
        <f t="shared" si="153"/>
        <v>11814</v>
      </c>
      <c r="U1355">
        <f>YEAR(Sales_Table[[#This Row],[Date_clean]])</f>
        <v>2024</v>
      </c>
      <c r="V1355" t="str">
        <f>TEXT(Sales_Table[[#This Row],[Date_clean]],"mmmm")</f>
        <v>February</v>
      </c>
      <c r="W1355">
        <f>WEEKNUM(Sales_Table[[#This Row],[Date_clean]],2)</f>
        <v>9</v>
      </c>
      <c r="X1355" t="str" cm="1">
        <f t="array" ref="X1355">_xlfn.IFS(Sales_Table[[#This Row],[Revenue]]&gt;=50000,"High",Sales_Table[[#This Row],[Revenue]]&gt;=20000,"Medium",Sales_Table[[#This Row],[Revenue]]&lt;20000,"Low")</f>
        <v>Low</v>
      </c>
      <c r="Y1355" t="str">
        <f>IF(Sales_Table[[#This Row],[Payment Method_clean]]="cash","Offline","Online")</f>
        <v>Offline</v>
      </c>
      <c r="Z1355">
        <f>IFERROR(Sales_Table[[#This Row],[Revenue]],0)</f>
        <v>11814</v>
      </c>
    </row>
    <row r="1356" spans="1:26" x14ac:dyDescent="0.3">
      <c r="A1356">
        <v>1355</v>
      </c>
      <c r="B1356" s="2">
        <f t="shared" si="147"/>
        <v>45348.416666666664</v>
      </c>
      <c r="C1356" t="s">
        <v>3248</v>
      </c>
      <c r="D1356" t="s">
        <v>84</v>
      </c>
      <c r="E1356" t="str">
        <f>PROPER(TRIM(CLEAN(Sales_Table[[#This Row],[Region]])))</f>
        <v>South</v>
      </c>
      <c r="F1356" t="s">
        <v>78</v>
      </c>
      <c r="G1356" t="str">
        <f t="shared" si="148"/>
        <v>Grocery</v>
      </c>
      <c r="H1356" t="str">
        <f>PROPER(TRIM(CLEAN(Sales_Table[[#This Row],[Product Name]])))</f>
        <v>Washing Machine</v>
      </c>
      <c r="I1356" t="s">
        <v>79</v>
      </c>
      <c r="J1356" t="str">
        <f t="shared" si="149"/>
        <v>CUST0026</v>
      </c>
      <c r="K1356" t="s">
        <v>2113</v>
      </c>
      <c r="L1356" t="str">
        <f>PROPER(TRIM(CLEAN(Sales_Table[[#This Row],[Salesperson]])))</f>
        <v>Karthik</v>
      </c>
      <c r="M1356" t="s">
        <v>70</v>
      </c>
      <c r="N1356" t="str">
        <f t="shared" si="150"/>
        <v>Cash</v>
      </c>
      <c r="O1356" t="s">
        <v>32</v>
      </c>
      <c r="P1356">
        <f t="shared" si="151"/>
        <v>7</v>
      </c>
      <c r="Q1356" t="s">
        <v>49</v>
      </c>
      <c r="R1356">
        <f t="shared" si="152"/>
        <v>1147</v>
      </c>
      <c r="S1356" t="s">
        <v>3249</v>
      </c>
      <c r="T1356">
        <f t="shared" si="153"/>
        <v>8029</v>
      </c>
      <c r="U1356">
        <f>YEAR(Sales_Table[[#This Row],[Date_clean]])</f>
        <v>2024</v>
      </c>
      <c r="V1356" t="str">
        <f>TEXT(Sales_Table[[#This Row],[Date_clean]],"mmmm")</f>
        <v>February</v>
      </c>
      <c r="W1356">
        <f>WEEKNUM(Sales_Table[[#This Row],[Date_clean]],2)</f>
        <v>9</v>
      </c>
      <c r="X1356" t="str" cm="1">
        <f t="array" ref="X1356">_xlfn.IFS(Sales_Table[[#This Row],[Revenue]]&gt;=50000,"High",Sales_Table[[#This Row],[Revenue]]&gt;=20000,"Medium",Sales_Table[[#This Row],[Revenue]]&lt;20000,"Low")</f>
        <v>Low</v>
      </c>
      <c r="Y1356" t="str">
        <f>IF(Sales_Table[[#This Row],[Payment Method_clean]]="cash","Offline","Online")</f>
        <v>Offline</v>
      </c>
      <c r="Z1356">
        <f>IFERROR(Sales_Table[[#This Row],[Revenue]],0)</f>
        <v>8029</v>
      </c>
    </row>
    <row r="1357" spans="1:26" x14ac:dyDescent="0.3">
      <c r="A1357">
        <v>1356</v>
      </c>
      <c r="B1357" s="2">
        <f t="shared" si="147"/>
        <v>45348.458333333336</v>
      </c>
      <c r="C1357" t="s">
        <v>3250</v>
      </c>
      <c r="D1357" t="s">
        <v>36</v>
      </c>
      <c r="E1357" t="str">
        <f>PROPER(TRIM(CLEAN(Sales_Table[[#This Row],[Region]])))</f>
        <v>West</v>
      </c>
      <c r="F1357" t="s">
        <v>28</v>
      </c>
      <c r="G1357" t="str">
        <f t="shared" si="148"/>
        <v>Clothing</v>
      </c>
      <c r="H1357" t="str">
        <f>PROPER(TRIM(CLEAN(Sales_Table[[#This Row],[Product Name]])))</f>
        <v>Rice 5Kg</v>
      </c>
      <c r="I1357" t="s">
        <v>73</v>
      </c>
      <c r="J1357" t="str">
        <f t="shared" si="149"/>
        <v>CUST0299</v>
      </c>
      <c r="K1357" t="s">
        <v>476</v>
      </c>
      <c r="L1357" t="str">
        <f>PROPER(TRIM(CLEAN(Sales_Table[[#This Row],[Salesperson]])))</f>
        <v>Rahul</v>
      </c>
      <c r="M1357" t="s">
        <v>31</v>
      </c>
      <c r="N1357" t="str">
        <f t="shared" si="150"/>
        <v>Cash</v>
      </c>
      <c r="O1357" t="s">
        <v>32</v>
      </c>
      <c r="P1357">
        <f t="shared" si="151"/>
        <v>5</v>
      </c>
      <c r="Q1357" t="s">
        <v>89</v>
      </c>
      <c r="R1357">
        <f t="shared" si="152"/>
        <v>4466</v>
      </c>
      <c r="S1357" t="s">
        <v>3251</v>
      </c>
      <c r="T1357">
        <f t="shared" si="153"/>
        <v>22330</v>
      </c>
      <c r="U1357">
        <f>YEAR(Sales_Table[[#This Row],[Date_clean]])</f>
        <v>2024</v>
      </c>
      <c r="V1357" t="str">
        <f>TEXT(Sales_Table[[#This Row],[Date_clean]],"mmmm")</f>
        <v>February</v>
      </c>
      <c r="W1357">
        <f>WEEKNUM(Sales_Table[[#This Row],[Date_clean]],2)</f>
        <v>9</v>
      </c>
      <c r="X1357" t="str" cm="1">
        <f t="array" ref="X1357">_xlfn.IFS(Sales_Table[[#This Row],[Revenue]]&gt;=50000,"High",Sales_Table[[#This Row],[Revenue]]&gt;=20000,"Medium",Sales_Table[[#This Row],[Revenue]]&lt;20000,"Low")</f>
        <v>Medium</v>
      </c>
      <c r="Y1357" t="str">
        <f>IF(Sales_Table[[#This Row],[Payment Method_clean]]="cash","Offline","Online")</f>
        <v>Offline</v>
      </c>
      <c r="Z1357">
        <f>IFERROR(Sales_Table[[#This Row],[Revenue]],0)</f>
        <v>22330</v>
      </c>
    </row>
    <row r="1358" spans="1:26" x14ac:dyDescent="0.3">
      <c r="A1358">
        <v>1357</v>
      </c>
      <c r="B1358" s="2">
        <f t="shared" si="147"/>
        <v>45348.5</v>
      </c>
      <c r="C1358" t="s">
        <v>3252</v>
      </c>
      <c r="D1358" t="s">
        <v>36</v>
      </c>
      <c r="E1358" t="str">
        <f>PROPER(TRIM(CLEAN(Sales_Table[[#This Row],[Region]])))</f>
        <v>West</v>
      </c>
      <c r="F1358" t="s">
        <v>46</v>
      </c>
      <c r="G1358" t="str">
        <f t="shared" si="148"/>
        <v>Electronics</v>
      </c>
      <c r="H1358" t="str">
        <f>PROPER(TRIM(CLEAN(Sales_Table[[#This Row],[Product Name]])))</f>
        <v>Men T-Shirt</v>
      </c>
      <c r="I1358" t="s">
        <v>38</v>
      </c>
      <c r="J1358" t="str">
        <f t="shared" si="149"/>
        <v>CUST0077</v>
      </c>
      <c r="K1358" t="s">
        <v>441</v>
      </c>
      <c r="L1358" t="str">
        <f>PROPER(TRIM(CLEAN(Sales_Table[[#This Row],[Salesperson]])))</f>
        <v>Suresh</v>
      </c>
      <c r="M1358" t="s">
        <v>54</v>
      </c>
      <c r="N1358" t="str">
        <f t="shared" si="150"/>
        <v>Cash</v>
      </c>
      <c r="O1358" t="s">
        <v>32</v>
      </c>
      <c r="P1358">
        <f t="shared" si="151"/>
        <v>10</v>
      </c>
      <c r="Q1358" t="s">
        <v>117</v>
      </c>
      <c r="R1358">
        <f t="shared" si="152"/>
        <v>4337</v>
      </c>
      <c r="S1358" t="s">
        <v>2308</v>
      </c>
      <c r="T1358">
        <f t="shared" si="153"/>
        <v>43370</v>
      </c>
      <c r="U1358">
        <f>YEAR(Sales_Table[[#This Row],[Date_clean]])</f>
        <v>2024</v>
      </c>
      <c r="V1358" t="str">
        <f>TEXT(Sales_Table[[#This Row],[Date_clean]],"mmmm")</f>
        <v>February</v>
      </c>
      <c r="W1358">
        <f>WEEKNUM(Sales_Table[[#This Row],[Date_clean]],2)</f>
        <v>9</v>
      </c>
      <c r="X1358" t="str" cm="1">
        <f t="array" ref="X1358">_xlfn.IFS(Sales_Table[[#This Row],[Revenue]]&gt;=50000,"High",Sales_Table[[#This Row],[Revenue]]&gt;=20000,"Medium",Sales_Table[[#This Row],[Revenue]]&lt;20000,"Low")</f>
        <v>Medium</v>
      </c>
      <c r="Y1358" t="str">
        <f>IF(Sales_Table[[#This Row],[Payment Method_clean]]="cash","Offline","Online")</f>
        <v>Offline</v>
      </c>
      <c r="Z1358">
        <f>IFERROR(Sales_Table[[#This Row],[Revenue]],0)</f>
        <v>43370</v>
      </c>
    </row>
    <row r="1359" spans="1:26" x14ac:dyDescent="0.3">
      <c r="A1359">
        <v>1358</v>
      </c>
      <c r="B1359" s="2">
        <f t="shared" si="147"/>
        <v>45348.541666666664</v>
      </c>
      <c r="C1359" t="s">
        <v>3253</v>
      </c>
      <c r="D1359" t="s">
        <v>27</v>
      </c>
      <c r="E1359" t="str">
        <f>PROPER(TRIM(CLEAN(Sales_Table[[#This Row],[Region]])))</f>
        <v>East</v>
      </c>
      <c r="F1359" t="s">
        <v>28</v>
      </c>
      <c r="G1359" t="str">
        <f t="shared" si="148"/>
        <v>Clothing</v>
      </c>
      <c r="H1359" t="str">
        <f>PROPER(TRIM(CLEAN(Sales_Table[[#This Row],[Product Name]])))</f>
        <v>Men T-Shirt</v>
      </c>
      <c r="I1359" t="s">
        <v>38</v>
      </c>
      <c r="J1359" t="str">
        <f t="shared" si="149"/>
        <v>CUST0137</v>
      </c>
      <c r="K1359" t="s">
        <v>1725</v>
      </c>
      <c r="L1359" t="str">
        <f>PROPER(TRIM(CLEAN(Sales_Table[[#This Row],[Salesperson]])))</f>
        <v>Rahul</v>
      </c>
      <c r="M1359" t="s">
        <v>31</v>
      </c>
      <c r="N1359" t="str">
        <f t="shared" si="150"/>
        <v>Cash</v>
      </c>
      <c r="O1359" t="s">
        <v>32</v>
      </c>
      <c r="P1359">
        <f t="shared" si="151"/>
        <v>4</v>
      </c>
      <c r="Q1359" t="s">
        <v>113</v>
      </c>
      <c r="R1359">
        <f t="shared" si="152"/>
        <v>3889</v>
      </c>
      <c r="S1359" t="s">
        <v>3254</v>
      </c>
      <c r="T1359">
        <f t="shared" si="153"/>
        <v>15556</v>
      </c>
      <c r="U1359">
        <f>YEAR(Sales_Table[[#This Row],[Date_clean]])</f>
        <v>2024</v>
      </c>
      <c r="V1359" t="str">
        <f>TEXT(Sales_Table[[#This Row],[Date_clean]],"mmmm")</f>
        <v>February</v>
      </c>
      <c r="W1359">
        <f>WEEKNUM(Sales_Table[[#This Row],[Date_clean]],2)</f>
        <v>9</v>
      </c>
      <c r="X1359" t="str" cm="1">
        <f t="array" ref="X1359">_xlfn.IFS(Sales_Table[[#This Row],[Revenue]]&gt;=50000,"High",Sales_Table[[#This Row],[Revenue]]&gt;=20000,"Medium",Sales_Table[[#This Row],[Revenue]]&lt;20000,"Low")</f>
        <v>Low</v>
      </c>
      <c r="Y1359" t="str">
        <f>IF(Sales_Table[[#This Row],[Payment Method_clean]]="cash","Offline","Online")</f>
        <v>Offline</v>
      </c>
      <c r="Z1359">
        <f>IFERROR(Sales_Table[[#This Row],[Revenue]],0)</f>
        <v>15556</v>
      </c>
    </row>
    <row r="1360" spans="1:26" x14ac:dyDescent="0.3">
      <c r="A1360">
        <v>1359</v>
      </c>
      <c r="B1360" s="2">
        <f t="shared" si="147"/>
        <v>45348.583333333336</v>
      </c>
      <c r="C1360" t="s">
        <v>3255</v>
      </c>
      <c r="D1360" t="s">
        <v>36</v>
      </c>
      <c r="E1360" t="str">
        <f>PROPER(TRIM(CLEAN(Sales_Table[[#This Row],[Region]])))</f>
        <v>West</v>
      </c>
      <c r="F1360" t="s">
        <v>46</v>
      </c>
      <c r="G1360" t="str">
        <f t="shared" si="148"/>
        <v>Electronics</v>
      </c>
      <c r="H1360" t="str">
        <f>PROPER(TRIM(CLEAN(Sales_Table[[#This Row],[Product Name]])))</f>
        <v>Washing Machine</v>
      </c>
      <c r="I1360" t="s">
        <v>79</v>
      </c>
      <c r="J1360" t="str">
        <f t="shared" si="149"/>
        <v>CUST0020</v>
      </c>
      <c r="K1360" t="s">
        <v>3256</v>
      </c>
      <c r="L1360" t="str">
        <f>PROPER(TRIM(CLEAN(Sales_Table[[#This Row],[Salesperson]])))</f>
        <v>Rahul</v>
      </c>
      <c r="M1360" t="s">
        <v>31</v>
      </c>
      <c r="N1360" t="str">
        <f t="shared" si="150"/>
        <v>Upi</v>
      </c>
      <c r="O1360" t="s">
        <v>48</v>
      </c>
      <c r="P1360">
        <f t="shared" si="151"/>
        <v>5</v>
      </c>
      <c r="Q1360" t="s">
        <v>89</v>
      </c>
      <c r="R1360">
        <f t="shared" si="152"/>
        <v>3121</v>
      </c>
      <c r="S1360" t="s">
        <v>3257</v>
      </c>
      <c r="T1360">
        <f t="shared" si="153"/>
        <v>15605</v>
      </c>
      <c r="U1360">
        <f>YEAR(Sales_Table[[#This Row],[Date_clean]])</f>
        <v>2024</v>
      </c>
      <c r="V1360" t="str">
        <f>TEXT(Sales_Table[[#This Row],[Date_clean]],"mmmm")</f>
        <v>February</v>
      </c>
      <c r="W1360">
        <f>WEEKNUM(Sales_Table[[#This Row],[Date_clean]],2)</f>
        <v>9</v>
      </c>
      <c r="X1360" t="str" cm="1">
        <f t="array" ref="X1360">_xlfn.IFS(Sales_Table[[#This Row],[Revenue]]&gt;=50000,"High",Sales_Table[[#This Row],[Revenue]]&gt;=20000,"Medium",Sales_Table[[#This Row],[Revenue]]&lt;20000,"Low")</f>
        <v>Low</v>
      </c>
      <c r="Y1360" t="str">
        <f>IF(Sales_Table[[#This Row],[Payment Method_clean]]="cash","Offline","Online")</f>
        <v>Online</v>
      </c>
      <c r="Z1360">
        <f>IFERROR(Sales_Table[[#This Row],[Revenue]],0)</f>
        <v>15605</v>
      </c>
    </row>
    <row r="1361" spans="1:26" x14ac:dyDescent="0.3">
      <c r="A1361">
        <v>1360</v>
      </c>
      <c r="B1361" s="2">
        <f t="shared" si="147"/>
        <v>45348.625</v>
      </c>
      <c r="C1361" t="s">
        <v>3258</v>
      </c>
      <c r="D1361" t="s">
        <v>27</v>
      </c>
      <c r="E1361" t="str">
        <f>PROPER(TRIM(CLEAN(Sales_Table[[#This Row],[Region]])))</f>
        <v>East</v>
      </c>
      <c r="F1361" t="s">
        <v>28</v>
      </c>
      <c r="G1361" t="str">
        <f t="shared" si="148"/>
        <v>Clothing</v>
      </c>
      <c r="H1361" t="str">
        <f>PROPER(TRIM(CLEAN(Sales_Table[[#This Row],[Product Name]])))</f>
        <v>Mixer Grinder</v>
      </c>
      <c r="I1361" t="s">
        <v>29</v>
      </c>
      <c r="J1361" t="str">
        <f t="shared" si="149"/>
        <v>CUST0440</v>
      </c>
      <c r="K1361" t="s">
        <v>3009</v>
      </c>
      <c r="L1361" t="str">
        <f>PROPER(TRIM(CLEAN(Sales_Table[[#This Row],[Salesperson]])))</f>
        <v>Anita</v>
      </c>
      <c r="M1361" t="s">
        <v>64</v>
      </c>
      <c r="N1361" t="str">
        <f t="shared" si="150"/>
        <v>Net Banking</v>
      </c>
      <c r="O1361" t="s">
        <v>60</v>
      </c>
      <c r="P1361">
        <f t="shared" si="151"/>
        <v>5</v>
      </c>
      <c r="Q1361" t="s">
        <v>89</v>
      </c>
      <c r="R1361">
        <f t="shared" si="152"/>
        <v>4469</v>
      </c>
      <c r="S1361" t="s">
        <v>3259</v>
      </c>
      <c r="T1361">
        <f t="shared" si="153"/>
        <v>22345</v>
      </c>
      <c r="U1361">
        <f>YEAR(Sales_Table[[#This Row],[Date_clean]])</f>
        <v>2024</v>
      </c>
      <c r="V1361" t="str">
        <f>TEXT(Sales_Table[[#This Row],[Date_clean]],"mmmm")</f>
        <v>February</v>
      </c>
      <c r="W1361">
        <f>WEEKNUM(Sales_Table[[#This Row],[Date_clean]],2)</f>
        <v>9</v>
      </c>
      <c r="X1361" t="str" cm="1">
        <f t="array" ref="X1361">_xlfn.IFS(Sales_Table[[#This Row],[Revenue]]&gt;=50000,"High",Sales_Table[[#This Row],[Revenue]]&gt;=20000,"Medium",Sales_Table[[#This Row],[Revenue]]&lt;20000,"Low")</f>
        <v>Medium</v>
      </c>
      <c r="Y1361" t="str">
        <f>IF(Sales_Table[[#This Row],[Payment Method_clean]]="cash","Offline","Online")</f>
        <v>Online</v>
      </c>
      <c r="Z1361">
        <f>IFERROR(Sales_Table[[#This Row],[Revenue]],0)</f>
        <v>22345</v>
      </c>
    </row>
    <row r="1362" spans="1:26" x14ac:dyDescent="0.3">
      <c r="A1362">
        <v>1361</v>
      </c>
      <c r="B1362" s="2">
        <f t="shared" si="147"/>
        <v>45348.666666666664</v>
      </c>
      <c r="C1362" t="s">
        <v>3260</v>
      </c>
      <c r="D1362" t="s">
        <v>84</v>
      </c>
      <c r="E1362" t="str">
        <f>PROPER(TRIM(CLEAN(Sales_Table[[#This Row],[Region]])))</f>
        <v>South</v>
      </c>
      <c r="F1362" t="s">
        <v>46</v>
      </c>
      <c r="G1362" t="str">
        <f t="shared" si="148"/>
        <v>Electronics</v>
      </c>
      <c r="H1362" t="str">
        <f>PROPER(TRIM(CLEAN(Sales_Table[[#This Row],[Product Name]])))</f>
        <v>Led Tv 42Inch</v>
      </c>
      <c r="I1362" t="s">
        <v>58</v>
      </c>
      <c r="J1362" t="str">
        <f t="shared" si="149"/>
        <v>CUST0211</v>
      </c>
      <c r="K1362" t="s">
        <v>150</v>
      </c>
      <c r="L1362" t="str">
        <f>PROPER(TRIM(CLEAN(Sales_Table[[#This Row],[Salesperson]])))</f>
        <v>Rahul</v>
      </c>
      <c r="M1362" t="s">
        <v>31</v>
      </c>
      <c r="N1362" t="str">
        <f t="shared" si="150"/>
        <v>Cash</v>
      </c>
      <c r="O1362" t="s">
        <v>32</v>
      </c>
      <c r="P1362">
        <f t="shared" si="151"/>
        <v>11</v>
      </c>
      <c r="Q1362" t="s">
        <v>97</v>
      </c>
      <c r="R1362">
        <f t="shared" si="152"/>
        <v>4129</v>
      </c>
      <c r="S1362" t="s">
        <v>1949</v>
      </c>
      <c r="T1362">
        <f t="shared" si="153"/>
        <v>45419</v>
      </c>
      <c r="U1362">
        <f>YEAR(Sales_Table[[#This Row],[Date_clean]])</f>
        <v>2024</v>
      </c>
      <c r="V1362" t="str">
        <f>TEXT(Sales_Table[[#This Row],[Date_clean]],"mmmm")</f>
        <v>February</v>
      </c>
      <c r="W1362">
        <f>WEEKNUM(Sales_Table[[#This Row],[Date_clean]],2)</f>
        <v>9</v>
      </c>
      <c r="X1362" t="str" cm="1">
        <f t="array" ref="X1362">_xlfn.IFS(Sales_Table[[#This Row],[Revenue]]&gt;=50000,"High",Sales_Table[[#This Row],[Revenue]]&gt;=20000,"Medium",Sales_Table[[#This Row],[Revenue]]&lt;20000,"Low")</f>
        <v>Medium</v>
      </c>
      <c r="Y1362" t="str">
        <f>IF(Sales_Table[[#This Row],[Payment Method_clean]]="cash","Offline","Online")</f>
        <v>Offline</v>
      </c>
      <c r="Z1362">
        <f>IFERROR(Sales_Table[[#This Row],[Revenue]],0)</f>
        <v>45419</v>
      </c>
    </row>
    <row r="1363" spans="1:26" x14ac:dyDescent="0.3">
      <c r="A1363">
        <v>1362</v>
      </c>
      <c r="B1363" s="2">
        <f t="shared" si="147"/>
        <v>45348.708333333336</v>
      </c>
      <c r="C1363" t="s">
        <v>3261</v>
      </c>
      <c r="D1363" t="s">
        <v>84</v>
      </c>
      <c r="E1363" t="str">
        <f>PROPER(TRIM(CLEAN(Sales_Table[[#This Row],[Region]])))</f>
        <v>South</v>
      </c>
      <c r="F1363" t="s">
        <v>46</v>
      </c>
      <c r="G1363" t="str">
        <f t="shared" si="148"/>
        <v>Electronics</v>
      </c>
      <c r="H1363" t="str">
        <f>PROPER(TRIM(CLEAN(Sales_Table[[#This Row],[Product Name]])))</f>
        <v>Washing Machine</v>
      </c>
      <c r="I1363" t="s">
        <v>79</v>
      </c>
      <c r="J1363" t="str">
        <f t="shared" si="149"/>
        <v>CUST0752</v>
      </c>
      <c r="K1363" t="s">
        <v>1944</v>
      </c>
      <c r="L1363" t="str">
        <f>PROPER(TRIM(CLEAN(Sales_Table[[#This Row],[Salesperson]])))</f>
        <v>Rahul</v>
      </c>
      <c r="M1363" t="s">
        <v>31</v>
      </c>
      <c r="N1363" t="str">
        <f t="shared" si="150"/>
        <v>Cash</v>
      </c>
      <c r="O1363" t="s">
        <v>32</v>
      </c>
      <c r="P1363">
        <f t="shared" si="151"/>
        <v>9</v>
      </c>
      <c r="Q1363" t="s">
        <v>130</v>
      </c>
      <c r="R1363">
        <f t="shared" si="152"/>
        <v>564</v>
      </c>
      <c r="S1363" t="s">
        <v>2773</v>
      </c>
      <c r="T1363">
        <f t="shared" si="153"/>
        <v>5076</v>
      </c>
      <c r="U1363">
        <f>YEAR(Sales_Table[[#This Row],[Date_clean]])</f>
        <v>2024</v>
      </c>
      <c r="V1363" t="str">
        <f>TEXT(Sales_Table[[#This Row],[Date_clean]],"mmmm")</f>
        <v>February</v>
      </c>
      <c r="W1363">
        <f>WEEKNUM(Sales_Table[[#This Row],[Date_clean]],2)</f>
        <v>9</v>
      </c>
      <c r="X1363" t="str" cm="1">
        <f t="array" ref="X1363">_xlfn.IFS(Sales_Table[[#This Row],[Revenue]]&gt;=50000,"High",Sales_Table[[#This Row],[Revenue]]&gt;=20000,"Medium",Sales_Table[[#This Row],[Revenue]]&lt;20000,"Low")</f>
        <v>Low</v>
      </c>
      <c r="Y1363" t="str">
        <f>IF(Sales_Table[[#This Row],[Payment Method_clean]]="cash","Offline","Online")</f>
        <v>Offline</v>
      </c>
      <c r="Z1363">
        <f>IFERROR(Sales_Table[[#This Row],[Revenue]],0)</f>
        <v>5076</v>
      </c>
    </row>
    <row r="1364" spans="1:26" x14ac:dyDescent="0.3">
      <c r="A1364">
        <v>1363</v>
      </c>
      <c r="B1364" s="2">
        <f t="shared" si="147"/>
        <v>45348.75</v>
      </c>
      <c r="C1364" t="s">
        <v>3262</v>
      </c>
      <c r="D1364" t="s">
        <v>45</v>
      </c>
      <c r="E1364" t="str">
        <f>PROPER(TRIM(CLEAN(Sales_Table[[#This Row],[Region]])))</f>
        <v>North</v>
      </c>
      <c r="F1364" t="s">
        <v>37</v>
      </c>
      <c r="G1364" t="str">
        <f t="shared" si="148"/>
        <v>Home Appliances</v>
      </c>
      <c r="H1364" t="str">
        <f>PROPER(TRIM(CLEAN(Sales_Table[[#This Row],[Product Name]])))</f>
        <v>Led Tv 42Inch</v>
      </c>
      <c r="I1364" t="s">
        <v>58</v>
      </c>
      <c r="J1364" t="str">
        <f t="shared" si="149"/>
        <v>CUST0551</v>
      </c>
      <c r="K1364" t="s">
        <v>1231</v>
      </c>
      <c r="L1364" t="str">
        <f>PROPER(TRIM(CLEAN(Sales_Table[[#This Row],[Salesperson]])))</f>
        <v>Suresh</v>
      </c>
      <c r="M1364" t="s">
        <v>54</v>
      </c>
      <c r="N1364" t="str">
        <f t="shared" si="150"/>
        <v>Cash</v>
      </c>
      <c r="O1364" t="s">
        <v>32</v>
      </c>
      <c r="P1364">
        <f t="shared" si="151"/>
        <v>12</v>
      </c>
      <c r="Q1364" t="s">
        <v>33</v>
      </c>
      <c r="R1364">
        <f t="shared" si="152"/>
        <v>387</v>
      </c>
      <c r="S1364" t="s">
        <v>3263</v>
      </c>
      <c r="T1364">
        <f t="shared" si="153"/>
        <v>4644</v>
      </c>
      <c r="U1364">
        <f>YEAR(Sales_Table[[#This Row],[Date_clean]])</f>
        <v>2024</v>
      </c>
      <c r="V1364" t="str">
        <f>TEXT(Sales_Table[[#This Row],[Date_clean]],"mmmm")</f>
        <v>February</v>
      </c>
      <c r="W1364">
        <f>WEEKNUM(Sales_Table[[#This Row],[Date_clean]],2)</f>
        <v>9</v>
      </c>
      <c r="X1364" t="str" cm="1">
        <f t="array" ref="X1364">_xlfn.IFS(Sales_Table[[#This Row],[Revenue]]&gt;=50000,"High",Sales_Table[[#This Row],[Revenue]]&gt;=20000,"Medium",Sales_Table[[#This Row],[Revenue]]&lt;20000,"Low")</f>
        <v>Low</v>
      </c>
      <c r="Y1364" t="str">
        <f>IF(Sales_Table[[#This Row],[Payment Method_clean]]="cash","Offline","Online")</f>
        <v>Offline</v>
      </c>
      <c r="Z1364">
        <f>IFERROR(Sales_Table[[#This Row],[Revenue]],0)</f>
        <v>4644</v>
      </c>
    </row>
    <row r="1365" spans="1:26" x14ac:dyDescent="0.3">
      <c r="A1365">
        <v>1364</v>
      </c>
      <c r="B1365" s="2">
        <f t="shared" si="147"/>
        <v>45348.791666666664</v>
      </c>
      <c r="C1365" t="s">
        <v>3264</v>
      </c>
      <c r="D1365" t="s">
        <v>84</v>
      </c>
      <c r="E1365" t="str">
        <f>PROPER(TRIM(CLEAN(Sales_Table[[#This Row],[Region]])))</f>
        <v>South</v>
      </c>
      <c r="F1365" t="s">
        <v>46</v>
      </c>
      <c r="G1365" t="str">
        <f t="shared" si="148"/>
        <v>Electronics</v>
      </c>
      <c r="H1365" t="str">
        <f>PROPER(TRIM(CLEAN(Sales_Table[[#This Row],[Product Name]])))</f>
        <v>Mixer Grinder</v>
      </c>
      <c r="I1365" t="s">
        <v>29</v>
      </c>
      <c r="J1365" t="str">
        <f t="shared" si="149"/>
        <v>CUST0435</v>
      </c>
      <c r="K1365" t="s">
        <v>2938</v>
      </c>
      <c r="L1365" t="str">
        <f>PROPER(TRIM(CLEAN(Sales_Table[[#This Row],[Salesperson]])))</f>
        <v>Suresh</v>
      </c>
      <c r="M1365" t="s">
        <v>54</v>
      </c>
      <c r="N1365" t="str">
        <f t="shared" si="150"/>
        <v>Cash</v>
      </c>
      <c r="O1365" t="s">
        <v>32</v>
      </c>
      <c r="P1365">
        <f t="shared" si="151"/>
        <v>9</v>
      </c>
      <c r="Q1365" t="s">
        <v>130</v>
      </c>
      <c r="R1365">
        <f t="shared" si="152"/>
        <v>3295</v>
      </c>
      <c r="S1365" t="s">
        <v>3265</v>
      </c>
      <c r="T1365">
        <f t="shared" si="153"/>
        <v>29655</v>
      </c>
      <c r="U1365">
        <f>YEAR(Sales_Table[[#This Row],[Date_clean]])</f>
        <v>2024</v>
      </c>
      <c r="V1365" t="str">
        <f>TEXT(Sales_Table[[#This Row],[Date_clean]],"mmmm")</f>
        <v>February</v>
      </c>
      <c r="W1365">
        <f>WEEKNUM(Sales_Table[[#This Row],[Date_clean]],2)</f>
        <v>9</v>
      </c>
      <c r="X1365" t="str" cm="1">
        <f t="array" ref="X1365">_xlfn.IFS(Sales_Table[[#This Row],[Revenue]]&gt;=50000,"High",Sales_Table[[#This Row],[Revenue]]&gt;=20000,"Medium",Sales_Table[[#This Row],[Revenue]]&lt;20000,"Low")</f>
        <v>Medium</v>
      </c>
      <c r="Y1365" t="str">
        <f>IF(Sales_Table[[#This Row],[Payment Method_clean]]="cash","Offline","Online")</f>
        <v>Offline</v>
      </c>
      <c r="Z1365">
        <f>IFERROR(Sales_Table[[#This Row],[Revenue]],0)</f>
        <v>29655</v>
      </c>
    </row>
    <row r="1366" spans="1:26" x14ac:dyDescent="0.3">
      <c r="A1366">
        <v>1365</v>
      </c>
      <c r="B1366" s="2">
        <f t="shared" si="147"/>
        <v>45348.833333333336</v>
      </c>
      <c r="C1366" t="s">
        <v>3266</v>
      </c>
      <c r="D1366" t="s">
        <v>36</v>
      </c>
      <c r="E1366" t="str">
        <f>PROPER(TRIM(CLEAN(Sales_Table[[#This Row],[Region]])))</f>
        <v>West</v>
      </c>
      <c r="F1366" t="s">
        <v>37</v>
      </c>
      <c r="G1366" t="str">
        <f t="shared" si="148"/>
        <v>Home Appliances</v>
      </c>
      <c r="H1366" t="str">
        <f>PROPER(TRIM(CLEAN(Sales_Table[[#This Row],[Product Name]])))</f>
        <v>Men T-Shirt</v>
      </c>
      <c r="I1366" t="s">
        <v>38</v>
      </c>
      <c r="J1366" t="str">
        <f t="shared" si="149"/>
        <v>CUST0780</v>
      </c>
      <c r="K1366" t="s">
        <v>637</v>
      </c>
      <c r="L1366" t="str">
        <f>PROPER(TRIM(CLEAN(Sales_Table[[#This Row],[Salesperson]])))</f>
        <v>Meena</v>
      </c>
      <c r="M1366" t="s">
        <v>40</v>
      </c>
      <c r="N1366" t="str">
        <f t="shared" si="150"/>
        <v>Credit Card</v>
      </c>
      <c r="O1366" t="s">
        <v>65</v>
      </c>
      <c r="P1366">
        <f t="shared" si="151"/>
        <v>6</v>
      </c>
      <c r="Q1366" t="s">
        <v>75</v>
      </c>
      <c r="R1366">
        <f t="shared" si="152"/>
        <v>975</v>
      </c>
      <c r="S1366" t="s">
        <v>3267</v>
      </c>
      <c r="T1366">
        <f t="shared" si="153"/>
        <v>5850</v>
      </c>
      <c r="U1366">
        <f>YEAR(Sales_Table[[#This Row],[Date_clean]])</f>
        <v>2024</v>
      </c>
      <c r="V1366" t="str">
        <f>TEXT(Sales_Table[[#This Row],[Date_clean]],"mmmm")</f>
        <v>February</v>
      </c>
      <c r="W1366">
        <f>WEEKNUM(Sales_Table[[#This Row],[Date_clean]],2)</f>
        <v>9</v>
      </c>
      <c r="X1366" t="str" cm="1">
        <f t="array" ref="X1366">_xlfn.IFS(Sales_Table[[#This Row],[Revenue]]&gt;=50000,"High",Sales_Table[[#This Row],[Revenue]]&gt;=20000,"Medium",Sales_Table[[#This Row],[Revenue]]&lt;20000,"Low")</f>
        <v>Low</v>
      </c>
      <c r="Y1366" t="str">
        <f>IF(Sales_Table[[#This Row],[Payment Method_clean]]="cash","Offline","Online")</f>
        <v>Online</v>
      </c>
      <c r="Z1366">
        <f>IFERROR(Sales_Table[[#This Row],[Revenue]],0)</f>
        <v>5850</v>
      </c>
    </row>
    <row r="1367" spans="1:26" x14ac:dyDescent="0.3">
      <c r="A1367">
        <v>1366</v>
      </c>
      <c r="B1367" s="2">
        <f t="shared" si="147"/>
        <v>45348.875</v>
      </c>
      <c r="C1367" t="s">
        <v>3268</v>
      </c>
      <c r="D1367" t="s">
        <v>84</v>
      </c>
      <c r="E1367" t="str">
        <f>PROPER(TRIM(CLEAN(Sales_Table[[#This Row],[Region]])))</f>
        <v>South</v>
      </c>
      <c r="F1367" t="s">
        <v>46</v>
      </c>
      <c r="G1367" t="str">
        <f t="shared" si="148"/>
        <v>Electronics</v>
      </c>
      <c r="H1367" t="str">
        <f>PROPER(TRIM(CLEAN(Sales_Table[[#This Row],[Product Name]])))</f>
        <v>Led Tv 42Inch</v>
      </c>
      <c r="I1367" t="s">
        <v>58</v>
      </c>
      <c r="J1367" t="str">
        <f t="shared" si="149"/>
        <v>CUST0207</v>
      </c>
      <c r="K1367" t="s">
        <v>264</v>
      </c>
      <c r="L1367" t="str">
        <f>PROPER(TRIM(CLEAN(Sales_Table[[#This Row],[Salesperson]])))</f>
        <v>Anita</v>
      </c>
      <c r="M1367" t="s">
        <v>64</v>
      </c>
      <c r="N1367" t="str">
        <f t="shared" si="150"/>
        <v>Credit Card</v>
      </c>
      <c r="O1367" t="s">
        <v>65</v>
      </c>
      <c r="P1367">
        <f t="shared" si="151"/>
        <v>14</v>
      </c>
      <c r="Q1367" t="s">
        <v>55</v>
      </c>
      <c r="R1367">
        <f t="shared" si="152"/>
        <v>2092</v>
      </c>
      <c r="S1367" t="s">
        <v>3269</v>
      </c>
      <c r="T1367">
        <f t="shared" si="153"/>
        <v>29288</v>
      </c>
      <c r="U1367">
        <f>YEAR(Sales_Table[[#This Row],[Date_clean]])</f>
        <v>2024</v>
      </c>
      <c r="V1367" t="str">
        <f>TEXT(Sales_Table[[#This Row],[Date_clean]],"mmmm")</f>
        <v>February</v>
      </c>
      <c r="W1367">
        <f>WEEKNUM(Sales_Table[[#This Row],[Date_clean]],2)</f>
        <v>9</v>
      </c>
      <c r="X1367" t="str" cm="1">
        <f t="array" ref="X1367">_xlfn.IFS(Sales_Table[[#This Row],[Revenue]]&gt;=50000,"High",Sales_Table[[#This Row],[Revenue]]&gt;=20000,"Medium",Sales_Table[[#This Row],[Revenue]]&lt;20000,"Low")</f>
        <v>Medium</v>
      </c>
      <c r="Y1367" t="str">
        <f>IF(Sales_Table[[#This Row],[Payment Method_clean]]="cash","Offline","Online")</f>
        <v>Online</v>
      </c>
      <c r="Z1367">
        <f>IFERROR(Sales_Table[[#This Row],[Revenue]],0)</f>
        <v>29288</v>
      </c>
    </row>
    <row r="1368" spans="1:26" x14ac:dyDescent="0.3">
      <c r="A1368">
        <v>1367</v>
      </c>
      <c r="B1368" s="2">
        <f t="shared" si="147"/>
        <v>45348.916666666664</v>
      </c>
      <c r="C1368" t="s">
        <v>3270</v>
      </c>
      <c r="D1368" t="s">
        <v>27</v>
      </c>
      <c r="E1368" t="str">
        <f>PROPER(TRIM(CLEAN(Sales_Table[[#This Row],[Region]])))</f>
        <v>East</v>
      </c>
      <c r="F1368" t="s">
        <v>78</v>
      </c>
      <c r="G1368" t="str">
        <f t="shared" si="148"/>
        <v>Grocery</v>
      </c>
      <c r="H1368" t="str">
        <f>PROPER(TRIM(CLEAN(Sales_Table[[#This Row],[Product Name]])))</f>
        <v>Rice 5Kg</v>
      </c>
      <c r="I1368" t="s">
        <v>73</v>
      </c>
      <c r="J1368" t="str">
        <f t="shared" si="149"/>
        <v>CUST0439</v>
      </c>
      <c r="K1368" t="s">
        <v>828</v>
      </c>
      <c r="L1368" t="str">
        <f>PROPER(TRIM(CLEAN(Sales_Table[[#This Row],[Salesperson]])))</f>
        <v>Rahul</v>
      </c>
      <c r="M1368" t="s">
        <v>31</v>
      </c>
      <c r="N1368" t="str">
        <f t="shared" si="150"/>
        <v>Debit Card</v>
      </c>
      <c r="O1368" t="s">
        <v>41</v>
      </c>
      <c r="P1368">
        <f t="shared" si="151"/>
        <v>4</v>
      </c>
      <c r="Q1368" t="s">
        <v>113</v>
      </c>
      <c r="R1368">
        <f t="shared" si="152"/>
        <v>3025</v>
      </c>
      <c r="S1368" t="s">
        <v>3271</v>
      </c>
      <c r="T1368">
        <f t="shared" si="153"/>
        <v>12100</v>
      </c>
      <c r="U1368">
        <f>YEAR(Sales_Table[[#This Row],[Date_clean]])</f>
        <v>2024</v>
      </c>
      <c r="V1368" t="str">
        <f>TEXT(Sales_Table[[#This Row],[Date_clean]],"mmmm")</f>
        <v>February</v>
      </c>
      <c r="W1368">
        <f>WEEKNUM(Sales_Table[[#This Row],[Date_clean]],2)</f>
        <v>9</v>
      </c>
      <c r="X1368" t="str" cm="1">
        <f t="array" ref="X1368">_xlfn.IFS(Sales_Table[[#This Row],[Revenue]]&gt;=50000,"High",Sales_Table[[#This Row],[Revenue]]&gt;=20000,"Medium",Sales_Table[[#This Row],[Revenue]]&lt;20000,"Low")</f>
        <v>Low</v>
      </c>
      <c r="Y1368" t="str">
        <f>IF(Sales_Table[[#This Row],[Payment Method_clean]]="cash","Offline","Online")</f>
        <v>Online</v>
      </c>
      <c r="Z1368">
        <f>IFERROR(Sales_Table[[#This Row],[Revenue]],0)</f>
        <v>12100</v>
      </c>
    </row>
    <row r="1369" spans="1:26" x14ac:dyDescent="0.3">
      <c r="A1369">
        <v>1368</v>
      </c>
      <c r="B1369" s="2">
        <f t="shared" si="147"/>
        <v>45348.958333333336</v>
      </c>
      <c r="C1369" t="s">
        <v>3272</v>
      </c>
      <c r="D1369" t="s">
        <v>84</v>
      </c>
      <c r="E1369" t="str">
        <f>PROPER(TRIM(CLEAN(Sales_Table[[#This Row],[Region]])))</f>
        <v>South</v>
      </c>
      <c r="F1369" t="s">
        <v>46</v>
      </c>
      <c r="G1369" t="str">
        <f t="shared" si="148"/>
        <v>Electronics</v>
      </c>
      <c r="H1369" t="str">
        <f>PROPER(TRIM(CLEAN(Sales_Table[[#This Row],[Product Name]])))</f>
        <v>Rice 5Kg</v>
      </c>
      <c r="I1369" t="s">
        <v>73</v>
      </c>
      <c r="J1369" t="str">
        <f t="shared" si="149"/>
        <v>CUST0779</v>
      </c>
      <c r="K1369" t="s">
        <v>1958</v>
      </c>
      <c r="L1369" t="str">
        <f>PROPER(TRIM(CLEAN(Sales_Table[[#This Row],[Salesperson]])))</f>
        <v>Anita</v>
      </c>
      <c r="M1369" t="s">
        <v>64</v>
      </c>
      <c r="N1369" t="str">
        <f t="shared" si="150"/>
        <v>Cash</v>
      </c>
      <c r="O1369" t="s">
        <v>32</v>
      </c>
      <c r="P1369">
        <f t="shared" si="151"/>
        <v>2</v>
      </c>
      <c r="Q1369" t="s">
        <v>196</v>
      </c>
      <c r="R1369">
        <f t="shared" si="152"/>
        <v>1220</v>
      </c>
      <c r="S1369" t="s">
        <v>3273</v>
      </c>
      <c r="T1369">
        <f t="shared" si="153"/>
        <v>2440</v>
      </c>
      <c r="U1369">
        <f>YEAR(Sales_Table[[#This Row],[Date_clean]])</f>
        <v>2024</v>
      </c>
      <c r="V1369" t="str">
        <f>TEXT(Sales_Table[[#This Row],[Date_clean]],"mmmm")</f>
        <v>February</v>
      </c>
      <c r="W1369">
        <f>WEEKNUM(Sales_Table[[#This Row],[Date_clean]],2)</f>
        <v>9</v>
      </c>
      <c r="X1369" t="str" cm="1">
        <f t="array" ref="X1369">_xlfn.IFS(Sales_Table[[#This Row],[Revenue]]&gt;=50000,"High",Sales_Table[[#This Row],[Revenue]]&gt;=20000,"Medium",Sales_Table[[#This Row],[Revenue]]&lt;20000,"Low")</f>
        <v>Low</v>
      </c>
      <c r="Y1369" t="str">
        <f>IF(Sales_Table[[#This Row],[Payment Method_clean]]="cash","Offline","Online")</f>
        <v>Offline</v>
      </c>
      <c r="Z1369">
        <f>IFERROR(Sales_Table[[#This Row],[Revenue]],0)</f>
        <v>2440</v>
      </c>
    </row>
    <row r="1370" spans="1:26" x14ac:dyDescent="0.3">
      <c r="A1370">
        <v>1369</v>
      </c>
      <c r="B1370" s="2">
        <f t="shared" si="147"/>
        <v>45349</v>
      </c>
      <c r="C1370" t="s">
        <v>3274</v>
      </c>
      <c r="D1370" t="s">
        <v>45</v>
      </c>
      <c r="E1370" t="str">
        <f>PROPER(TRIM(CLEAN(Sales_Table[[#This Row],[Region]])))</f>
        <v>North</v>
      </c>
      <c r="F1370" t="s">
        <v>78</v>
      </c>
      <c r="G1370" t="str">
        <f t="shared" si="148"/>
        <v>Grocery</v>
      </c>
      <c r="H1370" t="str">
        <f>PROPER(TRIM(CLEAN(Sales_Table[[#This Row],[Product Name]])))</f>
        <v>Washing Machine</v>
      </c>
      <c r="I1370" t="s">
        <v>79</v>
      </c>
      <c r="J1370" t="str">
        <f t="shared" si="149"/>
        <v>CUST0666</v>
      </c>
      <c r="K1370" t="s">
        <v>3275</v>
      </c>
      <c r="L1370" t="str">
        <f>PROPER(TRIM(CLEAN(Sales_Table[[#This Row],[Salesperson]])))</f>
        <v>Karthik</v>
      </c>
      <c r="M1370" t="s">
        <v>70</v>
      </c>
      <c r="N1370" t="str">
        <f t="shared" si="150"/>
        <v>Debit Card</v>
      </c>
      <c r="O1370" t="s">
        <v>41</v>
      </c>
      <c r="P1370">
        <f t="shared" si="151"/>
        <v>14</v>
      </c>
      <c r="Q1370" t="s">
        <v>55</v>
      </c>
      <c r="R1370">
        <f t="shared" si="152"/>
        <v>546</v>
      </c>
      <c r="S1370" t="s">
        <v>488</v>
      </c>
      <c r="T1370">
        <f t="shared" si="153"/>
        <v>7644</v>
      </c>
      <c r="U1370">
        <f>YEAR(Sales_Table[[#This Row],[Date_clean]])</f>
        <v>2024</v>
      </c>
      <c r="V1370" t="str">
        <f>TEXT(Sales_Table[[#This Row],[Date_clean]],"mmmm")</f>
        <v>February</v>
      </c>
      <c r="W1370">
        <f>WEEKNUM(Sales_Table[[#This Row],[Date_clean]],2)</f>
        <v>9</v>
      </c>
      <c r="X1370" t="str" cm="1">
        <f t="array" ref="X1370">_xlfn.IFS(Sales_Table[[#This Row],[Revenue]]&gt;=50000,"High",Sales_Table[[#This Row],[Revenue]]&gt;=20000,"Medium",Sales_Table[[#This Row],[Revenue]]&lt;20000,"Low")</f>
        <v>Low</v>
      </c>
      <c r="Y1370" t="str">
        <f>IF(Sales_Table[[#This Row],[Payment Method_clean]]="cash","Offline","Online")</f>
        <v>Online</v>
      </c>
      <c r="Z1370">
        <f>IFERROR(Sales_Table[[#This Row],[Revenue]],0)</f>
        <v>7644</v>
      </c>
    </row>
    <row r="1371" spans="1:26" x14ac:dyDescent="0.3">
      <c r="A1371">
        <v>1370</v>
      </c>
      <c r="B1371" s="2">
        <f t="shared" si="147"/>
        <v>45349.041666666664</v>
      </c>
      <c r="C1371" t="s">
        <v>3276</v>
      </c>
      <c r="D1371" t="s">
        <v>84</v>
      </c>
      <c r="E1371" t="str">
        <f>PROPER(TRIM(CLEAN(Sales_Table[[#This Row],[Region]])))</f>
        <v>South</v>
      </c>
      <c r="F1371" t="s">
        <v>78</v>
      </c>
      <c r="G1371" t="str">
        <f t="shared" si="148"/>
        <v>Grocery</v>
      </c>
      <c r="H1371" t="str">
        <f>PROPER(TRIM(CLEAN(Sales_Table[[#This Row],[Product Name]])))</f>
        <v>Mixer Grinder</v>
      </c>
      <c r="I1371" t="s">
        <v>29</v>
      </c>
      <c r="J1371" t="str">
        <f t="shared" si="149"/>
        <v>CUST0042</v>
      </c>
      <c r="K1371" t="s">
        <v>1555</v>
      </c>
      <c r="L1371" t="str">
        <f>PROPER(TRIM(CLEAN(Sales_Table[[#This Row],[Salesperson]])))</f>
        <v>Rahul</v>
      </c>
      <c r="M1371" t="s">
        <v>31</v>
      </c>
      <c r="N1371" t="str">
        <f t="shared" si="150"/>
        <v>Upi</v>
      </c>
      <c r="O1371" t="s">
        <v>48</v>
      </c>
      <c r="P1371">
        <f t="shared" si="151"/>
        <v>3</v>
      </c>
      <c r="Q1371" t="s">
        <v>66</v>
      </c>
      <c r="R1371">
        <f t="shared" si="152"/>
        <v>2932</v>
      </c>
      <c r="S1371" t="s">
        <v>3277</v>
      </c>
      <c r="T1371">
        <f t="shared" si="153"/>
        <v>8796</v>
      </c>
      <c r="U1371">
        <f>YEAR(Sales_Table[[#This Row],[Date_clean]])</f>
        <v>2024</v>
      </c>
      <c r="V1371" t="str">
        <f>TEXT(Sales_Table[[#This Row],[Date_clean]],"mmmm")</f>
        <v>February</v>
      </c>
      <c r="W1371">
        <f>WEEKNUM(Sales_Table[[#This Row],[Date_clean]],2)</f>
        <v>9</v>
      </c>
      <c r="X1371" t="str" cm="1">
        <f t="array" ref="X1371">_xlfn.IFS(Sales_Table[[#This Row],[Revenue]]&gt;=50000,"High",Sales_Table[[#This Row],[Revenue]]&gt;=20000,"Medium",Sales_Table[[#This Row],[Revenue]]&lt;20000,"Low")</f>
        <v>Low</v>
      </c>
      <c r="Y1371" t="str">
        <f>IF(Sales_Table[[#This Row],[Payment Method_clean]]="cash","Offline","Online")</f>
        <v>Online</v>
      </c>
      <c r="Z1371">
        <f>IFERROR(Sales_Table[[#This Row],[Revenue]],0)</f>
        <v>8796</v>
      </c>
    </row>
    <row r="1372" spans="1:26" x14ac:dyDescent="0.3">
      <c r="A1372">
        <v>1371</v>
      </c>
      <c r="B1372" s="2">
        <f t="shared" si="147"/>
        <v>45349.083333333336</v>
      </c>
      <c r="C1372" t="s">
        <v>3278</v>
      </c>
      <c r="D1372" t="s">
        <v>27</v>
      </c>
      <c r="E1372" t="str">
        <f>PROPER(TRIM(CLEAN(Sales_Table[[#This Row],[Region]])))</f>
        <v>East</v>
      </c>
      <c r="F1372" t="s">
        <v>46</v>
      </c>
      <c r="G1372" t="str">
        <f t="shared" si="148"/>
        <v>Electronics</v>
      </c>
      <c r="H1372" t="str">
        <f>PROPER(TRIM(CLEAN(Sales_Table[[#This Row],[Product Name]])))</f>
        <v>Washing Machine</v>
      </c>
      <c r="I1372" t="s">
        <v>79</v>
      </c>
      <c r="J1372" t="str">
        <f t="shared" si="149"/>
        <v>CUST0411</v>
      </c>
      <c r="K1372" t="s">
        <v>3279</v>
      </c>
      <c r="L1372" t="str">
        <f>PROPER(TRIM(CLEAN(Sales_Table[[#This Row],[Salesperson]])))</f>
        <v>Anita</v>
      </c>
      <c r="M1372" t="s">
        <v>64</v>
      </c>
      <c r="N1372" t="str">
        <f t="shared" si="150"/>
        <v>Debit Card</v>
      </c>
      <c r="O1372" t="s">
        <v>41</v>
      </c>
      <c r="P1372">
        <f t="shared" si="151"/>
        <v>2</v>
      </c>
      <c r="Q1372" t="s">
        <v>196</v>
      </c>
      <c r="R1372">
        <f t="shared" si="152"/>
        <v>3668</v>
      </c>
      <c r="S1372" t="s">
        <v>3280</v>
      </c>
      <c r="T1372">
        <f t="shared" si="153"/>
        <v>7336</v>
      </c>
      <c r="U1372">
        <f>YEAR(Sales_Table[[#This Row],[Date_clean]])</f>
        <v>2024</v>
      </c>
      <c r="V1372" t="str">
        <f>TEXT(Sales_Table[[#This Row],[Date_clean]],"mmmm")</f>
        <v>February</v>
      </c>
      <c r="W1372">
        <f>WEEKNUM(Sales_Table[[#This Row],[Date_clean]],2)</f>
        <v>9</v>
      </c>
      <c r="X1372" t="str" cm="1">
        <f t="array" ref="X1372">_xlfn.IFS(Sales_Table[[#This Row],[Revenue]]&gt;=50000,"High",Sales_Table[[#This Row],[Revenue]]&gt;=20000,"Medium",Sales_Table[[#This Row],[Revenue]]&lt;20000,"Low")</f>
        <v>Low</v>
      </c>
      <c r="Y1372" t="str">
        <f>IF(Sales_Table[[#This Row],[Payment Method_clean]]="cash","Offline","Online")</f>
        <v>Online</v>
      </c>
      <c r="Z1372">
        <f>IFERROR(Sales_Table[[#This Row],[Revenue]],0)</f>
        <v>7336</v>
      </c>
    </row>
    <row r="1373" spans="1:26" x14ac:dyDescent="0.3">
      <c r="A1373">
        <v>1372</v>
      </c>
      <c r="B1373" s="2">
        <f t="shared" si="147"/>
        <v>45349.125</v>
      </c>
      <c r="C1373" t="s">
        <v>3281</v>
      </c>
      <c r="D1373" t="s">
        <v>27</v>
      </c>
      <c r="E1373" t="str">
        <f>PROPER(TRIM(CLEAN(Sales_Table[[#This Row],[Region]])))</f>
        <v>East</v>
      </c>
      <c r="F1373" t="s">
        <v>78</v>
      </c>
      <c r="G1373" t="str">
        <f t="shared" si="148"/>
        <v>Grocery</v>
      </c>
      <c r="H1373" t="str">
        <f>PROPER(TRIM(CLEAN(Sales_Table[[#This Row],[Product Name]])))</f>
        <v>Washing Machine</v>
      </c>
      <c r="I1373" t="s">
        <v>79</v>
      </c>
      <c r="J1373" t="str">
        <f t="shared" si="149"/>
        <v>CUST0523</v>
      </c>
      <c r="K1373" t="s">
        <v>919</v>
      </c>
      <c r="L1373" t="str">
        <f>PROPER(TRIM(CLEAN(Sales_Table[[#This Row],[Salesperson]])))</f>
        <v>Meena</v>
      </c>
      <c r="M1373" t="s">
        <v>40</v>
      </c>
      <c r="N1373" t="str">
        <f t="shared" si="150"/>
        <v>Net Banking</v>
      </c>
      <c r="O1373" t="s">
        <v>60</v>
      </c>
      <c r="P1373">
        <f t="shared" si="151"/>
        <v>5</v>
      </c>
      <c r="Q1373" t="s">
        <v>89</v>
      </c>
      <c r="R1373">
        <f t="shared" si="152"/>
        <v>2996</v>
      </c>
      <c r="S1373" t="s">
        <v>3282</v>
      </c>
      <c r="T1373">
        <f t="shared" si="153"/>
        <v>14980</v>
      </c>
      <c r="U1373">
        <f>YEAR(Sales_Table[[#This Row],[Date_clean]])</f>
        <v>2024</v>
      </c>
      <c r="V1373" t="str">
        <f>TEXT(Sales_Table[[#This Row],[Date_clean]],"mmmm")</f>
        <v>February</v>
      </c>
      <c r="W1373">
        <f>WEEKNUM(Sales_Table[[#This Row],[Date_clean]],2)</f>
        <v>9</v>
      </c>
      <c r="X1373" t="str" cm="1">
        <f t="array" ref="X1373">_xlfn.IFS(Sales_Table[[#This Row],[Revenue]]&gt;=50000,"High",Sales_Table[[#This Row],[Revenue]]&gt;=20000,"Medium",Sales_Table[[#This Row],[Revenue]]&lt;20000,"Low")</f>
        <v>Low</v>
      </c>
      <c r="Y1373" t="str">
        <f>IF(Sales_Table[[#This Row],[Payment Method_clean]]="cash","Offline","Online")</f>
        <v>Online</v>
      </c>
      <c r="Z1373">
        <f>IFERROR(Sales_Table[[#This Row],[Revenue]],0)</f>
        <v>14980</v>
      </c>
    </row>
    <row r="1374" spans="1:26" x14ac:dyDescent="0.3">
      <c r="A1374">
        <v>1373</v>
      </c>
      <c r="B1374" s="2">
        <f t="shared" si="147"/>
        <v>45349.166666666664</v>
      </c>
      <c r="C1374" t="s">
        <v>3283</v>
      </c>
      <c r="D1374" t="s">
        <v>36</v>
      </c>
      <c r="E1374" t="str">
        <f>PROPER(TRIM(CLEAN(Sales_Table[[#This Row],[Region]])))</f>
        <v>West</v>
      </c>
      <c r="F1374" t="s">
        <v>37</v>
      </c>
      <c r="G1374" t="str">
        <f t="shared" si="148"/>
        <v>Home Appliances</v>
      </c>
      <c r="H1374" t="str">
        <f>PROPER(TRIM(CLEAN(Sales_Table[[#This Row],[Product Name]])))</f>
        <v>Laptop</v>
      </c>
      <c r="I1374" t="s">
        <v>52</v>
      </c>
      <c r="J1374" t="str">
        <f t="shared" si="149"/>
        <v>CUST0610</v>
      </c>
      <c r="K1374" t="s">
        <v>2291</v>
      </c>
      <c r="L1374" t="str">
        <f>PROPER(TRIM(CLEAN(Sales_Table[[#This Row],[Salesperson]])))</f>
        <v>Meena</v>
      </c>
      <c r="M1374" t="s">
        <v>40</v>
      </c>
      <c r="N1374" t="str">
        <f t="shared" si="150"/>
        <v>Credit Card</v>
      </c>
      <c r="O1374" t="s">
        <v>65</v>
      </c>
      <c r="P1374">
        <f t="shared" si="151"/>
        <v>6</v>
      </c>
      <c r="Q1374" t="s">
        <v>75</v>
      </c>
      <c r="R1374">
        <f t="shared" si="152"/>
        <v>821</v>
      </c>
      <c r="S1374" t="s">
        <v>2598</v>
      </c>
      <c r="T1374">
        <f t="shared" si="153"/>
        <v>4926</v>
      </c>
      <c r="U1374">
        <f>YEAR(Sales_Table[[#This Row],[Date_clean]])</f>
        <v>2024</v>
      </c>
      <c r="V1374" t="str">
        <f>TEXT(Sales_Table[[#This Row],[Date_clean]],"mmmm")</f>
        <v>February</v>
      </c>
      <c r="W1374">
        <f>WEEKNUM(Sales_Table[[#This Row],[Date_clean]],2)</f>
        <v>9</v>
      </c>
      <c r="X1374" t="str" cm="1">
        <f t="array" ref="X1374">_xlfn.IFS(Sales_Table[[#This Row],[Revenue]]&gt;=50000,"High",Sales_Table[[#This Row],[Revenue]]&gt;=20000,"Medium",Sales_Table[[#This Row],[Revenue]]&lt;20000,"Low")</f>
        <v>Low</v>
      </c>
      <c r="Y1374" t="str">
        <f>IF(Sales_Table[[#This Row],[Payment Method_clean]]="cash","Offline","Online")</f>
        <v>Online</v>
      </c>
      <c r="Z1374">
        <f>IFERROR(Sales_Table[[#This Row],[Revenue]],0)</f>
        <v>4926</v>
      </c>
    </row>
    <row r="1375" spans="1:26" x14ac:dyDescent="0.3">
      <c r="A1375">
        <v>1374</v>
      </c>
      <c r="B1375" s="2">
        <f t="shared" si="147"/>
        <v>45349.208333333336</v>
      </c>
      <c r="C1375" t="s">
        <v>3284</v>
      </c>
      <c r="D1375" t="s">
        <v>84</v>
      </c>
      <c r="E1375" t="str">
        <f>PROPER(TRIM(CLEAN(Sales_Table[[#This Row],[Region]])))</f>
        <v>South</v>
      </c>
      <c r="F1375" t="s">
        <v>28</v>
      </c>
      <c r="G1375" t="str">
        <f t="shared" si="148"/>
        <v>Clothing</v>
      </c>
      <c r="H1375" t="str">
        <f>PROPER(TRIM(CLEAN(Sales_Table[[#This Row],[Product Name]])))</f>
        <v>Washing Machine</v>
      </c>
      <c r="I1375" t="s">
        <v>79</v>
      </c>
      <c r="J1375" t="str">
        <f t="shared" si="149"/>
        <v>CUST0427</v>
      </c>
      <c r="K1375" t="s">
        <v>2667</v>
      </c>
      <c r="L1375" t="str">
        <f>PROPER(TRIM(CLEAN(Sales_Table[[#This Row],[Salesperson]])))</f>
        <v>Rahul</v>
      </c>
      <c r="M1375" t="s">
        <v>31</v>
      </c>
      <c r="N1375" t="str">
        <f t="shared" si="150"/>
        <v>Credit Card</v>
      </c>
      <c r="O1375" t="s">
        <v>65</v>
      </c>
      <c r="P1375">
        <f t="shared" si="151"/>
        <v>11</v>
      </c>
      <c r="Q1375" t="s">
        <v>97</v>
      </c>
      <c r="R1375">
        <f t="shared" si="152"/>
        <v>2263</v>
      </c>
      <c r="S1375" t="s">
        <v>3285</v>
      </c>
      <c r="T1375">
        <f t="shared" si="153"/>
        <v>24893</v>
      </c>
      <c r="U1375">
        <f>YEAR(Sales_Table[[#This Row],[Date_clean]])</f>
        <v>2024</v>
      </c>
      <c r="V1375" t="str">
        <f>TEXT(Sales_Table[[#This Row],[Date_clean]],"mmmm")</f>
        <v>February</v>
      </c>
      <c r="W1375">
        <f>WEEKNUM(Sales_Table[[#This Row],[Date_clean]],2)</f>
        <v>9</v>
      </c>
      <c r="X1375" t="str" cm="1">
        <f t="array" ref="X1375">_xlfn.IFS(Sales_Table[[#This Row],[Revenue]]&gt;=50000,"High",Sales_Table[[#This Row],[Revenue]]&gt;=20000,"Medium",Sales_Table[[#This Row],[Revenue]]&lt;20000,"Low")</f>
        <v>Medium</v>
      </c>
      <c r="Y1375" t="str">
        <f>IF(Sales_Table[[#This Row],[Payment Method_clean]]="cash","Offline","Online")</f>
        <v>Online</v>
      </c>
      <c r="Z1375">
        <f>IFERROR(Sales_Table[[#This Row],[Revenue]],0)</f>
        <v>24893</v>
      </c>
    </row>
    <row r="1376" spans="1:26" x14ac:dyDescent="0.3">
      <c r="A1376">
        <v>1375</v>
      </c>
      <c r="B1376" s="2">
        <f t="shared" si="147"/>
        <v>45349.25</v>
      </c>
      <c r="C1376" t="s">
        <v>3286</v>
      </c>
      <c r="D1376" t="s">
        <v>27</v>
      </c>
      <c r="E1376" t="str">
        <f>PROPER(TRIM(CLEAN(Sales_Table[[#This Row],[Region]])))</f>
        <v>East</v>
      </c>
      <c r="F1376" t="s">
        <v>46</v>
      </c>
      <c r="G1376" t="str">
        <f t="shared" si="148"/>
        <v>Electronics</v>
      </c>
      <c r="H1376" t="str">
        <f>PROPER(TRIM(CLEAN(Sales_Table[[#This Row],[Product Name]])))</f>
        <v>Laptop</v>
      </c>
      <c r="I1376" t="s">
        <v>52</v>
      </c>
      <c r="J1376" t="str">
        <f t="shared" si="149"/>
        <v>CUST0275</v>
      </c>
      <c r="K1376" t="s">
        <v>3287</v>
      </c>
      <c r="L1376" t="str">
        <f>PROPER(TRIM(CLEAN(Sales_Table[[#This Row],[Salesperson]])))</f>
        <v>Karthik</v>
      </c>
      <c r="M1376" t="s">
        <v>70</v>
      </c>
      <c r="N1376" t="str">
        <f t="shared" si="150"/>
        <v>Cash</v>
      </c>
      <c r="O1376" t="s">
        <v>32</v>
      </c>
      <c r="P1376">
        <f t="shared" si="151"/>
        <v>5</v>
      </c>
      <c r="Q1376" t="s">
        <v>89</v>
      </c>
      <c r="R1376">
        <f t="shared" si="152"/>
        <v>2682</v>
      </c>
      <c r="S1376" t="s">
        <v>3288</v>
      </c>
      <c r="T1376">
        <f t="shared" si="153"/>
        <v>13410</v>
      </c>
      <c r="U1376">
        <f>YEAR(Sales_Table[[#This Row],[Date_clean]])</f>
        <v>2024</v>
      </c>
      <c r="V1376" t="str">
        <f>TEXT(Sales_Table[[#This Row],[Date_clean]],"mmmm")</f>
        <v>February</v>
      </c>
      <c r="W1376">
        <f>WEEKNUM(Sales_Table[[#This Row],[Date_clean]],2)</f>
        <v>9</v>
      </c>
      <c r="X1376" t="str" cm="1">
        <f t="array" ref="X1376">_xlfn.IFS(Sales_Table[[#This Row],[Revenue]]&gt;=50000,"High",Sales_Table[[#This Row],[Revenue]]&gt;=20000,"Medium",Sales_Table[[#This Row],[Revenue]]&lt;20000,"Low")</f>
        <v>Low</v>
      </c>
      <c r="Y1376" t="str">
        <f>IF(Sales_Table[[#This Row],[Payment Method_clean]]="cash","Offline","Online")</f>
        <v>Offline</v>
      </c>
      <c r="Z1376">
        <f>IFERROR(Sales_Table[[#This Row],[Revenue]],0)</f>
        <v>13410</v>
      </c>
    </row>
    <row r="1377" spans="1:26" x14ac:dyDescent="0.3">
      <c r="A1377">
        <v>1376</v>
      </c>
      <c r="B1377" s="2">
        <f t="shared" si="147"/>
        <v>45349.291666666664</v>
      </c>
      <c r="C1377" t="s">
        <v>3289</v>
      </c>
      <c r="D1377" t="s">
        <v>45</v>
      </c>
      <c r="E1377" t="str">
        <f>PROPER(TRIM(CLEAN(Sales_Table[[#This Row],[Region]])))</f>
        <v>North</v>
      </c>
      <c r="F1377" t="s">
        <v>78</v>
      </c>
      <c r="G1377" t="str">
        <f t="shared" si="148"/>
        <v>Grocery</v>
      </c>
      <c r="H1377" t="str">
        <f>PROPER(TRIM(CLEAN(Sales_Table[[#This Row],[Product Name]])))</f>
        <v>Rice 5Kg</v>
      </c>
      <c r="I1377" t="s">
        <v>73</v>
      </c>
      <c r="J1377" t="str">
        <f t="shared" si="149"/>
        <v>CUST0448</v>
      </c>
      <c r="K1377" t="s">
        <v>2127</v>
      </c>
      <c r="L1377" t="str">
        <f>PROPER(TRIM(CLEAN(Sales_Table[[#This Row],[Salesperson]])))</f>
        <v>Meena</v>
      </c>
      <c r="M1377" t="s">
        <v>40</v>
      </c>
      <c r="N1377" t="str">
        <f t="shared" si="150"/>
        <v>Cash</v>
      </c>
      <c r="O1377" t="s">
        <v>32</v>
      </c>
      <c r="P1377">
        <f t="shared" si="151"/>
        <v>2</v>
      </c>
      <c r="Q1377" t="s">
        <v>196</v>
      </c>
      <c r="R1377">
        <f t="shared" si="152"/>
        <v>1451</v>
      </c>
      <c r="S1377" t="s">
        <v>794</v>
      </c>
      <c r="T1377">
        <f t="shared" si="153"/>
        <v>2902</v>
      </c>
      <c r="U1377">
        <f>YEAR(Sales_Table[[#This Row],[Date_clean]])</f>
        <v>2024</v>
      </c>
      <c r="V1377" t="str">
        <f>TEXT(Sales_Table[[#This Row],[Date_clean]],"mmmm")</f>
        <v>February</v>
      </c>
      <c r="W1377">
        <f>WEEKNUM(Sales_Table[[#This Row],[Date_clean]],2)</f>
        <v>9</v>
      </c>
      <c r="X1377" t="str" cm="1">
        <f t="array" ref="X1377">_xlfn.IFS(Sales_Table[[#This Row],[Revenue]]&gt;=50000,"High",Sales_Table[[#This Row],[Revenue]]&gt;=20000,"Medium",Sales_Table[[#This Row],[Revenue]]&lt;20000,"Low")</f>
        <v>Low</v>
      </c>
      <c r="Y1377" t="str">
        <f>IF(Sales_Table[[#This Row],[Payment Method_clean]]="cash","Offline","Online")</f>
        <v>Offline</v>
      </c>
      <c r="Z1377">
        <f>IFERROR(Sales_Table[[#This Row],[Revenue]],0)</f>
        <v>2902</v>
      </c>
    </row>
    <row r="1378" spans="1:26" x14ac:dyDescent="0.3">
      <c r="A1378">
        <v>1377</v>
      </c>
      <c r="B1378" s="2">
        <f t="shared" si="147"/>
        <v>45349.333333333336</v>
      </c>
      <c r="C1378" t="s">
        <v>3290</v>
      </c>
      <c r="D1378" t="s">
        <v>36</v>
      </c>
      <c r="E1378" t="str">
        <f>PROPER(TRIM(CLEAN(Sales_Table[[#This Row],[Region]])))</f>
        <v>West</v>
      </c>
      <c r="F1378" t="s">
        <v>46</v>
      </c>
      <c r="G1378" t="str">
        <f t="shared" si="148"/>
        <v>Electronics</v>
      </c>
      <c r="H1378" t="str">
        <f>PROPER(TRIM(CLEAN(Sales_Table[[#This Row],[Product Name]])))</f>
        <v>Rice 5Kg</v>
      </c>
      <c r="I1378" t="s">
        <v>73</v>
      </c>
      <c r="J1378" t="str">
        <f t="shared" si="149"/>
        <v>CUST0742</v>
      </c>
      <c r="K1378" t="s">
        <v>793</v>
      </c>
      <c r="L1378" t="str">
        <f>PROPER(TRIM(CLEAN(Sales_Table[[#This Row],[Salesperson]])))</f>
        <v>Meena</v>
      </c>
      <c r="M1378" t="s">
        <v>40</v>
      </c>
      <c r="N1378" t="str">
        <f t="shared" si="150"/>
        <v>Upi</v>
      </c>
      <c r="O1378" t="s">
        <v>48</v>
      </c>
      <c r="P1378">
        <f t="shared" si="151"/>
        <v>12</v>
      </c>
      <c r="Q1378" t="s">
        <v>33</v>
      </c>
      <c r="R1378">
        <f t="shared" si="152"/>
        <v>4080</v>
      </c>
      <c r="S1378" t="s">
        <v>3291</v>
      </c>
      <c r="T1378">
        <f t="shared" si="153"/>
        <v>48960</v>
      </c>
      <c r="U1378">
        <f>YEAR(Sales_Table[[#This Row],[Date_clean]])</f>
        <v>2024</v>
      </c>
      <c r="V1378" t="str">
        <f>TEXT(Sales_Table[[#This Row],[Date_clean]],"mmmm")</f>
        <v>February</v>
      </c>
      <c r="W1378">
        <f>WEEKNUM(Sales_Table[[#This Row],[Date_clean]],2)</f>
        <v>9</v>
      </c>
      <c r="X1378" t="str" cm="1">
        <f t="array" ref="X1378">_xlfn.IFS(Sales_Table[[#This Row],[Revenue]]&gt;=50000,"High",Sales_Table[[#This Row],[Revenue]]&gt;=20000,"Medium",Sales_Table[[#This Row],[Revenue]]&lt;20000,"Low")</f>
        <v>Medium</v>
      </c>
      <c r="Y1378" t="str">
        <f>IF(Sales_Table[[#This Row],[Payment Method_clean]]="cash","Offline","Online")</f>
        <v>Online</v>
      </c>
      <c r="Z1378">
        <f>IFERROR(Sales_Table[[#This Row],[Revenue]],0)</f>
        <v>48960</v>
      </c>
    </row>
    <row r="1379" spans="1:26" x14ac:dyDescent="0.3">
      <c r="A1379">
        <v>1378</v>
      </c>
      <c r="B1379" s="2">
        <f t="shared" si="147"/>
        <v>45349.375</v>
      </c>
      <c r="C1379" t="s">
        <v>3292</v>
      </c>
      <c r="D1379" t="s">
        <v>45</v>
      </c>
      <c r="E1379" t="str">
        <f>PROPER(TRIM(CLEAN(Sales_Table[[#This Row],[Region]])))</f>
        <v>North</v>
      </c>
      <c r="F1379" t="s">
        <v>37</v>
      </c>
      <c r="G1379" t="str">
        <f t="shared" si="148"/>
        <v>Home Appliances</v>
      </c>
      <c r="H1379" t="str">
        <f>PROPER(TRIM(CLEAN(Sales_Table[[#This Row],[Product Name]])))</f>
        <v>Washing Machine</v>
      </c>
      <c r="I1379" t="s">
        <v>79</v>
      </c>
      <c r="J1379" t="str">
        <f t="shared" si="149"/>
        <v>CUST0369</v>
      </c>
      <c r="K1379" t="s">
        <v>300</v>
      </c>
      <c r="L1379" t="str">
        <f>PROPER(TRIM(CLEAN(Sales_Table[[#This Row],[Salesperson]])))</f>
        <v>Karthik</v>
      </c>
      <c r="M1379" t="s">
        <v>70</v>
      </c>
      <c r="N1379" t="str">
        <f t="shared" si="150"/>
        <v>Upi</v>
      </c>
      <c r="O1379" t="s">
        <v>48</v>
      </c>
      <c r="P1379">
        <f t="shared" si="151"/>
        <v>5</v>
      </c>
      <c r="Q1379" t="s">
        <v>89</v>
      </c>
      <c r="R1379">
        <f t="shared" si="152"/>
        <v>4602</v>
      </c>
      <c r="S1379" t="s">
        <v>3293</v>
      </c>
      <c r="T1379">
        <f t="shared" si="153"/>
        <v>23010</v>
      </c>
      <c r="U1379">
        <f>YEAR(Sales_Table[[#This Row],[Date_clean]])</f>
        <v>2024</v>
      </c>
      <c r="V1379" t="str">
        <f>TEXT(Sales_Table[[#This Row],[Date_clean]],"mmmm")</f>
        <v>February</v>
      </c>
      <c r="W1379">
        <f>WEEKNUM(Sales_Table[[#This Row],[Date_clean]],2)</f>
        <v>9</v>
      </c>
      <c r="X1379" t="str" cm="1">
        <f t="array" ref="X1379">_xlfn.IFS(Sales_Table[[#This Row],[Revenue]]&gt;=50000,"High",Sales_Table[[#This Row],[Revenue]]&gt;=20000,"Medium",Sales_Table[[#This Row],[Revenue]]&lt;20000,"Low")</f>
        <v>Medium</v>
      </c>
      <c r="Y1379" t="str">
        <f>IF(Sales_Table[[#This Row],[Payment Method_clean]]="cash","Offline","Online")</f>
        <v>Online</v>
      </c>
      <c r="Z1379">
        <f>IFERROR(Sales_Table[[#This Row],[Revenue]],0)</f>
        <v>23010</v>
      </c>
    </row>
    <row r="1380" spans="1:26" x14ac:dyDescent="0.3">
      <c r="A1380">
        <v>1379</v>
      </c>
      <c r="B1380" s="2">
        <f t="shared" si="147"/>
        <v>45349.416666666664</v>
      </c>
      <c r="C1380" t="s">
        <v>3294</v>
      </c>
      <c r="D1380" t="s">
        <v>84</v>
      </c>
      <c r="E1380" t="str">
        <f>PROPER(TRIM(CLEAN(Sales_Table[[#This Row],[Region]])))</f>
        <v>South</v>
      </c>
      <c r="F1380" t="s">
        <v>46</v>
      </c>
      <c r="G1380" t="str">
        <f t="shared" si="148"/>
        <v>Electronics</v>
      </c>
      <c r="H1380" t="str">
        <f>PROPER(TRIM(CLEAN(Sales_Table[[#This Row],[Product Name]])))</f>
        <v>Rice 5Kg</v>
      </c>
      <c r="I1380" t="s">
        <v>73</v>
      </c>
      <c r="J1380" t="str">
        <f t="shared" si="149"/>
        <v>CUST0220</v>
      </c>
      <c r="K1380" t="s">
        <v>174</v>
      </c>
      <c r="L1380" t="str">
        <f>PROPER(TRIM(CLEAN(Sales_Table[[#This Row],[Salesperson]])))</f>
        <v>Anita</v>
      </c>
      <c r="M1380" t="s">
        <v>64</v>
      </c>
      <c r="N1380" t="str">
        <f t="shared" si="150"/>
        <v>Net Banking</v>
      </c>
      <c r="O1380" t="s">
        <v>60</v>
      </c>
      <c r="P1380">
        <f t="shared" si="151"/>
        <v>9</v>
      </c>
      <c r="Q1380" t="s">
        <v>130</v>
      </c>
      <c r="R1380">
        <f t="shared" si="152"/>
        <v>3484</v>
      </c>
      <c r="S1380" t="s">
        <v>3295</v>
      </c>
      <c r="T1380">
        <f t="shared" si="153"/>
        <v>31356</v>
      </c>
      <c r="U1380">
        <f>YEAR(Sales_Table[[#This Row],[Date_clean]])</f>
        <v>2024</v>
      </c>
      <c r="V1380" t="str">
        <f>TEXT(Sales_Table[[#This Row],[Date_clean]],"mmmm")</f>
        <v>February</v>
      </c>
      <c r="W1380">
        <f>WEEKNUM(Sales_Table[[#This Row],[Date_clean]],2)</f>
        <v>9</v>
      </c>
      <c r="X1380" t="str" cm="1">
        <f t="array" ref="X1380">_xlfn.IFS(Sales_Table[[#This Row],[Revenue]]&gt;=50000,"High",Sales_Table[[#This Row],[Revenue]]&gt;=20000,"Medium",Sales_Table[[#This Row],[Revenue]]&lt;20000,"Low")</f>
        <v>Medium</v>
      </c>
      <c r="Y1380" t="str">
        <f>IF(Sales_Table[[#This Row],[Payment Method_clean]]="cash","Offline","Online")</f>
        <v>Online</v>
      </c>
      <c r="Z1380">
        <f>IFERROR(Sales_Table[[#This Row],[Revenue]],0)</f>
        <v>31356</v>
      </c>
    </row>
    <row r="1381" spans="1:26" x14ac:dyDescent="0.3">
      <c r="A1381">
        <v>1380</v>
      </c>
      <c r="B1381" s="2">
        <f t="shared" si="147"/>
        <v>45349.458333333336</v>
      </c>
      <c r="C1381" t="s">
        <v>3296</v>
      </c>
      <c r="D1381" t="s">
        <v>84</v>
      </c>
      <c r="E1381" t="str">
        <f>PROPER(TRIM(CLEAN(Sales_Table[[#This Row],[Region]])))</f>
        <v>South</v>
      </c>
      <c r="F1381" t="s">
        <v>46</v>
      </c>
      <c r="G1381" t="str">
        <f t="shared" si="148"/>
        <v>Electronics</v>
      </c>
      <c r="H1381" t="str">
        <f>PROPER(TRIM(CLEAN(Sales_Table[[#This Row],[Product Name]])))</f>
        <v>Mixer Grinder</v>
      </c>
      <c r="I1381" t="s">
        <v>29</v>
      </c>
      <c r="J1381" t="str">
        <f t="shared" si="149"/>
        <v>CUST0577</v>
      </c>
      <c r="K1381" t="s">
        <v>3297</v>
      </c>
      <c r="L1381" t="str">
        <f>PROPER(TRIM(CLEAN(Sales_Table[[#This Row],[Salesperson]])))</f>
        <v>Meena</v>
      </c>
      <c r="M1381" t="s">
        <v>40</v>
      </c>
      <c r="N1381" t="str">
        <f t="shared" si="150"/>
        <v>Cash</v>
      </c>
      <c r="O1381" t="s">
        <v>32</v>
      </c>
      <c r="P1381">
        <f t="shared" si="151"/>
        <v>4</v>
      </c>
      <c r="Q1381" t="s">
        <v>113</v>
      </c>
      <c r="R1381">
        <f t="shared" si="152"/>
        <v>1825</v>
      </c>
      <c r="S1381" t="s">
        <v>3298</v>
      </c>
      <c r="T1381">
        <f t="shared" si="153"/>
        <v>7300</v>
      </c>
      <c r="U1381">
        <f>YEAR(Sales_Table[[#This Row],[Date_clean]])</f>
        <v>2024</v>
      </c>
      <c r="V1381" t="str">
        <f>TEXT(Sales_Table[[#This Row],[Date_clean]],"mmmm")</f>
        <v>February</v>
      </c>
      <c r="W1381">
        <f>WEEKNUM(Sales_Table[[#This Row],[Date_clean]],2)</f>
        <v>9</v>
      </c>
      <c r="X1381" t="str" cm="1">
        <f t="array" ref="X1381">_xlfn.IFS(Sales_Table[[#This Row],[Revenue]]&gt;=50000,"High",Sales_Table[[#This Row],[Revenue]]&gt;=20000,"Medium",Sales_Table[[#This Row],[Revenue]]&lt;20000,"Low")</f>
        <v>Low</v>
      </c>
      <c r="Y1381" t="str">
        <f>IF(Sales_Table[[#This Row],[Payment Method_clean]]="cash","Offline","Online")</f>
        <v>Offline</v>
      </c>
      <c r="Z1381">
        <f>IFERROR(Sales_Table[[#This Row],[Revenue]],0)</f>
        <v>7300</v>
      </c>
    </row>
    <row r="1382" spans="1:26" x14ac:dyDescent="0.3">
      <c r="A1382">
        <v>1381</v>
      </c>
      <c r="B1382" s="2">
        <f t="shared" si="147"/>
        <v>45349.5</v>
      </c>
      <c r="C1382" t="s">
        <v>3299</v>
      </c>
      <c r="D1382" t="s">
        <v>84</v>
      </c>
      <c r="E1382" t="str">
        <f>PROPER(TRIM(CLEAN(Sales_Table[[#This Row],[Region]])))</f>
        <v>South</v>
      </c>
      <c r="F1382" t="s">
        <v>78</v>
      </c>
      <c r="G1382" t="str">
        <f t="shared" si="148"/>
        <v>Grocery</v>
      </c>
      <c r="H1382" t="str">
        <f>PROPER(TRIM(CLEAN(Sales_Table[[#This Row],[Product Name]])))</f>
        <v>Laptop</v>
      </c>
      <c r="I1382" t="s">
        <v>52</v>
      </c>
      <c r="J1382" t="str">
        <f t="shared" si="149"/>
        <v>CUST0232</v>
      </c>
      <c r="K1382" t="s">
        <v>1552</v>
      </c>
      <c r="L1382" t="str">
        <f>PROPER(TRIM(CLEAN(Sales_Table[[#This Row],[Salesperson]])))</f>
        <v>Suresh</v>
      </c>
      <c r="M1382" t="s">
        <v>54</v>
      </c>
      <c r="N1382" t="str">
        <f t="shared" si="150"/>
        <v>Cash</v>
      </c>
      <c r="O1382" t="s">
        <v>32</v>
      </c>
      <c r="P1382">
        <f t="shared" si="151"/>
        <v>12</v>
      </c>
      <c r="Q1382" t="s">
        <v>33</v>
      </c>
      <c r="R1382">
        <f t="shared" si="152"/>
        <v>793</v>
      </c>
      <c r="S1382" t="s">
        <v>3300</v>
      </c>
      <c r="T1382">
        <f t="shared" si="153"/>
        <v>9516</v>
      </c>
      <c r="U1382">
        <f>YEAR(Sales_Table[[#This Row],[Date_clean]])</f>
        <v>2024</v>
      </c>
      <c r="V1382" t="str">
        <f>TEXT(Sales_Table[[#This Row],[Date_clean]],"mmmm")</f>
        <v>February</v>
      </c>
      <c r="W1382">
        <f>WEEKNUM(Sales_Table[[#This Row],[Date_clean]],2)</f>
        <v>9</v>
      </c>
      <c r="X1382" t="str" cm="1">
        <f t="array" ref="X1382">_xlfn.IFS(Sales_Table[[#This Row],[Revenue]]&gt;=50000,"High",Sales_Table[[#This Row],[Revenue]]&gt;=20000,"Medium",Sales_Table[[#This Row],[Revenue]]&lt;20000,"Low")</f>
        <v>Low</v>
      </c>
      <c r="Y1382" t="str">
        <f>IF(Sales_Table[[#This Row],[Payment Method_clean]]="cash","Offline","Online")</f>
        <v>Offline</v>
      </c>
      <c r="Z1382">
        <f>IFERROR(Sales_Table[[#This Row],[Revenue]],0)</f>
        <v>9516</v>
      </c>
    </row>
    <row r="1383" spans="1:26" x14ac:dyDescent="0.3">
      <c r="A1383">
        <v>1382</v>
      </c>
      <c r="B1383" s="2">
        <f t="shared" si="147"/>
        <v>45349.541666666664</v>
      </c>
      <c r="C1383" t="s">
        <v>3301</v>
      </c>
      <c r="D1383" t="s">
        <v>36</v>
      </c>
      <c r="E1383" t="str">
        <f>PROPER(TRIM(CLEAN(Sales_Table[[#This Row],[Region]])))</f>
        <v>West</v>
      </c>
      <c r="F1383" t="s">
        <v>37</v>
      </c>
      <c r="G1383" t="str">
        <f t="shared" si="148"/>
        <v>Home Appliances</v>
      </c>
      <c r="H1383" t="str">
        <f>PROPER(TRIM(CLEAN(Sales_Table[[#This Row],[Product Name]])))</f>
        <v>Laptop</v>
      </c>
      <c r="I1383" t="s">
        <v>52</v>
      </c>
      <c r="J1383" t="str">
        <f t="shared" si="149"/>
        <v>CUST0328</v>
      </c>
      <c r="K1383" t="s">
        <v>1384</v>
      </c>
      <c r="L1383" t="str">
        <f>PROPER(TRIM(CLEAN(Sales_Table[[#This Row],[Salesperson]])))</f>
        <v>Meena</v>
      </c>
      <c r="M1383" t="s">
        <v>40</v>
      </c>
      <c r="N1383" t="str">
        <f t="shared" si="150"/>
        <v>Upi</v>
      </c>
      <c r="O1383" t="s">
        <v>48</v>
      </c>
      <c r="P1383">
        <f t="shared" si="151"/>
        <v>10</v>
      </c>
      <c r="Q1383" t="s">
        <v>117</v>
      </c>
      <c r="R1383">
        <f t="shared" si="152"/>
        <v>3513</v>
      </c>
      <c r="S1383" t="s">
        <v>3302</v>
      </c>
      <c r="T1383">
        <f t="shared" si="153"/>
        <v>35130</v>
      </c>
      <c r="U1383">
        <f>YEAR(Sales_Table[[#This Row],[Date_clean]])</f>
        <v>2024</v>
      </c>
      <c r="V1383" t="str">
        <f>TEXT(Sales_Table[[#This Row],[Date_clean]],"mmmm")</f>
        <v>February</v>
      </c>
      <c r="W1383">
        <f>WEEKNUM(Sales_Table[[#This Row],[Date_clean]],2)</f>
        <v>9</v>
      </c>
      <c r="X1383" t="str" cm="1">
        <f t="array" ref="X1383">_xlfn.IFS(Sales_Table[[#This Row],[Revenue]]&gt;=50000,"High",Sales_Table[[#This Row],[Revenue]]&gt;=20000,"Medium",Sales_Table[[#This Row],[Revenue]]&lt;20000,"Low")</f>
        <v>Medium</v>
      </c>
      <c r="Y1383" t="str">
        <f>IF(Sales_Table[[#This Row],[Payment Method_clean]]="cash","Offline","Online")</f>
        <v>Online</v>
      </c>
      <c r="Z1383">
        <f>IFERROR(Sales_Table[[#This Row],[Revenue]],0)</f>
        <v>35130</v>
      </c>
    </row>
    <row r="1384" spans="1:26" x14ac:dyDescent="0.3">
      <c r="A1384">
        <v>1383</v>
      </c>
      <c r="B1384" s="2">
        <f t="shared" si="147"/>
        <v>45349.583333333336</v>
      </c>
      <c r="C1384" t="s">
        <v>3303</v>
      </c>
      <c r="D1384" t="s">
        <v>27</v>
      </c>
      <c r="E1384" t="str">
        <f>PROPER(TRIM(CLEAN(Sales_Table[[#This Row],[Region]])))</f>
        <v>East</v>
      </c>
      <c r="F1384" t="s">
        <v>28</v>
      </c>
      <c r="G1384" t="str">
        <f t="shared" si="148"/>
        <v>Clothing</v>
      </c>
      <c r="H1384" t="str">
        <f>PROPER(TRIM(CLEAN(Sales_Table[[#This Row],[Product Name]])))</f>
        <v>Washing Machine</v>
      </c>
      <c r="I1384" t="s">
        <v>79</v>
      </c>
      <c r="J1384" t="str">
        <f t="shared" si="149"/>
        <v>CUST0443</v>
      </c>
      <c r="K1384" t="s">
        <v>1931</v>
      </c>
      <c r="L1384" t="str">
        <f>PROPER(TRIM(CLEAN(Sales_Table[[#This Row],[Salesperson]])))</f>
        <v>Anita</v>
      </c>
      <c r="M1384" t="s">
        <v>64</v>
      </c>
      <c r="N1384" t="str">
        <f t="shared" si="150"/>
        <v>Upi</v>
      </c>
      <c r="O1384" t="s">
        <v>48</v>
      </c>
      <c r="P1384">
        <f t="shared" si="151"/>
        <v>2</v>
      </c>
      <c r="Q1384" t="s">
        <v>196</v>
      </c>
      <c r="R1384">
        <f t="shared" si="152"/>
        <v>594</v>
      </c>
      <c r="S1384" t="s">
        <v>2297</v>
      </c>
      <c r="T1384">
        <f t="shared" si="153"/>
        <v>1188</v>
      </c>
      <c r="U1384">
        <f>YEAR(Sales_Table[[#This Row],[Date_clean]])</f>
        <v>2024</v>
      </c>
      <c r="V1384" t="str">
        <f>TEXT(Sales_Table[[#This Row],[Date_clean]],"mmmm")</f>
        <v>February</v>
      </c>
      <c r="W1384">
        <f>WEEKNUM(Sales_Table[[#This Row],[Date_clean]],2)</f>
        <v>9</v>
      </c>
      <c r="X1384" t="str" cm="1">
        <f t="array" ref="X1384">_xlfn.IFS(Sales_Table[[#This Row],[Revenue]]&gt;=50000,"High",Sales_Table[[#This Row],[Revenue]]&gt;=20000,"Medium",Sales_Table[[#This Row],[Revenue]]&lt;20000,"Low")</f>
        <v>Low</v>
      </c>
      <c r="Y1384" t="str">
        <f>IF(Sales_Table[[#This Row],[Payment Method_clean]]="cash","Offline","Online")</f>
        <v>Online</v>
      </c>
      <c r="Z1384">
        <f>IFERROR(Sales_Table[[#This Row],[Revenue]],0)</f>
        <v>1188</v>
      </c>
    </row>
    <row r="1385" spans="1:26" x14ac:dyDescent="0.3">
      <c r="A1385">
        <v>1384</v>
      </c>
      <c r="B1385" s="2">
        <f t="shared" si="147"/>
        <v>45349.625</v>
      </c>
      <c r="C1385" t="s">
        <v>3304</v>
      </c>
      <c r="D1385" t="s">
        <v>36</v>
      </c>
      <c r="E1385" t="str">
        <f>PROPER(TRIM(CLEAN(Sales_Table[[#This Row],[Region]])))</f>
        <v>West</v>
      </c>
      <c r="F1385" t="s">
        <v>28</v>
      </c>
      <c r="G1385" t="str">
        <f t="shared" si="148"/>
        <v>Clothing</v>
      </c>
      <c r="H1385" t="str">
        <f>PROPER(TRIM(CLEAN(Sales_Table[[#This Row],[Product Name]])))</f>
        <v>Rice 5Kg</v>
      </c>
      <c r="I1385" t="s">
        <v>73</v>
      </c>
      <c r="J1385" t="str">
        <f t="shared" si="149"/>
        <v>CUST0052</v>
      </c>
      <c r="K1385" t="s">
        <v>3234</v>
      </c>
      <c r="L1385" t="str">
        <f>PROPER(TRIM(CLEAN(Sales_Table[[#This Row],[Salesperson]])))</f>
        <v>Anita</v>
      </c>
      <c r="M1385" t="s">
        <v>64</v>
      </c>
      <c r="N1385" t="str">
        <f t="shared" si="150"/>
        <v>Upi</v>
      </c>
      <c r="O1385" t="s">
        <v>48</v>
      </c>
      <c r="P1385">
        <f t="shared" si="151"/>
        <v>3</v>
      </c>
      <c r="Q1385" t="s">
        <v>66</v>
      </c>
      <c r="R1385">
        <f t="shared" si="152"/>
        <v>1047</v>
      </c>
      <c r="S1385" t="s">
        <v>356</v>
      </c>
      <c r="T1385">
        <f t="shared" si="153"/>
        <v>3141</v>
      </c>
      <c r="U1385">
        <f>YEAR(Sales_Table[[#This Row],[Date_clean]])</f>
        <v>2024</v>
      </c>
      <c r="V1385" t="str">
        <f>TEXT(Sales_Table[[#This Row],[Date_clean]],"mmmm")</f>
        <v>February</v>
      </c>
      <c r="W1385">
        <f>WEEKNUM(Sales_Table[[#This Row],[Date_clean]],2)</f>
        <v>9</v>
      </c>
      <c r="X1385" t="str" cm="1">
        <f t="array" ref="X1385">_xlfn.IFS(Sales_Table[[#This Row],[Revenue]]&gt;=50000,"High",Sales_Table[[#This Row],[Revenue]]&gt;=20000,"Medium",Sales_Table[[#This Row],[Revenue]]&lt;20000,"Low")</f>
        <v>Low</v>
      </c>
      <c r="Y1385" t="str">
        <f>IF(Sales_Table[[#This Row],[Payment Method_clean]]="cash","Offline","Online")</f>
        <v>Online</v>
      </c>
      <c r="Z1385">
        <f>IFERROR(Sales_Table[[#This Row],[Revenue]],0)</f>
        <v>3141</v>
      </c>
    </row>
    <row r="1386" spans="1:26" x14ac:dyDescent="0.3">
      <c r="A1386">
        <v>1385</v>
      </c>
      <c r="B1386" s="2">
        <f t="shared" si="147"/>
        <v>45349.666666666664</v>
      </c>
      <c r="C1386" t="s">
        <v>3305</v>
      </c>
      <c r="D1386" t="s">
        <v>45</v>
      </c>
      <c r="E1386" t="str">
        <f>PROPER(TRIM(CLEAN(Sales_Table[[#This Row],[Region]])))</f>
        <v>North</v>
      </c>
      <c r="F1386" t="s">
        <v>78</v>
      </c>
      <c r="G1386" t="str">
        <f t="shared" si="148"/>
        <v>Grocery</v>
      </c>
      <c r="H1386" t="str">
        <f>PROPER(TRIM(CLEAN(Sales_Table[[#This Row],[Product Name]])))</f>
        <v>Led Tv 42Inch</v>
      </c>
      <c r="I1386" t="s">
        <v>58</v>
      </c>
      <c r="J1386" t="str">
        <f t="shared" si="149"/>
        <v>CUST0376</v>
      </c>
      <c r="K1386" t="s">
        <v>1028</v>
      </c>
      <c r="L1386" t="str">
        <f>PROPER(TRIM(CLEAN(Sales_Table[[#This Row],[Salesperson]])))</f>
        <v>Rahul</v>
      </c>
      <c r="M1386" t="s">
        <v>31</v>
      </c>
      <c r="N1386" t="str">
        <f t="shared" si="150"/>
        <v>Credit Card</v>
      </c>
      <c r="O1386" t="s">
        <v>65</v>
      </c>
      <c r="P1386">
        <f t="shared" si="151"/>
        <v>3</v>
      </c>
      <c r="Q1386" t="s">
        <v>66</v>
      </c>
      <c r="R1386">
        <f t="shared" si="152"/>
        <v>122</v>
      </c>
      <c r="S1386" t="s">
        <v>3306</v>
      </c>
      <c r="T1386">
        <f t="shared" si="153"/>
        <v>366</v>
      </c>
      <c r="U1386">
        <f>YEAR(Sales_Table[[#This Row],[Date_clean]])</f>
        <v>2024</v>
      </c>
      <c r="V1386" t="str">
        <f>TEXT(Sales_Table[[#This Row],[Date_clean]],"mmmm")</f>
        <v>February</v>
      </c>
      <c r="W1386">
        <f>WEEKNUM(Sales_Table[[#This Row],[Date_clean]],2)</f>
        <v>9</v>
      </c>
      <c r="X1386" t="str" cm="1">
        <f t="array" ref="X1386">_xlfn.IFS(Sales_Table[[#This Row],[Revenue]]&gt;=50000,"High",Sales_Table[[#This Row],[Revenue]]&gt;=20000,"Medium",Sales_Table[[#This Row],[Revenue]]&lt;20000,"Low")</f>
        <v>Low</v>
      </c>
      <c r="Y1386" t="str">
        <f>IF(Sales_Table[[#This Row],[Payment Method_clean]]="cash","Offline","Online")</f>
        <v>Online</v>
      </c>
      <c r="Z1386">
        <f>IFERROR(Sales_Table[[#This Row],[Revenue]],0)</f>
        <v>366</v>
      </c>
    </row>
    <row r="1387" spans="1:26" x14ac:dyDescent="0.3">
      <c r="A1387">
        <v>1386</v>
      </c>
      <c r="B1387" s="2">
        <f t="shared" si="147"/>
        <v>45349.708333333336</v>
      </c>
      <c r="C1387" t="s">
        <v>3307</v>
      </c>
      <c r="D1387" t="s">
        <v>36</v>
      </c>
      <c r="E1387" t="str">
        <f>PROPER(TRIM(CLEAN(Sales_Table[[#This Row],[Region]])))</f>
        <v>West</v>
      </c>
      <c r="F1387" t="s">
        <v>46</v>
      </c>
      <c r="G1387" t="str">
        <f t="shared" si="148"/>
        <v>Electronics</v>
      </c>
      <c r="H1387" t="str">
        <f>PROPER(TRIM(CLEAN(Sales_Table[[#This Row],[Product Name]])))</f>
        <v>Laptop</v>
      </c>
      <c r="I1387" t="s">
        <v>52</v>
      </c>
      <c r="J1387" t="str">
        <f t="shared" si="149"/>
        <v>CUST0263</v>
      </c>
      <c r="K1387" t="s">
        <v>2556</v>
      </c>
      <c r="L1387" t="str">
        <f>PROPER(TRIM(CLEAN(Sales_Table[[#This Row],[Salesperson]])))</f>
        <v>Suresh</v>
      </c>
      <c r="M1387" t="s">
        <v>54</v>
      </c>
      <c r="N1387" t="str">
        <f t="shared" si="150"/>
        <v>Debit Card</v>
      </c>
      <c r="O1387" t="s">
        <v>41</v>
      </c>
      <c r="P1387">
        <f t="shared" si="151"/>
        <v>9</v>
      </c>
      <c r="Q1387" t="s">
        <v>130</v>
      </c>
      <c r="R1387">
        <f t="shared" si="152"/>
        <v>1228</v>
      </c>
      <c r="S1387" t="s">
        <v>3308</v>
      </c>
      <c r="T1387">
        <f t="shared" si="153"/>
        <v>11052</v>
      </c>
      <c r="U1387">
        <f>YEAR(Sales_Table[[#This Row],[Date_clean]])</f>
        <v>2024</v>
      </c>
      <c r="V1387" t="str">
        <f>TEXT(Sales_Table[[#This Row],[Date_clean]],"mmmm")</f>
        <v>February</v>
      </c>
      <c r="W1387">
        <f>WEEKNUM(Sales_Table[[#This Row],[Date_clean]],2)</f>
        <v>9</v>
      </c>
      <c r="X1387" t="str" cm="1">
        <f t="array" ref="X1387">_xlfn.IFS(Sales_Table[[#This Row],[Revenue]]&gt;=50000,"High",Sales_Table[[#This Row],[Revenue]]&gt;=20000,"Medium",Sales_Table[[#This Row],[Revenue]]&lt;20000,"Low")</f>
        <v>Low</v>
      </c>
      <c r="Y1387" t="str">
        <f>IF(Sales_Table[[#This Row],[Payment Method_clean]]="cash","Offline","Online")</f>
        <v>Online</v>
      </c>
      <c r="Z1387">
        <f>IFERROR(Sales_Table[[#This Row],[Revenue]],0)</f>
        <v>11052</v>
      </c>
    </row>
    <row r="1388" spans="1:26" x14ac:dyDescent="0.3">
      <c r="A1388">
        <v>1387</v>
      </c>
      <c r="B1388" s="2">
        <f t="shared" si="147"/>
        <v>45349.75</v>
      </c>
      <c r="C1388" t="s">
        <v>3309</v>
      </c>
      <c r="D1388" t="s">
        <v>45</v>
      </c>
      <c r="E1388" t="str">
        <f>PROPER(TRIM(CLEAN(Sales_Table[[#This Row],[Region]])))</f>
        <v>North</v>
      </c>
      <c r="F1388" t="s">
        <v>78</v>
      </c>
      <c r="G1388" t="str">
        <f t="shared" si="148"/>
        <v>Grocery</v>
      </c>
      <c r="H1388" t="str">
        <f>PROPER(TRIM(CLEAN(Sales_Table[[#This Row],[Product Name]])))</f>
        <v>Washing Machine</v>
      </c>
      <c r="I1388" t="s">
        <v>79</v>
      </c>
      <c r="J1388" t="str">
        <f t="shared" si="149"/>
        <v>CUST0267</v>
      </c>
      <c r="K1388" t="s">
        <v>219</v>
      </c>
      <c r="L1388" t="str">
        <f>PROPER(TRIM(CLEAN(Sales_Table[[#This Row],[Salesperson]])))</f>
        <v>Anita</v>
      </c>
      <c r="M1388" t="s">
        <v>64</v>
      </c>
      <c r="N1388" t="str">
        <f t="shared" si="150"/>
        <v>Debit Card</v>
      </c>
      <c r="O1388" t="s">
        <v>41</v>
      </c>
      <c r="P1388">
        <f t="shared" si="151"/>
        <v>4</v>
      </c>
      <c r="Q1388" t="s">
        <v>113</v>
      </c>
      <c r="R1388">
        <f t="shared" si="152"/>
        <v>657</v>
      </c>
      <c r="S1388" t="s">
        <v>3310</v>
      </c>
      <c r="T1388">
        <f t="shared" si="153"/>
        <v>2628</v>
      </c>
      <c r="U1388">
        <f>YEAR(Sales_Table[[#This Row],[Date_clean]])</f>
        <v>2024</v>
      </c>
      <c r="V1388" t="str">
        <f>TEXT(Sales_Table[[#This Row],[Date_clean]],"mmmm")</f>
        <v>February</v>
      </c>
      <c r="W1388">
        <f>WEEKNUM(Sales_Table[[#This Row],[Date_clean]],2)</f>
        <v>9</v>
      </c>
      <c r="X1388" t="str" cm="1">
        <f t="array" ref="X1388">_xlfn.IFS(Sales_Table[[#This Row],[Revenue]]&gt;=50000,"High",Sales_Table[[#This Row],[Revenue]]&gt;=20000,"Medium",Sales_Table[[#This Row],[Revenue]]&lt;20000,"Low")</f>
        <v>Low</v>
      </c>
      <c r="Y1388" t="str">
        <f>IF(Sales_Table[[#This Row],[Payment Method_clean]]="cash","Offline","Online")</f>
        <v>Online</v>
      </c>
      <c r="Z1388">
        <f>IFERROR(Sales_Table[[#This Row],[Revenue]],0)</f>
        <v>2628</v>
      </c>
    </row>
    <row r="1389" spans="1:26" x14ac:dyDescent="0.3">
      <c r="A1389">
        <v>1388</v>
      </c>
      <c r="B1389" s="2">
        <f t="shared" si="147"/>
        <v>45349.791666666664</v>
      </c>
      <c r="C1389" t="s">
        <v>3311</v>
      </c>
      <c r="D1389" t="s">
        <v>36</v>
      </c>
      <c r="E1389" t="str">
        <f>PROPER(TRIM(CLEAN(Sales_Table[[#This Row],[Region]])))</f>
        <v>West</v>
      </c>
      <c r="F1389" t="s">
        <v>78</v>
      </c>
      <c r="G1389" t="str">
        <f t="shared" si="148"/>
        <v>Grocery</v>
      </c>
      <c r="H1389" t="str">
        <f>PROPER(TRIM(CLEAN(Sales_Table[[#This Row],[Product Name]])))</f>
        <v>Washing Machine</v>
      </c>
      <c r="I1389" t="s">
        <v>79</v>
      </c>
      <c r="J1389" t="str">
        <f t="shared" si="149"/>
        <v>CUST0359</v>
      </c>
      <c r="K1389" t="s">
        <v>3312</v>
      </c>
      <c r="L1389" t="str">
        <f>PROPER(TRIM(CLEAN(Sales_Table[[#This Row],[Salesperson]])))</f>
        <v>Karthik</v>
      </c>
      <c r="M1389" t="s">
        <v>70</v>
      </c>
      <c r="N1389" t="str">
        <f t="shared" si="150"/>
        <v>Cash</v>
      </c>
      <c r="O1389" t="s">
        <v>32</v>
      </c>
      <c r="P1389">
        <f t="shared" si="151"/>
        <v>1</v>
      </c>
      <c r="Q1389" t="s">
        <v>93</v>
      </c>
      <c r="R1389">
        <f t="shared" si="152"/>
        <v>1716</v>
      </c>
      <c r="S1389" t="s">
        <v>3313</v>
      </c>
      <c r="T1389">
        <f t="shared" si="153"/>
        <v>1716</v>
      </c>
      <c r="U1389">
        <f>YEAR(Sales_Table[[#This Row],[Date_clean]])</f>
        <v>2024</v>
      </c>
      <c r="V1389" t="str">
        <f>TEXT(Sales_Table[[#This Row],[Date_clean]],"mmmm")</f>
        <v>February</v>
      </c>
      <c r="W1389">
        <f>WEEKNUM(Sales_Table[[#This Row],[Date_clean]],2)</f>
        <v>9</v>
      </c>
      <c r="X1389" t="str" cm="1">
        <f t="array" ref="X1389">_xlfn.IFS(Sales_Table[[#This Row],[Revenue]]&gt;=50000,"High",Sales_Table[[#This Row],[Revenue]]&gt;=20000,"Medium",Sales_Table[[#This Row],[Revenue]]&lt;20000,"Low")</f>
        <v>Low</v>
      </c>
      <c r="Y1389" t="str">
        <f>IF(Sales_Table[[#This Row],[Payment Method_clean]]="cash","Offline","Online")</f>
        <v>Offline</v>
      </c>
      <c r="Z1389">
        <f>IFERROR(Sales_Table[[#This Row],[Revenue]],0)</f>
        <v>1716</v>
      </c>
    </row>
    <row r="1390" spans="1:26" x14ac:dyDescent="0.3">
      <c r="A1390">
        <v>1389</v>
      </c>
      <c r="B1390" s="2">
        <f t="shared" si="147"/>
        <v>45349.833333333336</v>
      </c>
      <c r="C1390" t="s">
        <v>3314</v>
      </c>
      <c r="D1390" t="s">
        <v>27</v>
      </c>
      <c r="E1390" t="str">
        <f>PROPER(TRIM(CLEAN(Sales_Table[[#This Row],[Region]])))</f>
        <v>East</v>
      </c>
      <c r="F1390" t="s">
        <v>78</v>
      </c>
      <c r="G1390" t="str">
        <f t="shared" si="148"/>
        <v>Grocery</v>
      </c>
      <c r="H1390" t="str">
        <f>PROPER(TRIM(CLEAN(Sales_Table[[#This Row],[Product Name]])))</f>
        <v>Mixer Grinder</v>
      </c>
      <c r="I1390" t="s">
        <v>29</v>
      </c>
      <c r="J1390" t="str">
        <f t="shared" si="149"/>
        <v>CUST0317</v>
      </c>
      <c r="K1390" t="s">
        <v>96</v>
      </c>
      <c r="L1390" t="str">
        <f>PROPER(TRIM(CLEAN(Sales_Table[[#This Row],[Salesperson]])))</f>
        <v>Suresh</v>
      </c>
      <c r="M1390" t="s">
        <v>54</v>
      </c>
      <c r="N1390" t="str">
        <f t="shared" si="150"/>
        <v>Credit Card</v>
      </c>
      <c r="O1390" t="s">
        <v>65</v>
      </c>
      <c r="P1390">
        <f t="shared" si="151"/>
        <v>1</v>
      </c>
      <c r="Q1390" t="s">
        <v>93</v>
      </c>
      <c r="R1390">
        <f t="shared" si="152"/>
        <v>3830</v>
      </c>
      <c r="S1390" t="s">
        <v>3315</v>
      </c>
      <c r="T1390">
        <f t="shared" si="153"/>
        <v>3830</v>
      </c>
      <c r="U1390">
        <f>YEAR(Sales_Table[[#This Row],[Date_clean]])</f>
        <v>2024</v>
      </c>
      <c r="V1390" t="str">
        <f>TEXT(Sales_Table[[#This Row],[Date_clean]],"mmmm")</f>
        <v>February</v>
      </c>
      <c r="W1390">
        <f>WEEKNUM(Sales_Table[[#This Row],[Date_clean]],2)</f>
        <v>9</v>
      </c>
      <c r="X1390" t="str" cm="1">
        <f t="array" ref="X1390">_xlfn.IFS(Sales_Table[[#This Row],[Revenue]]&gt;=50000,"High",Sales_Table[[#This Row],[Revenue]]&gt;=20000,"Medium",Sales_Table[[#This Row],[Revenue]]&lt;20000,"Low")</f>
        <v>Low</v>
      </c>
      <c r="Y1390" t="str">
        <f>IF(Sales_Table[[#This Row],[Payment Method_clean]]="cash","Offline","Online")</f>
        <v>Online</v>
      </c>
      <c r="Z1390">
        <f>IFERROR(Sales_Table[[#This Row],[Revenue]],0)</f>
        <v>3830</v>
      </c>
    </row>
    <row r="1391" spans="1:26" x14ac:dyDescent="0.3">
      <c r="A1391">
        <v>1390</v>
      </c>
      <c r="B1391" s="2">
        <f t="shared" si="147"/>
        <v>45349.875</v>
      </c>
      <c r="C1391" t="s">
        <v>3316</v>
      </c>
      <c r="D1391" t="s">
        <v>45</v>
      </c>
      <c r="E1391" t="str">
        <f>PROPER(TRIM(CLEAN(Sales_Table[[#This Row],[Region]])))</f>
        <v>North</v>
      </c>
      <c r="F1391" t="s">
        <v>46</v>
      </c>
      <c r="G1391" t="str">
        <f t="shared" si="148"/>
        <v>Electronics</v>
      </c>
      <c r="H1391" t="str">
        <f>PROPER(TRIM(CLEAN(Sales_Table[[#This Row],[Product Name]])))</f>
        <v>Men T-Shirt</v>
      </c>
      <c r="I1391" t="s">
        <v>38</v>
      </c>
      <c r="J1391" t="str">
        <f t="shared" si="149"/>
        <v>CUST0324</v>
      </c>
      <c r="K1391" t="s">
        <v>3317</v>
      </c>
      <c r="L1391" t="str">
        <f>PROPER(TRIM(CLEAN(Sales_Table[[#This Row],[Salesperson]])))</f>
        <v>Suresh</v>
      </c>
      <c r="M1391" t="s">
        <v>54</v>
      </c>
      <c r="N1391" t="str">
        <f t="shared" si="150"/>
        <v>Upi</v>
      </c>
      <c r="O1391" t="s">
        <v>48</v>
      </c>
      <c r="P1391">
        <f t="shared" si="151"/>
        <v>7</v>
      </c>
      <c r="Q1391" t="s">
        <v>49</v>
      </c>
      <c r="R1391">
        <f t="shared" si="152"/>
        <v>1756</v>
      </c>
      <c r="S1391" t="s">
        <v>604</v>
      </c>
      <c r="T1391">
        <f t="shared" si="153"/>
        <v>12292</v>
      </c>
      <c r="U1391">
        <f>YEAR(Sales_Table[[#This Row],[Date_clean]])</f>
        <v>2024</v>
      </c>
      <c r="V1391" t="str">
        <f>TEXT(Sales_Table[[#This Row],[Date_clean]],"mmmm")</f>
        <v>February</v>
      </c>
      <c r="W1391">
        <f>WEEKNUM(Sales_Table[[#This Row],[Date_clean]],2)</f>
        <v>9</v>
      </c>
      <c r="X1391" t="str" cm="1">
        <f t="array" ref="X1391">_xlfn.IFS(Sales_Table[[#This Row],[Revenue]]&gt;=50000,"High",Sales_Table[[#This Row],[Revenue]]&gt;=20000,"Medium",Sales_Table[[#This Row],[Revenue]]&lt;20000,"Low")</f>
        <v>Low</v>
      </c>
      <c r="Y1391" t="str">
        <f>IF(Sales_Table[[#This Row],[Payment Method_clean]]="cash","Offline","Online")</f>
        <v>Online</v>
      </c>
      <c r="Z1391">
        <f>IFERROR(Sales_Table[[#This Row],[Revenue]],0)</f>
        <v>12292</v>
      </c>
    </row>
    <row r="1392" spans="1:26" x14ac:dyDescent="0.3">
      <c r="A1392">
        <v>1391</v>
      </c>
      <c r="B1392" s="2">
        <f t="shared" si="147"/>
        <v>45349.916666666664</v>
      </c>
      <c r="C1392" t="s">
        <v>3318</v>
      </c>
      <c r="D1392" t="s">
        <v>84</v>
      </c>
      <c r="E1392" t="str">
        <f>PROPER(TRIM(CLEAN(Sales_Table[[#This Row],[Region]])))</f>
        <v>South</v>
      </c>
      <c r="F1392" t="s">
        <v>37</v>
      </c>
      <c r="G1392" t="str">
        <f t="shared" si="148"/>
        <v>Home Appliances</v>
      </c>
      <c r="H1392" t="str">
        <f>PROPER(TRIM(CLEAN(Sales_Table[[#This Row],[Product Name]])))</f>
        <v>Men T-Shirt</v>
      </c>
      <c r="I1392" t="s">
        <v>38</v>
      </c>
      <c r="J1392" t="str">
        <f t="shared" si="149"/>
        <v>CUST0666</v>
      </c>
      <c r="K1392" t="s">
        <v>3275</v>
      </c>
      <c r="L1392" t="str">
        <f>PROPER(TRIM(CLEAN(Sales_Table[[#This Row],[Salesperson]])))</f>
        <v>Karthik</v>
      </c>
      <c r="M1392" t="s">
        <v>70</v>
      </c>
      <c r="N1392" t="str">
        <f t="shared" si="150"/>
        <v>Cash</v>
      </c>
      <c r="O1392" t="s">
        <v>32</v>
      </c>
      <c r="P1392">
        <f t="shared" si="151"/>
        <v>7</v>
      </c>
      <c r="Q1392" t="s">
        <v>49</v>
      </c>
      <c r="R1392">
        <f t="shared" si="152"/>
        <v>4273</v>
      </c>
      <c r="S1392" t="s">
        <v>2851</v>
      </c>
      <c r="T1392">
        <f t="shared" si="153"/>
        <v>29911</v>
      </c>
      <c r="U1392">
        <f>YEAR(Sales_Table[[#This Row],[Date_clean]])</f>
        <v>2024</v>
      </c>
      <c r="V1392" t="str">
        <f>TEXT(Sales_Table[[#This Row],[Date_clean]],"mmmm")</f>
        <v>February</v>
      </c>
      <c r="W1392">
        <f>WEEKNUM(Sales_Table[[#This Row],[Date_clean]],2)</f>
        <v>9</v>
      </c>
      <c r="X1392" t="str" cm="1">
        <f t="array" ref="X1392">_xlfn.IFS(Sales_Table[[#This Row],[Revenue]]&gt;=50000,"High",Sales_Table[[#This Row],[Revenue]]&gt;=20000,"Medium",Sales_Table[[#This Row],[Revenue]]&lt;20000,"Low")</f>
        <v>Medium</v>
      </c>
      <c r="Y1392" t="str">
        <f>IF(Sales_Table[[#This Row],[Payment Method_clean]]="cash","Offline","Online")</f>
        <v>Offline</v>
      </c>
      <c r="Z1392">
        <f>IFERROR(Sales_Table[[#This Row],[Revenue]],0)</f>
        <v>29911</v>
      </c>
    </row>
    <row r="1393" spans="1:26" x14ac:dyDescent="0.3">
      <c r="A1393">
        <v>1392</v>
      </c>
      <c r="B1393" s="2">
        <f t="shared" si="147"/>
        <v>45349.958333333336</v>
      </c>
      <c r="C1393" t="s">
        <v>3319</v>
      </c>
      <c r="D1393" t="s">
        <v>84</v>
      </c>
      <c r="E1393" t="str">
        <f>PROPER(TRIM(CLEAN(Sales_Table[[#This Row],[Region]])))</f>
        <v>South</v>
      </c>
      <c r="F1393" t="s">
        <v>78</v>
      </c>
      <c r="G1393" t="str">
        <f t="shared" si="148"/>
        <v>Grocery</v>
      </c>
      <c r="H1393" t="str">
        <f>PROPER(TRIM(CLEAN(Sales_Table[[#This Row],[Product Name]])))</f>
        <v>Laptop</v>
      </c>
      <c r="I1393" t="s">
        <v>52</v>
      </c>
      <c r="J1393" t="str">
        <f t="shared" si="149"/>
        <v>CUST0652</v>
      </c>
      <c r="K1393" t="s">
        <v>473</v>
      </c>
      <c r="L1393" t="str">
        <f>PROPER(TRIM(CLEAN(Sales_Table[[#This Row],[Salesperson]])))</f>
        <v>Meena</v>
      </c>
      <c r="M1393" t="s">
        <v>40</v>
      </c>
      <c r="N1393" t="str">
        <f t="shared" si="150"/>
        <v>Credit Card</v>
      </c>
      <c r="O1393" t="s">
        <v>65</v>
      </c>
      <c r="P1393">
        <f t="shared" si="151"/>
        <v>2</v>
      </c>
      <c r="Q1393" t="s">
        <v>196</v>
      </c>
      <c r="R1393">
        <f t="shared" si="152"/>
        <v>906</v>
      </c>
      <c r="S1393" t="s">
        <v>454</v>
      </c>
      <c r="T1393">
        <f t="shared" si="153"/>
        <v>1812</v>
      </c>
      <c r="U1393">
        <f>YEAR(Sales_Table[[#This Row],[Date_clean]])</f>
        <v>2024</v>
      </c>
      <c r="V1393" t="str">
        <f>TEXT(Sales_Table[[#This Row],[Date_clean]],"mmmm")</f>
        <v>February</v>
      </c>
      <c r="W1393">
        <f>WEEKNUM(Sales_Table[[#This Row],[Date_clean]],2)</f>
        <v>9</v>
      </c>
      <c r="X1393" t="str" cm="1">
        <f t="array" ref="X1393">_xlfn.IFS(Sales_Table[[#This Row],[Revenue]]&gt;=50000,"High",Sales_Table[[#This Row],[Revenue]]&gt;=20000,"Medium",Sales_Table[[#This Row],[Revenue]]&lt;20000,"Low")</f>
        <v>Low</v>
      </c>
      <c r="Y1393" t="str">
        <f>IF(Sales_Table[[#This Row],[Payment Method_clean]]="cash","Offline","Online")</f>
        <v>Online</v>
      </c>
      <c r="Z1393">
        <f>IFERROR(Sales_Table[[#This Row],[Revenue]],0)</f>
        <v>1812</v>
      </c>
    </row>
    <row r="1394" spans="1:26" x14ac:dyDescent="0.3">
      <c r="A1394">
        <v>1393</v>
      </c>
      <c r="B1394" s="2">
        <f t="shared" si="147"/>
        <v>45350</v>
      </c>
      <c r="C1394" t="s">
        <v>3320</v>
      </c>
      <c r="D1394" t="s">
        <v>36</v>
      </c>
      <c r="E1394" t="str">
        <f>PROPER(TRIM(CLEAN(Sales_Table[[#This Row],[Region]])))</f>
        <v>West</v>
      </c>
      <c r="F1394" t="s">
        <v>46</v>
      </c>
      <c r="G1394" t="str">
        <f t="shared" si="148"/>
        <v>Electronics</v>
      </c>
      <c r="H1394" t="str">
        <f>PROPER(TRIM(CLEAN(Sales_Table[[#This Row],[Product Name]])))</f>
        <v>Mixer Grinder</v>
      </c>
      <c r="I1394" t="s">
        <v>29</v>
      </c>
      <c r="J1394" t="str">
        <f t="shared" si="149"/>
        <v>CUST0563</v>
      </c>
      <c r="K1394" t="s">
        <v>631</v>
      </c>
      <c r="L1394" t="str">
        <f>PROPER(TRIM(CLEAN(Sales_Table[[#This Row],[Salesperson]])))</f>
        <v>Karthik</v>
      </c>
      <c r="M1394" t="s">
        <v>70</v>
      </c>
      <c r="N1394" t="str">
        <f t="shared" si="150"/>
        <v>Net Banking</v>
      </c>
      <c r="O1394" t="s">
        <v>60</v>
      </c>
      <c r="P1394">
        <f t="shared" si="151"/>
        <v>9</v>
      </c>
      <c r="Q1394" t="s">
        <v>130</v>
      </c>
      <c r="R1394">
        <f t="shared" si="152"/>
        <v>3412</v>
      </c>
      <c r="S1394" t="s">
        <v>3321</v>
      </c>
      <c r="T1394">
        <f t="shared" si="153"/>
        <v>30708</v>
      </c>
      <c r="U1394">
        <f>YEAR(Sales_Table[[#This Row],[Date_clean]])</f>
        <v>2024</v>
      </c>
      <c r="V1394" t="str">
        <f>TEXT(Sales_Table[[#This Row],[Date_clean]],"mmmm")</f>
        <v>February</v>
      </c>
      <c r="W1394">
        <f>WEEKNUM(Sales_Table[[#This Row],[Date_clean]],2)</f>
        <v>9</v>
      </c>
      <c r="X1394" t="str" cm="1">
        <f t="array" ref="X1394">_xlfn.IFS(Sales_Table[[#This Row],[Revenue]]&gt;=50000,"High",Sales_Table[[#This Row],[Revenue]]&gt;=20000,"Medium",Sales_Table[[#This Row],[Revenue]]&lt;20000,"Low")</f>
        <v>Medium</v>
      </c>
      <c r="Y1394" t="str">
        <f>IF(Sales_Table[[#This Row],[Payment Method_clean]]="cash","Offline","Online")</f>
        <v>Online</v>
      </c>
      <c r="Z1394">
        <f>IFERROR(Sales_Table[[#This Row],[Revenue]],0)</f>
        <v>30708</v>
      </c>
    </row>
    <row r="1395" spans="1:26" x14ac:dyDescent="0.3">
      <c r="A1395">
        <v>1394</v>
      </c>
      <c r="B1395" s="2">
        <f t="shared" si="147"/>
        <v>45350.041666666664</v>
      </c>
      <c r="C1395" t="s">
        <v>3322</v>
      </c>
      <c r="D1395" t="s">
        <v>84</v>
      </c>
      <c r="E1395" t="str">
        <f>PROPER(TRIM(CLEAN(Sales_Table[[#This Row],[Region]])))</f>
        <v>South</v>
      </c>
      <c r="F1395" t="s">
        <v>37</v>
      </c>
      <c r="G1395" t="str">
        <f t="shared" si="148"/>
        <v>Home Appliances</v>
      </c>
      <c r="H1395" t="str">
        <f>PROPER(TRIM(CLEAN(Sales_Table[[#This Row],[Product Name]])))</f>
        <v>Mixer Grinder</v>
      </c>
      <c r="I1395" t="s">
        <v>29</v>
      </c>
      <c r="J1395" t="str">
        <f t="shared" si="149"/>
        <v>CUST0629</v>
      </c>
      <c r="K1395" t="s">
        <v>3323</v>
      </c>
      <c r="L1395" t="str">
        <f>PROPER(TRIM(CLEAN(Sales_Table[[#This Row],[Salesperson]])))</f>
        <v>Karthik</v>
      </c>
      <c r="M1395" t="s">
        <v>70</v>
      </c>
      <c r="N1395" t="str">
        <f t="shared" si="150"/>
        <v>Credit Card</v>
      </c>
      <c r="O1395" t="s">
        <v>65</v>
      </c>
      <c r="P1395">
        <f t="shared" si="151"/>
        <v>9</v>
      </c>
      <c r="Q1395" t="s">
        <v>130</v>
      </c>
      <c r="R1395">
        <f t="shared" si="152"/>
        <v>4963</v>
      </c>
      <c r="S1395" t="s">
        <v>3324</v>
      </c>
      <c r="T1395">
        <f t="shared" si="153"/>
        <v>44667</v>
      </c>
      <c r="U1395">
        <f>YEAR(Sales_Table[[#This Row],[Date_clean]])</f>
        <v>2024</v>
      </c>
      <c r="V1395" t="str">
        <f>TEXT(Sales_Table[[#This Row],[Date_clean]],"mmmm")</f>
        <v>February</v>
      </c>
      <c r="W1395">
        <f>WEEKNUM(Sales_Table[[#This Row],[Date_clean]],2)</f>
        <v>9</v>
      </c>
      <c r="X1395" t="str" cm="1">
        <f t="array" ref="X1395">_xlfn.IFS(Sales_Table[[#This Row],[Revenue]]&gt;=50000,"High",Sales_Table[[#This Row],[Revenue]]&gt;=20000,"Medium",Sales_Table[[#This Row],[Revenue]]&lt;20000,"Low")</f>
        <v>Medium</v>
      </c>
      <c r="Y1395" t="str">
        <f>IF(Sales_Table[[#This Row],[Payment Method_clean]]="cash","Offline","Online")</f>
        <v>Online</v>
      </c>
      <c r="Z1395">
        <f>IFERROR(Sales_Table[[#This Row],[Revenue]],0)</f>
        <v>44667</v>
      </c>
    </row>
    <row r="1396" spans="1:26" x14ac:dyDescent="0.3">
      <c r="A1396">
        <v>1395</v>
      </c>
      <c r="B1396" s="2">
        <f t="shared" si="147"/>
        <v>45350.083333333336</v>
      </c>
      <c r="C1396" t="s">
        <v>3325</v>
      </c>
      <c r="D1396" t="s">
        <v>45</v>
      </c>
      <c r="E1396" t="str">
        <f>PROPER(TRIM(CLEAN(Sales_Table[[#This Row],[Region]])))</f>
        <v>North</v>
      </c>
      <c r="F1396" t="s">
        <v>78</v>
      </c>
      <c r="G1396" t="str">
        <f t="shared" si="148"/>
        <v>Grocery</v>
      </c>
      <c r="H1396" t="str">
        <f>PROPER(TRIM(CLEAN(Sales_Table[[#This Row],[Product Name]])))</f>
        <v>Mixer Grinder</v>
      </c>
      <c r="I1396" t="s">
        <v>29</v>
      </c>
      <c r="J1396" t="str">
        <f t="shared" si="149"/>
        <v>CUST0421</v>
      </c>
      <c r="K1396" t="s">
        <v>2878</v>
      </c>
      <c r="L1396" t="str">
        <f>PROPER(TRIM(CLEAN(Sales_Table[[#This Row],[Salesperson]])))</f>
        <v>Meena</v>
      </c>
      <c r="M1396" t="s">
        <v>40</v>
      </c>
      <c r="N1396" t="str">
        <f t="shared" si="150"/>
        <v>Cash</v>
      </c>
      <c r="O1396" t="s">
        <v>32</v>
      </c>
      <c r="P1396">
        <f t="shared" si="151"/>
        <v>5</v>
      </c>
      <c r="Q1396" t="s">
        <v>89</v>
      </c>
      <c r="R1396">
        <f t="shared" si="152"/>
        <v>553</v>
      </c>
      <c r="S1396" t="s">
        <v>3326</v>
      </c>
      <c r="T1396">
        <f t="shared" si="153"/>
        <v>2765</v>
      </c>
      <c r="U1396">
        <f>YEAR(Sales_Table[[#This Row],[Date_clean]])</f>
        <v>2024</v>
      </c>
      <c r="V1396" t="str">
        <f>TEXT(Sales_Table[[#This Row],[Date_clean]],"mmmm")</f>
        <v>February</v>
      </c>
      <c r="W1396">
        <f>WEEKNUM(Sales_Table[[#This Row],[Date_clean]],2)</f>
        <v>9</v>
      </c>
      <c r="X1396" t="str" cm="1">
        <f t="array" ref="X1396">_xlfn.IFS(Sales_Table[[#This Row],[Revenue]]&gt;=50000,"High",Sales_Table[[#This Row],[Revenue]]&gt;=20000,"Medium",Sales_Table[[#This Row],[Revenue]]&lt;20000,"Low")</f>
        <v>Low</v>
      </c>
      <c r="Y1396" t="str">
        <f>IF(Sales_Table[[#This Row],[Payment Method_clean]]="cash","Offline","Online")</f>
        <v>Offline</v>
      </c>
      <c r="Z1396">
        <f>IFERROR(Sales_Table[[#This Row],[Revenue]],0)</f>
        <v>2765</v>
      </c>
    </row>
    <row r="1397" spans="1:26" x14ac:dyDescent="0.3">
      <c r="A1397">
        <v>1396</v>
      </c>
      <c r="B1397" s="2">
        <f t="shared" si="147"/>
        <v>45350.125</v>
      </c>
      <c r="C1397" t="s">
        <v>3327</v>
      </c>
      <c r="D1397" t="s">
        <v>84</v>
      </c>
      <c r="E1397" t="str">
        <f>PROPER(TRIM(CLEAN(Sales_Table[[#This Row],[Region]])))</f>
        <v>South</v>
      </c>
      <c r="F1397" t="s">
        <v>28</v>
      </c>
      <c r="G1397" t="str">
        <f t="shared" si="148"/>
        <v>Clothing</v>
      </c>
      <c r="H1397" t="str">
        <f>PROPER(TRIM(CLEAN(Sales_Table[[#This Row],[Product Name]])))</f>
        <v>Laptop</v>
      </c>
      <c r="I1397" t="s">
        <v>52</v>
      </c>
      <c r="J1397" t="str">
        <f t="shared" si="149"/>
        <v>CUST0046</v>
      </c>
      <c r="K1397" t="s">
        <v>3328</v>
      </c>
      <c r="L1397" t="str">
        <f>PROPER(TRIM(CLEAN(Sales_Table[[#This Row],[Salesperson]])))</f>
        <v>Meena</v>
      </c>
      <c r="M1397" t="s">
        <v>40</v>
      </c>
      <c r="N1397" t="str">
        <f t="shared" si="150"/>
        <v>Debit Card</v>
      </c>
      <c r="O1397" t="s">
        <v>41</v>
      </c>
      <c r="P1397">
        <f t="shared" si="151"/>
        <v>3</v>
      </c>
      <c r="Q1397" t="s">
        <v>66</v>
      </c>
      <c r="R1397">
        <f t="shared" si="152"/>
        <v>3075</v>
      </c>
      <c r="S1397" t="s">
        <v>3329</v>
      </c>
      <c r="T1397">
        <f t="shared" si="153"/>
        <v>9225</v>
      </c>
      <c r="U1397">
        <f>YEAR(Sales_Table[[#This Row],[Date_clean]])</f>
        <v>2024</v>
      </c>
      <c r="V1397" t="str">
        <f>TEXT(Sales_Table[[#This Row],[Date_clean]],"mmmm")</f>
        <v>February</v>
      </c>
      <c r="W1397">
        <f>WEEKNUM(Sales_Table[[#This Row],[Date_clean]],2)</f>
        <v>9</v>
      </c>
      <c r="X1397" t="str" cm="1">
        <f t="array" ref="X1397">_xlfn.IFS(Sales_Table[[#This Row],[Revenue]]&gt;=50000,"High",Sales_Table[[#This Row],[Revenue]]&gt;=20000,"Medium",Sales_Table[[#This Row],[Revenue]]&lt;20000,"Low")</f>
        <v>Low</v>
      </c>
      <c r="Y1397" t="str">
        <f>IF(Sales_Table[[#This Row],[Payment Method_clean]]="cash","Offline","Online")</f>
        <v>Online</v>
      </c>
      <c r="Z1397">
        <f>IFERROR(Sales_Table[[#This Row],[Revenue]],0)</f>
        <v>9225</v>
      </c>
    </row>
    <row r="1398" spans="1:26" x14ac:dyDescent="0.3">
      <c r="A1398">
        <v>1397</v>
      </c>
      <c r="B1398" s="2">
        <f t="shared" si="147"/>
        <v>45350.166666666664</v>
      </c>
      <c r="C1398" t="s">
        <v>3330</v>
      </c>
      <c r="D1398" t="s">
        <v>27</v>
      </c>
      <c r="E1398" t="str">
        <f>PROPER(TRIM(CLEAN(Sales_Table[[#This Row],[Region]])))</f>
        <v>East</v>
      </c>
      <c r="F1398" t="s">
        <v>37</v>
      </c>
      <c r="G1398" t="str">
        <f t="shared" si="148"/>
        <v>Home Appliances</v>
      </c>
      <c r="H1398" t="str">
        <f>PROPER(TRIM(CLEAN(Sales_Table[[#This Row],[Product Name]])))</f>
        <v>Men T-Shirt</v>
      </c>
      <c r="I1398" t="s">
        <v>38</v>
      </c>
      <c r="J1398" t="str">
        <f t="shared" si="149"/>
        <v>CUST0600</v>
      </c>
      <c r="K1398" t="s">
        <v>3331</v>
      </c>
      <c r="L1398" t="str">
        <f>PROPER(TRIM(CLEAN(Sales_Table[[#This Row],[Salesperson]])))</f>
        <v>Meena</v>
      </c>
      <c r="M1398" t="s">
        <v>40</v>
      </c>
      <c r="N1398" t="str">
        <f t="shared" si="150"/>
        <v>Upi</v>
      </c>
      <c r="O1398" t="s">
        <v>48</v>
      </c>
      <c r="P1398">
        <f t="shared" si="151"/>
        <v>3</v>
      </c>
      <c r="Q1398" t="s">
        <v>66</v>
      </c>
      <c r="R1398">
        <f t="shared" si="152"/>
        <v>2424</v>
      </c>
      <c r="S1398" t="s">
        <v>3332</v>
      </c>
      <c r="T1398">
        <f t="shared" si="153"/>
        <v>7272</v>
      </c>
      <c r="U1398">
        <f>YEAR(Sales_Table[[#This Row],[Date_clean]])</f>
        <v>2024</v>
      </c>
      <c r="V1398" t="str">
        <f>TEXT(Sales_Table[[#This Row],[Date_clean]],"mmmm")</f>
        <v>February</v>
      </c>
      <c r="W1398">
        <f>WEEKNUM(Sales_Table[[#This Row],[Date_clean]],2)</f>
        <v>9</v>
      </c>
      <c r="X1398" t="str" cm="1">
        <f t="array" ref="X1398">_xlfn.IFS(Sales_Table[[#This Row],[Revenue]]&gt;=50000,"High",Sales_Table[[#This Row],[Revenue]]&gt;=20000,"Medium",Sales_Table[[#This Row],[Revenue]]&lt;20000,"Low")</f>
        <v>Low</v>
      </c>
      <c r="Y1398" t="str">
        <f>IF(Sales_Table[[#This Row],[Payment Method_clean]]="cash","Offline","Online")</f>
        <v>Online</v>
      </c>
      <c r="Z1398">
        <f>IFERROR(Sales_Table[[#This Row],[Revenue]],0)</f>
        <v>7272</v>
      </c>
    </row>
    <row r="1399" spans="1:26" x14ac:dyDescent="0.3">
      <c r="A1399">
        <v>1398</v>
      </c>
      <c r="B1399" s="2">
        <f t="shared" si="147"/>
        <v>45350.208333333336</v>
      </c>
      <c r="C1399" t="s">
        <v>3333</v>
      </c>
      <c r="D1399" t="s">
        <v>27</v>
      </c>
      <c r="E1399" t="str">
        <f>PROPER(TRIM(CLEAN(Sales_Table[[#This Row],[Region]])))</f>
        <v>East</v>
      </c>
      <c r="F1399" t="s">
        <v>78</v>
      </c>
      <c r="G1399" t="str">
        <f t="shared" si="148"/>
        <v>Grocery</v>
      </c>
      <c r="H1399" t="str">
        <f>PROPER(TRIM(CLEAN(Sales_Table[[#This Row],[Product Name]])))</f>
        <v>Mixer Grinder</v>
      </c>
      <c r="I1399" t="s">
        <v>29</v>
      </c>
      <c r="J1399" t="str">
        <f t="shared" si="149"/>
        <v>CUST0720</v>
      </c>
      <c r="K1399" t="s">
        <v>1158</v>
      </c>
      <c r="L1399" t="str">
        <f>PROPER(TRIM(CLEAN(Sales_Table[[#This Row],[Salesperson]])))</f>
        <v>Meena</v>
      </c>
      <c r="M1399" t="s">
        <v>40</v>
      </c>
      <c r="N1399" t="str">
        <f t="shared" si="150"/>
        <v>Net Banking</v>
      </c>
      <c r="O1399" t="s">
        <v>60</v>
      </c>
      <c r="P1399">
        <f t="shared" si="151"/>
        <v>12</v>
      </c>
      <c r="Q1399" t="s">
        <v>33</v>
      </c>
      <c r="R1399">
        <f t="shared" si="152"/>
        <v>1547</v>
      </c>
      <c r="S1399" t="s">
        <v>3334</v>
      </c>
      <c r="T1399">
        <f t="shared" si="153"/>
        <v>18564</v>
      </c>
      <c r="U1399">
        <f>YEAR(Sales_Table[[#This Row],[Date_clean]])</f>
        <v>2024</v>
      </c>
      <c r="V1399" t="str">
        <f>TEXT(Sales_Table[[#This Row],[Date_clean]],"mmmm")</f>
        <v>February</v>
      </c>
      <c r="W1399">
        <f>WEEKNUM(Sales_Table[[#This Row],[Date_clean]],2)</f>
        <v>9</v>
      </c>
      <c r="X1399" t="str" cm="1">
        <f t="array" ref="X1399">_xlfn.IFS(Sales_Table[[#This Row],[Revenue]]&gt;=50000,"High",Sales_Table[[#This Row],[Revenue]]&gt;=20000,"Medium",Sales_Table[[#This Row],[Revenue]]&lt;20000,"Low")</f>
        <v>Low</v>
      </c>
      <c r="Y1399" t="str">
        <f>IF(Sales_Table[[#This Row],[Payment Method_clean]]="cash","Offline","Online")</f>
        <v>Online</v>
      </c>
      <c r="Z1399">
        <f>IFERROR(Sales_Table[[#This Row],[Revenue]],0)</f>
        <v>18564</v>
      </c>
    </row>
    <row r="1400" spans="1:26" x14ac:dyDescent="0.3">
      <c r="A1400">
        <v>1399</v>
      </c>
      <c r="B1400" s="2">
        <f t="shared" si="147"/>
        <v>45350.25</v>
      </c>
      <c r="C1400" t="s">
        <v>3335</v>
      </c>
      <c r="D1400" t="s">
        <v>36</v>
      </c>
      <c r="E1400" t="str">
        <f>PROPER(TRIM(CLEAN(Sales_Table[[#This Row],[Region]])))</f>
        <v>West</v>
      </c>
      <c r="F1400" t="s">
        <v>37</v>
      </c>
      <c r="G1400" t="str">
        <f t="shared" si="148"/>
        <v>Home Appliances</v>
      </c>
      <c r="H1400" t="str">
        <f>PROPER(TRIM(CLEAN(Sales_Table[[#This Row],[Product Name]])))</f>
        <v>Rice 5Kg</v>
      </c>
      <c r="I1400" t="s">
        <v>73</v>
      </c>
      <c r="J1400" t="str">
        <f t="shared" si="149"/>
        <v>CUST0269</v>
      </c>
      <c r="K1400" t="s">
        <v>216</v>
      </c>
      <c r="L1400" t="str">
        <f>PROPER(TRIM(CLEAN(Sales_Table[[#This Row],[Salesperson]])))</f>
        <v>Meena</v>
      </c>
      <c r="M1400" t="s">
        <v>40</v>
      </c>
      <c r="N1400" t="str">
        <f t="shared" si="150"/>
        <v>Credit Card</v>
      </c>
      <c r="O1400" t="s">
        <v>65</v>
      </c>
      <c r="P1400">
        <f t="shared" si="151"/>
        <v>3</v>
      </c>
      <c r="Q1400" t="s">
        <v>66</v>
      </c>
      <c r="R1400">
        <f t="shared" si="152"/>
        <v>2661</v>
      </c>
      <c r="S1400" t="s">
        <v>3336</v>
      </c>
      <c r="T1400">
        <f t="shared" si="153"/>
        <v>7983</v>
      </c>
      <c r="U1400">
        <f>YEAR(Sales_Table[[#This Row],[Date_clean]])</f>
        <v>2024</v>
      </c>
      <c r="V1400" t="str">
        <f>TEXT(Sales_Table[[#This Row],[Date_clean]],"mmmm")</f>
        <v>February</v>
      </c>
      <c r="W1400">
        <f>WEEKNUM(Sales_Table[[#This Row],[Date_clean]],2)</f>
        <v>9</v>
      </c>
      <c r="X1400" t="str" cm="1">
        <f t="array" ref="X1400">_xlfn.IFS(Sales_Table[[#This Row],[Revenue]]&gt;=50000,"High",Sales_Table[[#This Row],[Revenue]]&gt;=20000,"Medium",Sales_Table[[#This Row],[Revenue]]&lt;20000,"Low")</f>
        <v>Low</v>
      </c>
      <c r="Y1400" t="str">
        <f>IF(Sales_Table[[#This Row],[Payment Method_clean]]="cash","Offline","Online")</f>
        <v>Online</v>
      </c>
      <c r="Z1400">
        <f>IFERROR(Sales_Table[[#This Row],[Revenue]],0)</f>
        <v>7983</v>
      </c>
    </row>
    <row r="1401" spans="1:26" x14ac:dyDescent="0.3">
      <c r="A1401">
        <v>1400</v>
      </c>
      <c r="B1401" s="2">
        <f t="shared" si="147"/>
        <v>45350.291666666664</v>
      </c>
      <c r="C1401" t="s">
        <v>3337</v>
      </c>
      <c r="D1401" t="s">
        <v>45</v>
      </c>
      <c r="E1401" t="str">
        <f>PROPER(TRIM(CLEAN(Sales_Table[[#This Row],[Region]])))</f>
        <v>North</v>
      </c>
      <c r="F1401" t="s">
        <v>37</v>
      </c>
      <c r="G1401" t="str">
        <f t="shared" si="148"/>
        <v>Home Appliances</v>
      </c>
      <c r="H1401" t="str">
        <f>PROPER(TRIM(CLEAN(Sales_Table[[#This Row],[Product Name]])))</f>
        <v>Washing Machine</v>
      </c>
      <c r="I1401" t="s">
        <v>79</v>
      </c>
      <c r="J1401" t="str">
        <f t="shared" si="149"/>
        <v>CUST0601</v>
      </c>
      <c r="K1401" t="s">
        <v>1829</v>
      </c>
      <c r="L1401" t="str">
        <f>PROPER(TRIM(CLEAN(Sales_Table[[#This Row],[Salesperson]])))</f>
        <v>Karthik</v>
      </c>
      <c r="M1401" t="s">
        <v>70</v>
      </c>
      <c r="N1401" t="str">
        <f t="shared" si="150"/>
        <v>Cash</v>
      </c>
      <c r="O1401" t="s">
        <v>32</v>
      </c>
      <c r="P1401">
        <f t="shared" si="151"/>
        <v>6</v>
      </c>
      <c r="Q1401" t="s">
        <v>75</v>
      </c>
      <c r="R1401">
        <f t="shared" si="152"/>
        <v>2611</v>
      </c>
      <c r="S1401" t="s">
        <v>2845</v>
      </c>
      <c r="T1401">
        <f t="shared" si="153"/>
        <v>15666</v>
      </c>
      <c r="U1401">
        <f>YEAR(Sales_Table[[#This Row],[Date_clean]])</f>
        <v>2024</v>
      </c>
      <c r="V1401" t="str">
        <f>TEXT(Sales_Table[[#This Row],[Date_clean]],"mmmm")</f>
        <v>February</v>
      </c>
      <c r="W1401">
        <f>WEEKNUM(Sales_Table[[#This Row],[Date_clean]],2)</f>
        <v>9</v>
      </c>
      <c r="X1401" t="str" cm="1">
        <f t="array" ref="X1401">_xlfn.IFS(Sales_Table[[#This Row],[Revenue]]&gt;=50000,"High",Sales_Table[[#This Row],[Revenue]]&gt;=20000,"Medium",Sales_Table[[#This Row],[Revenue]]&lt;20000,"Low")</f>
        <v>Low</v>
      </c>
      <c r="Y1401" t="str">
        <f>IF(Sales_Table[[#This Row],[Payment Method_clean]]="cash","Offline","Online")</f>
        <v>Offline</v>
      </c>
      <c r="Z1401">
        <f>IFERROR(Sales_Table[[#This Row],[Revenue]],0)</f>
        <v>15666</v>
      </c>
    </row>
    <row r="1402" spans="1:26" x14ac:dyDescent="0.3">
      <c r="A1402">
        <v>1401</v>
      </c>
      <c r="B1402" s="2">
        <f t="shared" si="147"/>
        <v>45350.333333333336</v>
      </c>
      <c r="C1402" t="s">
        <v>3338</v>
      </c>
      <c r="D1402" t="s">
        <v>27</v>
      </c>
      <c r="E1402" t="str">
        <f>PROPER(TRIM(CLEAN(Sales_Table[[#This Row],[Region]])))</f>
        <v>East</v>
      </c>
      <c r="F1402" t="s">
        <v>37</v>
      </c>
      <c r="G1402" t="str">
        <f t="shared" si="148"/>
        <v>Home Appliances</v>
      </c>
      <c r="H1402" t="str">
        <f>PROPER(TRIM(CLEAN(Sales_Table[[#This Row],[Product Name]])))</f>
        <v>Washing Machine</v>
      </c>
      <c r="I1402" t="s">
        <v>79</v>
      </c>
      <c r="J1402" t="str">
        <f t="shared" si="149"/>
        <v>CUST0381</v>
      </c>
      <c r="K1402" t="s">
        <v>2180</v>
      </c>
      <c r="L1402" t="str">
        <f>PROPER(TRIM(CLEAN(Sales_Table[[#This Row],[Salesperson]])))</f>
        <v>Rahul</v>
      </c>
      <c r="M1402" t="s">
        <v>31</v>
      </c>
      <c r="N1402" t="str">
        <f t="shared" si="150"/>
        <v>Cash</v>
      </c>
      <c r="O1402" t="s">
        <v>32</v>
      </c>
      <c r="P1402">
        <f t="shared" si="151"/>
        <v>4</v>
      </c>
      <c r="Q1402" t="s">
        <v>113</v>
      </c>
      <c r="R1402">
        <f t="shared" si="152"/>
        <v>2971</v>
      </c>
      <c r="S1402" t="s">
        <v>3339</v>
      </c>
      <c r="T1402">
        <f t="shared" si="153"/>
        <v>11884</v>
      </c>
      <c r="U1402">
        <f>YEAR(Sales_Table[[#This Row],[Date_clean]])</f>
        <v>2024</v>
      </c>
      <c r="V1402" t="str">
        <f>TEXT(Sales_Table[[#This Row],[Date_clean]],"mmmm")</f>
        <v>February</v>
      </c>
      <c r="W1402">
        <f>WEEKNUM(Sales_Table[[#This Row],[Date_clean]],2)</f>
        <v>9</v>
      </c>
      <c r="X1402" t="str" cm="1">
        <f t="array" ref="X1402">_xlfn.IFS(Sales_Table[[#This Row],[Revenue]]&gt;=50000,"High",Sales_Table[[#This Row],[Revenue]]&gt;=20000,"Medium",Sales_Table[[#This Row],[Revenue]]&lt;20000,"Low")</f>
        <v>Low</v>
      </c>
      <c r="Y1402" t="str">
        <f>IF(Sales_Table[[#This Row],[Payment Method_clean]]="cash","Offline","Online")</f>
        <v>Offline</v>
      </c>
      <c r="Z1402">
        <f>IFERROR(Sales_Table[[#This Row],[Revenue]],0)</f>
        <v>11884</v>
      </c>
    </row>
    <row r="1403" spans="1:26" x14ac:dyDescent="0.3">
      <c r="A1403">
        <v>1402</v>
      </c>
      <c r="B1403" s="2">
        <f t="shared" si="147"/>
        <v>45350.375</v>
      </c>
      <c r="C1403" t="s">
        <v>3340</v>
      </c>
      <c r="D1403" t="s">
        <v>27</v>
      </c>
      <c r="E1403" t="str">
        <f>PROPER(TRIM(CLEAN(Sales_Table[[#This Row],[Region]])))</f>
        <v>East</v>
      </c>
      <c r="F1403" t="s">
        <v>37</v>
      </c>
      <c r="G1403" t="str">
        <f t="shared" si="148"/>
        <v>Home Appliances</v>
      </c>
      <c r="H1403" t="str">
        <f>PROPER(TRIM(CLEAN(Sales_Table[[#This Row],[Product Name]])))</f>
        <v>Led Tv 42Inch</v>
      </c>
      <c r="I1403" t="s">
        <v>58</v>
      </c>
      <c r="J1403" t="str">
        <f t="shared" si="149"/>
        <v>CUST0118</v>
      </c>
      <c r="K1403" t="s">
        <v>766</v>
      </c>
      <c r="L1403" t="str">
        <f>PROPER(TRIM(CLEAN(Sales_Table[[#This Row],[Salesperson]])))</f>
        <v>Rahul</v>
      </c>
      <c r="M1403" t="s">
        <v>31</v>
      </c>
      <c r="N1403" t="str">
        <f t="shared" si="150"/>
        <v>Upi</v>
      </c>
      <c r="O1403" t="s">
        <v>48</v>
      </c>
      <c r="P1403">
        <f t="shared" si="151"/>
        <v>8</v>
      </c>
      <c r="Q1403" t="s">
        <v>42</v>
      </c>
      <c r="R1403">
        <f t="shared" si="152"/>
        <v>462</v>
      </c>
      <c r="S1403" t="s">
        <v>3341</v>
      </c>
      <c r="T1403">
        <f t="shared" si="153"/>
        <v>3696</v>
      </c>
      <c r="U1403">
        <f>YEAR(Sales_Table[[#This Row],[Date_clean]])</f>
        <v>2024</v>
      </c>
      <c r="V1403" t="str">
        <f>TEXT(Sales_Table[[#This Row],[Date_clean]],"mmmm")</f>
        <v>February</v>
      </c>
      <c r="W1403">
        <f>WEEKNUM(Sales_Table[[#This Row],[Date_clean]],2)</f>
        <v>9</v>
      </c>
      <c r="X1403" t="str" cm="1">
        <f t="array" ref="X1403">_xlfn.IFS(Sales_Table[[#This Row],[Revenue]]&gt;=50000,"High",Sales_Table[[#This Row],[Revenue]]&gt;=20000,"Medium",Sales_Table[[#This Row],[Revenue]]&lt;20000,"Low")</f>
        <v>Low</v>
      </c>
      <c r="Y1403" t="str">
        <f>IF(Sales_Table[[#This Row],[Payment Method_clean]]="cash","Offline","Online")</f>
        <v>Online</v>
      </c>
      <c r="Z1403">
        <f>IFERROR(Sales_Table[[#This Row],[Revenue]],0)</f>
        <v>3696</v>
      </c>
    </row>
    <row r="1404" spans="1:26" x14ac:dyDescent="0.3">
      <c r="A1404">
        <v>1403</v>
      </c>
      <c r="B1404" s="2">
        <f t="shared" si="147"/>
        <v>45350.416666666664</v>
      </c>
      <c r="C1404" t="s">
        <v>3342</v>
      </c>
      <c r="D1404" t="s">
        <v>45</v>
      </c>
      <c r="E1404" t="str">
        <f>PROPER(TRIM(CLEAN(Sales_Table[[#This Row],[Region]])))</f>
        <v>North</v>
      </c>
      <c r="F1404" t="s">
        <v>37</v>
      </c>
      <c r="G1404" t="str">
        <f t="shared" si="148"/>
        <v>Home Appliances</v>
      </c>
      <c r="H1404" t="str">
        <f>PROPER(TRIM(CLEAN(Sales_Table[[#This Row],[Product Name]])))</f>
        <v>Led Tv 42Inch</v>
      </c>
      <c r="I1404" t="s">
        <v>58</v>
      </c>
      <c r="J1404" t="str">
        <f t="shared" si="149"/>
        <v>CUST0566</v>
      </c>
      <c r="K1404" t="s">
        <v>3154</v>
      </c>
      <c r="L1404" t="str">
        <f>PROPER(TRIM(CLEAN(Sales_Table[[#This Row],[Salesperson]])))</f>
        <v>Anita</v>
      </c>
      <c r="M1404" t="s">
        <v>64</v>
      </c>
      <c r="N1404" t="str">
        <f t="shared" si="150"/>
        <v>Cash</v>
      </c>
      <c r="O1404" t="s">
        <v>32</v>
      </c>
      <c r="P1404">
        <f t="shared" si="151"/>
        <v>13</v>
      </c>
      <c r="Q1404" t="s">
        <v>81</v>
      </c>
      <c r="R1404">
        <f t="shared" si="152"/>
        <v>3554</v>
      </c>
      <c r="S1404" t="s">
        <v>3343</v>
      </c>
      <c r="T1404">
        <f t="shared" si="153"/>
        <v>46202</v>
      </c>
      <c r="U1404">
        <f>YEAR(Sales_Table[[#This Row],[Date_clean]])</f>
        <v>2024</v>
      </c>
      <c r="V1404" t="str">
        <f>TEXT(Sales_Table[[#This Row],[Date_clean]],"mmmm")</f>
        <v>February</v>
      </c>
      <c r="W1404">
        <f>WEEKNUM(Sales_Table[[#This Row],[Date_clean]],2)</f>
        <v>9</v>
      </c>
      <c r="X1404" t="str" cm="1">
        <f t="array" ref="X1404">_xlfn.IFS(Sales_Table[[#This Row],[Revenue]]&gt;=50000,"High",Sales_Table[[#This Row],[Revenue]]&gt;=20000,"Medium",Sales_Table[[#This Row],[Revenue]]&lt;20000,"Low")</f>
        <v>Medium</v>
      </c>
      <c r="Y1404" t="str">
        <f>IF(Sales_Table[[#This Row],[Payment Method_clean]]="cash","Offline","Online")</f>
        <v>Offline</v>
      </c>
      <c r="Z1404">
        <f>IFERROR(Sales_Table[[#This Row],[Revenue]],0)</f>
        <v>46202</v>
      </c>
    </row>
    <row r="1405" spans="1:26" x14ac:dyDescent="0.3">
      <c r="A1405">
        <v>1404</v>
      </c>
      <c r="B1405" s="2">
        <f t="shared" si="147"/>
        <v>45350.458333333336</v>
      </c>
      <c r="C1405" t="s">
        <v>3344</v>
      </c>
      <c r="D1405" t="s">
        <v>84</v>
      </c>
      <c r="E1405" t="str">
        <f>PROPER(TRIM(CLEAN(Sales_Table[[#This Row],[Region]])))</f>
        <v>South</v>
      </c>
      <c r="F1405" t="s">
        <v>37</v>
      </c>
      <c r="G1405" t="str">
        <f t="shared" si="148"/>
        <v>Home Appliances</v>
      </c>
      <c r="H1405" t="str">
        <f>PROPER(TRIM(CLEAN(Sales_Table[[#This Row],[Product Name]])))</f>
        <v>Laptop</v>
      </c>
      <c r="I1405" t="s">
        <v>52</v>
      </c>
      <c r="J1405" t="str">
        <f t="shared" si="149"/>
        <v>CUST0116</v>
      </c>
      <c r="K1405" t="s">
        <v>2468</v>
      </c>
      <c r="L1405" t="str">
        <f>PROPER(TRIM(CLEAN(Sales_Table[[#This Row],[Salesperson]])))</f>
        <v>Rahul</v>
      </c>
      <c r="M1405" t="s">
        <v>31</v>
      </c>
      <c r="N1405" t="str">
        <f t="shared" si="150"/>
        <v>Cash</v>
      </c>
      <c r="O1405" t="s">
        <v>32</v>
      </c>
      <c r="P1405">
        <f t="shared" si="151"/>
        <v>11</v>
      </c>
      <c r="Q1405" t="s">
        <v>97</v>
      </c>
      <c r="R1405">
        <f t="shared" si="152"/>
        <v>2898</v>
      </c>
      <c r="S1405" t="s">
        <v>3345</v>
      </c>
      <c r="T1405">
        <f t="shared" si="153"/>
        <v>31878</v>
      </c>
      <c r="U1405">
        <f>YEAR(Sales_Table[[#This Row],[Date_clean]])</f>
        <v>2024</v>
      </c>
      <c r="V1405" t="str">
        <f>TEXT(Sales_Table[[#This Row],[Date_clean]],"mmmm")</f>
        <v>February</v>
      </c>
      <c r="W1405">
        <f>WEEKNUM(Sales_Table[[#This Row],[Date_clean]],2)</f>
        <v>9</v>
      </c>
      <c r="X1405" t="str" cm="1">
        <f t="array" ref="X1405">_xlfn.IFS(Sales_Table[[#This Row],[Revenue]]&gt;=50000,"High",Sales_Table[[#This Row],[Revenue]]&gt;=20000,"Medium",Sales_Table[[#This Row],[Revenue]]&lt;20000,"Low")</f>
        <v>Medium</v>
      </c>
      <c r="Y1405" t="str">
        <f>IF(Sales_Table[[#This Row],[Payment Method_clean]]="cash","Offline","Online")</f>
        <v>Offline</v>
      </c>
      <c r="Z1405">
        <f>IFERROR(Sales_Table[[#This Row],[Revenue]],0)</f>
        <v>31878</v>
      </c>
    </row>
    <row r="1406" spans="1:26" x14ac:dyDescent="0.3">
      <c r="A1406">
        <v>1405</v>
      </c>
      <c r="B1406" s="2">
        <f t="shared" si="147"/>
        <v>45350.5</v>
      </c>
      <c r="C1406" t="s">
        <v>3346</v>
      </c>
      <c r="D1406" t="s">
        <v>84</v>
      </c>
      <c r="E1406" t="str">
        <f>PROPER(TRIM(CLEAN(Sales_Table[[#This Row],[Region]])))</f>
        <v>South</v>
      </c>
      <c r="F1406" t="s">
        <v>78</v>
      </c>
      <c r="G1406" t="str">
        <f t="shared" si="148"/>
        <v>Grocery</v>
      </c>
      <c r="H1406" t="str">
        <f>PROPER(TRIM(CLEAN(Sales_Table[[#This Row],[Product Name]])))</f>
        <v>Laptop</v>
      </c>
      <c r="I1406" t="s">
        <v>52</v>
      </c>
      <c r="J1406" t="str">
        <f t="shared" si="149"/>
        <v>CUST0630</v>
      </c>
      <c r="K1406" t="s">
        <v>1755</v>
      </c>
      <c r="L1406" t="str">
        <f>PROPER(TRIM(CLEAN(Sales_Table[[#This Row],[Salesperson]])))</f>
        <v>Rahul</v>
      </c>
      <c r="M1406" t="s">
        <v>31</v>
      </c>
      <c r="N1406" t="str">
        <f t="shared" si="150"/>
        <v>Upi</v>
      </c>
      <c r="O1406" t="s">
        <v>48</v>
      </c>
      <c r="P1406">
        <f t="shared" si="151"/>
        <v>13</v>
      </c>
      <c r="Q1406" t="s">
        <v>81</v>
      </c>
      <c r="R1406">
        <f t="shared" si="152"/>
        <v>4720</v>
      </c>
      <c r="S1406" t="s">
        <v>857</v>
      </c>
      <c r="T1406">
        <f t="shared" si="153"/>
        <v>61360</v>
      </c>
      <c r="U1406">
        <f>YEAR(Sales_Table[[#This Row],[Date_clean]])</f>
        <v>2024</v>
      </c>
      <c r="V1406" t="str">
        <f>TEXT(Sales_Table[[#This Row],[Date_clean]],"mmmm")</f>
        <v>February</v>
      </c>
      <c r="W1406">
        <f>WEEKNUM(Sales_Table[[#This Row],[Date_clean]],2)</f>
        <v>9</v>
      </c>
      <c r="X1406" t="str" cm="1">
        <f t="array" ref="X1406">_xlfn.IFS(Sales_Table[[#This Row],[Revenue]]&gt;=50000,"High",Sales_Table[[#This Row],[Revenue]]&gt;=20000,"Medium",Sales_Table[[#This Row],[Revenue]]&lt;20000,"Low")</f>
        <v>High</v>
      </c>
      <c r="Y1406" t="str">
        <f>IF(Sales_Table[[#This Row],[Payment Method_clean]]="cash","Offline","Online")</f>
        <v>Online</v>
      </c>
      <c r="Z1406">
        <f>IFERROR(Sales_Table[[#This Row],[Revenue]],0)</f>
        <v>61360</v>
      </c>
    </row>
    <row r="1407" spans="1:26" x14ac:dyDescent="0.3">
      <c r="A1407">
        <v>1406</v>
      </c>
      <c r="B1407" s="2">
        <f t="shared" si="147"/>
        <v>45350.541666666664</v>
      </c>
      <c r="C1407" t="s">
        <v>3347</v>
      </c>
      <c r="D1407" t="s">
        <v>36</v>
      </c>
      <c r="E1407" t="str">
        <f>PROPER(TRIM(CLEAN(Sales_Table[[#This Row],[Region]])))</f>
        <v>West</v>
      </c>
      <c r="F1407" t="s">
        <v>28</v>
      </c>
      <c r="G1407" t="str">
        <f t="shared" si="148"/>
        <v>Clothing</v>
      </c>
      <c r="H1407" t="str">
        <f>PROPER(TRIM(CLEAN(Sales_Table[[#This Row],[Product Name]])))</f>
        <v>Washing Machine</v>
      </c>
      <c r="I1407" t="s">
        <v>79</v>
      </c>
      <c r="J1407" t="str">
        <f t="shared" si="149"/>
        <v>CUST0260</v>
      </c>
      <c r="K1407" t="s">
        <v>710</v>
      </c>
      <c r="L1407" t="str">
        <f>PROPER(TRIM(CLEAN(Sales_Table[[#This Row],[Salesperson]])))</f>
        <v>Karthik</v>
      </c>
      <c r="M1407" t="s">
        <v>70</v>
      </c>
      <c r="N1407" t="str">
        <f t="shared" si="150"/>
        <v>Net Banking</v>
      </c>
      <c r="O1407" t="s">
        <v>60</v>
      </c>
      <c r="P1407">
        <f t="shared" si="151"/>
        <v>11</v>
      </c>
      <c r="Q1407" t="s">
        <v>97</v>
      </c>
      <c r="R1407">
        <f t="shared" si="152"/>
        <v>3553</v>
      </c>
      <c r="S1407" t="s">
        <v>3348</v>
      </c>
      <c r="T1407">
        <f t="shared" si="153"/>
        <v>39083</v>
      </c>
      <c r="U1407">
        <f>YEAR(Sales_Table[[#This Row],[Date_clean]])</f>
        <v>2024</v>
      </c>
      <c r="V1407" t="str">
        <f>TEXT(Sales_Table[[#This Row],[Date_clean]],"mmmm")</f>
        <v>February</v>
      </c>
      <c r="W1407">
        <f>WEEKNUM(Sales_Table[[#This Row],[Date_clean]],2)</f>
        <v>9</v>
      </c>
      <c r="X1407" t="str" cm="1">
        <f t="array" ref="X1407">_xlfn.IFS(Sales_Table[[#This Row],[Revenue]]&gt;=50000,"High",Sales_Table[[#This Row],[Revenue]]&gt;=20000,"Medium",Sales_Table[[#This Row],[Revenue]]&lt;20000,"Low")</f>
        <v>Medium</v>
      </c>
      <c r="Y1407" t="str">
        <f>IF(Sales_Table[[#This Row],[Payment Method_clean]]="cash","Offline","Online")</f>
        <v>Online</v>
      </c>
      <c r="Z1407">
        <f>IFERROR(Sales_Table[[#This Row],[Revenue]],0)</f>
        <v>39083</v>
      </c>
    </row>
    <row r="1408" spans="1:26" x14ac:dyDescent="0.3">
      <c r="A1408">
        <v>1407</v>
      </c>
      <c r="B1408" s="2">
        <f t="shared" si="147"/>
        <v>45350.583333333336</v>
      </c>
      <c r="C1408" t="s">
        <v>3349</v>
      </c>
      <c r="D1408" t="s">
        <v>84</v>
      </c>
      <c r="E1408" t="str">
        <f>PROPER(TRIM(CLEAN(Sales_Table[[#This Row],[Region]])))</f>
        <v>South</v>
      </c>
      <c r="F1408" t="s">
        <v>46</v>
      </c>
      <c r="G1408" t="str">
        <f t="shared" si="148"/>
        <v>Electronics</v>
      </c>
      <c r="H1408" t="str">
        <f>PROPER(TRIM(CLEAN(Sales_Table[[#This Row],[Product Name]])))</f>
        <v>Rice 5Kg</v>
      </c>
      <c r="I1408" t="s">
        <v>73</v>
      </c>
      <c r="J1408" t="str">
        <f t="shared" si="149"/>
        <v>CUST0075</v>
      </c>
      <c r="K1408" t="s">
        <v>683</v>
      </c>
      <c r="L1408" t="str">
        <f>PROPER(TRIM(CLEAN(Sales_Table[[#This Row],[Salesperson]])))</f>
        <v>Meena</v>
      </c>
      <c r="M1408" t="s">
        <v>40</v>
      </c>
      <c r="N1408" t="str">
        <f t="shared" si="150"/>
        <v>Debit Card</v>
      </c>
      <c r="O1408" t="s">
        <v>41</v>
      </c>
      <c r="P1408">
        <f t="shared" si="151"/>
        <v>11</v>
      </c>
      <c r="Q1408" t="s">
        <v>97</v>
      </c>
      <c r="R1408">
        <f t="shared" si="152"/>
        <v>3355</v>
      </c>
      <c r="S1408" t="s">
        <v>3350</v>
      </c>
      <c r="T1408">
        <f t="shared" si="153"/>
        <v>36905</v>
      </c>
      <c r="U1408">
        <f>YEAR(Sales_Table[[#This Row],[Date_clean]])</f>
        <v>2024</v>
      </c>
      <c r="V1408" t="str">
        <f>TEXT(Sales_Table[[#This Row],[Date_clean]],"mmmm")</f>
        <v>February</v>
      </c>
      <c r="W1408">
        <f>WEEKNUM(Sales_Table[[#This Row],[Date_clean]],2)</f>
        <v>9</v>
      </c>
      <c r="X1408" t="str" cm="1">
        <f t="array" ref="X1408">_xlfn.IFS(Sales_Table[[#This Row],[Revenue]]&gt;=50000,"High",Sales_Table[[#This Row],[Revenue]]&gt;=20000,"Medium",Sales_Table[[#This Row],[Revenue]]&lt;20000,"Low")</f>
        <v>Medium</v>
      </c>
      <c r="Y1408" t="str">
        <f>IF(Sales_Table[[#This Row],[Payment Method_clean]]="cash","Offline","Online")</f>
        <v>Online</v>
      </c>
      <c r="Z1408">
        <f>IFERROR(Sales_Table[[#This Row],[Revenue]],0)</f>
        <v>36905</v>
      </c>
    </row>
    <row r="1409" spans="1:26" x14ac:dyDescent="0.3">
      <c r="A1409">
        <v>1408</v>
      </c>
      <c r="B1409" s="2">
        <f t="shared" si="147"/>
        <v>45350.625</v>
      </c>
      <c r="C1409" t="s">
        <v>3351</v>
      </c>
      <c r="D1409" t="s">
        <v>45</v>
      </c>
      <c r="E1409" t="str">
        <f>PROPER(TRIM(CLEAN(Sales_Table[[#This Row],[Region]])))</f>
        <v>North</v>
      </c>
      <c r="F1409" t="s">
        <v>37</v>
      </c>
      <c r="G1409" t="str">
        <f t="shared" si="148"/>
        <v>Home Appliances</v>
      </c>
      <c r="H1409" t="str">
        <f>PROPER(TRIM(CLEAN(Sales_Table[[#This Row],[Product Name]])))</f>
        <v>Men T-Shirt</v>
      </c>
      <c r="I1409" t="s">
        <v>38</v>
      </c>
      <c r="J1409" t="str">
        <f t="shared" si="149"/>
        <v>CUST0480</v>
      </c>
      <c r="K1409" t="s">
        <v>133</v>
      </c>
      <c r="L1409" t="str">
        <f>PROPER(TRIM(CLEAN(Sales_Table[[#This Row],[Salesperson]])))</f>
        <v>Meena</v>
      </c>
      <c r="M1409" t="s">
        <v>40</v>
      </c>
      <c r="N1409" t="str">
        <f t="shared" si="150"/>
        <v>Debit Card</v>
      </c>
      <c r="O1409" t="s">
        <v>41</v>
      </c>
      <c r="P1409">
        <f t="shared" si="151"/>
        <v>5</v>
      </c>
      <c r="Q1409" t="s">
        <v>89</v>
      </c>
      <c r="R1409">
        <f t="shared" si="152"/>
        <v>1317</v>
      </c>
      <c r="S1409" t="s">
        <v>2153</v>
      </c>
      <c r="T1409">
        <f t="shared" si="153"/>
        <v>6585</v>
      </c>
      <c r="U1409">
        <f>YEAR(Sales_Table[[#This Row],[Date_clean]])</f>
        <v>2024</v>
      </c>
      <c r="V1409" t="str">
        <f>TEXT(Sales_Table[[#This Row],[Date_clean]],"mmmm")</f>
        <v>February</v>
      </c>
      <c r="W1409">
        <f>WEEKNUM(Sales_Table[[#This Row],[Date_clean]],2)</f>
        <v>9</v>
      </c>
      <c r="X1409" t="str" cm="1">
        <f t="array" ref="X1409">_xlfn.IFS(Sales_Table[[#This Row],[Revenue]]&gt;=50000,"High",Sales_Table[[#This Row],[Revenue]]&gt;=20000,"Medium",Sales_Table[[#This Row],[Revenue]]&lt;20000,"Low")</f>
        <v>Low</v>
      </c>
      <c r="Y1409" t="str">
        <f>IF(Sales_Table[[#This Row],[Payment Method_clean]]="cash","Offline","Online")</f>
        <v>Online</v>
      </c>
      <c r="Z1409">
        <f>IFERROR(Sales_Table[[#This Row],[Revenue]],0)</f>
        <v>6585</v>
      </c>
    </row>
    <row r="1410" spans="1:26" x14ac:dyDescent="0.3">
      <c r="A1410">
        <v>1409</v>
      </c>
      <c r="B1410" s="2">
        <f t="shared" si="147"/>
        <v>45350.666666666664</v>
      </c>
      <c r="C1410" t="s">
        <v>3352</v>
      </c>
      <c r="D1410" t="s">
        <v>27</v>
      </c>
      <c r="E1410" t="str">
        <f>PROPER(TRIM(CLEAN(Sales_Table[[#This Row],[Region]])))</f>
        <v>East</v>
      </c>
      <c r="F1410" t="s">
        <v>46</v>
      </c>
      <c r="G1410" t="str">
        <f t="shared" si="148"/>
        <v>Electronics</v>
      </c>
      <c r="H1410" t="str">
        <f>PROPER(TRIM(CLEAN(Sales_Table[[#This Row],[Product Name]])))</f>
        <v>Men T-Shirt</v>
      </c>
      <c r="I1410" t="s">
        <v>38</v>
      </c>
      <c r="J1410" t="str">
        <f t="shared" si="149"/>
        <v>CUST0305</v>
      </c>
      <c r="K1410" t="s">
        <v>3353</v>
      </c>
      <c r="L1410" t="str">
        <f>PROPER(TRIM(CLEAN(Sales_Table[[#This Row],[Salesperson]])))</f>
        <v>Karthik</v>
      </c>
      <c r="M1410" t="s">
        <v>70</v>
      </c>
      <c r="N1410" t="str">
        <f t="shared" si="150"/>
        <v>Credit Card</v>
      </c>
      <c r="O1410" t="s">
        <v>65</v>
      </c>
      <c r="P1410">
        <f t="shared" si="151"/>
        <v>1</v>
      </c>
      <c r="Q1410" t="s">
        <v>93</v>
      </c>
      <c r="R1410">
        <f t="shared" si="152"/>
        <v>1585</v>
      </c>
      <c r="S1410" t="s">
        <v>3354</v>
      </c>
      <c r="T1410">
        <f t="shared" si="153"/>
        <v>1585</v>
      </c>
      <c r="U1410">
        <f>YEAR(Sales_Table[[#This Row],[Date_clean]])</f>
        <v>2024</v>
      </c>
      <c r="V1410" t="str">
        <f>TEXT(Sales_Table[[#This Row],[Date_clean]],"mmmm")</f>
        <v>February</v>
      </c>
      <c r="W1410">
        <f>WEEKNUM(Sales_Table[[#This Row],[Date_clean]],2)</f>
        <v>9</v>
      </c>
      <c r="X1410" t="str" cm="1">
        <f t="array" ref="X1410">_xlfn.IFS(Sales_Table[[#This Row],[Revenue]]&gt;=50000,"High",Sales_Table[[#This Row],[Revenue]]&gt;=20000,"Medium",Sales_Table[[#This Row],[Revenue]]&lt;20000,"Low")</f>
        <v>Low</v>
      </c>
      <c r="Y1410" t="str">
        <f>IF(Sales_Table[[#This Row],[Payment Method_clean]]="cash","Offline","Online")</f>
        <v>Online</v>
      </c>
      <c r="Z1410">
        <f>IFERROR(Sales_Table[[#This Row],[Revenue]],0)</f>
        <v>1585</v>
      </c>
    </row>
    <row r="1411" spans="1:26" x14ac:dyDescent="0.3">
      <c r="A1411">
        <v>1410</v>
      </c>
      <c r="B1411" s="2">
        <f t="shared" ref="B1411:B1474" si="154">DATEVALUE(LEFT(C1411,10))+TIMEVALUE(MID(C1411,12,8))</f>
        <v>45350.708333333336</v>
      </c>
      <c r="C1411" t="s">
        <v>3355</v>
      </c>
      <c r="D1411" t="s">
        <v>84</v>
      </c>
      <c r="E1411" t="str">
        <f>PROPER(TRIM(CLEAN(Sales_Table[[#This Row],[Region]])))</f>
        <v>South</v>
      </c>
      <c r="F1411" t="s">
        <v>78</v>
      </c>
      <c r="G1411" t="str">
        <f t="shared" ref="G1411:G1474" si="155">PROPER(TRIM(CLEAN(F1411)))</f>
        <v>Grocery</v>
      </c>
      <c r="H1411" t="str">
        <f>PROPER(TRIM(CLEAN(Sales_Table[[#This Row],[Product Name]])))</f>
        <v>Laptop</v>
      </c>
      <c r="I1411" t="s">
        <v>52</v>
      </c>
      <c r="J1411" t="str">
        <f t="shared" ref="J1411:J1474" si="156">TRIM(K1411)</f>
        <v>CUST0007</v>
      </c>
      <c r="K1411" t="s">
        <v>3356</v>
      </c>
      <c r="L1411" t="str">
        <f>PROPER(TRIM(CLEAN(Sales_Table[[#This Row],[Salesperson]])))</f>
        <v>Rahul</v>
      </c>
      <c r="M1411" t="s">
        <v>31</v>
      </c>
      <c r="N1411" t="str">
        <f t="shared" ref="N1411:N1474" si="157">PROPER(TRIM(O1411))</f>
        <v>Net Banking</v>
      </c>
      <c r="O1411" t="s">
        <v>60</v>
      </c>
      <c r="P1411">
        <f t="shared" ref="P1411:P1474" si="158">VALUE(Q1411)</f>
        <v>9</v>
      </c>
      <c r="Q1411" t="s">
        <v>130</v>
      </c>
      <c r="R1411">
        <f t="shared" ref="R1411:R1474" si="159">VALUE(S1411)</f>
        <v>2203</v>
      </c>
      <c r="S1411" t="s">
        <v>3357</v>
      </c>
      <c r="T1411">
        <f t="shared" ref="T1411:T1474" si="160">P1411*R1411</f>
        <v>19827</v>
      </c>
      <c r="U1411">
        <f>YEAR(Sales_Table[[#This Row],[Date_clean]])</f>
        <v>2024</v>
      </c>
      <c r="V1411" t="str">
        <f>TEXT(Sales_Table[[#This Row],[Date_clean]],"mmmm")</f>
        <v>February</v>
      </c>
      <c r="W1411">
        <f>WEEKNUM(Sales_Table[[#This Row],[Date_clean]],2)</f>
        <v>9</v>
      </c>
      <c r="X1411" t="str" cm="1">
        <f t="array" ref="X1411">_xlfn.IFS(Sales_Table[[#This Row],[Revenue]]&gt;=50000,"High",Sales_Table[[#This Row],[Revenue]]&gt;=20000,"Medium",Sales_Table[[#This Row],[Revenue]]&lt;20000,"Low")</f>
        <v>Low</v>
      </c>
      <c r="Y1411" t="str">
        <f>IF(Sales_Table[[#This Row],[Payment Method_clean]]="cash","Offline","Online")</f>
        <v>Online</v>
      </c>
      <c r="Z1411">
        <f>IFERROR(Sales_Table[[#This Row],[Revenue]],0)</f>
        <v>19827</v>
      </c>
    </row>
    <row r="1412" spans="1:26" x14ac:dyDescent="0.3">
      <c r="A1412">
        <v>1411</v>
      </c>
      <c r="B1412" s="2">
        <f t="shared" si="154"/>
        <v>45350.75</v>
      </c>
      <c r="C1412" t="s">
        <v>3358</v>
      </c>
      <c r="D1412" t="s">
        <v>36</v>
      </c>
      <c r="E1412" t="str">
        <f>PROPER(TRIM(CLEAN(Sales_Table[[#This Row],[Region]])))</f>
        <v>West</v>
      </c>
      <c r="F1412" t="s">
        <v>37</v>
      </c>
      <c r="G1412" t="str">
        <f t="shared" si="155"/>
        <v>Home Appliances</v>
      </c>
      <c r="H1412" t="str">
        <f>PROPER(TRIM(CLEAN(Sales_Table[[#This Row],[Product Name]])))</f>
        <v>Rice 5Kg</v>
      </c>
      <c r="I1412" t="s">
        <v>73</v>
      </c>
      <c r="J1412" t="str">
        <f t="shared" si="156"/>
        <v>CUST0366</v>
      </c>
      <c r="K1412" t="s">
        <v>422</v>
      </c>
      <c r="L1412" t="str">
        <f>PROPER(TRIM(CLEAN(Sales_Table[[#This Row],[Salesperson]])))</f>
        <v>Karthik</v>
      </c>
      <c r="M1412" t="s">
        <v>70</v>
      </c>
      <c r="N1412" t="str">
        <f t="shared" si="157"/>
        <v>Credit Card</v>
      </c>
      <c r="O1412" t="s">
        <v>65</v>
      </c>
      <c r="P1412">
        <f t="shared" si="158"/>
        <v>1</v>
      </c>
      <c r="Q1412" t="s">
        <v>93</v>
      </c>
      <c r="R1412">
        <f t="shared" si="159"/>
        <v>2636</v>
      </c>
      <c r="S1412" t="s">
        <v>3359</v>
      </c>
      <c r="T1412">
        <f t="shared" si="160"/>
        <v>2636</v>
      </c>
      <c r="U1412">
        <f>YEAR(Sales_Table[[#This Row],[Date_clean]])</f>
        <v>2024</v>
      </c>
      <c r="V1412" t="str">
        <f>TEXT(Sales_Table[[#This Row],[Date_clean]],"mmmm")</f>
        <v>February</v>
      </c>
      <c r="W1412">
        <f>WEEKNUM(Sales_Table[[#This Row],[Date_clean]],2)</f>
        <v>9</v>
      </c>
      <c r="X1412" t="str" cm="1">
        <f t="array" ref="X1412">_xlfn.IFS(Sales_Table[[#This Row],[Revenue]]&gt;=50000,"High",Sales_Table[[#This Row],[Revenue]]&gt;=20000,"Medium",Sales_Table[[#This Row],[Revenue]]&lt;20000,"Low")</f>
        <v>Low</v>
      </c>
      <c r="Y1412" t="str">
        <f>IF(Sales_Table[[#This Row],[Payment Method_clean]]="cash","Offline","Online")</f>
        <v>Online</v>
      </c>
      <c r="Z1412">
        <f>IFERROR(Sales_Table[[#This Row],[Revenue]],0)</f>
        <v>2636</v>
      </c>
    </row>
    <row r="1413" spans="1:26" x14ac:dyDescent="0.3">
      <c r="A1413">
        <v>1412</v>
      </c>
      <c r="B1413" s="2">
        <f t="shared" si="154"/>
        <v>45350.791666666664</v>
      </c>
      <c r="C1413" t="s">
        <v>3360</v>
      </c>
      <c r="D1413" t="s">
        <v>84</v>
      </c>
      <c r="E1413" t="str">
        <f>PROPER(TRIM(CLEAN(Sales_Table[[#This Row],[Region]])))</f>
        <v>South</v>
      </c>
      <c r="F1413" t="s">
        <v>28</v>
      </c>
      <c r="G1413" t="str">
        <f t="shared" si="155"/>
        <v>Clothing</v>
      </c>
      <c r="H1413" t="str">
        <f>PROPER(TRIM(CLEAN(Sales_Table[[#This Row],[Product Name]])))</f>
        <v>Laptop</v>
      </c>
      <c r="I1413" t="s">
        <v>52</v>
      </c>
      <c r="J1413" t="str">
        <f t="shared" si="156"/>
        <v>CUST0634</v>
      </c>
      <c r="K1413" t="s">
        <v>2307</v>
      </c>
      <c r="L1413" t="str">
        <f>PROPER(TRIM(CLEAN(Sales_Table[[#This Row],[Salesperson]])))</f>
        <v>Anita</v>
      </c>
      <c r="M1413" t="s">
        <v>64</v>
      </c>
      <c r="N1413" t="str">
        <f t="shared" si="157"/>
        <v>Debit Card</v>
      </c>
      <c r="O1413" t="s">
        <v>41</v>
      </c>
      <c r="P1413">
        <f t="shared" si="158"/>
        <v>6</v>
      </c>
      <c r="Q1413" t="s">
        <v>75</v>
      </c>
      <c r="R1413">
        <f t="shared" si="159"/>
        <v>1955</v>
      </c>
      <c r="S1413" t="s">
        <v>3361</v>
      </c>
      <c r="T1413">
        <f t="shared" si="160"/>
        <v>11730</v>
      </c>
      <c r="U1413">
        <f>YEAR(Sales_Table[[#This Row],[Date_clean]])</f>
        <v>2024</v>
      </c>
      <c r="V1413" t="str">
        <f>TEXT(Sales_Table[[#This Row],[Date_clean]],"mmmm")</f>
        <v>February</v>
      </c>
      <c r="W1413">
        <f>WEEKNUM(Sales_Table[[#This Row],[Date_clean]],2)</f>
        <v>9</v>
      </c>
      <c r="X1413" t="str" cm="1">
        <f t="array" ref="X1413">_xlfn.IFS(Sales_Table[[#This Row],[Revenue]]&gt;=50000,"High",Sales_Table[[#This Row],[Revenue]]&gt;=20000,"Medium",Sales_Table[[#This Row],[Revenue]]&lt;20000,"Low")</f>
        <v>Low</v>
      </c>
      <c r="Y1413" t="str">
        <f>IF(Sales_Table[[#This Row],[Payment Method_clean]]="cash","Offline","Online")</f>
        <v>Online</v>
      </c>
      <c r="Z1413">
        <f>IFERROR(Sales_Table[[#This Row],[Revenue]],0)</f>
        <v>11730</v>
      </c>
    </row>
    <row r="1414" spans="1:26" x14ac:dyDescent="0.3">
      <c r="A1414">
        <v>1413</v>
      </c>
      <c r="B1414" s="2">
        <f t="shared" si="154"/>
        <v>45350.833333333336</v>
      </c>
      <c r="C1414" t="s">
        <v>3362</v>
      </c>
      <c r="D1414" t="s">
        <v>45</v>
      </c>
      <c r="E1414" t="str">
        <f>PROPER(TRIM(CLEAN(Sales_Table[[#This Row],[Region]])))</f>
        <v>North</v>
      </c>
      <c r="F1414" t="s">
        <v>46</v>
      </c>
      <c r="G1414" t="str">
        <f t="shared" si="155"/>
        <v>Electronics</v>
      </c>
      <c r="H1414" t="str">
        <f>PROPER(TRIM(CLEAN(Sales_Table[[#This Row],[Product Name]])))</f>
        <v>Men T-Shirt</v>
      </c>
      <c r="I1414" t="s">
        <v>38</v>
      </c>
      <c r="J1414" t="str">
        <f t="shared" si="156"/>
        <v>CUST0523</v>
      </c>
      <c r="K1414" t="s">
        <v>919</v>
      </c>
      <c r="L1414" t="str">
        <f>PROPER(TRIM(CLEAN(Sales_Table[[#This Row],[Salesperson]])))</f>
        <v>Meena</v>
      </c>
      <c r="M1414" t="s">
        <v>40</v>
      </c>
      <c r="N1414" t="str">
        <f t="shared" si="157"/>
        <v>Upi</v>
      </c>
      <c r="O1414" t="s">
        <v>48</v>
      </c>
      <c r="P1414">
        <f t="shared" si="158"/>
        <v>1</v>
      </c>
      <c r="Q1414" t="s">
        <v>93</v>
      </c>
      <c r="R1414">
        <f t="shared" si="159"/>
        <v>4917</v>
      </c>
      <c r="S1414" t="s">
        <v>3363</v>
      </c>
      <c r="T1414">
        <f t="shared" si="160"/>
        <v>4917</v>
      </c>
      <c r="U1414">
        <f>YEAR(Sales_Table[[#This Row],[Date_clean]])</f>
        <v>2024</v>
      </c>
      <c r="V1414" t="str">
        <f>TEXT(Sales_Table[[#This Row],[Date_clean]],"mmmm")</f>
        <v>February</v>
      </c>
      <c r="W1414">
        <f>WEEKNUM(Sales_Table[[#This Row],[Date_clean]],2)</f>
        <v>9</v>
      </c>
      <c r="X1414" t="str" cm="1">
        <f t="array" ref="X1414">_xlfn.IFS(Sales_Table[[#This Row],[Revenue]]&gt;=50000,"High",Sales_Table[[#This Row],[Revenue]]&gt;=20000,"Medium",Sales_Table[[#This Row],[Revenue]]&lt;20000,"Low")</f>
        <v>Low</v>
      </c>
      <c r="Y1414" t="str">
        <f>IF(Sales_Table[[#This Row],[Payment Method_clean]]="cash","Offline","Online")</f>
        <v>Online</v>
      </c>
      <c r="Z1414">
        <f>IFERROR(Sales_Table[[#This Row],[Revenue]],0)</f>
        <v>4917</v>
      </c>
    </row>
    <row r="1415" spans="1:26" x14ac:dyDescent="0.3">
      <c r="A1415">
        <v>1414</v>
      </c>
      <c r="B1415" s="2">
        <f t="shared" si="154"/>
        <v>45350.875</v>
      </c>
      <c r="C1415" t="s">
        <v>3364</v>
      </c>
      <c r="D1415" t="s">
        <v>36</v>
      </c>
      <c r="E1415" t="str">
        <f>PROPER(TRIM(CLEAN(Sales_Table[[#This Row],[Region]])))</f>
        <v>West</v>
      </c>
      <c r="F1415" t="s">
        <v>37</v>
      </c>
      <c r="G1415" t="str">
        <f t="shared" si="155"/>
        <v>Home Appliances</v>
      </c>
      <c r="H1415" t="str">
        <f>PROPER(TRIM(CLEAN(Sales_Table[[#This Row],[Product Name]])))</f>
        <v>Laptop</v>
      </c>
      <c r="I1415" t="s">
        <v>52</v>
      </c>
      <c r="J1415" t="str">
        <f t="shared" si="156"/>
        <v>CUST0348</v>
      </c>
      <c r="K1415" t="s">
        <v>80</v>
      </c>
      <c r="L1415" t="str">
        <f>PROPER(TRIM(CLEAN(Sales_Table[[#This Row],[Salesperson]])))</f>
        <v>Suresh</v>
      </c>
      <c r="M1415" t="s">
        <v>54</v>
      </c>
      <c r="N1415" t="str">
        <f t="shared" si="157"/>
        <v>Cash</v>
      </c>
      <c r="O1415" t="s">
        <v>32</v>
      </c>
      <c r="P1415">
        <f t="shared" si="158"/>
        <v>3</v>
      </c>
      <c r="Q1415" t="s">
        <v>66</v>
      </c>
      <c r="R1415">
        <f t="shared" si="159"/>
        <v>1307</v>
      </c>
      <c r="S1415" t="s">
        <v>3365</v>
      </c>
      <c r="T1415">
        <f t="shared" si="160"/>
        <v>3921</v>
      </c>
      <c r="U1415">
        <f>YEAR(Sales_Table[[#This Row],[Date_clean]])</f>
        <v>2024</v>
      </c>
      <c r="V1415" t="str">
        <f>TEXT(Sales_Table[[#This Row],[Date_clean]],"mmmm")</f>
        <v>February</v>
      </c>
      <c r="W1415">
        <f>WEEKNUM(Sales_Table[[#This Row],[Date_clean]],2)</f>
        <v>9</v>
      </c>
      <c r="X1415" t="str" cm="1">
        <f t="array" ref="X1415">_xlfn.IFS(Sales_Table[[#This Row],[Revenue]]&gt;=50000,"High",Sales_Table[[#This Row],[Revenue]]&gt;=20000,"Medium",Sales_Table[[#This Row],[Revenue]]&lt;20000,"Low")</f>
        <v>Low</v>
      </c>
      <c r="Y1415" t="str">
        <f>IF(Sales_Table[[#This Row],[Payment Method_clean]]="cash","Offline","Online")</f>
        <v>Offline</v>
      </c>
      <c r="Z1415">
        <f>IFERROR(Sales_Table[[#This Row],[Revenue]],0)</f>
        <v>3921</v>
      </c>
    </row>
    <row r="1416" spans="1:26" x14ac:dyDescent="0.3">
      <c r="A1416">
        <v>1415</v>
      </c>
      <c r="B1416" s="2">
        <f t="shared" si="154"/>
        <v>45350.916666666664</v>
      </c>
      <c r="C1416" t="s">
        <v>3366</v>
      </c>
      <c r="D1416" t="s">
        <v>84</v>
      </c>
      <c r="E1416" t="str">
        <f>PROPER(TRIM(CLEAN(Sales_Table[[#This Row],[Region]])))</f>
        <v>South</v>
      </c>
      <c r="F1416" t="s">
        <v>78</v>
      </c>
      <c r="G1416" t="str">
        <f t="shared" si="155"/>
        <v>Grocery</v>
      </c>
      <c r="H1416" t="str">
        <f>PROPER(TRIM(CLEAN(Sales_Table[[#This Row],[Product Name]])))</f>
        <v>Mixer Grinder</v>
      </c>
      <c r="I1416" t="s">
        <v>29</v>
      </c>
      <c r="J1416" t="str">
        <f t="shared" si="156"/>
        <v>CUST0438</v>
      </c>
      <c r="K1416" t="s">
        <v>796</v>
      </c>
      <c r="L1416" t="str">
        <f>PROPER(TRIM(CLEAN(Sales_Table[[#This Row],[Salesperson]])))</f>
        <v>Anita</v>
      </c>
      <c r="M1416" t="s">
        <v>64</v>
      </c>
      <c r="N1416" t="str">
        <f t="shared" si="157"/>
        <v>Debit Card</v>
      </c>
      <c r="O1416" t="s">
        <v>41</v>
      </c>
      <c r="P1416">
        <f t="shared" si="158"/>
        <v>10</v>
      </c>
      <c r="Q1416" t="s">
        <v>117</v>
      </c>
      <c r="R1416">
        <f t="shared" si="159"/>
        <v>1548</v>
      </c>
      <c r="S1416" t="s">
        <v>3367</v>
      </c>
      <c r="T1416">
        <f t="shared" si="160"/>
        <v>15480</v>
      </c>
      <c r="U1416">
        <f>YEAR(Sales_Table[[#This Row],[Date_clean]])</f>
        <v>2024</v>
      </c>
      <c r="V1416" t="str">
        <f>TEXT(Sales_Table[[#This Row],[Date_clean]],"mmmm")</f>
        <v>February</v>
      </c>
      <c r="W1416">
        <f>WEEKNUM(Sales_Table[[#This Row],[Date_clean]],2)</f>
        <v>9</v>
      </c>
      <c r="X1416" t="str" cm="1">
        <f t="array" ref="X1416">_xlfn.IFS(Sales_Table[[#This Row],[Revenue]]&gt;=50000,"High",Sales_Table[[#This Row],[Revenue]]&gt;=20000,"Medium",Sales_Table[[#This Row],[Revenue]]&lt;20000,"Low")</f>
        <v>Low</v>
      </c>
      <c r="Y1416" t="str">
        <f>IF(Sales_Table[[#This Row],[Payment Method_clean]]="cash","Offline","Online")</f>
        <v>Online</v>
      </c>
      <c r="Z1416">
        <f>IFERROR(Sales_Table[[#This Row],[Revenue]],0)</f>
        <v>15480</v>
      </c>
    </row>
    <row r="1417" spans="1:26" x14ac:dyDescent="0.3">
      <c r="A1417">
        <v>1416</v>
      </c>
      <c r="B1417" s="2">
        <f t="shared" si="154"/>
        <v>45350.958333333336</v>
      </c>
      <c r="C1417" t="s">
        <v>3368</v>
      </c>
      <c r="D1417" t="s">
        <v>36</v>
      </c>
      <c r="E1417" t="str">
        <f>PROPER(TRIM(CLEAN(Sales_Table[[#This Row],[Region]])))</f>
        <v>West</v>
      </c>
      <c r="F1417" t="s">
        <v>28</v>
      </c>
      <c r="G1417" t="str">
        <f t="shared" si="155"/>
        <v>Clothing</v>
      </c>
      <c r="H1417" t="str">
        <f>PROPER(TRIM(CLEAN(Sales_Table[[#This Row],[Product Name]])))</f>
        <v>Laptop</v>
      </c>
      <c r="I1417" t="s">
        <v>52</v>
      </c>
      <c r="J1417" t="str">
        <f t="shared" si="156"/>
        <v>CUST0215</v>
      </c>
      <c r="K1417" t="s">
        <v>849</v>
      </c>
      <c r="L1417" t="str">
        <f>PROPER(TRIM(CLEAN(Sales_Table[[#This Row],[Salesperson]])))</f>
        <v>Anita</v>
      </c>
      <c r="M1417" t="s">
        <v>64</v>
      </c>
      <c r="N1417" t="str">
        <f t="shared" si="157"/>
        <v>Net Banking</v>
      </c>
      <c r="O1417" t="s">
        <v>60</v>
      </c>
      <c r="P1417">
        <f t="shared" si="158"/>
        <v>5</v>
      </c>
      <c r="Q1417" t="s">
        <v>89</v>
      </c>
      <c r="R1417">
        <f t="shared" si="159"/>
        <v>1607</v>
      </c>
      <c r="S1417" t="s">
        <v>3369</v>
      </c>
      <c r="T1417">
        <f t="shared" si="160"/>
        <v>8035</v>
      </c>
      <c r="U1417">
        <f>YEAR(Sales_Table[[#This Row],[Date_clean]])</f>
        <v>2024</v>
      </c>
      <c r="V1417" t="str">
        <f>TEXT(Sales_Table[[#This Row],[Date_clean]],"mmmm")</f>
        <v>February</v>
      </c>
      <c r="W1417">
        <f>WEEKNUM(Sales_Table[[#This Row],[Date_clean]],2)</f>
        <v>9</v>
      </c>
      <c r="X1417" t="str" cm="1">
        <f t="array" ref="X1417">_xlfn.IFS(Sales_Table[[#This Row],[Revenue]]&gt;=50000,"High",Sales_Table[[#This Row],[Revenue]]&gt;=20000,"Medium",Sales_Table[[#This Row],[Revenue]]&lt;20000,"Low")</f>
        <v>Low</v>
      </c>
      <c r="Y1417" t="str">
        <f>IF(Sales_Table[[#This Row],[Payment Method_clean]]="cash","Offline","Online")</f>
        <v>Online</v>
      </c>
      <c r="Z1417">
        <f>IFERROR(Sales_Table[[#This Row],[Revenue]],0)</f>
        <v>8035</v>
      </c>
    </row>
    <row r="1418" spans="1:26" x14ac:dyDescent="0.3">
      <c r="A1418">
        <v>1417</v>
      </c>
      <c r="B1418" s="2">
        <f t="shared" si="154"/>
        <v>45351</v>
      </c>
      <c r="C1418" t="s">
        <v>3370</v>
      </c>
      <c r="D1418" t="s">
        <v>45</v>
      </c>
      <c r="E1418" t="str">
        <f>PROPER(TRIM(CLEAN(Sales_Table[[#This Row],[Region]])))</f>
        <v>North</v>
      </c>
      <c r="F1418" t="s">
        <v>46</v>
      </c>
      <c r="G1418" t="str">
        <f t="shared" si="155"/>
        <v>Electronics</v>
      </c>
      <c r="H1418" t="str">
        <f>PROPER(TRIM(CLEAN(Sales_Table[[#This Row],[Product Name]])))</f>
        <v>Washing Machine</v>
      </c>
      <c r="I1418" t="s">
        <v>79</v>
      </c>
      <c r="J1418" t="str">
        <f t="shared" si="156"/>
        <v>CUST0429</v>
      </c>
      <c r="K1418" t="s">
        <v>129</v>
      </c>
      <c r="L1418" t="str">
        <f>PROPER(TRIM(CLEAN(Sales_Table[[#This Row],[Salesperson]])))</f>
        <v>Karthik</v>
      </c>
      <c r="M1418" t="s">
        <v>70</v>
      </c>
      <c r="N1418" t="str">
        <f t="shared" si="157"/>
        <v>Debit Card</v>
      </c>
      <c r="O1418" t="s">
        <v>41</v>
      </c>
      <c r="P1418">
        <f t="shared" si="158"/>
        <v>10</v>
      </c>
      <c r="Q1418" t="s">
        <v>117</v>
      </c>
      <c r="R1418">
        <f t="shared" si="159"/>
        <v>1103</v>
      </c>
      <c r="S1418" t="s">
        <v>3371</v>
      </c>
      <c r="T1418">
        <f t="shared" si="160"/>
        <v>11030</v>
      </c>
      <c r="U1418">
        <f>YEAR(Sales_Table[[#This Row],[Date_clean]])</f>
        <v>2024</v>
      </c>
      <c r="V1418" t="str">
        <f>TEXT(Sales_Table[[#This Row],[Date_clean]],"mmmm")</f>
        <v>February</v>
      </c>
      <c r="W1418">
        <f>WEEKNUM(Sales_Table[[#This Row],[Date_clean]],2)</f>
        <v>9</v>
      </c>
      <c r="X1418" t="str" cm="1">
        <f t="array" ref="X1418">_xlfn.IFS(Sales_Table[[#This Row],[Revenue]]&gt;=50000,"High",Sales_Table[[#This Row],[Revenue]]&gt;=20000,"Medium",Sales_Table[[#This Row],[Revenue]]&lt;20000,"Low")</f>
        <v>Low</v>
      </c>
      <c r="Y1418" t="str">
        <f>IF(Sales_Table[[#This Row],[Payment Method_clean]]="cash","Offline","Online")</f>
        <v>Online</v>
      </c>
      <c r="Z1418">
        <f>IFERROR(Sales_Table[[#This Row],[Revenue]],0)</f>
        <v>11030</v>
      </c>
    </row>
    <row r="1419" spans="1:26" x14ac:dyDescent="0.3">
      <c r="A1419">
        <v>1418</v>
      </c>
      <c r="B1419" s="2">
        <f t="shared" si="154"/>
        <v>45351.041666666664</v>
      </c>
      <c r="C1419" t="s">
        <v>3372</v>
      </c>
      <c r="D1419" t="s">
        <v>27</v>
      </c>
      <c r="E1419" t="str">
        <f>PROPER(TRIM(CLEAN(Sales_Table[[#This Row],[Region]])))</f>
        <v>East</v>
      </c>
      <c r="F1419" t="s">
        <v>46</v>
      </c>
      <c r="G1419" t="str">
        <f t="shared" si="155"/>
        <v>Electronics</v>
      </c>
      <c r="H1419" t="str">
        <f>PROPER(TRIM(CLEAN(Sales_Table[[#This Row],[Product Name]])))</f>
        <v>Laptop</v>
      </c>
      <c r="I1419" t="s">
        <v>52</v>
      </c>
      <c r="J1419" t="str">
        <f t="shared" si="156"/>
        <v>CUST0791</v>
      </c>
      <c r="K1419" t="s">
        <v>288</v>
      </c>
      <c r="L1419" t="str">
        <f>PROPER(TRIM(CLEAN(Sales_Table[[#This Row],[Salesperson]])))</f>
        <v>Rahul</v>
      </c>
      <c r="M1419" t="s">
        <v>31</v>
      </c>
      <c r="N1419" t="str">
        <f t="shared" si="157"/>
        <v>Net Banking</v>
      </c>
      <c r="O1419" t="s">
        <v>60</v>
      </c>
      <c r="P1419">
        <f t="shared" si="158"/>
        <v>7</v>
      </c>
      <c r="Q1419" t="s">
        <v>49</v>
      </c>
      <c r="R1419">
        <f t="shared" si="159"/>
        <v>1025</v>
      </c>
      <c r="S1419" t="s">
        <v>3373</v>
      </c>
      <c r="T1419">
        <f t="shared" si="160"/>
        <v>7175</v>
      </c>
      <c r="U1419">
        <f>YEAR(Sales_Table[[#This Row],[Date_clean]])</f>
        <v>2024</v>
      </c>
      <c r="V1419" t="str">
        <f>TEXT(Sales_Table[[#This Row],[Date_clean]],"mmmm")</f>
        <v>February</v>
      </c>
      <c r="W1419">
        <f>WEEKNUM(Sales_Table[[#This Row],[Date_clean]],2)</f>
        <v>9</v>
      </c>
      <c r="X1419" t="str" cm="1">
        <f t="array" ref="X1419">_xlfn.IFS(Sales_Table[[#This Row],[Revenue]]&gt;=50000,"High",Sales_Table[[#This Row],[Revenue]]&gt;=20000,"Medium",Sales_Table[[#This Row],[Revenue]]&lt;20000,"Low")</f>
        <v>Low</v>
      </c>
      <c r="Y1419" t="str">
        <f>IF(Sales_Table[[#This Row],[Payment Method_clean]]="cash","Offline","Online")</f>
        <v>Online</v>
      </c>
      <c r="Z1419">
        <f>IFERROR(Sales_Table[[#This Row],[Revenue]],0)</f>
        <v>7175</v>
      </c>
    </row>
    <row r="1420" spans="1:26" x14ac:dyDescent="0.3">
      <c r="A1420">
        <v>1419</v>
      </c>
      <c r="B1420" s="2">
        <f t="shared" si="154"/>
        <v>45351.083333333336</v>
      </c>
      <c r="C1420" t="s">
        <v>3374</v>
      </c>
      <c r="D1420" t="s">
        <v>45</v>
      </c>
      <c r="E1420" t="str">
        <f>PROPER(TRIM(CLEAN(Sales_Table[[#This Row],[Region]])))</f>
        <v>North</v>
      </c>
      <c r="F1420" t="s">
        <v>37</v>
      </c>
      <c r="G1420" t="str">
        <f t="shared" si="155"/>
        <v>Home Appliances</v>
      </c>
      <c r="H1420" t="str">
        <f>PROPER(TRIM(CLEAN(Sales_Table[[#This Row],[Product Name]])))</f>
        <v>Washing Machine</v>
      </c>
      <c r="I1420" t="s">
        <v>79</v>
      </c>
      <c r="J1420" t="str">
        <f t="shared" si="156"/>
        <v>CUST0498</v>
      </c>
      <c r="K1420" t="s">
        <v>1446</v>
      </c>
      <c r="L1420" t="str">
        <f>PROPER(TRIM(CLEAN(Sales_Table[[#This Row],[Salesperson]])))</f>
        <v>Meena</v>
      </c>
      <c r="M1420" t="s">
        <v>40</v>
      </c>
      <c r="N1420" t="str">
        <f t="shared" si="157"/>
        <v>Net Banking</v>
      </c>
      <c r="O1420" t="s">
        <v>60</v>
      </c>
      <c r="P1420">
        <f t="shared" si="158"/>
        <v>14</v>
      </c>
      <c r="Q1420" t="s">
        <v>55</v>
      </c>
      <c r="R1420">
        <f t="shared" si="159"/>
        <v>183</v>
      </c>
      <c r="S1420" t="s">
        <v>3375</v>
      </c>
      <c r="T1420">
        <f t="shared" si="160"/>
        <v>2562</v>
      </c>
      <c r="U1420">
        <f>YEAR(Sales_Table[[#This Row],[Date_clean]])</f>
        <v>2024</v>
      </c>
      <c r="V1420" t="str">
        <f>TEXT(Sales_Table[[#This Row],[Date_clean]],"mmmm")</f>
        <v>February</v>
      </c>
      <c r="W1420">
        <f>WEEKNUM(Sales_Table[[#This Row],[Date_clean]],2)</f>
        <v>9</v>
      </c>
      <c r="X1420" t="str" cm="1">
        <f t="array" ref="X1420">_xlfn.IFS(Sales_Table[[#This Row],[Revenue]]&gt;=50000,"High",Sales_Table[[#This Row],[Revenue]]&gt;=20000,"Medium",Sales_Table[[#This Row],[Revenue]]&lt;20000,"Low")</f>
        <v>Low</v>
      </c>
      <c r="Y1420" t="str">
        <f>IF(Sales_Table[[#This Row],[Payment Method_clean]]="cash","Offline","Online")</f>
        <v>Online</v>
      </c>
      <c r="Z1420">
        <f>IFERROR(Sales_Table[[#This Row],[Revenue]],0)</f>
        <v>2562</v>
      </c>
    </row>
    <row r="1421" spans="1:26" x14ac:dyDescent="0.3">
      <c r="A1421">
        <v>1420</v>
      </c>
      <c r="B1421" s="2">
        <f t="shared" si="154"/>
        <v>45351.125</v>
      </c>
      <c r="C1421" t="s">
        <v>3376</v>
      </c>
      <c r="D1421" t="s">
        <v>45</v>
      </c>
      <c r="E1421" t="str">
        <f>PROPER(TRIM(CLEAN(Sales_Table[[#This Row],[Region]])))</f>
        <v>North</v>
      </c>
      <c r="F1421" t="s">
        <v>28</v>
      </c>
      <c r="G1421" t="str">
        <f t="shared" si="155"/>
        <v>Clothing</v>
      </c>
      <c r="H1421" t="str">
        <f>PROPER(TRIM(CLEAN(Sales_Table[[#This Row],[Product Name]])))</f>
        <v>Rice 5Kg</v>
      </c>
      <c r="I1421" t="s">
        <v>73</v>
      </c>
      <c r="J1421" t="str">
        <f t="shared" si="156"/>
        <v>CUST0540</v>
      </c>
      <c r="K1421" t="s">
        <v>372</v>
      </c>
      <c r="L1421" t="str">
        <f>PROPER(TRIM(CLEAN(Sales_Table[[#This Row],[Salesperson]])))</f>
        <v>Suresh</v>
      </c>
      <c r="M1421" t="s">
        <v>54</v>
      </c>
      <c r="N1421" t="str">
        <f t="shared" si="157"/>
        <v>Net Banking</v>
      </c>
      <c r="O1421" t="s">
        <v>60</v>
      </c>
      <c r="P1421">
        <f t="shared" si="158"/>
        <v>10</v>
      </c>
      <c r="Q1421" t="s">
        <v>117</v>
      </c>
      <c r="R1421">
        <f t="shared" si="159"/>
        <v>3842</v>
      </c>
      <c r="S1421" t="s">
        <v>3377</v>
      </c>
      <c r="T1421">
        <f t="shared" si="160"/>
        <v>38420</v>
      </c>
      <c r="U1421">
        <f>YEAR(Sales_Table[[#This Row],[Date_clean]])</f>
        <v>2024</v>
      </c>
      <c r="V1421" t="str">
        <f>TEXT(Sales_Table[[#This Row],[Date_clean]],"mmmm")</f>
        <v>February</v>
      </c>
      <c r="W1421">
        <f>WEEKNUM(Sales_Table[[#This Row],[Date_clean]],2)</f>
        <v>9</v>
      </c>
      <c r="X1421" t="str" cm="1">
        <f t="array" ref="X1421">_xlfn.IFS(Sales_Table[[#This Row],[Revenue]]&gt;=50000,"High",Sales_Table[[#This Row],[Revenue]]&gt;=20000,"Medium",Sales_Table[[#This Row],[Revenue]]&lt;20000,"Low")</f>
        <v>Medium</v>
      </c>
      <c r="Y1421" t="str">
        <f>IF(Sales_Table[[#This Row],[Payment Method_clean]]="cash","Offline","Online")</f>
        <v>Online</v>
      </c>
      <c r="Z1421">
        <f>IFERROR(Sales_Table[[#This Row],[Revenue]],0)</f>
        <v>38420</v>
      </c>
    </row>
    <row r="1422" spans="1:26" x14ac:dyDescent="0.3">
      <c r="A1422">
        <v>1421</v>
      </c>
      <c r="B1422" s="2">
        <f t="shared" si="154"/>
        <v>45351.166666666664</v>
      </c>
      <c r="C1422" t="s">
        <v>3378</v>
      </c>
      <c r="D1422" t="s">
        <v>45</v>
      </c>
      <c r="E1422" t="str">
        <f>PROPER(TRIM(CLEAN(Sales_Table[[#This Row],[Region]])))</f>
        <v>North</v>
      </c>
      <c r="F1422" t="s">
        <v>28</v>
      </c>
      <c r="G1422" t="str">
        <f t="shared" si="155"/>
        <v>Clothing</v>
      </c>
      <c r="H1422" t="str">
        <f>PROPER(TRIM(CLEAN(Sales_Table[[#This Row],[Product Name]])))</f>
        <v>Men T-Shirt</v>
      </c>
      <c r="I1422" t="s">
        <v>38</v>
      </c>
      <c r="J1422" t="str">
        <f t="shared" si="156"/>
        <v>CUST0747</v>
      </c>
      <c r="K1422" t="s">
        <v>834</v>
      </c>
      <c r="L1422" t="str">
        <f>PROPER(TRIM(CLEAN(Sales_Table[[#This Row],[Salesperson]])))</f>
        <v>Anita</v>
      </c>
      <c r="M1422" t="s">
        <v>64</v>
      </c>
      <c r="N1422" t="str">
        <f t="shared" si="157"/>
        <v>Credit Card</v>
      </c>
      <c r="O1422" t="s">
        <v>65</v>
      </c>
      <c r="P1422">
        <f t="shared" si="158"/>
        <v>8</v>
      </c>
      <c r="Q1422" t="s">
        <v>42</v>
      </c>
      <c r="R1422">
        <f t="shared" si="159"/>
        <v>4027</v>
      </c>
      <c r="S1422" t="s">
        <v>3379</v>
      </c>
      <c r="T1422">
        <f t="shared" si="160"/>
        <v>32216</v>
      </c>
      <c r="U1422">
        <f>YEAR(Sales_Table[[#This Row],[Date_clean]])</f>
        <v>2024</v>
      </c>
      <c r="V1422" t="str">
        <f>TEXT(Sales_Table[[#This Row],[Date_clean]],"mmmm")</f>
        <v>February</v>
      </c>
      <c r="W1422">
        <f>WEEKNUM(Sales_Table[[#This Row],[Date_clean]],2)</f>
        <v>9</v>
      </c>
      <c r="X1422" t="str" cm="1">
        <f t="array" ref="X1422">_xlfn.IFS(Sales_Table[[#This Row],[Revenue]]&gt;=50000,"High",Sales_Table[[#This Row],[Revenue]]&gt;=20000,"Medium",Sales_Table[[#This Row],[Revenue]]&lt;20000,"Low")</f>
        <v>Medium</v>
      </c>
      <c r="Y1422" t="str">
        <f>IF(Sales_Table[[#This Row],[Payment Method_clean]]="cash","Offline","Online")</f>
        <v>Online</v>
      </c>
      <c r="Z1422">
        <f>IFERROR(Sales_Table[[#This Row],[Revenue]],0)</f>
        <v>32216</v>
      </c>
    </row>
    <row r="1423" spans="1:26" x14ac:dyDescent="0.3">
      <c r="A1423">
        <v>1422</v>
      </c>
      <c r="B1423" s="2">
        <f t="shared" si="154"/>
        <v>45351.208333333336</v>
      </c>
      <c r="C1423" t="s">
        <v>3380</v>
      </c>
      <c r="D1423" t="s">
        <v>45</v>
      </c>
      <c r="E1423" t="str">
        <f>PROPER(TRIM(CLEAN(Sales_Table[[#This Row],[Region]])))</f>
        <v>North</v>
      </c>
      <c r="F1423" t="s">
        <v>28</v>
      </c>
      <c r="G1423" t="str">
        <f t="shared" si="155"/>
        <v>Clothing</v>
      </c>
      <c r="H1423" t="str">
        <f>PROPER(TRIM(CLEAN(Sales_Table[[#This Row],[Product Name]])))</f>
        <v>Led Tv 42Inch</v>
      </c>
      <c r="I1423" t="s">
        <v>58</v>
      </c>
      <c r="J1423" t="str">
        <f t="shared" si="156"/>
        <v>CUST0367</v>
      </c>
      <c r="K1423" t="s">
        <v>1509</v>
      </c>
      <c r="L1423" t="str">
        <f>PROPER(TRIM(CLEAN(Sales_Table[[#This Row],[Salesperson]])))</f>
        <v>Suresh</v>
      </c>
      <c r="M1423" t="s">
        <v>54</v>
      </c>
      <c r="N1423" t="str">
        <f t="shared" si="157"/>
        <v>Upi</v>
      </c>
      <c r="O1423" t="s">
        <v>48</v>
      </c>
      <c r="P1423">
        <f t="shared" si="158"/>
        <v>12</v>
      </c>
      <c r="Q1423" t="s">
        <v>33</v>
      </c>
      <c r="R1423">
        <f t="shared" si="159"/>
        <v>1642</v>
      </c>
      <c r="S1423" t="s">
        <v>1780</v>
      </c>
      <c r="T1423">
        <f t="shared" si="160"/>
        <v>19704</v>
      </c>
      <c r="U1423">
        <f>YEAR(Sales_Table[[#This Row],[Date_clean]])</f>
        <v>2024</v>
      </c>
      <c r="V1423" t="str">
        <f>TEXT(Sales_Table[[#This Row],[Date_clean]],"mmmm")</f>
        <v>February</v>
      </c>
      <c r="W1423">
        <f>WEEKNUM(Sales_Table[[#This Row],[Date_clean]],2)</f>
        <v>9</v>
      </c>
      <c r="X1423" t="str" cm="1">
        <f t="array" ref="X1423">_xlfn.IFS(Sales_Table[[#This Row],[Revenue]]&gt;=50000,"High",Sales_Table[[#This Row],[Revenue]]&gt;=20000,"Medium",Sales_Table[[#This Row],[Revenue]]&lt;20000,"Low")</f>
        <v>Low</v>
      </c>
      <c r="Y1423" t="str">
        <f>IF(Sales_Table[[#This Row],[Payment Method_clean]]="cash","Offline","Online")</f>
        <v>Online</v>
      </c>
      <c r="Z1423">
        <f>IFERROR(Sales_Table[[#This Row],[Revenue]],0)</f>
        <v>19704</v>
      </c>
    </row>
    <row r="1424" spans="1:26" x14ac:dyDescent="0.3">
      <c r="A1424">
        <v>1423</v>
      </c>
      <c r="B1424" s="2">
        <f t="shared" si="154"/>
        <v>45351.25</v>
      </c>
      <c r="C1424" t="s">
        <v>3381</v>
      </c>
      <c r="D1424" t="s">
        <v>27</v>
      </c>
      <c r="E1424" t="str">
        <f>PROPER(TRIM(CLEAN(Sales_Table[[#This Row],[Region]])))</f>
        <v>East</v>
      </c>
      <c r="F1424" t="s">
        <v>28</v>
      </c>
      <c r="G1424" t="str">
        <f t="shared" si="155"/>
        <v>Clothing</v>
      </c>
      <c r="H1424" t="str">
        <f>PROPER(TRIM(CLEAN(Sales_Table[[#This Row],[Product Name]])))</f>
        <v>Led Tv 42Inch</v>
      </c>
      <c r="I1424" t="s">
        <v>58</v>
      </c>
      <c r="J1424" t="str">
        <f t="shared" si="156"/>
        <v>CUST0313</v>
      </c>
      <c r="K1424" t="s">
        <v>2271</v>
      </c>
      <c r="L1424" t="str">
        <f>PROPER(TRIM(CLEAN(Sales_Table[[#This Row],[Salesperson]])))</f>
        <v>Rahul</v>
      </c>
      <c r="M1424" t="s">
        <v>31</v>
      </c>
      <c r="N1424" t="str">
        <f t="shared" si="157"/>
        <v>Debit Card</v>
      </c>
      <c r="O1424" t="s">
        <v>41</v>
      </c>
      <c r="P1424">
        <f t="shared" si="158"/>
        <v>9</v>
      </c>
      <c r="Q1424" t="s">
        <v>130</v>
      </c>
      <c r="R1424">
        <f t="shared" si="159"/>
        <v>1085</v>
      </c>
      <c r="S1424" t="s">
        <v>3382</v>
      </c>
      <c r="T1424">
        <f t="shared" si="160"/>
        <v>9765</v>
      </c>
      <c r="U1424">
        <f>YEAR(Sales_Table[[#This Row],[Date_clean]])</f>
        <v>2024</v>
      </c>
      <c r="V1424" t="str">
        <f>TEXT(Sales_Table[[#This Row],[Date_clean]],"mmmm")</f>
        <v>February</v>
      </c>
      <c r="W1424">
        <f>WEEKNUM(Sales_Table[[#This Row],[Date_clean]],2)</f>
        <v>9</v>
      </c>
      <c r="X1424" t="str" cm="1">
        <f t="array" ref="X1424">_xlfn.IFS(Sales_Table[[#This Row],[Revenue]]&gt;=50000,"High",Sales_Table[[#This Row],[Revenue]]&gt;=20000,"Medium",Sales_Table[[#This Row],[Revenue]]&lt;20000,"Low")</f>
        <v>Low</v>
      </c>
      <c r="Y1424" t="str">
        <f>IF(Sales_Table[[#This Row],[Payment Method_clean]]="cash","Offline","Online")</f>
        <v>Online</v>
      </c>
      <c r="Z1424">
        <f>IFERROR(Sales_Table[[#This Row],[Revenue]],0)</f>
        <v>9765</v>
      </c>
    </row>
    <row r="1425" spans="1:26" x14ac:dyDescent="0.3">
      <c r="A1425">
        <v>1424</v>
      </c>
      <c r="B1425" s="2">
        <f t="shared" si="154"/>
        <v>45351.291666666664</v>
      </c>
      <c r="C1425" t="s">
        <v>3383</v>
      </c>
      <c r="D1425" t="s">
        <v>27</v>
      </c>
      <c r="E1425" t="str">
        <f>PROPER(TRIM(CLEAN(Sales_Table[[#This Row],[Region]])))</f>
        <v>East</v>
      </c>
      <c r="F1425" t="s">
        <v>78</v>
      </c>
      <c r="G1425" t="str">
        <f t="shared" si="155"/>
        <v>Grocery</v>
      </c>
      <c r="H1425" t="str">
        <f>PROPER(TRIM(CLEAN(Sales_Table[[#This Row],[Product Name]])))</f>
        <v>Men T-Shirt</v>
      </c>
      <c r="I1425" t="s">
        <v>38</v>
      </c>
      <c r="J1425" t="str">
        <f t="shared" si="156"/>
        <v>CUST0538</v>
      </c>
      <c r="K1425" t="s">
        <v>799</v>
      </c>
      <c r="L1425" t="str">
        <f>PROPER(TRIM(CLEAN(Sales_Table[[#This Row],[Salesperson]])))</f>
        <v>Rahul</v>
      </c>
      <c r="M1425" t="s">
        <v>31</v>
      </c>
      <c r="N1425" t="str">
        <f t="shared" si="157"/>
        <v>Upi</v>
      </c>
      <c r="O1425" t="s">
        <v>48</v>
      </c>
      <c r="P1425">
        <f t="shared" si="158"/>
        <v>6</v>
      </c>
      <c r="Q1425" t="s">
        <v>75</v>
      </c>
      <c r="R1425">
        <f t="shared" si="159"/>
        <v>4331</v>
      </c>
      <c r="S1425" t="s">
        <v>829</v>
      </c>
      <c r="T1425">
        <f t="shared" si="160"/>
        <v>25986</v>
      </c>
      <c r="U1425">
        <f>YEAR(Sales_Table[[#This Row],[Date_clean]])</f>
        <v>2024</v>
      </c>
      <c r="V1425" t="str">
        <f>TEXT(Sales_Table[[#This Row],[Date_clean]],"mmmm")</f>
        <v>February</v>
      </c>
      <c r="W1425">
        <f>WEEKNUM(Sales_Table[[#This Row],[Date_clean]],2)</f>
        <v>9</v>
      </c>
      <c r="X1425" t="str" cm="1">
        <f t="array" ref="X1425">_xlfn.IFS(Sales_Table[[#This Row],[Revenue]]&gt;=50000,"High",Sales_Table[[#This Row],[Revenue]]&gt;=20000,"Medium",Sales_Table[[#This Row],[Revenue]]&lt;20000,"Low")</f>
        <v>Medium</v>
      </c>
      <c r="Y1425" t="str">
        <f>IF(Sales_Table[[#This Row],[Payment Method_clean]]="cash","Offline","Online")</f>
        <v>Online</v>
      </c>
      <c r="Z1425">
        <f>IFERROR(Sales_Table[[#This Row],[Revenue]],0)</f>
        <v>25986</v>
      </c>
    </row>
    <row r="1426" spans="1:26" x14ac:dyDescent="0.3">
      <c r="A1426">
        <v>1425</v>
      </c>
      <c r="B1426" s="2">
        <f t="shared" si="154"/>
        <v>45351.333333333336</v>
      </c>
      <c r="C1426" t="s">
        <v>3384</v>
      </c>
      <c r="D1426" t="s">
        <v>36</v>
      </c>
      <c r="E1426" t="str">
        <f>PROPER(TRIM(CLEAN(Sales_Table[[#This Row],[Region]])))</f>
        <v>West</v>
      </c>
      <c r="F1426" t="s">
        <v>28</v>
      </c>
      <c r="G1426" t="str">
        <f t="shared" si="155"/>
        <v>Clothing</v>
      </c>
      <c r="H1426" t="str">
        <f>PROPER(TRIM(CLEAN(Sales_Table[[#This Row],[Product Name]])))</f>
        <v>Led Tv 42Inch</v>
      </c>
      <c r="I1426" t="s">
        <v>58</v>
      </c>
      <c r="J1426" t="str">
        <f t="shared" si="156"/>
        <v>CUST0054</v>
      </c>
      <c r="K1426" t="s">
        <v>222</v>
      </c>
      <c r="L1426" t="str">
        <f>PROPER(TRIM(CLEAN(Sales_Table[[#This Row],[Salesperson]])))</f>
        <v>Suresh</v>
      </c>
      <c r="M1426" t="s">
        <v>54</v>
      </c>
      <c r="N1426" t="str">
        <f t="shared" si="157"/>
        <v>Cash</v>
      </c>
      <c r="O1426" t="s">
        <v>32</v>
      </c>
      <c r="P1426">
        <f t="shared" si="158"/>
        <v>11</v>
      </c>
      <c r="Q1426" t="s">
        <v>97</v>
      </c>
      <c r="R1426">
        <f t="shared" si="159"/>
        <v>1008</v>
      </c>
      <c r="S1426" t="s">
        <v>379</v>
      </c>
      <c r="T1426">
        <f t="shared" si="160"/>
        <v>11088</v>
      </c>
      <c r="U1426">
        <f>YEAR(Sales_Table[[#This Row],[Date_clean]])</f>
        <v>2024</v>
      </c>
      <c r="V1426" t="str">
        <f>TEXT(Sales_Table[[#This Row],[Date_clean]],"mmmm")</f>
        <v>February</v>
      </c>
      <c r="W1426">
        <f>WEEKNUM(Sales_Table[[#This Row],[Date_clean]],2)</f>
        <v>9</v>
      </c>
      <c r="X1426" t="str" cm="1">
        <f t="array" ref="X1426">_xlfn.IFS(Sales_Table[[#This Row],[Revenue]]&gt;=50000,"High",Sales_Table[[#This Row],[Revenue]]&gt;=20000,"Medium",Sales_Table[[#This Row],[Revenue]]&lt;20000,"Low")</f>
        <v>Low</v>
      </c>
      <c r="Y1426" t="str">
        <f>IF(Sales_Table[[#This Row],[Payment Method_clean]]="cash","Offline","Online")</f>
        <v>Offline</v>
      </c>
      <c r="Z1426">
        <f>IFERROR(Sales_Table[[#This Row],[Revenue]],0)</f>
        <v>11088</v>
      </c>
    </row>
    <row r="1427" spans="1:26" x14ac:dyDescent="0.3">
      <c r="A1427">
        <v>1426</v>
      </c>
      <c r="B1427" s="2">
        <f t="shared" si="154"/>
        <v>45351.375</v>
      </c>
      <c r="C1427" t="s">
        <v>3385</v>
      </c>
      <c r="D1427" t="s">
        <v>84</v>
      </c>
      <c r="E1427" t="str">
        <f>PROPER(TRIM(CLEAN(Sales_Table[[#This Row],[Region]])))</f>
        <v>South</v>
      </c>
      <c r="F1427" t="s">
        <v>46</v>
      </c>
      <c r="G1427" t="str">
        <f t="shared" si="155"/>
        <v>Electronics</v>
      </c>
      <c r="H1427" t="str">
        <f>PROPER(TRIM(CLEAN(Sales_Table[[#This Row],[Product Name]])))</f>
        <v>Laptop</v>
      </c>
      <c r="I1427" t="s">
        <v>52</v>
      </c>
      <c r="J1427" t="str">
        <f t="shared" si="156"/>
        <v>CUST0541</v>
      </c>
      <c r="K1427" t="s">
        <v>159</v>
      </c>
      <c r="L1427" t="str">
        <f>PROPER(TRIM(CLEAN(Sales_Table[[#This Row],[Salesperson]])))</f>
        <v>Meena</v>
      </c>
      <c r="M1427" t="s">
        <v>40</v>
      </c>
      <c r="N1427" t="str">
        <f t="shared" si="157"/>
        <v>Debit Card</v>
      </c>
      <c r="O1427" t="s">
        <v>41</v>
      </c>
      <c r="P1427">
        <f t="shared" si="158"/>
        <v>9</v>
      </c>
      <c r="Q1427" t="s">
        <v>130</v>
      </c>
      <c r="R1427">
        <f t="shared" si="159"/>
        <v>3008</v>
      </c>
      <c r="S1427" t="s">
        <v>3386</v>
      </c>
      <c r="T1427">
        <f t="shared" si="160"/>
        <v>27072</v>
      </c>
      <c r="U1427">
        <f>YEAR(Sales_Table[[#This Row],[Date_clean]])</f>
        <v>2024</v>
      </c>
      <c r="V1427" t="str">
        <f>TEXT(Sales_Table[[#This Row],[Date_clean]],"mmmm")</f>
        <v>February</v>
      </c>
      <c r="W1427">
        <f>WEEKNUM(Sales_Table[[#This Row],[Date_clean]],2)</f>
        <v>9</v>
      </c>
      <c r="X1427" t="str" cm="1">
        <f t="array" ref="X1427">_xlfn.IFS(Sales_Table[[#This Row],[Revenue]]&gt;=50000,"High",Sales_Table[[#This Row],[Revenue]]&gt;=20000,"Medium",Sales_Table[[#This Row],[Revenue]]&lt;20000,"Low")</f>
        <v>Medium</v>
      </c>
      <c r="Y1427" t="str">
        <f>IF(Sales_Table[[#This Row],[Payment Method_clean]]="cash","Offline","Online")</f>
        <v>Online</v>
      </c>
      <c r="Z1427">
        <f>IFERROR(Sales_Table[[#This Row],[Revenue]],0)</f>
        <v>27072</v>
      </c>
    </row>
    <row r="1428" spans="1:26" x14ac:dyDescent="0.3">
      <c r="A1428">
        <v>1427</v>
      </c>
      <c r="B1428" s="2">
        <f t="shared" si="154"/>
        <v>45351.416666666664</v>
      </c>
      <c r="C1428" t="s">
        <v>3387</v>
      </c>
      <c r="D1428" t="s">
        <v>27</v>
      </c>
      <c r="E1428" t="str">
        <f>PROPER(TRIM(CLEAN(Sales_Table[[#This Row],[Region]])))</f>
        <v>East</v>
      </c>
      <c r="F1428" t="s">
        <v>46</v>
      </c>
      <c r="G1428" t="str">
        <f t="shared" si="155"/>
        <v>Electronics</v>
      </c>
      <c r="H1428" t="str">
        <f>PROPER(TRIM(CLEAN(Sales_Table[[#This Row],[Product Name]])))</f>
        <v>Rice 5Kg</v>
      </c>
      <c r="I1428" t="s">
        <v>73</v>
      </c>
      <c r="J1428" t="str">
        <f t="shared" si="156"/>
        <v>CUST0467</v>
      </c>
      <c r="K1428" t="s">
        <v>1471</v>
      </c>
      <c r="L1428" t="str">
        <f>PROPER(TRIM(CLEAN(Sales_Table[[#This Row],[Salesperson]])))</f>
        <v>Rahul</v>
      </c>
      <c r="M1428" t="s">
        <v>31</v>
      </c>
      <c r="N1428" t="str">
        <f t="shared" si="157"/>
        <v>Upi</v>
      </c>
      <c r="O1428" t="s">
        <v>48</v>
      </c>
      <c r="P1428">
        <f t="shared" si="158"/>
        <v>8</v>
      </c>
      <c r="Q1428" t="s">
        <v>42</v>
      </c>
      <c r="R1428">
        <f t="shared" si="159"/>
        <v>4785</v>
      </c>
      <c r="S1428" t="s">
        <v>1871</v>
      </c>
      <c r="T1428">
        <f t="shared" si="160"/>
        <v>38280</v>
      </c>
      <c r="U1428">
        <f>YEAR(Sales_Table[[#This Row],[Date_clean]])</f>
        <v>2024</v>
      </c>
      <c r="V1428" t="str">
        <f>TEXT(Sales_Table[[#This Row],[Date_clean]],"mmmm")</f>
        <v>February</v>
      </c>
      <c r="W1428">
        <f>WEEKNUM(Sales_Table[[#This Row],[Date_clean]],2)</f>
        <v>9</v>
      </c>
      <c r="X1428" t="str" cm="1">
        <f t="array" ref="X1428">_xlfn.IFS(Sales_Table[[#This Row],[Revenue]]&gt;=50000,"High",Sales_Table[[#This Row],[Revenue]]&gt;=20000,"Medium",Sales_Table[[#This Row],[Revenue]]&lt;20000,"Low")</f>
        <v>Medium</v>
      </c>
      <c r="Y1428" t="str">
        <f>IF(Sales_Table[[#This Row],[Payment Method_clean]]="cash","Offline","Online")</f>
        <v>Online</v>
      </c>
      <c r="Z1428">
        <f>IFERROR(Sales_Table[[#This Row],[Revenue]],0)</f>
        <v>38280</v>
      </c>
    </row>
    <row r="1429" spans="1:26" x14ac:dyDescent="0.3">
      <c r="A1429">
        <v>1428</v>
      </c>
      <c r="B1429" s="2">
        <f t="shared" si="154"/>
        <v>45351.458333333336</v>
      </c>
      <c r="C1429" t="s">
        <v>3388</v>
      </c>
      <c r="D1429" t="s">
        <v>27</v>
      </c>
      <c r="E1429" t="str">
        <f>PROPER(TRIM(CLEAN(Sales_Table[[#This Row],[Region]])))</f>
        <v>East</v>
      </c>
      <c r="F1429" t="s">
        <v>78</v>
      </c>
      <c r="G1429" t="str">
        <f t="shared" si="155"/>
        <v>Grocery</v>
      </c>
      <c r="H1429" t="str">
        <f>PROPER(TRIM(CLEAN(Sales_Table[[#This Row],[Product Name]])))</f>
        <v>Rice 5Kg</v>
      </c>
      <c r="I1429" t="s">
        <v>73</v>
      </c>
      <c r="J1429" t="str">
        <f t="shared" si="156"/>
        <v>CUST0164</v>
      </c>
      <c r="K1429" t="s">
        <v>2198</v>
      </c>
      <c r="L1429" t="str">
        <f>PROPER(TRIM(CLEAN(Sales_Table[[#This Row],[Salesperson]])))</f>
        <v>Suresh</v>
      </c>
      <c r="M1429" t="s">
        <v>54</v>
      </c>
      <c r="N1429" t="str">
        <f t="shared" si="157"/>
        <v>Upi</v>
      </c>
      <c r="O1429" t="s">
        <v>48</v>
      </c>
      <c r="P1429">
        <f t="shared" si="158"/>
        <v>9</v>
      </c>
      <c r="Q1429" t="s">
        <v>130</v>
      </c>
      <c r="R1429">
        <f t="shared" si="159"/>
        <v>2837</v>
      </c>
      <c r="S1429" t="s">
        <v>3389</v>
      </c>
      <c r="T1429">
        <f t="shared" si="160"/>
        <v>25533</v>
      </c>
      <c r="U1429">
        <f>YEAR(Sales_Table[[#This Row],[Date_clean]])</f>
        <v>2024</v>
      </c>
      <c r="V1429" t="str">
        <f>TEXT(Sales_Table[[#This Row],[Date_clean]],"mmmm")</f>
        <v>February</v>
      </c>
      <c r="W1429">
        <f>WEEKNUM(Sales_Table[[#This Row],[Date_clean]],2)</f>
        <v>9</v>
      </c>
      <c r="X1429" t="str" cm="1">
        <f t="array" ref="X1429">_xlfn.IFS(Sales_Table[[#This Row],[Revenue]]&gt;=50000,"High",Sales_Table[[#This Row],[Revenue]]&gt;=20000,"Medium",Sales_Table[[#This Row],[Revenue]]&lt;20000,"Low")</f>
        <v>Medium</v>
      </c>
      <c r="Y1429" t="str">
        <f>IF(Sales_Table[[#This Row],[Payment Method_clean]]="cash","Offline","Online")</f>
        <v>Online</v>
      </c>
      <c r="Z1429">
        <f>IFERROR(Sales_Table[[#This Row],[Revenue]],0)</f>
        <v>25533</v>
      </c>
    </row>
    <row r="1430" spans="1:26" x14ac:dyDescent="0.3">
      <c r="A1430">
        <v>1429</v>
      </c>
      <c r="B1430" s="2">
        <f t="shared" si="154"/>
        <v>45351.5</v>
      </c>
      <c r="C1430" t="s">
        <v>3390</v>
      </c>
      <c r="D1430" t="s">
        <v>84</v>
      </c>
      <c r="E1430" t="str">
        <f>PROPER(TRIM(CLEAN(Sales_Table[[#This Row],[Region]])))</f>
        <v>South</v>
      </c>
      <c r="F1430" t="s">
        <v>46</v>
      </c>
      <c r="G1430" t="str">
        <f t="shared" si="155"/>
        <v>Electronics</v>
      </c>
      <c r="H1430" t="str">
        <f>PROPER(TRIM(CLEAN(Sales_Table[[#This Row],[Product Name]])))</f>
        <v>Men T-Shirt</v>
      </c>
      <c r="I1430" t="s">
        <v>38</v>
      </c>
      <c r="J1430" t="str">
        <f t="shared" si="156"/>
        <v>CUST0782</v>
      </c>
      <c r="K1430" t="s">
        <v>2602</v>
      </c>
      <c r="L1430" t="str">
        <f>PROPER(TRIM(CLEAN(Sales_Table[[#This Row],[Salesperson]])))</f>
        <v>Anita</v>
      </c>
      <c r="M1430" t="s">
        <v>64</v>
      </c>
      <c r="N1430" t="str">
        <f t="shared" si="157"/>
        <v>Cash</v>
      </c>
      <c r="O1430" t="s">
        <v>32</v>
      </c>
      <c r="P1430">
        <f t="shared" si="158"/>
        <v>10</v>
      </c>
      <c r="Q1430" t="s">
        <v>117</v>
      </c>
      <c r="R1430">
        <f t="shared" si="159"/>
        <v>2686</v>
      </c>
      <c r="S1430" t="s">
        <v>3391</v>
      </c>
      <c r="T1430">
        <f t="shared" si="160"/>
        <v>26860</v>
      </c>
      <c r="U1430">
        <f>YEAR(Sales_Table[[#This Row],[Date_clean]])</f>
        <v>2024</v>
      </c>
      <c r="V1430" t="str">
        <f>TEXT(Sales_Table[[#This Row],[Date_clean]],"mmmm")</f>
        <v>February</v>
      </c>
      <c r="W1430">
        <f>WEEKNUM(Sales_Table[[#This Row],[Date_clean]],2)</f>
        <v>9</v>
      </c>
      <c r="X1430" t="str" cm="1">
        <f t="array" ref="X1430">_xlfn.IFS(Sales_Table[[#This Row],[Revenue]]&gt;=50000,"High",Sales_Table[[#This Row],[Revenue]]&gt;=20000,"Medium",Sales_Table[[#This Row],[Revenue]]&lt;20000,"Low")</f>
        <v>Medium</v>
      </c>
      <c r="Y1430" t="str">
        <f>IF(Sales_Table[[#This Row],[Payment Method_clean]]="cash","Offline","Online")</f>
        <v>Offline</v>
      </c>
      <c r="Z1430">
        <f>IFERROR(Sales_Table[[#This Row],[Revenue]],0)</f>
        <v>26860</v>
      </c>
    </row>
    <row r="1431" spans="1:26" x14ac:dyDescent="0.3">
      <c r="A1431">
        <v>1430</v>
      </c>
      <c r="B1431" s="2">
        <f t="shared" si="154"/>
        <v>45351.541666666664</v>
      </c>
      <c r="C1431" t="s">
        <v>3392</v>
      </c>
      <c r="D1431" t="s">
        <v>27</v>
      </c>
      <c r="E1431" t="str">
        <f>PROPER(TRIM(CLEAN(Sales_Table[[#This Row],[Region]])))</f>
        <v>East</v>
      </c>
      <c r="F1431" t="s">
        <v>46</v>
      </c>
      <c r="G1431" t="str">
        <f t="shared" si="155"/>
        <v>Electronics</v>
      </c>
      <c r="H1431" t="str">
        <f>PROPER(TRIM(CLEAN(Sales_Table[[#This Row],[Product Name]])))</f>
        <v>Led Tv 42Inch</v>
      </c>
      <c r="I1431" t="s">
        <v>58</v>
      </c>
      <c r="J1431" t="str">
        <f t="shared" si="156"/>
        <v>CUST0334</v>
      </c>
      <c r="K1431" t="s">
        <v>2463</v>
      </c>
      <c r="L1431" t="str">
        <f>PROPER(TRIM(CLEAN(Sales_Table[[#This Row],[Salesperson]])))</f>
        <v>Suresh</v>
      </c>
      <c r="M1431" t="s">
        <v>54</v>
      </c>
      <c r="N1431" t="str">
        <f t="shared" si="157"/>
        <v>Net Banking</v>
      </c>
      <c r="O1431" t="s">
        <v>60</v>
      </c>
      <c r="P1431">
        <f t="shared" si="158"/>
        <v>4</v>
      </c>
      <c r="Q1431" t="s">
        <v>113</v>
      </c>
      <c r="R1431">
        <f t="shared" si="159"/>
        <v>1243</v>
      </c>
      <c r="S1431" t="s">
        <v>3393</v>
      </c>
      <c r="T1431">
        <f t="shared" si="160"/>
        <v>4972</v>
      </c>
      <c r="U1431">
        <f>YEAR(Sales_Table[[#This Row],[Date_clean]])</f>
        <v>2024</v>
      </c>
      <c r="V1431" t="str">
        <f>TEXT(Sales_Table[[#This Row],[Date_clean]],"mmmm")</f>
        <v>February</v>
      </c>
      <c r="W1431">
        <f>WEEKNUM(Sales_Table[[#This Row],[Date_clean]],2)</f>
        <v>9</v>
      </c>
      <c r="X1431" t="str" cm="1">
        <f t="array" ref="X1431">_xlfn.IFS(Sales_Table[[#This Row],[Revenue]]&gt;=50000,"High",Sales_Table[[#This Row],[Revenue]]&gt;=20000,"Medium",Sales_Table[[#This Row],[Revenue]]&lt;20000,"Low")</f>
        <v>Low</v>
      </c>
      <c r="Y1431" t="str">
        <f>IF(Sales_Table[[#This Row],[Payment Method_clean]]="cash","Offline","Online")</f>
        <v>Online</v>
      </c>
      <c r="Z1431">
        <f>IFERROR(Sales_Table[[#This Row],[Revenue]],0)</f>
        <v>4972</v>
      </c>
    </row>
    <row r="1432" spans="1:26" x14ac:dyDescent="0.3">
      <c r="A1432">
        <v>1431</v>
      </c>
      <c r="B1432" s="2">
        <f t="shared" si="154"/>
        <v>45351.583333333336</v>
      </c>
      <c r="C1432" t="s">
        <v>3394</v>
      </c>
      <c r="D1432" t="s">
        <v>45</v>
      </c>
      <c r="E1432" t="str">
        <f>PROPER(TRIM(CLEAN(Sales_Table[[#This Row],[Region]])))</f>
        <v>North</v>
      </c>
      <c r="F1432" t="s">
        <v>28</v>
      </c>
      <c r="G1432" t="str">
        <f t="shared" si="155"/>
        <v>Clothing</v>
      </c>
      <c r="H1432" t="str">
        <f>PROPER(TRIM(CLEAN(Sales_Table[[#This Row],[Product Name]])))</f>
        <v>Laptop</v>
      </c>
      <c r="I1432" t="s">
        <v>52</v>
      </c>
      <c r="J1432" t="str">
        <f t="shared" si="156"/>
        <v>CUST0547</v>
      </c>
      <c r="K1432" t="s">
        <v>3395</v>
      </c>
      <c r="L1432" t="str">
        <f>PROPER(TRIM(CLEAN(Sales_Table[[#This Row],[Salesperson]])))</f>
        <v>Suresh</v>
      </c>
      <c r="M1432" t="s">
        <v>54</v>
      </c>
      <c r="N1432" t="str">
        <f t="shared" si="157"/>
        <v>Debit Card</v>
      </c>
      <c r="O1432" t="s">
        <v>41</v>
      </c>
      <c r="P1432">
        <f t="shared" si="158"/>
        <v>9</v>
      </c>
      <c r="Q1432" t="s">
        <v>130</v>
      </c>
      <c r="R1432">
        <f t="shared" si="159"/>
        <v>1431</v>
      </c>
      <c r="S1432" t="s">
        <v>2951</v>
      </c>
      <c r="T1432">
        <f t="shared" si="160"/>
        <v>12879</v>
      </c>
      <c r="U1432">
        <f>YEAR(Sales_Table[[#This Row],[Date_clean]])</f>
        <v>2024</v>
      </c>
      <c r="V1432" t="str">
        <f>TEXT(Sales_Table[[#This Row],[Date_clean]],"mmmm")</f>
        <v>February</v>
      </c>
      <c r="W1432">
        <f>WEEKNUM(Sales_Table[[#This Row],[Date_clean]],2)</f>
        <v>9</v>
      </c>
      <c r="X1432" t="str" cm="1">
        <f t="array" ref="X1432">_xlfn.IFS(Sales_Table[[#This Row],[Revenue]]&gt;=50000,"High",Sales_Table[[#This Row],[Revenue]]&gt;=20000,"Medium",Sales_Table[[#This Row],[Revenue]]&lt;20000,"Low")</f>
        <v>Low</v>
      </c>
      <c r="Y1432" t="str">
        <f>IF(Sales_Table[[#This Row],[Payment Method_clean]]="cash","Offline","Online")</f>
        <v>Online</v>
      </c>
      <c r="Z1432">
        <f>IFERROR(Sales_Table[[#This Row],[Revenue]],0)</f>
        <v>12879</v>
      </c>
    </row>
    <row r="1433" spans="1:26" x14ac:dyDescent="0.3">
      <c r="A1433">
        <v>1432</v>
      </c>
      <c r="B1433" s="2">
        <f t="shared" si="154"/>
        <v>45351.625</v>
      </c>
      <c r="C1433" t="s">
        <v>3396</v>
      </c>
      <c r="D1433" t="s">
        <v>45</v>
      </c>
      <c r="E1433" t="str">
        <f>PROPER(TRIM(CLEAN(Sales_Table[[#This Row],[Region]])))</f>
        <v>North</v>
      </c>
      <c r="F1433" t="s">
        <v>46</v>
      </c>
      <c r="G1433" t="str">
        <f t="shared" si="155"/>
        <v>Electronics</v>
      </c>
      <c r="H1433" t="str">
        <f>PROPER(TRIM(CLEAN(Sales_Table[[#This Row],[Product Name]])))</f>
        <v>Rice 5Kg</v>
      </c>
      <c r="I1433" t="s">
        <v>73</v>
      </c>
      <c r="J1433" t="str">
        <f t="shared" si="156"/>
        <v>CUST0798</v>
      </c>
      <c r="K1433" t="s">
        <v>2274</v>
      </c>
      <c r="L1433" t="str">
        <f>PROPER(TRIM(CLEAN(Sales_Table[[#This Row],[Salesperson]])))</f>
        <v>Karthik</v>
      </c>
      <c r="M1433" t="s">
        <v>70</v>
      </c>
      <c r="N1433" t="str">
        <f t="shared" si="157"/>
        <v>Debit Card</v>
      </c>
      <c r="O1433" t="s">
        <v>41</v>
      </c>
      <c r="P1433">
        <f t="shared" si="158"/>
        <v>7</v>
      </c>
      <c r="Q1433" t="s">
        <v>49</v>
      </c>
      <c r="R1433">
        <f t="shared" si="159"/>
        <v>3448</v>
      </c>
      <c r="S1433" t="s">
        <v>1161</v>
      </c>
      <c r="T1433">
        <f t="shared" si="160"/>
        <v>24136</v>
      </c>
      <c r="U1433">
        <f>YEAR(Sales_Table[[#This Row],[Date_clean]])</f>
        <v>2024</v>
      </c>
      <c r="V1433" t="str">
        <f>TEXT(Sales_Table[[#This Row],[Date_clean]],"mmmm")</f>
        <v>February</v>
      </c>
      <c r="W1433">
        <f>WEEKNUM(Sales_Table[[#This Row],[Date_clean]],2)</f>
        <v>9</v>
      </c>
      <c r="X1433" t="str" cm="1">
        <f t="array" ref="X1433">_xlfn.IFS(Sales_Table[[#This Row],[Revenue]]&gt;=50000,"High",Sales_Table[[#This Row],[Revenue]]&gt;=20000,"Medium",Sales_Table[[#This Row],[Revenue]]&lt;20000,"Low")</f>
        <v>Medium</v>
      </c>
      <c r="Y1433" t="str">
        <f>IF(Sales_Table[[#This Row],[Payment Method_clean]]="cash","Offline","Online")</f>
        <v>Online</v>
      </c>
      <c r="Z1433">
        <f>IFERROR(Sales_Table[[#This Row],[Revenue]],0)</f>
        <v>24136</v>
      </c>
    </row>
    <row r="1434" spans="1:26" x14ac:dyDescent="0.3">
      <c r="A1434">
        <v>1433</v>
      </c>
      <c r="B1434" s="2">
        <f t="shared" si="154"/>
        <v>45351.666666666664</v>
      </c>
      <c r="C1434" t="s">
        <v>3397</v>
      </c>
      <c r="D1434" t="s">
        <v>84</v>
      </c>
      <c r="E1434" t="str">
        <f>PROPER(TRIM(CLEAN(Sales_Table[[#This Row],[Region]])))</f>
        <v>South</v>
      </c>
      <c r="F1434" t="s">
        <v>78</v>
      </c>
      <c r="G1434" t="str">
        <f t="shared" si="155"/>
        <v>Grocery</v>
      </c>
      <c r="H1434" t="str">
        <f>PROPER(TRIM(CLEAN(Sales_Table[[#This Row],[Product Name]])))</f>
        <v>Rice 5Kg</v>
      </c>
      <c r="I1434" t="s">
        <v>73</v>
      </c>
      <c r="J1434" t="str">
        <f t="shared" si="156"/>
        <v>CUST0348</v>
      </c>
      <c r="K1434" t="s">
        <v>80</v>
      </c>
      <c r="L1434" t="str">
        <f>PROPER(TRIM(CLEAN(Sales_Table[[#This Row],[Salesperson]])))</f>
        <v>Rahul</v>
      </c>
      <c r="M1434" t="s">
        <v>31</v>
      </c>
      <c r="N1434" t="str">
        <f t="shared" si="157"/>
        <v>Cash</v>
      </c>
      <c r="O1434" t="s">
        <v>32</v>
      </c>
      <c r="P1434">
        <f t="shared" si="158"/>
        <v>5</v>
      </c>
      <c r="Q1434" t="s">
        <v>89</v>
      </c>
      <c r="R1434">
        <f t="shared" si="159"/>
        <v>1653</v>
      </c>
      <c r="S1434" t="s">
        <v>2008</v>
      </c>
      <c r="T1434">
        <f t="shared" si="160"/>
        <v>8265</v>
      </c>
      <c r="U1434">
        <f>YEAR(Sales_Table[[#This Row],[Date_clean]])</f>
        <v>2024</v>
      </c>
      <c r="V1434" t="str">
        <f>TEXT(Sales_Table[[#This Row],[Date_clean]],"mmmm")</f>
        <v>February</v>
      </c>
      <c r="W1434">
        <f>WEEKNUM(Sales_Table[[#This Row],[Date_clean]],2)</f>
        <v>9</v>
      </c>
      <c r="X1434" t="str" cm="1">
        <f t="array" ref="X1434">_xlfn.IFS(Sales_Table[[#This Row],[Revenue]]&gt;=50000,"High",Sales_Table[[#This Row],[Revenue]]&gt;=20000,"Medium",Sales_Table[[#This Row],[Revenue]]&lt;20000,"Low")</f>
        <v>Low</v>
      </c>
      <c r="Y1434" t="str">
        <f>IF(Sales_Table[[#This Row],[Payment Method_clean]]="cash","Offline","Online")</f>
        <v>Offline</v>
      </c>
      <c r="Z1434">
        <f>IFERROR(Sales_Table[[#This Row],[Revenue]],0)</f>
        <v>8265</v>
      </c>
    </row>
    <row r="1435" spans="1:26" x14ac:dyDescent="0.3">
      <c r="A1435">
        <v>1434</v>
      </c>
      <c r="B1435" s="2">
        <f t="shared" si="154"/>
        <v>45351.708333333336</v>
      </c>
      <c r="C1435" t="s">
        <v>3398</v>
      </c>
      <c r="D1435" t="s">
        <v>36</v>
      </c>
      <c r="E1435" t="str">
        <f>PROPER(TRIM(CLEAN(Sales_Table[[#This Row],[Region]])))</f>
        <v>West</v>
      </c>
      <c r="F1435" t="s">
        <v>28</v>
      </c>
      <c r="G1435" t="str">
        <f t="shared" si="155"/>
        <v>Clothing</v>
      </c>
      <c r="H1435" t="str">
        <f>PROPER(TRIM(CLEAN(Sales_Table[[#This Row],[Product Name]])))</f>
        <v>Mixer Grinder</v>
      </c>
      <c r="I1435" t="s">
        <v>29</v>
      </c>
      <c r="J1435" t="str">
        <f t="shared" si="156"/>
        <v>CUST0273</v>
      </c>
      <c r="K1435" t="s">
        <v>1378</v>
      </c>
      <c r="L1435" t="str">
        <f>PROPER(TRIM(CLEAN(Sales_Table[[#This Row],[Salesperson]])))</f>
        <v>Meena</v>
      </c>
      <c r="M1435" t="s">
        <v>40</v>
      </c>
      <c r="N1435" t="str">
        <f t="shared" si="157"/>
        <v>Net Banking</v>
      </c>
      <c r="O1435" t="s">
        <v>60</v>
      </c>
      <c r="P1435">
        <f t="shared" si="158"/>
        <v>5</v>
      </c>
      <c r="Q1435" t="s">
        <v>89</v>
      </c>
      <c r="R1435">
        <f t="shared" si="159"/>
        <v>2442</v>
      </c>
      <c r="S1435" t="s">
        <v>2185</v>
      </c>
      <c r="T1435">
        <f t="shared" si="160"/>
        <v>12210</v>
      </c>
      <c r="U1435">
        <f>YEAR(Sales_Table[[#This Row],[Date_clean]])</f>
        <v>2024</v>
      </c>
      <c r="V1435" t="str">
        <f>TEXT(Sales_Table[[#This Row],[Date_clean]],"mmmm")</f>
        <v>February</v>
      </c>
      <c r="W1435">
        <f>WEEKNUM(Sales_Table[[#This Row],[Date_clean]],2)</f>
        <v>9</v>
      </c>
      <c r="X1435" t="str" cm="1">
        <f t="array" ref="X1435">_xlfn.IFS(Sales_Table[[#This Row],[Revenue]]&gt;=50000,"High",Sales_Table[[#This Row],[Revenue]]&gt;=20000,"Medium",Sales_Table[[#This Row],[Revenue]]&lt;20000,"Low")</f>
        <v>Low</v>
      </c>
      <c r="Y1435" t="str">
        <f>IF(Sales_Table[[#This Row],[Payment Method_clean]]="cash","Offline","Online")</f>
        <v>Online</v>
      </c>
      <c r="Z1435">
        <f>IFERROR(Sales_Table[[#This Row],[Revenue]],0)</f>
        <v>12210</v>
      </c>
    </row>
    <row r="1436" spans="1:26" x14ac:dyDescent="0.3">
      <c r="A1436">
        <v>1435</v>
      </c>
      <c r="B1436" s="2">
        <f t="shared" si="154"/>
        <v>45351.75</v>
      </c>
      <c r="C1436" t="s">
        <v>3399</v>
      </c>
      <c r="D1436" t="s">
        <v>36</v>
      </c>
      <c r="E1436" t="str">
        <f>PROPER(TRIM(CLEAN(Sales_Table[[#This Row],[Region]])))</f>
        <v>West</v>
      </c>
      <c r="F1436" t="s">
        <v>37</v>
      </c>
      <c r="G1436" t="str">
        <f t="shared" si="155"/>
        <v>Home Appliances</v>
      </c>
      <c r="H1436" t="str">
        <f>PROPER(TRIM(CLEAN(Sales_Table[[#This Row],[Product Name]])))</f>
        <v>Mixer Grinder</v>
      </c>
      <c r="I1436" t="s">
        <v>29</v>
      </c>
      <c r="J1436" t="str">
        <f t="shared" si="156"/>
        <v>CUST0720</v>
      </c>
      <c r="K1436" t="s">
        <v>1158</v>
      </c>
      <c r="L1436" t="str">
        <f>PROPER(TRIM(CLEAN(Sales_Table[[#This Row],[Salesperson]])))</f>
        <v>Meena</v>
      </c>
      <c r="M1436" t="s">
        <v>40</v>
      </c>
      <c r="N1436" t="str">
        <f t="shared" si="157"/>
        <v>Debit Card</v>
      </c>
      <c r="O1436" t="s">
        <v>41</v>
      </c>
      <c r="P1436">
        <f t="shared" si="158"/>
        <v>1</v>
      </c>
      <c r="Q1436" t="s">
        <v>93</v>
      </c>
      <c r="R1436">
        <f t="shared" si="159"/>
        <v>1906</v>
      </c>
      <c r="S1436" t="s">
        <v>3400</v>
      </c>
      <c r="T1436">
        <f t="shared" si="160"/>
        <v>1906</v>
      </c>
      <c r="U1436">
        <f>YEAR(Sales_Table[[#This Row],[Date_clean]])</f>
        <v>2024</v>
      </c>
      <c r="V1436" t="str">
        <f>TEXT(Sales_Table[[#This Row],[Date_clean]],"mmmm")</f>
        <v>February</v>
      </c>
      <c r="W1436">
        <f>WEEKNUM(Sales_Table[[#This Row],[Date_clean]],2)</f>
        <v>9</v>
      </c>
      <c r="X1436" t="str" cm="1">
        <f t="array" ref="X1436">_xlfn.IFS(Sales_Table[[#This Row],[Revenue]]&gt;=50000,"High",Sales_Table[[#This Row],[Revenue]]&gt;=20000,"Medium",Sales_Table[[#This Row],[Revenue]]&lt;20000,"Low")</f>
        <v>Low</v>
      </c>
      <c r="Y1436" t="str">
        <f>IF(Sales_Table[[#This Row],[Payment Method_clean]]="cash","Offline","Online")</f>
        <v>Online</v>
      </c>
      <c r="Z1436">
        <f>IFERROR(Sales_Table[[#This Row],[Revenue]],0)</f>
        <v>1906</v>
      </c>
    </row>
    <row r="1437" spans="1:26" x14ac:dyDescent="0.3">
      <c r="A1437">
        <v>1436</v>
      </c>
      <c r="B1437" s="2">
        <f t="shared" si="154"/>
        <v>45351.791666666664</v>
      </c>
      <c r="C1437" t="s">
        <v>3401</v>
      </c>
      <c r="D1437" t="s">
        <v>84</v>
      </c>
      <c r="E1437" t="str">
        <f>PROPER(TRIM(CLEAN(Sales_Table[[#This Row],[Region]])))</f>
        <v>South</v>
      </c>
      <c r="F1437" t="s">
        <v>28</v>
      </c>
      <c r="G1437" t="str">
        <f t="shared" si="155"/>
        <v>Clothing</v>
      </c>
      <c r="H1437" t="str">
        <f>PROPER(TRIM(CLEAN(Sales_Table[[#This Row],[Product Name]])))</f>
        <v>Rice 5Kg</v>
      </c>
      <c r="I1437" t="s">
        <v>73</v>
      </c>
      <c r="J1437" t="str">
        <f t="shared" si="156"/>
        <v>CUST0750</v>
      </c>
      <c r="K1437" t="s">
        <v>1695</v>
      </c>
      <c r="L1437" t="str">
        <f>PROPER(TRIM(CLEAN(Sales_Table[[#This Row],[Salesperson]])))</f>
        <v>Karthik</v>
      </c>
      <c r="M1437" t="s">
        <v>70</v>
      </c>
      <c r="N1437" t="str">
        <f t="shared" si="157"/>
        <v>Debit Card</v>
      </c>
      <c r="O1437" t="s">
        <v>41</v>
      </c>
      <c r="P1437">
        <f t="shared" si="158"/>
        <v>2</v>
      </c>
      <c r="Q1437" t="s">
        <v>196</v>
      </c>
      <c r="R1437">
        <f t="shared" si="159"/>
        <v>2200</v>
      </c>
      <c r="S1437" t="s">
        <v>3402</v>
      </c>
      <c r="T1437">
        <f t="shared" si="160"/>
        <v>4400</v>
      </c>
      <c r="U1437">
        <f>YEAR(Sales_Table[[#This Row],[Date_clean]])</f>
        <v>2024</v>
      </c>
      <c r="V1437" t="str">
        <f>TEXT(Sales_Table[[#This Row],[Date_clean]],"mmmm")</f>
        <v>February</v>
      </c>
      <c r="W1437">
        <f>WEEKNUM(Sales_Table[[#This Row],[Date_clean]],2)</f>
        <v>9</v>
      </c>
      <c r="X1437" t="str" cm="1">
        <f t="array" ref="X1437">_xlfn.IFS(Sales_Table[[#This Row],[Revenue]]&gt;=50000,"High",Sales_Table[[#This Row],[Revenue]]&gt;=20000,"Medium",Sales_Table[[#This Row],[Revenue]]&lt;20000,"Low")</f>
        <v>Low</v>
      </c>
      <c r="Y1437" t="str">
        <f>IF(Sales_Table[[#This Row],[Payment Method_clean]]="cash","Offline","Online")</f>
        <v>Online</v>
      </c>
      <c r="Z1437">
        <f>IFERROR(Sales_Table[[#This Row],[Revenue]],0)</f>
        <v>4400</v>
      </c>
    </row>
    <row r="1438" spans="1:26" x14ac:dyDescent="0.3">
      <c r="A1438">
        <v>1437</v>
      </c>
      <c r="B1438" s="2">
        <f t="shared" si="154"/>
        <v>45351.833333333336</v>
      </c>
      <c r="C1438" t="s">
        <v>3403</v>
      </c>
      <c r="D1438" t="s">
        <v>84</v>
      </c>
      <c r="E1438" t="str">
        <f>PROPER(TRIM(CLEAN(Sales_Table[[#This Row],[Region]])))</f>
        <v>South</v>
      </c>
      <c r="F1438" t="s">
        <v>78</v>
      </c>
      <c r="G1438" t="str">
        <f t="shared" si="155"/>
        <v>Grocery</v>
      </c>
      <c r="H1438" t="str">
        <f>PROPER(TRIM(CLEAN(Sales_Table[[#This Row],[Product Name]])))</f>
        <v>Men T-Shirt</v>
      </c>
      <c r="I1438" t="s">
        <v>38</v>
      </c>
      <c r="J1438" t="str">
        <f t="shared" si="156"/>
        <v>CUST0414</v>
      </c>
      <c r="K1438" t="s">
        <v>53</v>
      </c>
      <c r="L1438" t="str">
        <f>PROPER(TRIM(CLEAN(Sales_Table[[#This Row],[Salesperson]])))</f>
        <v>Meena</v>
      </c>
      <c r="M1438" t="s">
        <v>40</v>
      </c>
      <c r="N1438" t="str">
        <f t="shared" si="157"/>
        <v>Debit Card</v>
      </c>
      <c r="O1438" t="s">
        <v>41</v>
      </c>
      <c r="P1438">
        <f t="shared" si="158"/>
        <v>10</v>
      </c>
      <c r="Q1438" t="s">
        <v>117</v>
      </c>
      <c r="R1438">
        <f t="shared" si="159"/>
        <v>905</v>
      </c>
      <c r="S1438" t="s">
        <v>3404</v>
      </c>
      <c r="T1438">
        <f t="shared" si="160"/>
        <v>9050</v>
      </c>
      <c r="U1438">
        <f>YEAR(Sales_Table[[#This Row],[Date_clean]])</f>
        <v>2024</v>
      </c>
      <c r="V1438" t="str">
        <f>TEXT(Sales_Table[[#This Row],[Date_clean]],"mmmm")</f>
        <v>February</v>
      </c>
      <c r="W1438">
        <f>WEEKNUM(Sales_Table[[#This Row],[Date_clean]],2)</f>
        <v>9</v>
      </c>
      <c r="X1438" t="str" cm="1">
        <f t="array" ref="X1438">_xlfn.IFS(Sales_Table[[#This Row],[Revenue]]&gt;=50000,"High",Sales_Table[[#This Row],[Revenue]]&gt;=20000,"Medium",Sales_Table[[#This Row],[Revenue]]&lt;20000,"Low")</f>
        <v>Low</v>
      </c>
      <c r="Y1438" t="str">
        <f>IF(Sales_Table[[#This Row],[Payment Method_clean]]="cash","Offline","Online")</f>
        <v>Online</v>
      </c>
      <c r="Z1438">
        <f>IFERROR(Sales_Table[[#This Row],[Revenue]],0)</f>
        <v>9050</v>
      </c>
    </row>
    <row r="1439" spans="1:26" x14ac:dyDescent="0.3">
      <c r="A1439">
        <v>1438</v>
      </c>
      <c r="B1439" s="2">
        <f t="shared" si="154"/>
        <v>45351.875</v>
      </c>
      <c r="C1439" t="s">
        <v>3405</v>
      </c>
      <c r="D1439" t="s">
        <v>45</v>
      </c>
      <c r="E1439" t="str">
        <f>PROPER(TRIM(CLEAN(Sales_Table[[#This Row],[Region]])))</f>
        <v>North</v>
      </c>
      <c r="F1439" t="s">
        <v>28</v>
      </c>
      <c r="G1439" t="str">
        <f t="shared" si="155"/>
        <v>Clothing</v>
      </c>
      <c r="H1439" t="str">
        <f>PROPER(TRIM(CLEAN(Sales_Table[[#This Row],[Product Name]])))</f>
        <v>Washing Machine</v>
      </c>
      <c r="I1439" t="s">
        <v>79</v>
      </c>
      <c r="J1439" t="str">
        <f t="shared" si="156"/>
        <v>CUST0500</v>
      </c>
      <c r="K1439" t="s">
        <v>138</v>
      </c>
      <c r="L1439" t="str">
        <f>PROPER(TRIM(CLEAN(Sales_Table[[#This Row],[Salesperson]])))</f>
        <v>Suresh</v>
      </c>
      <c r="M1439" t="s">
        <v>54</v>
      </c>
      <c r="N1439" t="str">
        <f t="shared" si="157"/>
        <v>Net Banking</v>
      </c>
      <c r="O1439" t="s">
        <v>60</v>
      </c>
      <c r="P1439">
        <f t="shared" si="158"/>
        <v>3</v>
      </c>
      <c r="Q1439" t="s">
        <v>66</v>
      </c>
      <c r="R1439">
        <f t="shared" si="159"/>
        <v>4247</v>
      </c>
      <c r="S1439" t="s">
        <v>3406</v>
      </c>
      <c r="T1439">
        <f t="shared" si="160"/>
        <v>12741</v>
      </c>
      <c r="U1439">
        <f>YEAR(Sales_Table[[#This Row],[Date_clean]])</f>
        <v>2024</v>
      </c>
      <c r="V1439" t="str">
        <f>TEXT(Sales_Table[[#This Row],[Date_clean]],"mmmm")</f>
        <v>February</v>
      </c>
      <c r="W1439">
        <f>WEEKNUM(Sales_Table[[#This Row],[Date_clean]],2)</f>
        <v>9</v>
      </c>
      <c r="X1439" t="str" cm="1">
        <f t="array" ref="X1439">_xlfn.IFS(Sales_Table[[#This Row],[Revenue]]&gt;=50000,"High",Sales_Table[[#This Row],[Revenue]]&gt;=20000,"Medium",Sales_Table[[#This Row],[Revenue]]&lt;20000,"Low")</f>
        <v>Low</v>
      </c>
      <c r="Y1439" t="str">
        <f>IF(Sales_Table[[#This Row],[Payment Method_clean]]="cash","Offline","Online")</f>
        <v>Online</v>
      </c>
      <c r="Z1439">
        <f>IFERROR(Sales_Table[[#This Row],[Revenue]],0)</f>
        <v>12741</v>
      </c>
    </row>
    <row r="1440" spans="1:26" x14ac:dyDescent="0.3">
      <c r="A1440">
        <v>1439</v>
      </c>
      <c r="B1440" s="2">
        <f t="shared" si="154"/>
        <v>45351.916666666664</v>
      </c>
      <c r="C1440" t="s">
        <v>3407</v>
      </c>
      <c r="D1440" t="s">
        <v>36</v>
      </c>
      <c r="E1440" t="str">
        <f>PROPER(TRIM(CLEAN(Sales_Table[[#This Row],[Region]])))</f>
        <v>West</v>
      </c>
      <c r="F1440" t="s">
        <v>28</v>
      </c>
      <c r="G1440" t="str">
        <f t="shared" si="155"/>
        <v>Clothing</v>
      </c>
      <c r="H1440" t="str">
        <f>PROPER(TRIM(CLEAN(Sales_Table[[#This Row],[Product Name]])))</f>
        <v>Washing Machine</v>
      </c>
      <c r="I1440" t="s">
        <v>79</v>
      </c>
      <c r="J1440" t="str">
        <f t="shared" si="156"/>
        <v>CUST0093</v>
      </c>
      <c r="K1440" t="s">
        <v>731</v>
      </c>
      <c r="L1440" t="str">
        <f>PROPER(TRIM(CLEAN(Sales_Table[[#This Row],[Salesperson]])))</f>
        <v>Karthik</v>
      </c>
      <c r="M1440" t="s">
        <v>70</v>
      </c>
      <c r="N1440" t="str">
        <f t="shared" si="157"/>
        <v>Cash</v>
      </c>
      <c r="O1440" t="s">
        <v>32</v>
      </c>
      <c r="P1440">
        <f t="shared" si="158"/>
        <v>14</v>
      </c>
      <c r="Q1440" t="s">
        <v>55</v>
      </c>
      <c r="R1440">
        <f t="shared" si="159"/>
        <v>2875</v>
      </c>
      <c r="S1440" t="s">
        <v>3408</v>
      </c>
      <c r="T1440">
        <f t="shared" si="160"/>
        <v>40250</v>
      </c>
      <c r="U1440">
        <f>YEAR(Sales_Table[[#This Row],[Date_clean]])</f>
        <v>2024</v>
      </c>
      <c r="V1440" t="str">
        <f>TEXT(Sales_Table[[#This Row],[Date_clean]],"mmmm")</f>
        <v>February</v>
      </c>
      <c r="W1440">
        <f>WEEKNUM(Sales_Table[[#This Row],[Date_clean]],2)</f>
        <v>9</v>
      </c>
      <c r="X1440" t="str" cm="1">
        <f t="array" ref="X1440">_xlfn.IFS(Sales_Table[[#This Row],[Revenue]]&gt;=50000,"High",Sales_Table[[#This Row],[Revenue]]&gt;=20000,"Medium",Sales_Table[[#This Row],[Revenue]]&lt;20000,"Low")</f>
        <v>Medium</v>
      </c>
      <c r="Y1440" t="str">
        <f>IF(Sales_Table[[#This Row],[Payment Method_clean]]="cash","Offline","Online")</f>
        <v>Offline</v>
      </c>
      <c r="Z1440">
        <f>IFERROR(Sales_Table[[#This Row],[Revenue]],0)</f>
        <v>40250</v>
      </c>
    </row>
    <row r="1441" spans="1:26" x14ac:dyDescent="0.3">
      <c r="A1441">
        <v>1440</v>
      </c>
      <c r="B1441" s="2">
        <f t="shared" si="154"/>
        <v>45351.958333333336</v>
      </c>
      <c r="C1441" t="s">
        <v>3409</v>
      </c>
      <c r="D1441" t="s">
        <v>27</v>
      </c>
      <c r="E1441" t="str">
        <f>PROPER(TRIM(CLEAN(Sales_Table[[#This Row],[Region]])))</f>
        <v>East</v>
      </c>
      <c r="F1441" t="s">
        <v>78</v>
      </c>
      <c r="G1441" t="str">
        <f t="shared" si="155"/>
        <v>Grocery</v>
      </c>
      <c r="H1441" t="str">
        <f>PROPER(TRIM(CLEAN(Sales_Table[[#This Row],[Product Name]])))</f>
        <v>Laptop</v>
      </c>
      <c r="I1441" t="s">
        <v>52</v>
      </c>
      <c r="J1441" t="str">
        <f t="shared" si="156"/>
        <v>CUST0685</v>
      </c>
      <c r="K1441" t="s">
        <v>329</v>
      </c>
      <c r="L1441" t="str">
        <f>PROPER(TRIM(CLEAN(Sales_Table[[#This Row],[Salesperson]])))</f>
        <v>Anita</v>
      </c>
      <c r="M1441" t="s">
        <v>64</v>
      </c>
      <c r="N1441" t="str">
        <f t="shared" si="157"/>
        <v>Debit Card</v>
      </c>
      <c r="O1441" t="s">
        <v>41</v>
      </c>
      <c r="P1441">
        <f t="shared" si="158"/>
        <v>14</v>
      </c>
      <c r="Q1441" t="s">
        <v>55</v>
      </c>
      <c r="R1441">
        <f t="shared" si="159"/>
        <v>171</v>
      </c>
      <c r="S1441" t="s">
        <v>3200</v>
      </c>
      <c r="T1441">
        <f t="shared" si="160"/>
        <v>2394</v>
      </c>
      <c r="U1441">
        <f>YEAR(Sales_Table[[#This Row],[Date_clean]])</f>
        <v>2024</v>
      </c>
      <c r="V1441" t="str">
        <f>TEXT(Sales_Table[[#This Row],[Date_clean]],"mmmm")</f>
        <v>February</v>
      </c>
      <c r="W1441">
        <f>WEEKNUM(Sales_Table[[#This Row],[Date_clean]],2)</f>
        <v>9</v>
      </c>
      <c r="X1441" t="str" cm="1">
        <f t="array" ref="X1441">_xlfn.IFS(Sales_Table[[#This Row],[Revenue]]&gt;=50000,"High",Sales_Table[[#This Row],[Revenue]]&gt;=20000,"Medium",Sales_Table[[#This Row],[Revenue]]&lt;20000,"Low")</f>
        <v>Low</v>
      </c>
      <c r="Y1441" t="str">
        <f>IF(Sales_Table[[#This Row],[Payment Method_clean]]="cash","Offline","Online")</f>
        <v>Online</v>
      </c>
      <c r="Z1441">
        <f>IFERROR(Sales_Table[[#This Row],[Revenue]],0)</f>
        <v>2394</v>
      </c>
    </row>
    <row r="1442" spans="1:26" x14ac:dyDescent="0.3">
      <c r="A1442">
        <v>1441</v>
      </c>
      <c r="B1442" s="2">
        <f t="shared" si="154"/>
        <v>45352</v>
      </c>
      <c r="C1442" t="s">
        <v>3410</v>
      </c>
      <c r="D1442" t="s">
        <v>45</v>
      </c>
      <c r="E1442" t="str">
        <f>PROPER(TRIM(CLEAN(Sales_Table[[#This Row],[Region]])))</f>
        <v>North</v>
      </c>
      <c r="F1442" t="s">
        <v>28</v>
      </c>
      <c r="G1442" t="str">
        <f t="shared" si="155"/>
        <v>Clothing</v>
      </c>
      <c r="H1442" t="str">
        <f>PROPER(TRIM(CLEAN(Sales_Table[[#This Row],[Product Name]])))</f>
        <v>Rice 5Kg</v>
      </c>
      <c r="I1442" t="s">
        <v>73</v>
      </c>
      <c r="J1442" t="str">
        <f t="shared" si="156"/>
        <v>CUST0079</v>
      </c>
      <c r="K1442" t="s">
        <v>3411</v>
      </c>
      <c r="L1442" t="str">
        <f>PROPER(TRIM(CLEAN(Sales_Table[[#This Row],[Salesperson]])))</f>
        <v>Rahul</v>
      </c>
      <c r="M1442" t="s">
        <v>31</v>
      </c>
      <c r="N1442" t="str">
        <f t="shared" si="157"/>
        <v>Upi</v>
      </c>
      <c r="O1442" t="s">
        <v>48</v>
      </c>
      <c r="P1442">
        <f t="shared" si="158"/>
        <v>8</v>
      </c>
      <c r="Q1442" t="s">
        <v>42</v>
      </c>
      <c r="R1442">
        <f t="shared" si="159"/>
        <v>127</v>
      </c>
      <c r="S1442" t="s">
        <v>3412</v>
      </c>
      <c r="T1442">
        <f t="shared" si="160"/>
        <v>1016</v>
      </c>
      <c r="U1442">
        <f>YEAR(Sales_Table[[#This Row],[Date_clean]])</f>
        <v>2024</v>
      </c>
      <c r="V1442" t="str">
        <f>TEXT(Sales_Table[[#This Row],[Date_clean]],"mmmm")</f>
        <v>March</v>
      </c>
      <c r="W1442">
        <f>WEEKNUM(Sales_Table[[#This Row],[Date_clean]],2)</f>
        <v>9</v>
      </c>
      <c r="X1442" t="str" cm="1">
        <f t="array" ref="X1442">_xlfn.IFS(Sales_Table[[#This Row],[Revenue]]&gt;=50000,"High",Sales_Table[[#This Row],[Revenue]]&gt;=20000,"Medium",Sales_Table[[#This Row],[Revenue]]&lt;20000,"Low")</f>
        <v>Low</v>
      </c>
      <c r="Y1442" t="str">
        <f>IF(Sales_Table[[#This Row],[Payment Method_clean]]="cash","Offline","Online")</f>
        <v>Online</v>
      </c>
      <c r="Z1442">
        <f>IFERROR(Sales_Table[[#This Row],[Revenue]],0)</f>
        <v>1016</v>
      </c>
    </row>
    <row r="1443" spans="1:26" x14ac:dyDescent="0.3">
      <c r="A1443">
        <v>1442</v>
      </c>
      <c r="B1443" s="2">
        <f t="shared" si="154"/>
        <v>45352.041666666664</v>
      </c>
      <c r="C1443" t="s">
        <v>3413</v>
      </c>
      <c r="D1443" t="s">
        <v>84</v>
      </c>
      <c r="E1443" t="str">
        <f>PROPER(TRIM(CLEAN(Sales_Table[[#This Row],[Region]])))</f>
        <v>South</v>
      </c>
      <c r="F1443" t="s">
        <v>78</v>
      </c>
      <c r="G1443" t="str">
        <f t="shared" si="155"/>
        <v>Grocery</v>
      </c>
      <c r="H1443" t="str">
        <f>PROPER(TRIM(CLEAN(Sales_Table[[#This Row],[Product Name]])))</f>
        <v>Rice 5Kg</v>
      </c>
      <c r="I1443" t="s">
        <v>73</v>
      </c>
      <c r="J1443" t="str">
        <f t="shared" si="156"/>
        <v>CUST0622</v>
      </c>
      <c r="K1443" t="s">
        <v>338</v>
      </c>
      <c r="L1443" t="str">
        <f>PROPER(TRIM(CLEAN(Sales_Table[[#This Row],[Salesperson]])))</f>
        <v>Rahul</v>
      </c>
      <c r="M1443" t="s">
        <v>31</v>
      </c>
      <c r="N1443" t="str">
        <f t="shared" si="157"/>
        <v>Net Banking</v>
      </c>
      <c r="O1443" t="s">
        <v>60</v>
      </c>
      <c r="P1443">
        <f t="shared" si="158"/>
        <v>6</v>
      </c>
      <c r="Q1443" t="s">
        <v>75</v>
      </c>
      <c r="R1443">
        <f t="shared" si="159"/>
        <v>568</v>
      </c>
      <c r="S1443" t="s">
        <v>3414</v>
      </c>
      <c r="T1443">
        <f t="shared" si="160"/>
        <v>3408</v>
      </c>
      <c r="U1443">
        <f>YEAR(Sales_Table[[#This Row],[Date_clean]])</f>
        <v>2024</v>
      </c>
      <c r="V1443" t="str">
        <f>TEXT(Sales_Table[[#This Row],[Date_clean]],"mmmm")</f>
        <v>March</v>
      </c>
      <c r="W1443">
        <f>WEEKNUM(Sales_Table[[#This Row],[Date_clean]],2)</f>
        <v>9</v>
      </c>
      <c r="X1443" t="str" cm="1">
        <f t="array" ref="X1443">_xlfn.IFS(Sales_Table[[#This Row],[Revenue]]&gt;=50000,"High",Sales_Table[[#This Row],[Revenue]]&gt;=20000,"Medium",Sales_Table[[#This Row],[Revenue]]&lt;20000,"Low")</f>
        <v>Low</v>
      </c>
      <c r="Y1443" t="str">
        <f>IF(Sales_Table[[#This Row],[Payment Method_clean]]="cash","Offline","Online")</f>
        <v>Online</v>
      </c>
      <c r="Z1443">
        <f>IFERROR(Sales_Table[[#This Row],[Revenue]],0)</f>
        <v>3408</v>
      </c>
    </row>
    <row r="1444" spans="1:26" x14ac:dyDescent="0.3">
      <c r="A1444">
        <v>1443</v>
      </c>
      <c r="B1444" s="2">
        <f t="shared" si="154"/>
        <v>45352.083333333336</v>
      </c>
      <c r="C1444" t="s">
        <v>3415</v>
      </c>
      <c r="D1444" t="s">
        <v>36</v>
      </c>
      <c r="E1444" t="str">
        <f>PROPER(TRIM(CLEAN(Sales_Table[[#This Row],[Region]])))</f>
        <v>West</v>
      </c>
      <c r="F1444" t="s">
        <v>78</v>
      </c>
      <c r="G1444" t="str">
        <f t="shared" si="155"/>
        <v>Grocery</v>
      </c>
      <c r="H1444" t="str">
        <f>PROPER(TRIM(CLEAN(Sales_Table[[#This Row],[Product Name]])))</f>
        <v>Rice 5Kg</v>
      </c>
      <c r="I1444" t="s">
        <v>73</v>
      </c>
      <c r="J1444" t="str">
        <f t="shared" si="156"/>
        <v>CUST0217</v>
      </c>
      <c r="K1444" t="s">
        <v>416</v>
      </c>
      <c r="L1444" t="str">
        <f>PROPER(TRIM(CLEAN(Sales_Table[[#This Row],[Salesperson]])))</f>
        <v>Rahul</v>
      </c>
      <c r="M1444" t="s">
        <v>31</v>
      </c>
      <c r="N1444" t="str">
        <f t="shared" si="157"/>
        <v>Credit Card</v>
      </c>
      <c r="O1444" t="s">
        <v>65</v>
      </c>
      <c r="P1444">
        <f t="shared" si="158"/>
        <v>12</v>
      </c>
      <c r="Q1444" t="s">
        <v>33</v>
      </c>
      <c r="R1444">
        <f t="shared" si="159"/>
        <v>4083</v>
      </c>
      <c r="S1444" t="s">
        <v>3416</v>
      </c>
      <c r="T1444">
        <f t="shared" si="160"/>
        <v>48996</v>
      </c>
      <c r="U1444">
        <f>YEAR(Sales_Table[[#This Row],[Date_clean]])</f>
        <v>2024</v>
      </c>
      <c r="V1444" t="str">
        <f>TEXT(Sales_Table[[#This Row],[Date_clean]],"mmmm")</f>
        <v>March</v>
      </c>
      <c r="W1444">
        <f>WEEKNUM(Sales_Table[[#This Row],[Date_clean]],2)</f>
        <v>9</v>
      </c>
      <c r="X1444" t="str" cm="1">
        <f t="array" ref="X1444">_xlfn.IFS(Sales_Table[[#This Row],[Revenue]]&gt;=50000,"High",Sales_Table[[#This Row],[Revenue]]&gt;=20000,"Medium",Sales_Table[[#This Row],[Revenue]]&lt;20000,"Low")</f>
        <v>Medium</v>
      </c>
      <c r="Y1444" t="str">
        <f>IF(Sales_Table[[#This Row],[Payment Method_clean]]="cash","Offline","Online")</f>
        <v>Online</v>
      </c>
      <c r="Z1444">
        <f>IFERROR(Sales_Table[[#This Row],[Revenue]],0)</f>
        <v>48996</v>
      </c>
    </row>
    <row r="1445" spans="1:26" x14ac:dyDescent="0.3">
      <c r="A1445">
        <v>1444</v>
      </c>
      <c r="B1445" s="2">
        <f t="shared" si="154"/>
        <v>45352.125</v>
      </c>
      <c r="C1445" t="s">
        <v>3417</v>
      </c>
      <c r="D1445" t="s">
        <v>27</v>
      </c>
      <c r="E1445" t="str">
        <f>PROPER(TRIM(CLEAN(Sales_Table[[#This Row],[Region]])))</f>
        <v>East</v>
      </c>
      <c r="F1445" t="s">
        <v>37</v>
      </c>
      <c r="G1445" t="str">
        <f t="shared" si="155"/>
        <v>Home Appliances</v>
      </c>
      <c r="H1445" t="str">
        <f>PROPER(TRIM(CLEAN(Sales_Table[[#This Row],[Product Name]])))</f>
        <v>Men T-Shirt</v>
      </c>
      <c r="I1445" t="s">
        <v>38</v>
      </c>
      <c r="J1445" t="str">
        <f t="shared" si="156"/>
        <v>CUST0358</v>
      </c>
      <c r="K1445" t="s">
        <v>942</v>
      </c>
      <c r="L1445" t="str">
        <f>PROPER(TRIM(CLEAN(Sales_Table[[#This Row],[Salesperson]])))</f>
        <v>Suresh</v>
      </c>
      <c r="M1445" t="s">
        <v>54</v>
      </c>
      <c r="N1445" t="str">
        <f t="shared" si="157"/>
        <v>Cash</v>
      </c>
      <c r="O1445" t="s">
        <v>32</v>
      </c>
      <c r="P1445">
        <f t="shared" si="158"/>
        <v>10</v>
      </c>
      <c r="Q1445" t="s">
        <v>117</v>
      </c>
      <c r="R1445">
        <f t="shared" si="159"/>
        <v>863</v>
      </c>
      <c r="S1445" t="s">
        <v>142</v>
      </c>
      <c r="T1445">
        <f t="shared" si="160"/>
        <v>8630</v>
      </c>
      <c r="U1445">
        <f>YEAR(Sales_Table[[#This Row],[Date_clean]])</f>
        <v>2024</v>
      </c>
      <c r="V1445" t="str">
        <f>TEXT(Sales_Table[[#This Row],[Date_clean]],"mmmm")</f>
        <v>March</v>
      </c>
      <c r="W1445">
        <f>WEEKNUM(Sales_Table[[#This Row],[Date_clean]],2)</f>
        <v>9</v>
      </c>
      <c r="X1445" t="str" cm="1">
        <f t="array" ref="X1445">_xlfn.IFS(Sales_Table[[#This Row],[Revenue]]&gt;=50000,"High",Sales_Table[[#This Row],[Revenue]]&gt;=20000,"Medium",Sales_Table[[#This Row],[Revenue]]&lt;20000,"Low")</f>
        <v>Low</v>
      </c>
      <c r="Y1445" t="str">
        <f>IF(Sales_Table[[#This Row],[Payment Method_clean]]="cash","Offline","Online")</f>
        <v>Offline</v>
      </c>
      <c r="Z1445">
        <f>IFERROR(Sales_Table[[#This Row],[Revenue]],0)</f>
        <v>8630</v>
      </c>
    </row>
    <row r="1446" spans="1:26" x14ac:dyDescent="0.3">
      <c r="A1446">
        <v>1445</v>
      </c>
      <c r="B1446" s="2">
        <f t="shared" si="154"/>
        <v>45352.166666666664</v>
      </c>
      <c r="C1446" t="s">
        <v>3418</v>
      </c>
      <c r="D1446" t="s">
        <v>27</v>
      </c>
      <c r="E1446" t="str">
        <f>PROPER(TRIM(CLEAN(Sales_Table[[#This Row],[Region]])))</f>
        <v>East</v>
      </c>
      <c r="F1446" t="s">
        <v>46</v>
      </c>
      <c r="G1446" t="str">
        <f t="shared" si="155"/>
        <v>Electronics</v>
      </c>
      <c r="H1446" t="str">
        <f>PROPER(TRIM(CLEAN(Sales_Table[[#This Row],[Product Name]])))</f>
        <v>Mixer Grinder</v>
      </c>
      <c r="I1446" t="s">
        <v>29</v>
      </c>
      <c r="J1446" t="str">
        <f t="shared" si="156"/>
        <v>CUST0618</v>
      </c>
      <c r="K1446" t="s">
        <v>2323</v>
      </c>
      <c r="L1446" t="str">
        <f>PROPER(TRIM(CLEAN(Sales_Table[[#This Row],[Salesperson]])))</f>
        <v>Anita</v>
      </c>
      <c r="M1446" t="s">
        <v>64</v>
      </c>
      <c r="N1446" t="str">
        <f t="shared" si="157"/>
        <v>Upi</v>
      </c>
      <c r="O1446" t="s">
        <v>48</v>
      </c>
      <c r="P1446">
        <f t="shared" si="158"/>
        <v>11</v>
      </c>
      <c r="Q1446" t="s">
        <v>97</v>
      </c>
      <c r="R1446">
        <f t="shared" si="159"/>
        <v>1524</v>
      </c>
      <c r="S1446" t="s">
        <v>3419</v>
      </c>
      <c r="T1446">
        <f t="shared" si="160"/>
        <v>16764</v>
      </c>
      <c r="U1446">
        <f>YEAR(Sales_Table[[#This Row],[Date_clean]])</f>
        <v>2024</v>
      </c>
      <c r="V1446" t="str">
        <f>TEXT(Sales_Table[[#This Row],[Date_clean]],"mmmm")</f>
        <v>March</v>
      </c>
      <c r="W1446">
        <f>WEEKNUM(Sales_Table[[#This Row],[Date_clean]],2)</f>
        <v>9</v>
      </c>
      <c r="X1446" t="str" cm="1">
        <f t="array" ref="X1446">_xlfn.IFS(Sales_Table[[#This Row],[Revenue]]&gt;=50000,"High",Sales_Table[[#This Row],[Revenue]]&gt;=20000,"Medium",Sales_Table[[#This Row],[Revenue]]&lt;20000,"Low")</f>
        <v>Low</v>
      </c>
      <c r="Y1446" t="str">
        <f>IF(Sales_Table[[#This Row],[Payment Method_clean]]="cash","Offline","Online")</f>
        <v>Online</v>
      </c>
      <c r="Z1446">
        <f>IFERROR(Sales_Table[[#This Row],[Revenue]],0)</f>
        <v>16764</v>
      </c>
    </row>
    <row r="1447" spans="1:26" x14ac:dyDescent="0.3">
      <c r="A1447">
        <v>1446</v>
      </c>
      <c r="B1447" s="2">
        <f t="shared" si="154"/>
        <v>45352.208333333336</v>
      </c>
      <c r="C1447" t="s">
        <v>3420</v>
      </c>
      <c r="D1447" t="s">
        <v>45</v>
      </c>
      <c r="E1447" t="str">
        <f>PROPER(TRIM(CLEAN(Sales_Table[[#This Row],[Region]])))</f>
        <v>North</v>
      </c>
      <c r="F1447" t="s">
        <v>46</v>
      </c>
      <c r="G1447" t="str">
        <f t="shared" si="155"/>
        <v>Electronics</v>
      </c>
      <c r="H1447" t="str">
        <f>PROPER(TRIM(CLEAN(Sales_Table[[#This Row],[Product Name]])))</f>
        <v>Rice 5Kg</v>
      </c>
      <c r="I1447" t="s">
        <v>73</v>
      </c>
      <c r="J1447" t="str">
        <f t="shared" si="156"/>
        <v>CUST0507</v>
      </c>
      <c r="K1447" t="s">
        <v>3421</v>
      </c>
      <c r="L1447" t="str">
        <f>PROPER(TRIM(CLEAN(Sales_Table[[#This Row],[Salesperson]])))</f>
        <v>Karthik</v>
      </c>
      <c r="M1447" t="s">
        <v>70</v>
      </c>
      <c r="N1447" t="str">
        <f t="shared" si="157"/>
        <v>Debit Card</v>
      </c>
      <c r="O1447" t="s">
        <v>41</v>
      </c>
      <c r="P1447">
        <f t="shared" si="158"/>
        <v>13</v>
      </c>
      <c r="Q1447" t="s">
        <v>81</v>
      </c>
      <c r="R1447">
        <f t="shared" si="159"/>
        <v>2348</v>
      </c>
      <c r="S1447" t="s">
        <v>3422</v>
      </c>
      <c r="T1447">
        <f t="shared" si="160"/>
        <v>30524</v>
      </c>
      <c r="U1447">
        <f>YEAR(Sales_Table[[#This Row],[Date_clean]])</f>
        <v>2024</v>
      </c>
      <c r="V1447" t="str">
        <f>TEXT(Sales_Table[[#This Row],[Date_clean]],"mmmm")</f>
        <v>March</v>
      </c>
      <c r="W1447">
        <f>WEEKNUM(Sales_Table[[#This Row],[Date_clean]],2)</f>
        <v>9</v>
      </c>
      <c r="X1447" t="str" cm="1">
        <f t="array" ref="X1447">_xlfn.IFS(Sales_Table[[#This Row],[Revenue]]&gt;=50000,"High",Sales_Table[[#This Row],[Revenue]]&gt;=20000,"Medium",Sales_Table[[#This Row],[Revenue]]&lt;20000,"Low")</f>
        <v>Medium</v>
      </c>
      <c r="Y1447" t="str">
        <f>IF(Sales_Table[[#This Row],[Payment Method_clean]]="cash","Offline","Online")</f>
        <v>Online</v>
      </c>
      <c r="Z1447">
        <f>IFERROR(Sales_Table[[#This Row],[Revenue]],0)</f>
        <v>30524</v>
      </c>
    </row>
    <row r="1448" spans="1:26" x14ac:dyDescent="0.3">
      <c r="A1448">
        <v>1447</v>
      </c>
      <c r="B1448" s="2">
        <f t="shared" si="154"/>
        <v>45352.25</v>
      </c>
      <c r="C1448" t="s">
        <v>3423</v>
      </c>
      <c r="D1448" t="s">
        <v>36</v>
      </c>
      <c r="E1448" t="str">
        <f>PROPER(TRIM(CLEAN(Sales_Table[[#This Row],[Region]])))</f>
        <v>West</v>
      </c>
      <c r="F1448" t="s">
        <v>28</v>
      </c>
      <c r="G1448" t="str">
        <f t="shared" si="155"/>
        <v>Clothing</v>
      </c>
      <c r="H1448" t="str">
        <f>PROPER(TRIM(CLEAN(Sales_Table[[#This Row],[Product Name]])))</f>
        <v>Rice 5Kg</v>
      </c>
      <c r="I1448" t="s">
        <v>73</v>
      </c>
      <c r="J1448" t="str">
        <f t="shared" si="156"/>
        <v>CUST0559</v>
      </c>
      <c r="K1448" t="s">
        <v>2801</v>
      </c>
      <c r="L1448" t="str">
        <f>PROPER(TRIM(CLEAN(Sales_Table[[#This Row],[Salesperson]])))</f>
        <v>Karthik</v>
      </c>
      <c r="M1448" t="s">
        <v>70</v>
      </c>
      <c r="N1448" t="str">
        <f t="shared" si="157"/>
        <v>Credit Card</v>
      </c>
      <c r="O1448" t="s">
        <v>65</v>
      </c>
      <c r="P1448">
        <f t="shared" si="158"/>
        <v>14</v>
      </c>
      <c r="Q1448" t="s">
        <v>55</v>
      </c>
      <c r="R1448">
        <f t="shared" si="159"/>
        <v>3932</v>
      </c>
      <c r="S1448" t="s">
        <v>3424</v>
      </c>
      <c r="T1448">
        <f t="shared" si="160"/>
        <v>55048</v>
      </c>
      <c r="U1448">
        <f>YEAR(Sales_Table[[#This Row],[Date_clean]])</f>
        <v>2024</v>
      </c>
      <c r="V1448" t="str">
        <f>TEXT(Sales_Table[[#This Row],[Date_clean]],"mmmm")</f>
        <v>March</v>
      </c>
      <c r="W1448">
        <f>WEEKNUM(Sales_Table[[#This Row],[Date_clean]],2)</f>
        <v>9</v>
      </c>
      <c r="X1448" t="str" cm="1">
        <f t="array" ref="X1448">_xlfn.IFS(Sales_Table[[#This Row],[Revenue]]&gt;=50000,"High",Sales_Table[[#This Row],[Revenue]]&gt;=20000,"Medium",Sales_Table[[#This Row],[Revenue]]&lt;20000,"Low")</f>
        <v>High</v>
      </c>
      <c r="Y1448" t="str">
        <f>IF(Sales_Table[[#This Row],[Payment Method_clean]]="cash","Offline","Online")</f>
        <v>Online</v>
      </c>
      <c r="Z1448">
        <f>IFERROR(Sales_Table[[#This Row],[Revenue]],0)</f>
        <v>55048</v>
      </c>
    </row>
    <row r="1449" spans="1:26" x14ac:dyDescent="0.3">
      <c r="A1449">
        <v>1448</v>
      </c>
      <c r="B1449" s="2">
        <f t="shared" si="154"/>
        <v>45352.291666666664</v>
      </c>
      <c r="C1449" t="s">
        <v>3425</v>
      </c>
      <c r="D1449" t="s">
        <v>36</v>
      </c>
      <c r="E1449" t="str">
        <f>PROPER(TRIM(CLEAN(Sales_Table[[#This Row],[Region]])))</f>
        <v>West</v>
      </c>
      <c r="F1449" t="s">
        <v>28</v>
      </c>
      <c r="G1449" t="str">
        <f t="shared" si="155"/>
        <v>Clothing</v>
      </c>
      <c r="H1449" t="str">
        <f>PROPER(TRIM(CLEAN(Sales_Table[[#This Row],[Product Name]])))</f>
        <v>Led Tv 42Inch</v>
      </c>
      <c r="I1449" t="s">
        <v>58</v>
      </c>
      <c r="J1449" t="str">
        <f t="shared" si="156"/>
        <v>CUST0181</v>
      </c>
      <c r="K1449" t="s">
        <v>846</v>
      </c>
      <c r="L1449" t="str">
        <f>PROPER(TRIM(CLEAN(Sales_Table[[#This Row],[Salesperson]])))</f>
        <v>Rahul</v>
      </c>
      <c r="M1449" t="s">
        <v>31</v>
      </c>
      <c r="N1449" t="str">
        <f t="shared" si="157"/>
        <v>Cash</v>
      </c>
      <c r="O1449" t="s">
        <v>32</v>
      </c>
      <c r="P1449">
        <f t="shared" si="158"/>
        <v>5</v>
      </c>
      <c r="Q1449" t="s">
        <v>89</v>
      </c>
      <c r="R1449">
        <f t="shared" si="159"/>
        <v>4160</v>
      </c>
      <c r="S1449" t="s">
        <v>3426</v>
      </c>
      <c r="T1449">
        <f t="shared" si="160"/>
        <v>20800</v>
      </c>
      <c r="U1449">
        <f>YEAR(Sales_Table[[#This Row],[Date_clean]])</f>
        <v>2024</v>
      </c>
      <c r="V1449" t="str">
        <f>TEXT(Sales_Table[[#This Row],[Date_clean]],"mmmm")</f>
        <v>March</v>
      </c>
      <c r="W1449">
        <f>WEEKNUM(Sales_Table[[#This Row],[Date_clean]],2)</f>
        <v>9</v>
      </c>
      <c r="X1449" t="str" cm="1">
        <f t="array" ref="X1449">_xlfn.IFS(Sales_Table[[#This Row],[Revenue]]&gt;=50000,"High",Sales_Table[[#This Row],[Revenue]]&gt;=20000,"Medium",Sales_Table[[#This Row],[Revenue]]&lt;20000,"Low")</f>
        <v>Medium</v>
      </c>
      <c r="Y1449" t="str">
        <f>IF(Sales_Table[[#This Row],[Payment Method_clean]]="cash","Offline","Online")</f>
        <v>Offline</v>
      </c>
      <c r="Z1449">
        <f>IFERROR(Sales_Table[[#This Row],[Revenue]],0)</f>
        <v>20800</v>
      </c>
    </row>
    <row r="1450" spans="1:26" x14ac:dyDescent="0.3">
      <c r="A1450">
        <v>1449</v>
      </c>
      <c r="B1450" s="2">
        <f t="shared" si="154"/>
        <v>45352.333333333336</v>
      </c>
      <c r="C1450" t="s">
        <v>3427</v>
      </c>
      <c r="D1450" t="s">
        <v>84</v>
      </c>
      <c r="E1450" t="str">
        <f>PROPER(TRIM(CLEAN(Sales_Table[[#This Row],[Region]])))</f>
        <v>South</v>
      </c>
      <c r="F1450" t="s">
        <v>37</v>
      </c>
      <c r="G1450" t="str">
        <f t="shared" si="155"/>
        <v>Home Appliances</v>
      </c>
      <c r="H1450" t="str">
        <f>PROPER(TRIM(CLEAN(Sales_Table[[#This Row],[Product Name]])))</f>
        <v>Men T-Shirt</v>
      </c>
      <c r="I1450" t="s">
        <v>38</v>
      </c>
      <c r="J1450" t="str">
        <f t="shared" si="156"/>
        <v>CUST0576</v>
      </c>
      <c r="K1450" t="s">
        <v>192</v>
      </c>
      <c r="L1450" t="str">
        <f>PROPER(TRIM(CLEAN(Sales_Table[[#This Row],[Salesperson]])))</f>
        <v>Anita</v>
      </c>
      <c r="M1450" t="s">
        <v>64</v>
      </c>
      <c r="N1450" t="str">
        <f t="shared" si="157"/>
        <v>Net Banking</v>
      </c>
      <c r="O1450" t="s">
        <v>60</v>
      </c>
      <c r="P1450">
        <f t="shared" si="158"/>
        <v>13</v>
      </c>
      <c r="Q1450" t="s">
        <v>81</v>
      </c>
      <c r="R1450">
        <f t="shared" si="159"/>
        <v>4170</v>
      </c>
      <c r="S1450" t="s">
        <v>2057</v>
      </c>
      <c r="T1450">
        <f t="shared" si="160"/>
        <v>54210</v>
      </c>
      <c r="U1450">
        <f>YEAR(Sales_Table[[#This Row],[Date_clean]])</f>
        <v>2024</v>
      </c>
      <c r="V1450" t="str">
        <f>TEXT(Sales_Table[[#This Row],[Date_clean]],"mmmm")</f>
        <v>March</v>
      </c>
      <c r="W1450">
        <f>WEEKNUM(Sales_Table[[#This Row],[Date_clean]],2)</f>
        <v>9</v>
      </c>
      <c r="X1450" t="str" cm="1">
        <f t="array" ref="X1450">_xlfn.IFS(Sales_Table[[#This Row],[Revenue]]&gt;=50000,"High",Sales_Table[[#This Row],[Revenue]]&gt;=20000,"Medium",Sales_Table[[#This Row],[Revenue]]&lt;20000,"Low")</f>
        <v>High</v>
      </c>
      <c r="Y1450" t="str">
        <f>IF(Sales_Table[[#This Row],[Payment Method_clean]]="cash","Offline","Online")</f>
        <v>Online</v>
      </c>
      <c r="Z1450">
        <f>IFERROR(Sales_Table[[#This Row],[Revenue]],0)</f>
        <v>54210</v>
      </c>
    </row>
    <row r="1451" spans="1:26" x14ac:dyDescent="0.3">
      <c r="A1451">
        <v>1450</v>
      </c>
      <c r="B1451" s="2">
        <f t="shared" si="154"/>
        <v>45352.375</v>
      </c>
      <c r="C1451" t="s">
        <v>3428</v>
      </c>
      <c r="D1451" t="s">
        <v>36</v>
      </c>
      <c r="E1451" t="str">
        <f>PROPER(TRIM(CLEAN(Sales_Table[[#This Row],[Region]])))</f>
        <v>West</v>
      </c>
      <c r="F1451" t="s">
        <v>37</v>
      </c>
      <c r="G1451" t="str">
        <f t="shared" si="155"/>
        <v>Home Appliances</v>
      </c>
      <c r="H1451" t="str">
        <f>PROPER(TRIM(CLEAN(Sales_Table[[#This Row],[Product Name]])))</f>
        <v>Laptop</v>
      </c>
      <c r="I1451" t="s">
        <v>52</v>
      </c>
      <c r="J1451" t="str">
        <f t="shared" si="156"/>
        <v>CUST0246</v>
      </c>
      <c r="K1451" t="s">
        <v>1826</v>
      </c>
      <c r="L1451" t="str">
        <f>PROPER(TRIM(CLEAN(Sales_Table[[#This Row],[Salesperson]])))</f>
        <v>Anita</v>
      </c>
      <c r="M1451" t="s">
        <v>64</v>
      </c>
      <c r="N1451" t="str">
        <f t="shared" si="157"/>
        <v>Credit Card</v>
      </c>
      <c r="O1451" t="s">
        <v>65</v>
      </c>
      <c r="P1451">
        <f t="shared" si="158"/>
        <v>1</v>
      </c>
      <c r="Q1451" t="s">
        <v>93</v>
      </c>
      <c r="R1451">
        <f t="shared" si="159"/>
        <v>1775</v>
      </c>
      <c r="S1451" t="s">
        <v>2464</v>
      </c>
      <c r="T1451">
        <f t="shared" si="160"/>
        <v>1775</v>
      </c>
      <c r="U1451">
        <f>YEAR(Sales_Table[[#This Row],[Date_clean]])</f>
        <v>2024</v>
      </c>
      <c r="V1451" t="str">
        <f>TEXT(Sales_Table[[#This Row],[Date_clean]],"mmmm")</f>
        <v>March</v>
      </c>
      <c r="W1451">
        <f>WEEKNUM(Sales_Table[[#This Row],[Date_clean]],2)</f>
        <v>9</v>
      </c>
      <c r="X1451" t="str" cm="1">
        <f t="array" ref="X1451">_xlfn.IFS(Sales_Table[[#This Row],[Revenue]]&gt;=50000,"High",Sales_Table[[#This Row],[Revenue]]&gt;=20000,"Medium",Sales_Table[[#This Row],[Revenue]]&lt;20000,"Low")</f>
        <v>Low</v>
      </c>
      <c r="Y1451" t="str">
        <f>IF(Sales_Table[[#This Row],[Payment Method_clean]]="cash","Offline","Online")</f>
        <v>Online</v>
      </c>
      <c r="Z1451">
        <f>IFERROR(Sales_Table[[#This Row],[Revenue]],0)</f>
        <v>1775</v>
      </c>
    </row>
    <row r="1452" spans="1:26" x14ac:dyDescent="0.3">
      <c r="A1452">
        <v>1451</v>
      </c>
      <c r="B1452" s="2">
        <f t="shared" si="154"/>
        <v>45352.416666666664</v>
      </c>
      <c r="C1452" t="s">
        <v>3429</v>
      </c>
      <c r="D1452" t="s">
        <v>36</v>
      </c>
      <c r="E1452" t="str">
        <f>PROPER(TRIM(CLEAN(Sales_Table[[#This Row],[Region]])))</f>
        <v>West</v>
      </c>
      <c r="F1452" t="s">
        <v>37</v>
      </c>
      <c r="G1452" t="str">
        <f t="shared" si="155"/>
        <v>Home Appliances</v>
      </c>
      <c r="H1452" t="str">
        <f>PROPER(TRIM(CLEAN(Sales_Table[[#This Row],[Product Name]])))</f>
        <v>Rice 5Kg</v>
      </c>
      <c r="I1452" t="s">
        <v>73</v>
      </c>
      <c r="J1452" t="str">
        <f t="shared" si="156"/>
        <v>CUST0244</v>
      </c>
      <c r="K1452" t="s">
        <v>1645</v>
      </c>
      <c r="L1452" t="str">
        <f>PROPER(TRIM(CLEAN(Sales_Table[[#This Row],[Salesperson]])))</f>
        <v>Anita</v>
      </c>
      <c r="M1452" t="s">
        <v>64</v>
      </c>
      <c r="N1452" t="str">
        <f t="shared" si="157"/>
        <v>Credit Card</v>
      </c>
      <c r="O1452" t="s">
        <v>65</v>
      </c>
      <c r="P1452">
        <f t="shared" si="158"/>
        <v>12</v>
      </c>
      <c r="Q1452" t="s">
        <v>33</v>
      </c>
      <c r="R1452">
        <f t="shared" si="159"/>
        <v>659</v>
      </c>
      <c r="S1452" t="s">
        <v>3430</v>
      </c>
      <c r="T1452">
        <f t="shared" si="160"/>
        <v>7908</v>
      </c>
      <c r="U1452">
        <f>YEAR(Sales_Table[[#This Row],[Date_clean]])</f>
        <v>2024</v>
      </c>
      <c r="V1452" t="str">
        <f>TEXT(Sales_Table[[#This Row],[Date_clean]],"mmmm")</f>
        <v>March</v>
      </c>
      <c r="W1452">
        <f>WEEKNUM(Sales_Table[[#This Row],[Date_clean]],2)</f>
        <v>9</v>
      </c>
      <c r="X1452" t="str" cm="1">
        <f t="array" ref="X1452">_xlfn.IFS(Sales_Table[[#This Row],[Revenue]]&gt;=50000,"High",Sales_Table[[#This Row],[Revenue]]&gt;=20000,"Medium",Sales_Table[[#This Row],[Revenue]]&lt;20000,"Low")</f>
        <v>Low</v>
      </c>
      <c r="Y1452" t="str">
        <f>IF(Sales_Table[[#This Row],[Payment Method_clean]]="cash","Offline","Online")</f>
        <v>Online</v>
      </c>
      <c r="Z1452">
        <f>IFERROR(Sales_Table[[#This Row],[Revenue]],0)</f>
        <v>7908</v>
      </c>
    </row>
    <row r="1453" spans="1:26" x14ac:dyDescent="0.3">
      <c r="A1453">
        <v>1452</v>
      </c>
      <c r="B1453" s="2">
        <f t="shared" si="154"/>
        <v>45352.458333333336</v>
      </c>
      <c r="C1453" t="s">
        <v>3431</v>
      </c>
      <c r="D1453" t="s">
        <v>45</v>
      </c>
      <c r="E1453" t="str">
        <f>PROPER(TRIM(CLEAN(Sales_Table[[#This Row],[Region]])))</f>
        <v>North</v>
      </c>
      <c r="F1453" t="s">
        <v>78</v>
      </c>
      <c r="G1453" t="str">
        <f t="shared" si="155"/>
        <v>Grocery</v>
      </c>
      <c r="H1453" t="str">
        <f>PROPER(TRIM(CLEAN(Sales_Table[[#This Row],[Product Name]])))</f>
        <v>Led Tv 42Inch</v>
      </c>
      <c r="I1453" t="s">
        <v>58</v>
      </c>
      <c r="J1453" t="str">
        <f t="shared" si="156"/>
        <v>CUST0506</v>
      </c>
      <c r="K1453" t="s">
        <v>1574</v>
      </c>
      <c r="L1453" t="str">
        <f>PROPER(TRIM(CLEAN(Sales_Table[[#This Row],[Salesperson]])))</f>
        <v>Meena</v>
      </c>
      <c r="M1453" t="s">
        <v>40</v>
      </c>
      <c r="N1453" t="str">
        <f t="shared" si="157"/>
        <v>Upi</v>
      </c>
      <c r="O1453" t="s">
        <v>48</v>
      </c>
      <c r="P1453">
        <f t="shared" si="158"/>
        <v>11</v>
      </c>
      <c r="Q1453" t="s">
        <v>97</v>
      </c>
      <c r="R1453">
        <f t="shared" si="159"/>
        <v>4574</v>
      </c>
      <c r="S1453" t="s">
        <v>3432</v>
      </c>
      <c r="T1453">
        <f t="shared" si="160"/>
        <v>50314</v>
      </c>
      <c r="U1453">
        <f>YEAR(Sales_Table[[#This Row],[Date_clean]])</f>
        <v>2024</v>
      </c>
      <c r="V1453" t="str">
        <f>TEXT(Sales_Table[[#This Row],[Date_clean]],"mmmm")</f>
        <v>March</v>
      </c>
      <c r="W1453">
        <f>WEEKNUM(Sales_Table[[#This Row],[Date_clean]],2)</f>
        <v>9</v>
      </c>
      <c r="X1453" t="str" cm="1">
        <f t="array" ref="X1453">_xlfn.IFS(Sales_Table[[#This Row],[Revenue]]&gt;=50000,"High",Sales_Table[[#This Row],[Revenue]]&gt;=20000,"Medium",Sales_Table[[#This Row],[Revenue]]&lt;20000,"Low")</f>
        <v>High</v>
      </c>
      <c r="Y1453" t="str">
        <f>IF(Sales_Table[[#This Row],[Payment Method_clean]]="cash","Offline","Online")</f>
        <v>Online</v>
      </c>
      <c r="Z1453">
        <f>IFERROR(Sales_Table[[#This Row],[Revenue]],0)</f>
        <v>50314</v>
      </c>
    </row>
    <row r="1454" spans="1:26" x14ac:dyDescent="0.3">
      <c r="A1454">
        <v>1453</v>
      </c>
      <c r="B1454" s="2">
        <f t="shared" si="154"/>
        <v>45352.5</v>
      </c>
      <c r="C1454" t="s">
        <v>3433</v>
      </c>
      <c r="D1454" t="s">
        <v>36</v>
      </c>
      <c r="E1454" t="str">
        <f>PROPER(TRIM(CLEAN(Sales_Table[[#This Row],[Region]])))</f>
        <v>West</v>
      </c>
      <c r="F1454" t="s">
        <v>37</v>
      </c>
      <c r="G1454" t="str">
        <f t="shared" si="155"/>
        <v>Home Appliances</v>
      </c>
      <c r="H1454" t="str">
        <f>PROPER(TRIM(CLEAN(Sales_Table[[#This Row],[Product Name]])))</f>
        <v>Washing Machine</v>
      </c>
      <c r="I1454" t="s">
        <v>79</v>
      </c>
      <c r="J1454" t="str">
        <f t="shared" si="156"/>
        <v>CUST0422</v>
      </c>
      <c r="K1454" t="s">
        <v>1248</v>
      </c>
      <c r="L1454" t="str">
        <f>PROPER(TRIM(CLEAN(Sales_Table[[#This Row],[Salesperson]])))</f>
        <v>Meena</v>
      </c>
      <c r="M1454" t="s">
        <v>40</v>
      </c>
      <c r="N1454" t="str">
        <f t="shared" si="157"/>
        <v>Cash</v>
      </c>
      <c r="O1454" t="s">
        <v>32</v>
      </c>
      <c r="P1454">
        <f t="shared" si="158"/>
        <v>12</v>
      </c>
      <c r="Q1454" t="s">
        <v>33</v>
      </c>
      <c r="R1454">
        <f t="shared" si="159"/>
        <v>3931</v>
      </c>
      <c r="S1454" t="s">
        <v>3434</v>
      </c>
      <c r="T1454">
        <f t="shared" si="160"/>
        <v>47172</v>
      </c>
      <c r="U1454">
        <f>YEAR(Sales_Table[[#This Row],[Date_clean]])</f>
        <v>2024</v>
      </c>
      <c r="V1454" t="str">
        <f>TEXT(Sales_Table[[#This Row],[Date_clean]],"mmmm")</f>
        <v>March</v>
      </c>
      <c r="W1454">
        <f>WEEKNUM(Sales_Table[[#This Row],[Date_clean]],2)</f>
        <v>9</v>
      </c>
      <c r="X1454" t="str" cm="1">
        <f t="array" ref="X1454">_xlfn.IFS(Sales_Table[[#This Row],[Revenue]]&gt;=50000,"High",Sales_Table[[#This Row],[Revenue]]&gt;=20000,"Medium",Sales_Table[[#This Row],[Revenue]]&lt;20000,"Low")</f>
        <v>Medium</v>
      </c>
      <c r="Y1454" t="str">
        <f>IF(Sales_Table[[#This Row],[Payment Method_clean]]="cash","Offline","Online")</f>
        <v>Offline</v>
      </c>
      <c r="Z1454">
        <f>IFERROR(Sales_Table[[#This Row],[Revenue]],0)</f>
        <v>47172</v>
      </c>
    </row>
    <row r="1455" spans="1:26" x14ac:dyDescent="0.3">
      <c r="A1455">
        <v>1454</v>
      </c>
      <c r="B1455" s="2">
        <f t="shared" si="154"/>
        <v>45352.541666666664</v>
      </c>
      <c r="C1455" t="s">
        <v>3435</v>
      </c>
      <c r="D1455" t="s">
        <v>27</v>
      </c>
      <c r="E1455" t="str">
        <f>PROPER(TRIM(CLEAN(Sales_Table[[#This Row],[Region]])))</f>
        <v>East</v>
      </c>
      <c r="F1455" t="s">
        <v>37</v>
      </c>
      <c r="G1455" t="str">
        <f t="shared" si="155"/>
        <v>Home Appliances</v>
      </c>
      <c r="H1455" t="str">
        <f>PROPER(TRIM(CLEAN(Sales_Table[[#This Row],[Product Name]])))</f>
        <v>Laptop</v>
      </c>
      <c r="I1455" t="s">
        <v>52</v>
      </c>
      <c r="J1455" t="str">
        <f t="shared" si="156"/>
        <v>CUST0320</v>
      </c>
      <c r="K1455" t="s">
        <v>3436</v>
      </c>
      <c r="L1455" t="str">
        <f>PROPER(TRIM(CLEAN(Sales_Table[[#This Row],[Salesperson]])))</f>
        <v>Rahul</v>
      </c>
      <c r="M1455" t="s">
        <v>31</v>
      </c>
      <c r="N1455" t="str">
        <f t="shared" si="157"/>
        <v>Upi</v>
      </c>
      <c r="O1455" t="s">
        <v>48</v>
      </c>
      <c r="P1455">
        <f t="shared" si="158"/>
        <v>9</v>
      </c>
      <c r="Q1455" t="s">
        <v>130</v>
      </c>
      <c r="R1455">
        <f t="shared" si="159"/>
        <v>2018</v>
      </c>
      <c r="S1455" t="s">
        <v>3437</v>
      </c>
      <c r="T1455">
        <f t="shared" si="160"/>
        <v>18162</v>
      </c>
      <c r="U1455">
        <f>YEAR(Sales_Table[[#This Row],[Date_clean]])</f>
        <v>2024</v>
      </c>
      <c r="V1455" t="str">
        <f>TEXT(Sales_Table[[#This Row],[Date_clean]],"mmmm")</f>
        <v>March</v>
      </c>
      <c r="W1455">
        <f>WEEKNUM(Sales_Table[[#This Row],[Date_clean]],2)</f>
        <v>9</v>
      </c>
      <c r="X1455" t="str" cm="1">
        <f t="array" ref="X1455">_xlfn.IFS(Sales_Table[[#This Row],[Revenue]]&gt;=50000,"High",Sales_Table[[#This Row],[Revenue]]&gt;=20000,"Medium",Sales_Table[[#This Row],[Revenue]]&lt;20000,"Low")</f>
        <v>Low</v>
      </c>
      <c r="Y1455" t="str">
        <f>IF(Sales_Table[[#This Row],[Payment Method_clean]]="cash","Offline","Online")</f>
        <v>Online</v>
      </c>
      <c r="Z1455">
        <f>IFERROR(Sales_Table[[#This Row],[Revenue]],0)</f>
        <v>18162</v>
      </c>
    </row>
    <row r="1456" spans="1:26" x14ac:dyDescent="0.3">
      <c r="A1456">
        <v>1455</v>
      </c>
      <c r="B1456" s="2">
        <f t="shared" si="154"/>
        <v>45352.583333333336</v>
      </c>
      <c r="C1456" t="s">
        <v>3438</v>
      </c>
      <c r="D1456" t="s">
        <v>45</v>
      </c>
      <c r="E1456" t="str">
        <f>PROPER(TRIM(CLEAN(Sales_Table[[#This Row],[Region]])))</f>
        <v>North</v>
      </c>
      <c r="F1456" t="s">
        <v>28</v>
      </c>
      <c r="G1456" t="str">
        <f t="shared" si="155"/>
        <v>Clothing</v>
      </c>
      <c r="H1456" t="str">
        <f>PROPER(TRIM(CLEAN(Sales_Table[[#This Row],[Product Name]])))</f>
        <v>Rice 5Kg</v>
      </c>
      <c r="I1456" t="s">
        <v>73</v>
      </c>
      <c r="J1456" t="str">
        <f t="shared" si="156"/>
        <v>CUST0087</v>
      </c>
      <c r="K1456" t="s">
        <v>1815</v>
      </c>
      <c r="L1456" t="str">
        <f>PROPER(TRIM(CLEAN(Sales_Table[[#This Row],[Salesperson]])))</f>
        <v>Anita</v>
      </c>
      <c r="M1456" t="s">
        <v>64</v>
      </c>
      <c r="N1456" t="str">
        <f t="shared" si="157"/>
        <v>Upi</v>
      </c>
      <c r="O1456" t="s">
        <v>48</v>
      </c>
      <c r="P1456">
        <f t="shared" si="158"/>
        <v>3</v>
      </c>
      <c r="Q1456" t="s">
        <v>66</v>
      </c>
      <c r="R1456">
        <f t="shared" si="159"/>
        <v>178</v>
      </c>
      <c r="S1456" t="s">
        <v>3439</v>
      </c>
      <c r="T1456">
        <f t="shared" si="160"/>
        <v>534</v>
      </c>
      <c r="U1456">
        <f>YEAR(Sales_Table[[#This Row],[Date_clean]])</f>
        <v>2024</v>
      </c>
      <c r="V1456" t="str">
        <f>TEXT(Sales_Table[[#This Row],[Date_clean]],"mmmm")</f>
        <v>March</v>
      </c>
      <c r="W1456">
        <f>WEEKNUM(Sales_Table[[#This Row],[Date_clean]],2)</f>
        <v>9</v>
      </c>
      <c r="X1456" t="str" cm="1">
        <f t="array" ref="X1456">_xlfn.IFS(Sales_Table[[#This Row],[Revenue]]&gt;=50000,"High",Sales_Table[[#This Row],[Revenue]]&gt;=20000,"Medium",Sales_Table[[#This Row],[Revenue]]&lt;20000,"Low")</f>
        <v>Low</v>
      </c>
      <c r="Y1456" t="str">
        <f>IF(Sales_Table[[#This Row],[Payment Method_clean]]="cash","Offline","Online")</f>
        <v>Online</v>
      </c>
      <c r="Z1456">
        <f>IFERROR(Sales_Table[[#This Row],[Revenue]],0)</f>
        <v>534</v>
      </c>
    </row>
    <row r="1457" spans="1:26" x14ac:dyDescent="0.3">
      <c r="A1457">
        <v>1456</v>
      </c>
      <c r="B1457" s="2">
        <f t="shared" si="154"/>
        <v>45352.625</v>
      </c>
      <c r="C1457" t="s">
        <v>3440</v>
      </c>
      <c r="D1457" t="s">
        <v>45</v>
      </c>
      <c r="E1457" t="str">
        <f>PROPER(TRIM(CLEAN(Sales_Table[[#This Row],[Region]])))</f>
        <v>North</v>
      </c>
      <c r="F1457" t="s">
        <v>37</v>
      </c>
      <c r="G1457" t="str">
        <f t="shared" si="155"/>
        <v>Home Appliances</v>
      </c>
      <c r="H1457" t="str">
        <f>PROPER(TRIM(CLEAN(Sales_Table[[#This Row],[Product Name]])))</f>
        <v>Rice 5Kg</v>
      </c>
      <c r="I1457" t="s">
        <v>73</v>
      </c>
      <c r="J1457" t="str">
        <f t="shared" si="156"/>
        <v>CUST0217</v>
      </c>
      <c r="K1457" t="s">
        <v>416</v>
      </c>
      <c r="L1457" t="str">
        <f>PROPER(TRIM(CLEAN(Sales_Table[[#This Row],[Salesperson]])))</f>
        <v>Anita</v>
      </c>
      <c r="M1457" t="s">
        <v>64</v>
      </c>
      <c r="N1457" t="str">
        <f t="shared" si="157"/>
        <v>Debit Card</v>
      </c>
      <c r="O1457" t="s">
        <v>41</v>
      </c>
      <c r="P1457">
        <f t="shared" si="158"/>
        <v>3</v>
      </c>
      <c r="Q1457" t="s">
        <v>66</v>
      </c>
      <c r="R1457">
        <f t="shared" si="159"/>
        <v>3747</v>
      </c>
      <c r="S1457" t="s">
        <v>3441</v>
      </c>
      <c r="T1457">
        <f t="shared" si="160"/>
        <v>11241</v>
      </c>
      <c r="U1457">
        <f>YEAR(Sales_Table[[#This Row],[Date_clean]])</f>
        <v>2024</v>
      </c>
      <c r="V1457" t="str">
        <f>TEXT(Sales_Table[[#This Row],[Date_clean]],"mmmm")</f>
        <v>March</v>
      </c>
      <c r="W1457">
        <f>WEEKNUM(Sales_Table[[#This Row],[Date_clean]],2)</f>
        <v>9</v>
      </c>
      <c r="X1457" t="str" cm="1">
        <f t="array" ref="X1457">_xlfn.IFS(Sales_Table[[#This Row],[Revenue]]&gt;=50000,"High",Sales_Table[[#This Row],[Revenue]]&gt;=20000,"Medium",Sales_Table[[#This Row],[Revenue]]&lt;20000,"Low")</f>
        <v>Low</v>
      </c>
      <c r="Y1457" t="str">
        <f>IF(Sales_Table[[#This Row],[Payment Method_clean]]="cash","Offline","Online")</f>
        <v>Online</v>
      </c>
      <c r="Z1457">
        <f>IFERROR(Sales_Table[[#This Row],[Revenue]],0)</f>
        <v>11241</v>
      </c>
    </row>
    <row r="1458" spans="1:26" x14ac:dyDescent="0.3">
      <c r="A1458">
        <v>1457</v>
      </c>
      <c r="B1458" s="2">
        <f t="shared" si="154"/>
        <v>45352.666666666664</v>
      </c>
      <c r="C1458" t="s">
        <v>3442</v>
      </c>
      <c r="D1458" t="s">
        <v>84</v>
      </c>
      <c r="E1458" t="str">
        <f>PROPER(TRIM(CLEAN(Sales_Table[[#This Row],[Region]])))</f>
        <v>South</v>
      </c>
      <c r="F1458" t="s">
        <v>78</v>
      </c>
      <c r="G1458" t="str">
        <f t="shared" si="155"/>
        <v>Grocery</v>
      </c>
      <c r="H1458" t="str">
        <f>PROPER(TRIM(CLEAN(Sales_Table[[#This Row],[Product Name]])))</f>
        <v>Led Tv 42Inch</v>
      </c>
      <c r="I1458" t="s">
        <v>58</v>
      </c>
      <c r="J1458" t="str">
        <f t="shared" si="156"/>
        <v>CUST0490</v>
      </c>
      <c r="K1458" t="s">
        <v>195</v>
      </c>
      <c r="L1458" t="str">
        <f>PROPER(TRIM(CLEAN(Sales_Table[[#This Row],[Salesperson]])))</f>
        <v>Karthik</v>
      </c>
      <c r="M1458" t="s">
        <v>70</v>
      </c>
      <c r="N1458" t="str">
        <f t="shared" si="157"/>
        <v>Net Banking</v>
      </c>
      <c r="O1458" t="s">
        <v>60</v>
      </c>
      <c r="P1458">
        <f t="shared" si="158"/>
        <v>2</v>
      </c>
      <c r="Q1458" t="s">
        <v>196</v>
      </c>
      <c r="R1458">
        <f t="shared" si="159"/>
        <v>1131</v>
      </c>
      <c r="S1458" t="s">
        <v>3443</v>
      </c>
      <c r="T1458">
        <f t="shared" si="160"/>
        <v>2262</v>
      </c>
      <c r="U1458">
        <f>YEAR(Sales_Table[[#This Row],[Date_clean]])</f>
        <v>2024</v>
      </c>
      <c r="V1458" t="str">
        <f>TEXT(Sales_Table[[#This Row],[Date_clean]],"mmmm")</f>
        <v>March</v>
      </c>
      <c r="W1458">
        <f>WEEKNUM(Sales_Table[[#This Row],[Date_clean]],2)</f>
        <v>9</v>
      </c>
      <c r="X1458" t="str" cm="1">
        <f t="array" ref="X1458">_xlfn.IFS(Sales_Table[[#This Row],[Revenue]]&gt;=50000,"High",Sales_Table[[#This Row],[Revenue]]&gt;=20000,"Medium",Sales_Table[[#This Row],[Revenue]]&lt;20000,"Low")</f>
        <v>Low</v>
      </c>
      <c r="Y1458" t="str">
        <f>IF(Sales_Table[[#This Row],[Payment Method_clean]]="cash","Offline","Online")</f>
        <v>Online</v>
      </c>
      <c r="Z1458">
        <f>IFERROR(Sales_Table[[#This Row],[Revenue]],0)</f>
        <v>2262</v>
      </c>
    </row>
    <row r="1459" spans="1:26" x14ac:dyDescent="0.3">
      <c r="A1459">
        <v>1458</v>
      </c>
      <c r="B1459" s="2">
        <f t="shared" si="154"/>
        <v>45352.708333333336</v>
      </c>
      <c r="C1459" t="s">
        <v>3444</v>
      </c>
      <c r="D1459" t="s">
        <v>36</v>
      </c>
      <c r="E1459" t="str">
        <f>PROPER(TRIM(CLEAN(Sales_Table[[#This Row],[Region]])))</f>
        <v>West</v>
      </c>
      <c r="F1459" t="s">
        <v>78</v>
      </c>
      <c r="G1459" t="str">
        <f t="shared" si="155"/>
        <v>Grocery</v>
      </c>
      <c r="H1459" t="str">
        <f>PROPER(TRIM(CLEAN(Sales_Table[[#This Row],[Product Name]])))</f>
        <v>Men T-Shirt</v>
      </c>
      <c r="I1459" t="s">
        <v>38</v>
      </c>
      <c r="J1459" t="str">
        <f t="shared" si="156"/>
        <v>CUST0519</v>
      </c>
      <c r="K1459" t="s">
        <v>837</v>
      </c>
      <c r="L1459" t="str">
        <f>PROPER(TRIM(CLEAN(Sales_Table[[#This Row],[Salesperson]])))</f>
        <v>Karthik</v>
      </c>
      <c r="M1459" t="s">
        <v>70</v>
      </c>
      <c r="N1459" t="str">
        <f t="shared" si="157"/>
        <v>Credit Card</v>
      </c>
      <c r="O1459" t="s">
        <v>65</v>
      </c>
      <c r="P1459">
        <f t="shared" si="158"/>
        <v>4</v>
      </c>
      <c r="Q1459" t="s">
        <v>113</v>
      </c>
      <c r="R1459">
        <f t="shared" si="159"/>
        <v>2172</v>
      </c>
      <c r="S1459" t="s">
        <v>3445</v>
      </c>
      <c r="T1459">
        <f t="shared" si="160"/>
        <v>8688</v>
      </c>
      <c r="U1459">
        <f>YEAR(Sales_Table[[#This Row],[Date_clean]])</f>
        <v>2024</v>
      </c>
      <c r="V1459" t="str">
        <f>TEXT(Sales_Table[[#This Row],[Date_clean]],"mmmm")</f>
        <v>March</v>
      </c>
      <c r="W1459">
        <f>WEEKNUM(Sales_Table[[#This Row],[Date_clean]],2)</f>
        <v>9</v>
      </c>
      <c r="X1459" t="str" cm="1">
        <f t="array" ref="X1459">_xlfn.IFS(Sales_Table[[#This Row],[Revenue]]&gt;=50000,"High",Sales_Table[[#This Row],[Revenue]]&gt;=20000,"Medium",Sales_Table[[#This Row],[Revenue]]&lt;20000,"Low")</f>
        <v>Low</v>
      </c>
      <c r="Y1459" t="str">
        <f>IF(Sales_Table[[#This Row],[Payment Method_clean]]="cash","Offline","Online")</f>
        <v>Online</v>
      </c>
      <c r="Z1459">
        <f>IFERROR(Sales_Table[[#This Row],[Revenue]],0)</f>
        <v>8688</v>
      </c>
    </row>
    <row r="1460" spans="1:26" x14ac:dyDescent="0.3">
      <c r="A1460">
        <v>1459</v>
      </c>
      <c r="B1460" s="2">
        <f t="shared" si="154"/>
        <v>45352.75</v>
      </c>
      <c r="C1460" t="s">
        <v>3446</v>
      </c>
      <c r="D1460" t="s">
        <v>84</v>
      </c>
      <c r="E1460" t="str">
        <f>PROPER(TRIM(CLEAN(Sales_Table[[#This Row],[Region]])))</f>
        <v>South</v>
      </c>
      <c r="F1460" t="s">
        <v>28</v>
      </c>
      <c r="G1460" t="str">
        <f t="shared" si="155"/>
        <v>Clothing</v>
      </c>
      <c r="H1460" t="str">
        <f>PROPER(TRIM(CLEAN(Sales_Table[[#This Row],[Product Name]])))</f>
        <v>Rice 5Kg</v>
      </c>
      <c r="I1460" t="s">
        <v>73</v>
      </c>
      <c r="J1460" t="str">
        <f t="shared" si="156"/>
        <v>CUST0278</v>
      </c>
      <c r="K1460" t="s">
        <v>2005</v>
      </c>
      <c r="L1460" t="str">
        <f>PROPER(TRIM(CLEAN(Sales_Table[[#This Row],[Salesperson]])))</f>
        <v>Rahul</v>
      </c>
      <c r="M1460" t="s">
        <v>31</v>
      </c>
      <c r="N1460" t="str">
        <f t="shared" si="157"/>
        <v>Cash</v>
      </c>
      <c r="O1460" t="s">
        <v>32</v>
      </c>
      <c r="P1460">
        <f t="shared" si="158"/>
        <v>12</v>
      </c>
      <c r="Q1460" t="s">
        <v>33</v>
      </c>
      <c r="R1460">
        <f t="shared" si="159"/>
        <v>4645</v>
      </c>
      <c r="S1460" t="s">
        <v>3447</v>
      </c>
      <c r="T1460">
        <f t="shared" si="160"/>
        <v>55740</v>
      </c>
      <c r="U1460">
        <f>YEAR(Sales_Table[[#This Row],[Date_clean]])</f>
        <v>2024</v>
      </c>
      <c r="V1460" t="str">
        <f>TEXT(Sales_Table[[#This Row],[Date_clean]],"mmmm")</f>
        <v>March</v>
      </c>
      <c r="W1460">
        <f>WEEKNUM(Sales_Table[[#This Row],[Date_clean]],2)</f>
        <v>9</v>
      </c>
      <c r="X1460" t="str" cm="1">
        <f t="array" ref="X1460">_xlfn.IFS(Sales_Table[[#This Row],[Revenue]]&gt;=50000,"High",Sales_Table[[#This Row],[Revenue]]&gt;=20000,"Medium",Sales_Table[[#This Row],[Revenue]]&lt;20000,"Low")</f>
        <v>High</v>
      </c>
      <c r="Y1460" t="str">
        <f>IF(Sales_Table[[#This Row],[Payment Method_clean]]="cash","Offline","Online")</f>
        <v>Offline</v>
      </c>
      <c r="Z1460">
        <f>IFERROR(Sales_Table[[#This Row],[Revenue]],0)</f>
        <v>55740</v>
      </c>
    </row>
    <row r="1461" spans="1:26" x14ac:dyDescent="0.3">
      <c r="A1461">
        <v>1460</v>
      </c>
      <c r="B1461" s="2">
        <f t="shared" si="154"/>
        <v>45352.791666666664</v>
      </c>
      <c r="C1461" t="s">
        <v>3448</v>
      </c>
      <c r="D1461" t="s">
        <v>27</v>
      </c>
      <c r="E1461" t="str">
        <f>PROPER(TRIM(CLEAN(Sales_Table[[#This Row],[Region]])))</f>
        <v>East</v>
      </c>
      <c r="F1461" t="s">
        <v>37</v>
      </c>
      <c r="G1461" t="str">
        <f t="shared" si="155"/>
        <v>Home Appliances</v>
      </c>
      <c r="H1461" t="str">
        <f>PROPER(TRIM(CLEAN(Sales_Table[[#This Row],[Product Name]])))</f>
        <v>Washing Machine</v>
      </c>
      <c r="I1461" t="s">
        <v>79</v>
      </c>
      <c r="J1461" t="str">
        <f t="shared" si="156"/>
        <v>CUST0722</v>
      </c>
      <c r="K1461" t="s">
        <v>677</v>
      </c>
      <c r="L1461" t="str">
        <f>PROPER(TRIM(CLEAN(Sales_Table[[#This Row],[Salesperson]])))</f>
        <v>Anita</v>
      </c>
      <c r="M1461" t="s">
        <v>64</v>
      </c>
      <c r="N1461" t="str">
        <f t="shared" si="157"/>
        <v>Net Banking</v>
      </c>
      <c r="O1461" t="s">
        <v>60</v>
      </c>
      <c r="P1461">
        <f t="shared" si="158"/>
        <v>2</v>
      </c>
      <c r="Q1461" t="s">
        <v>196</v>
      </c>
      <c r="R1461">
        <f t="shared" si="159"/>
        <v>1584</v>
      </c>
      <c r="S1461" t="s">
        <v>3449</v>
      </c>
      <c r="T1461">
        <f t="shared" si="160"/>
        <v>3168</v>
      </c>
      <c r="U1461">
        <f>YEAR(Sales_Table[[#This Row],[Date_clean]])</f>
        <v>2024</v>
      </c>
      <c r="V1461" t="str">
        <f>TEXT(Sales_Table[[#This Row],[Date_clean]],"mmmm")</f>
        <v>March</v>
      </c>
      <c r="W1461">
        <f>WEEKNUM(Sales_Table[[#This Row],[Date_clean]],2)</f>
        <v>9</v>
      </c>
      <c r="X1461" t="str" cm="1">
        <f t="array" ref="X1461">_xlfn.IFS(Sales_Table[[#This Row],[Revenue]]&gt;=50000,"High",Sales_Table[[#This Row],[Revenue]]&gt;=20000,"Medium",Sales_Table[[#This Row],[Revenue]]&lt;20000,"Low")</f>
        <v>Low</v>
      </c>
      <c r="Y1461" t="str">
        <f>IF(Sales_Table[[#This Row],[Payment Method_clean]]="cash","Offline","Online")</f>
        <v>Online</v>
      </c>
      <c r="Z1461">
        <f>IFERROR(Sales_Table[[#This Row],[Revenue]],0)</f>
        <v>3168</v>
      </c>
    </row>
    <row r="1462" spans="1:26" x14ac:dyDescent="0.3">
      <c r="A1462">
        <v>1461</v>
      </c>
      <c r="B1462" s="2">
        <f t="shared" si="154"/>
        <v>45352.833333333336</v>
      </c>
      <c r="C1462" t="s">
        <v>3450</v>
      </c>
      <c r="D1462" t="s">
        <v>45</v>
      </c>
      <c r="E1462" t="str">
        <f>PROPER(TRIM(CLEAN(Sales_Table[[#This Row],[Region]])))</f>
        <v>North</v>
      </c>
      <c r="F1462" t="s">
        <v>37</v>
      </c>
      <c r="G1462" t="str">
        <f t="shared" si="155"/>
        <v>Home Appliances</v>
      </c>
      <c r="H1462" t="str">
        <f>PROPER(TRIM(CLEAN(Sales_Table[[#This Row],[Product Name]])))</f>
        <v>Rice 5Kg</v>
      </c>
      <c r="I1462" t="s">
        <v>73</v>
      </c>
      <c r="J1462" t="str">
        <f t="shared" si="156"/>
        <v>CUST0169</v>
      </c>
      <c r="K1462" t="s">
        <v>3451</v>
      </c>
      <c r="L1462" t="str">
        <f>PROPER(TRIM(CLEAN(Sales_Table[[#This Row],[Salesperson]])))</f>
        <v>Rahul</v>
      </c>
      <c r="M1462" t="s">
        <v>31</v>
      </c>
      <c r="N1462" t="str">
        <f t="shared" si="157"/>
        <v>Net Banking</v>
      </c>
      <c r="O1462" t="s">
        <v>60</v>
      </c>
      <c r="P1462">
        <f t="shared" si="158"/>
        <v>13</v>
      </c>
      <c r="Q1462" t="s">
        <v>81</v>
      </c>
      <c r="R1462">
        <f t="shared" si="159"/>
        <v>2345</v>
      </c>
      <c r="S1462" t="s">
        <v>3452</v>
      </c>
      <c r="T1462">
        <f t="shared" si="160"/>
        <v>30485</v>
      </c>
      <c r="U1462">
        <f>YEAR(Sales_Table[[#This Row],[Date_clean]])</f>
        <v>2024</v>
      </c>
      <c r="V1462" t="str">
        <f>TEXT(Sales_Table[[#This Row],[Date_clean]],"mmmm")</f>
        <v>March</v>
      </c>
      <c r="W1462">
        <f>WEEKNUM(Sales_Table[[#This Row],[Date_clean]],2)</f>
        <v>9</v>
      </c>
      <c r="X1462" t="str" cm="1">
        <f t="array" ref="X1462">_xlfn.IFS(Sales_Table[[#This Row],[Revenue]]&gt;=50000,"High",Sales_Table[[#This Row],[Revenue]]&gt;=20000,"Medium",Sales_Table[[#This Row],[Revenue]]&lt;20000,"Low")</f>
        <v>Medium</v>
      </c>
      <c r="Y1462" t="str">
        <f>IF(Sales_Table[[#This Row],[Payment Method_clean]]="cash","Offline","Online")</f>
        <v>Online</v>
      </c>
      <c r="Z1462">
        <f>IFERROR(Sales_Table[[#This Row],[Revenue]],0)</f>
        <v>30485</v>
      </c>
    </row>
    <row r="1463" spans="1:26" x14ac:dyDescent="0.3">
      <c r="A1463">
        <v>1462</v>
      </c>
      <c r="B1463" s="2">
        <f t="shared" si="154"/>
        <v>45352.875</v>
      </c>
      <c r="C1463" t="s">
        <v>3453</v>
      </c>
      <c r="D1463" t="s">
        <v>45</v>
      </c>
      <c r="E1463" t="str">
        <f>PROPER(TRIM(CLEAN(Sales_Table[[#This Row],[Region]])))</f>
        <v>North</v>
      </c>
      <c r="F1463" t="s">
        <v>78</v>
      </c>
      <c r="G1463" t="str">
        <f t="shared" si="155"/>
        <v>Grocery</v>
      </c>
      <c r="H1463" t="str">
        <f>PROPER(TRIM(CLEAN(Sales_Table[[#This Row],[Product Name]])))</f>
        <v>Washing Machine</v>
      </c>
      <c r="I1463" t="s">
        <v>79</v>
      </c>
      <c r="J1463" t="str">
        <f t="shared" si="156"/>
        <v>CUST0330</v>
      </c>
      <c r="K1463" t="s">
        <v>3454</v>
      </c>
      <c r="L1463" t="str">
        <f>PROPER(TRIM(CLEAN(Sales_Table[[#This Row],[Salesperson]])))</f>
        <v>Karthik</v>
      </c>
      <c r="M1463" t="s">
        <v>70</v>
      </c>
      <c r="N1463" t="str">
        <f t="shared" si="157"/>
        <v>Cash</v>
      </c>
      <c r="O1463" t="s">
        <v>32</v>
      </c>
      <c r="P1463">
        <f t="shared" si="158"/>
        <v>9</v>
      </c>
      <c r="Q1463" t="s">
        <v>130</v>
      </c>
      <c r="R1463">
        <f t="shared" si="159"/>
        <v>1650</v>
      </c>
      <c r="S1463" t="s">
        <v>3455</v>
      </c>
      <c r="T1463">
        <f t="shared" si="160"/>
        <v>14850</v>
      </c>
      <c r="U1463">
        <f>YEAR(Sales_Table[[#This Row],[Date_clean]])</f>
        <v>2024</v>
      </c>
      <c r="V1463" t="str">
        <f>TEXT(Sales_Table[[#This Row],[Date_clean]],"mmmm")</f>
        <v>March</v>
      </c>
      <c r="W1463">
        <f>WEEKNUM(Sales_Table[[#This Row],[Date_clean]],2)</f>
        <v>9</v>
      </c>
      <c r="X1463" t="str" cm="1">
        <f t="array" ref="X1463">_xlfn.IFS(Sales_Table[[#This Row],[Revenue]]&gt;=50000,"High",Sales_Table[[#This Row],[Revenue]]&gt;=20000,"Medium",Sales_Table[[#This Row],[Revenue]]&lt;20000,"Low")</f>
        <v>Low</v>
      </c>
      <c r="Y1463" t="str">
        <f>IF(Sales_Table[[#This Row],[Payment Method_clean]]="cash","Offline","Online")</f>
        <v>Offline</v>
      </c>
      <c r="Z1463">
        <f>IFERROR(Sales_Table[[#This Row],[Revenue]],0)</f>
        <v>14850</v>
      </c>
    </row>
    <row r="1464" spans="1:26" x14ac:dyDescent="0.3">
      <c r="A1464">
        <v>1463</v>
      </c>
      <c r="B1464" s="2">
        <f t="shared" si="154"/>
        <v>45352.916666666664</v>
      </c>
      <c r="C1464" t="s">
        <v>3456</v>
      </c>
      <c r="D1464" t="s">
        <v>45</v>
      </c>
      <c r="E1464" t="str">
        <f>PROPER(TRIM(CLEAN(Sales_Table[[#This Row],[Region]])))</f>
        <v>North</v>
      </c>
      <c r="F1464" t="s">
        <v>37</v>
      </c>
      <c r="G1464" t="str">
        <f t="shared" si="155"/>
        <v>Home Appliances</v>
      </c>
      <c r="H1464" t="str">
        <f>PROPER(TRIM(CLEAN(Sales_Table[[#This Row],[Product Name]])))</f>
        <v>Laptop</v>
      </c>
      <c r="I1464" t="s">
        <v>52</v>
      </c>
      <c r="J1464" t="str">
        <f t="shared" si="156"/>
        <v>CUST0650</v>
      </c>
      <c r="K1464" t="s">
        <v>255</v>
      </c>
      <c r="L1464" t="str">
        <f>PROPER(TRIM(CLEAN(Sales_Table[[#This Row],[Salesperson]])))</f>
        <v>Karthik</v>
      </c>
      <c r="M1464" t="s">
        <v>70</v>
      </c>
      <c r="N1464" t="str">
        <f t="shared" si="157"/>
        <v>Net Banking</v>
      </c>
      <c r="O1464" t="s">
        <v>60</v>
      </c>
      <c r="P1464">
        <f t="shared" si="158"/>
        <v>12</v>
      </c>
      <c r="Q1464" t="s">
        <v>33</v>
      </c>
      <c r="R1464">
        <f t="shared" si="159"/>
        <v>4885</v>
      </c>
      <c r="S1464" t="s">
        <v>3457</v>
      </c>
      <c r="T1464">
        <f t="shared" si="160"/>
        <v>58620</v>
      </c>
      <c r="U1464">
        <f>YEAR(Sales_Table[[#This Row],[Date_clean]])</f>
        <v>2024</v>
      </c>
      <c r="V1464" t="str">
        <f>TEXT(Sales_Table[[#This Row],[Date_clean]],"mmmm")</f>
        <v>March</v>
      </c>
      <c r="W1464">
        <f>WEEKNUM(Sales_Table[[#This Row],[Date_clean]],2)</f>
        <v>9</v>
      </c>
      <c r="X1464" t="str" cm="1">
        <f t="array" ref="X1464">_xlfn.IFS(Sales_Table[[#This Row],[Revenue]]&gt;=50000,"High",Sales_Table[[#This Row],[Revenue]]&gt;=20000,"Medium",Sales_Table[[#This Row],[Revenue]]&lt;20000,"Low")</f>
        <v>High</v>
      </c>
      <c r="Y1464" t="str">
        <f>IF(Sales_Table[[#This Row],[Payment Method_clean]]="cash","Offline","Online")</f>
        <v>Online</v>
      </c>
      <c r="Z1464">
        <f>IFERROR(Sales_Table[[#This Row],[Revenue]],0)</f>
        <v>58620</v>
      </c>
    </row>
    <row r="1465" spans="1:26" x14ac:dyDescent="0.3">
      <c r="A1465">
        <v>1464</v>
      </c>
      <c r="B1465" s="2">
        <f t="shared" si="154"/>
        <v>45352.958333333336</v>
      </c>
      <c r="C1465" t="s">
        <v>3458</v>
      </c>
      <c r="D1465" t="s">
        <v>27</v>
      </c>
      <c r="E1465" t="str">
        <f>PROPER(TRIM(CLEAN(Sales_Table[[#This Row],[Region]])))</f>
        <v>East</v>
      </c>
      <c r="F1465" t="s">
        <v>37</v>
      </c>
      <c r="G1465" t="str">
        <f t="shared" si="155"/>
        <v>Home Appliances</v>
      </c>
      <c r="H1465" t="str">
        <f>PROPER(TRIM(CLEAN(Sales_Table[[#This Row],[Product Name]])))</f>
        <v>Laptop</v>
      </c>
      <c r="I1465" t="s">
        <v>52</v>
      </c>
      <c r="J1465" t="str">
        <f t="shared" si="156"/>
        <v>CUST0441</v>
      </c>
      <c r="K1465" t="s">
        <v>2691</v>
      </c>
      <c r="L1465" t="str">
        <f>PROPER(TRIM(CLEAN(Sales_Table[[#This Row],[Salesperson]])))</f>
        <v>Meena</v>
      </c>
      <c r="M1465" t="s">
        <v>40</v>
      </c>
      <c r="N1465" t="str">
        <f t="shared" si="157"/>
        <v>Debit Card</v>
      </c>
      <c r="O1465" t="s">
        <v>41</v>
      </c>
      <c r="P1465">
        <f t="shared" si="158"/>
        <v>10</v>
      </c>
      <c r="Q1465" t="s">
        <v>117</v>
      </c>
      <c r="R1465">
        <f t="shared" si="159"/>
        <v>4782</v>
      </c>
      <c r="S1465" t="s">
        <v>1867</v>
      </c>
      <c r="T1465">
        <f t="shared" si="160"/>
        <v>47820</v>
      </c>
      <c r="U1465">
        <f>YEAR(Sales_Table[[#This Row],[Date_clean]])</f>
        <v>2024</v>
      </c>
      <c r="V1465" t="str">
        <f>TEXT(Sales_Table[[#This Row],[Date_clean]],"mmmm")</f>
        <v>March</v>
      </c>
      <c r="W1465">
        <f>WEEKNUM(Sales_Table[[#This Row],[Date_clean]],2)</f>
        <v>9</v>
      </c>
      <c r="X1465" t="str" cm="1">
        <f t="array" ref="X1465">_xlfn.IFS(Sales_Table[[#This Row],[Revenue]]&gt;=50000,"High",Sales_Table[[#This Row],[Revenue]]&gt;=20000,"Medium",Sales_Table[[#This Row],[Revenue]]&lt;20000,"Low")</f>
        <v>Medium</v>
      </c>
      <c r="Y1465" t="str">
        <f>IF(Sales_Table[[#This Row],[Payment Method_clean]]="cash","Offline","Online")</f>
        <v>Online</v>
      </c>
      <c r="Z1465">
        <f>IFERROR(Sales_Table[[#This Row],[Revenue]],0)</f>
        <v>47820</v>
      </c>
    </row>
    <row r="1466" spans="1:26" x14ac:dyDescent="0.3">
      <c r="A1466">
        <v>1465</v>
      </c>
      <c r="B1466" s="2">
        <f t="shared" si="154"/>
        <v>45353</v>
      </c>
      <c r="C1466" t="s">
        <v>3459</v>
      </c>
      <c r="D1466" t="s">
        <v>27</v>
      </c>
      <c r="E1466" t="str">
        <f>PROPER(TRIM(CLEAN(Sales_Table[[#This Row],[Region]])))</f>
        <v>East</v>
      </c>
      <c r="F1466" t="s">
        <v>37</v>
      </c>
      <c r="G1466" t="str">
        <f t="shared" si="155"/>
        <v>Home Appliances</v>
      </c>
      <c r="H1466" t="str">
        <f>PROPER(TRIM(CLEAN(Sales_Table[[#This Row],[Product Name]])))</f>
        <v>Mixer Grinder</v>
      </c>
      <c r="I1466" t="s">
        <v>29</v>
      </c>
      <c r="J1466" t="str">
        <f t="shared" si="156"/>
        <v>CUST0391</v>
      </c>
      <c r="K1466" t="s">
        <v>3460</v>
      </c>
      <c r="L1466" t="str">
        <f>PROPER(TRIM(CLEAN(Sales_Table[[#This Row],[Salesperson]])))</f>
        <v>Rahul</v>
      </c>
      <c r="M1466" t="s">
        <v>31</v>
      </c>
      <c r="N1466" t="str">
        <f t="shared" si="157"/>
        <v>Net Banking</v>
      </c>
      <c r="O1466" t="s">
        <v>60</v>
      </c>
      <c r="P1466">
        <f t="shared" si="158"/>
        <v>7</v>
      </c>
      <c r="Q1466" t="s">
        <v>49</v>
      </c>
      <c r="R1466">
        <f t="shared" si="159"/>
        <v>1929</v>
      </c>
      <c r="S1466" t="s">
        <v>3461</v>
      </c>
      <c r="T1466">
        <f t="shared" si="160"/>
        <v>13503</v>
      </c>
      <c r="U1466">
        <f>YEAR(Sales_Table[[#This Row],[Date_clean]])</f>
        <v>2024</v>
      </c>
      <c r="V1466" t="str">
        <f>TEXT(Sales_Table[[#This Row],[Date_clean]],"mmmm")</f>
        <v>March</v>
      </c>
      <c r="W1466">
        <f>WEEKNUM(Sales_Table[[#This Row],[Date_clean]],2)</f>
        <v>9</v>
      </c>
      <c r="X1466" t="str" cm="1">
        <f t="array" ref="X1466">_xlfn.IFS(Sales_Table[[#This Row],[Revenue]]&gt;=50000,"High",Sales_Table[[#This Row],[Revenue]]&gt;=20000,"Medium",Sales_Table[[#This Row],[Revenue]]&lt;20000,"Low")</f>
        <v>Low</v>
      </c>
      <c r="Y1466" t="str">
        <f>IF(Sales_Table[[#This Row],[Payment Method_clean]]="cash","Offline","Online")</f>
        <v>Online</v>
      </c>
      <c r="Z1466">
        <f>IFERROR(Sales_Table[[#This Row],[Revenue]],0)</f>
        <v>13503</v>
      </c>
    </row>
    <row r="1467" spans="1:26" x14ac:dyDescent="0.3">
      <c r="A1467">
        <v>1466</v>
      </c>
      <c r="B1467" s="2">
        <f t="shared" si="154"/>
        <v>45353.041666666664</v>
      </c>
      <c r="C1467" t="s">
        <v>3462</v>
      </c>
      <c r="D1467" t="s">
        <v>84</v>
      </c>
      <c r="E1467" t="str">
        <f>PROPER(TRIM(CLEAN(Sales_Table[[#This Row],[Region]])))</f>
        <v>South</v>
      </c>
      <c r="F1467" t="s">
        <v>46</v>
      </c>
      <c r="G1467" t="str">
        <f t="shared" si="155"/>
        <v>Electronics</v>
      </c>
      <c r="H1467" t="str">
        <f>PROPER(TRIM(CLEAN(Sales_Table[[#This Row],[Product Name]])))</f>
        <v>Mixer Grinder</v>
      </c>
      <c r="I1467" t="s">
        <v>29</v>
      </c>
      <c r="J1467" t="str">
        <f t="shared" si="156"/>
        <v>CUST0496</v>
      </c>
      <c r="K1467" t="s">
        <v>2063</v>
      </c>
      <c r="L1467" t="str">
        <f>PROPER(TRIM(CLEAN(Sales_Table[[#This Row],[Salesperson]])))</f>
        <v>Rahul</v>
      </c>
      <c r="M1467" t="s">
        <v>31</v>
      </c>
      <c r="N1467" t="str">
        <f t="shared" si="157"/>
        <v>Debit Card</v>
      </c>
      <c r="O1467" t="s">
        <v>41</v>
      </c>
      <c r="P1467">
        <f t="shared" si="158"/>
        <v>8</v>
      </c>
      <c r="Q1467" t="s">
        <v>42</v>
      </c>
      <c r="R1467">
        <f t="shared" si="159"/>
        <v>3851</v>
      </c>
      <c r="S1467" t="s">
        <v>3463</v>
      </c>
      <c r="T1467">
        <f t="shared" si="160"/>
        <v>30808</v>
      </c>
      <c r="U1467">
        <f>YEAR(Sales_Table[[#This Row],[Date_clean]])</f>
        <v>2024</v>
      </c>
      <c r="V1467" t="str">
        <f>TEXT(Sales_Table[[#This Row],[Date_clean]],"mmmm")</f>
        <v>March</v>
      </c>
      <c r="W1467">
        <f>WEEKNUM(Sales_Table[[#This Row],[Date_clean]],2)</f>
        <v>9</v>
      </c>
      <c r="X1467" t="str" cm="1">
        <f t="array" ref="X1467">_xlfn.IFS(Sales_Table[[#This Row],[Revenue]]&gt;=50000,"High",Sales_Table[[#This Row],[Revenue]]&gt;=20000,"Medium",Sales_Table[[#This Row],[Revenue]]&lt;20000,"Low")</f>
        <v>Medium</v>
      </c>
      <c r="Y1467" t="str">
        <f>IF(Sales_Table[[#This Row],[Payment Method_clean]]="cash","Offline","Online")</f>
        <v>Online</v>
      </c>
      <c r="Z1467">
        <f>IFERROR(Sales_Table[[#This Row],[Revenue]],0)</f>
        <v>30808</v>
      </c>
    </row>
    <row r="1468" spans="1:26" x14ac:dyDescent="0.3">
      <c r="A1468">
        <v>1467</v>
      </c>
      <c r="B1468" s="2">
        <f t="shared" si="154"/>
        <v>45353.083333333336</v>
      </c>
      <c r="C1468" t="s">
        <v>3464</v>
      </c>
      <c r="D1468" t="s">
        <v>84</v>
      </c>
      <c r="E1468" t="str">
        <f>PROPER(TRIM(CLEAN(Sales_Table[[#This Row],[Region]])))</f>
        <v>South</v>
      </c>
      <c r="F1468" t="s">
        <v>28</v>
      </c>
      <c r="G1468" t="str">
        <f t="shared" si="155"/>
        <v>Clothing</v>
      </c>
      <c r="H1468" t="str">
        <f>PROPER(TRIM(CLEAN(Sales_Table[[#This Row],[Product Name]])))</f>
        <v>Washing Machine</v>
      </c>
      <c r="I1468" t="s">
        <v>79</v>
      </c>
      <c r="J1468" t="str">
        <f t="shared" si="156"/>
        <v>CUST0381</v>
      </c>
      <c r="K1468" t="s">
        <v>2180</v>
      </c>
      <c r="L1468" t="str">
        <f>PROPER(TRIM(CLEAN(Sales_Table[[#This Row],[Salesperson]])))</f>
        <v>Anita</v>
      </c>
      <c r="M1468" t="s">
        <v>64</v>
      </c>
      <c r="N1468" t="str">
        <f t="shared" si="157"/>
        <v>Credit Card</v>
      </c>
      <c r="O1468" t="s">
        <v>65</v>
      </c>
      <c r="P1468">
        <f t="shared" si="158"/>
        <v>3</v>
      </c>
      <c r="Q1468" t="s">
        <v>66</v>
      </c>
      <c r="R1468">
        <f t="shared" si="159"/>
        <v>4822</v>
      </c>
      <c r="S1468" t="s">
        <v>855</v>
      </c>
      <c r="T1468">
        <f t="shared" si="160"/>
        <v>14466</v>
      </c>
      <c r="U1468">
        <f>YEAR(Sales_Table[[#This Row],[Date_clean]])</f>
        <v>2024</v>
      </c>
      <c r="V1468" t="str">
        <f>TEXT(Sales_Table[[#This Row],[Date_clean]],"mmmm")</f>
        <v>March</v>
      </c>
      <c r="W1468">
        <f>WEEKNUM(Sales_Table[[#This Row],[Date_clean]],2)</f>
        <v>9</v>
      </c>
      <c r="X1468" t="str" cm="1">
        <f t="array" ref="X1468">_xlfn.IFS(Sales_Table[[#This Row],[Revenue]]&gt;=50000,"High",Sales_Table[[#This Row],[Revenue]]&gt;=20000,"Medium",Sales_Table[[#This Row],[Revenue]]&lt;20000,"Low")</f>
        <v>Low</v>
      </c>
      <c r="Y1468" t="str">
        <f>IF(Sales_Table[[#This Row],[Payment Method_clean]]="cash","Offline","Online")</f>
        <v>Online</v>
      </c>
      <c r="Z1468">
        <f>IFERROR(Sales_Table[[#This Row],[Revenue]],0)</f>
        <v>14466</v>
      </c>
    </row>
    <row r="1469" spans="1:26" x14ac:dyDescent="0.3">
      <c r="A1469">
        <v>1468</v>
      </c>
      <c r="B1469" s="2">
        <f t="shared" si="154"/>
        <v>45353.125</v>
      </c>
      <c r="C1469" t="s">
        <v>3465</v>
      </c>
      <c r="D1469" t="s">
        <v>84</v>
      </c>
      <c r="E1469" t="str">
        <f>PROPER(TRIM(CLEAN(Sales_Table[[#This Row],[Region]])))</f>
        <v>South</v>
      </c>
      <c r="F1469" t="s">
        <v>46</v>
      </c>
      <c r="G1469" t="str">
        <f t="shared" si="155"/>
        <v>Electronics</v>
      </c>
      <c r="H1469" t="str">
        <f>PROPER(TRIM(CLEAN(Sales_Table[[#This Row],[Product Name]])))</f>
        <v>Men T-Shirt</v>
      </c>
      <c r="I1469" t="s">
        <v>38</v>
      </c>
      <c r="J1469" t="str">
        <f t="shared" si="156"/>
        <v>CUST0306</v>
      </c>
      <c r="K1469" t="s">
        <v>2788</v>
      </c>
      <c r="L1469" t="str">
        <f>PROPER(TRIM(CLEAN(Sales_Table[[#This Row],[Salesperson]])))</f>
        <v>Anita</v>
      </c>
      <c r="M1469" t="s">
        <v>64</v>
      </c>
      <c r="N1469" t="str">
        <f t="shared" si="157"/>
        <v>Credit Card</v>
      </c>
      <c r="O1469" t="s">
        <v>65</v>
      </c>
      <c r="P1469">
        <f t="shared" si="158"/>
        <v>6</v>
      </c>
      <c r="Q1469" t="s">
        <v>75</v>
      </c>
      <c r="R1469">
        <f t="shared" si="159"/>
        <v>2131</v>
      </c>
      <c r="S1469" t="s">
        <v>3466</v>
      </c>
      <c r="T1469">
        <f t="shared" si="160"/>
        <v>12786</v>
      </c>
      <c r="U1469">
        <f>YEAR(Sales_Table[[#This Row],[Date_clean]])</f>
        <v>2024</v>
      </c>
      <c r="V1469" t="str">
        <f>TEXT(Sales_Table[[#This Row],[Date_clean]],"mmmm")</f>
        <v>March</v>
      </c>
      <c r="W1469">
        <f>WEEKNUM(Sales_Table[[#This Row],[Date_clean]],2)</f>
        <v>9</v>
      </c>
      <c r="X1469" t="str" cm="1">
        <f t="array" ref="X1469">_xlfn.IFS(Sales_Table[[#This Row],[Revenue]]&gt;=50000,"High",Sales_Table[[#This Row],[Revenue]]&gt;=20000,"Medium",Sales_Table[[#This Row],[Revenue]]&lt;20000,"Low")</f>
        <v>Low</v>
      </c>
      <c r="Y1469" t="str">
        <f>IF(Sales_Table[[#This Row],[Payment Method_clean]]="cash","Offline","Online")</f>
        <v>Online</v>
      </c>
      <c r="Z1469">
        <f>IFERROR(Sales_Table[[#This Row],[Revenue]],0)</f>
        <v>12786</v>
      </c>
    </row>
    <row r="1470" spans="1:26" x14ac:dyDescent="0.3">
      <c r="A1470">
        <v>1469</v>
      </c>
      <c r="B1470" s="2">
        <f t="shared" si="154"/>
        <v>45353.166666666664</v>
      </c>
      <c r="C1470" t="s">
        <v>3467</v>
      </c>
      <c r="D1470" t="s">
        <v>36</v>
      </c>
      <c r="E1470" t="str">
        <f>PROPER(TRIM(CLEAN(Sales_Table[[#This Row],[Region]])))</f>
        <v>West</v>
      </c>
      <c r="F1470" t="s">
        <v>28</v>
      </c>
      <c r="G1470" t="str">
        <f t="shared" si="155"/>
        <v>Clothing</v>
      </c>
      <c r="H1470" t="str">
        <f>PROPER(TRIM(CLEAN(Sales_Table[[#This Row],[Product Name]])))</f>
        <v>Rice 5Kg</v>
      </c>
      <c r="I1470" t="s">
        <v>73</v>
      </c>
      <c r="J1470" t="str">
        <f t="shared" si="156"/>
        <v>CUST0742</v>
      </c>
      <c r="K1470" t="s">
        <v>793</v>
      </c>
      <c r="L1470" t="str">
        <f>PROPER(TRIM(CLEAN(Sales_Table[[#This Row],[Salesperson]])))</f>
        <v>Meena</v>
      </c>
      <c r="M1470" t="s">
        <v>40</v>
      </c>
      <c r="N1470" t="str">
        <f t="shared" si="157"/>
        <v>Upi</v>
      </c>
      <c r="O1470" t="s">
        <v>48</v>
      </c>
      <c r="P1470">
        <f t="shared" si="158"/>
        <v>10</v>
      </c>
      <c r="Q1470" t="s">
        <v>117</v>
      </c>
      <c r="R1470">
        <f t="shared" si="159"/>
        <v>4559</v>
      </c>
      <c r="S1470" t="s">
        <v>3468</v>
      </c>
      <c r="T1470">
        <f t="shared" si="160"/>
        <v>45590</v>
      </c>
      <c r="U1470">
        <f>YEAR(Sales_Table[[#This Row],[Date_clean]])</f>
        <v>2024</v>
      </c>
      <c r="V1470" t="str">
        <f>TEXT(Sales_Table[[#This Row],[Date_clean]],"mmmm")</f>
        <v>March</v>
      </c>
      <c r="W1470">
        <f>WEEKNUM(Sales_Table[[#This Row],[Date_clean]],2)</f>
        <v>9</v>
      </c>
      <c r="X1470" t="str" cm="1">
        <f t="array" ref="X1470">_xlfn.IFS(Sales_Table[[#This Row],[Revenue]]&gt;=50000,"High",Sales_Table[[#This Row],[Revenue]]&gt;=20000,"Medium",Sales_Table[[#This Row],[Revenue]]&lt;20000,"Low")</f>
        <v>Medium</v>
      </c>
      <c r="Y1470" t="str">
        <f>IF(Sales_Table[[#This Row],[Payment Method_clean]]="cash","Offline","Online")</f>
        <v>Online</v>
      </c>
      <c r="Z1470">
        <f>IFERROR(Sales_Table[[#This Row],[Revenue]],0)</f>
        <v>45590</v>
      </c>
    </row>
    <row r="1471" spans="1:26" x14ac:dyDescent="0.3">
      <c r="A1471">
        <v>1470</v>
      </c>
      <c r="B1471" s="2">
        <f t="shared" si="154"/>
        <v>45353.208333333336</v>
      </c>
      <c r="C1471" t="s">
        <v>3469</v>
      </c>
      <c r="D1471" t="s">
        <v>45</v>
      </c>
      <c r="E1471" t="str">
        <f>PROPER(TRIM(CLEAN(Sales_Table[[#This Row],[Region]])))</f>
        <v>North</v>
      </c>
      <c r="F1471" t="s">
        <v>78</v>
      </c>
      <c r="G1471" t="str">
        <f t="shared" si="155"/>
        <v>Grocery</v>
      </c>
      <c r="H1471" t="str">
        <f>PROPER(TRIM(CLEAN(Sales_Table[[#This Row],[Product Name]])))</f>
        <v>Rice 5Kg</v>
      </c>
      <c r="I1471" t="s">
        <v>73</v>
      </c>
      <c r="J1471" t="str">
        <f t="shared" si="156"/>
        <v>CUST0673</v>
      </c>
      <c r="K1471" t="s">
        <v>3187</v>
      </c>
      <c r="L1471" t="str">
        <f>PROPER(TRIM(CLEAN(Sales_Table[[#This Row],[Salesperson]])))</f>
        <v>Suresh</v>
      </c>
      <c r="M1471" t="s">
        <v>54</v>
      </c>
      <c r="N1471" t="str">
        <f t="shared" si="157"/>
        <v>Debit Card</v>
      </c>
      <c r="O1471" t="s">
        <v>41</v>
      </c>
      <c r="P1471">
        <f t="shared" si="158"/>
        <v>6</v>
      </c>
      <c r="Q1471" t="s">
        <v>75</v>
      </c>
      <c r="R1471">
        <f t="shared" si="159"/>
        <v>3956</v>
      </c>
      <c r="S1471" t="s">
        <v>3470</v>
      </c>
      <c r="T1471">
        <f t="shared" si="160"/>
        <v>23736</v>
      </c>
      <c r="U1471">
        <f>YEAR(Sales_Table[[#This Row],[Date_clean]])</f>
        <v>2024</v>
      </c>
      <c r="V1471" t="str">
        <f>TEXT(Sales_Table[[#This Row],[Date_clean]],"mmmm")</f>
        <v>March</v>
      </c>
      <c r="W1471">
        <f>WEEKNUM(Sales_Table[[#This Row],[Date_clean]],2)</f>
        <v>9</v>
      </c>
      <c r="X1471" t="str" cm="1">
        <f t="array" ref="X1471">_xlfn.IFS(Sales_Table[[#This Row],[Revenue]]&gt;=50000,"High",Sales_Table[[#This Row],[Revenue]]&gt;=20000,"Medium",Sales_Table[[#This Row],[Revenue]]&lt;20000,"Low")</f>
        <v>Medium</v>
      </c>
      <c r="Y1471" t="str">
        <f>IF(Sales_Table[[#This Row],[Payment Method_clean]]="cash","Offline","Online")</f>
        <v>Online</v>
      </c>
      <c r="Z1471">
        <f>IFERROR(Sales_Table[[#This Row],[Revenue]],0)</f>
        <v>23736</v>
      </c>
    </row>
    <row r="1472" spans="1:26" x14ac:dyDescent="0.3">
      <c r="A1472">
        <v>1471</v>
      </c>
      <c r="B1472" s="2">
        <f t="shared" si="154"/>
        <v>45353.25</v>
      </c>
      <c r="C1472" t="s">
        <v>3471</v>
      </c>
      <c r="D1472" t="s">
        <v>45</v>
      </c>
      <c r="E1472" t="str">
        <f>PROPER(TRIM(CLEAN(Sales_Table[[#This Row],[Region]])))</f>
        <v>North</v>
      </c>
      <c r="F1472" t="s">
        <v>37</v>
      </c>
      <c r="G1472" t="str">
        <f t="shared" si="155"/>
        <v>Home Appliances</v>
      </c>
      <c r="H1472" t="str">
        <f>PROPER(TRIM(CLEAN(Sales_Table[[#This Row],[Product Name]])))</f>
        <v>Mixer Grinder</v>
      </c>
      <c r="I1472" t="s">
        <v>29</v>
      </c>
      <c r="J1472" t="str">
        <f t="shared" si="156"/>
        <v>CUST0513</v>
      </c>
      <c r="K1472" t="s">
        <v>3472</v>
      </c>
      <c r="L1472" t="str">
        <f>PROPER(TRIM(CLEAN(Sales_Table[[#This Row],[Salesperson]])))</f>
        <v>Suresh</v>
      </c>
      <c r="M1472" t="s">
        <v>54</v>
      </c>
      <c r="N1472" t="str">
        <f t="shared" si="157"/>
        <v>Credit Card</v>
      </c>
      <c r="O1472" t="s">
        <v>65</v>
      </c>
      <c r="P1472">
        <f t="shared" si="158"/>
        <v>13</v>
      </c>
      <c r="Q1472" t="s">
        <v>81</v>
      </c>
      <c r="R1472">
        <f t="shared" si="159"/>
        <v>2282</v>
      </c>
      <c r="S1472" t="s">
        <v>3473</v>
      </c>
      <c r="T1472">
        <f t="shared" si="160"/>
        <v>29666</v>
      </c>
      <c r="U1472">
        <f>YEAR(Sales_Table[[#This Row],[Date_clean]])</f>
        <v>2024</v>
      </c>
      <c r="V1472" t="str">
        <f>TEXT(Sales_Table[[#This Row],[Date_clean]],"mmmm")</f>
        <v>March</v>
      </c>
      <c r="W1472">
        <f>WEEKNUM(Sales_Table[[#This Row],[Date_clean]],2)</f>
        <v>9</v>
      </c>
      <c r="X1472" t="str" cm="1">
        <f t="array" ref="X1472">_xlfn.IFS(Sales_Table[[#This Row],[Revenue]]&gt;=50000,"High",Sales_Table[[#This Row],[Revenue]]&gt;=20000,"Medium",Sales_Table[[#This Row],[Revenue]]&lt;20000,"Low")</f>
        <v>Medium</v>
      </c>
      <c r="Y1472" t="str">
        <f>IF(Sales_Table[[#This Row],[Payment Method_clean]]="cash","Offline","Online")</f>
        <v>Online</v>
      </c>
      <c r="Z1472">
        <f>IFERROR(Sales_Table[[#This Row],[Revenue]],0)</f>
        <v>29666</v>
      </c>
    </row>
    <row r="1473" spans="1:26" x14ac:dyDescent="0.3">
      <c r="A1473">
        <v>1472</v>
      </c>
      <c r="B1473" s="2">
        <f t="shared" si="154"/>
        <v>45353.291666666664</v>
      </c>
      <c r="C1473" t="s">
        <v>3474</v>
      </c>
      <c r="D1473" t="s">
        <v>84</v>
      </c>
      <c r="E1473" t="str">
        <f>PROPER(TRIM(CLEAN(Sales_Table[[#This Row],[Region]])))</f>
        <v>South</v>
      </c>
      <c r="F1473" t="s">
        <v>28</v>
      </c>
      <c r="G1473" t="str">
        <f t="shared" si="155"/>
        <v>Clothing</v>
      </c>
      <c r="H1473" t="str">
        <f>PROPER(TRIM(CLEAN(Sales_Table[[#This Row],[Product Name]])))</f>
        <v>Washing Machine</v>
      </c>
      <c r="I1473" t="s">
        <v>79</v>
      </c>
      <c r="J1473" t="str">
        <f t="shared" si="156"/>
        <v>CUST0748</v>
      </c>
      <c r="K1473" t="s">
        <v>3475</v>
      </c>
      <c r="L1473" t="str">
        <f>PROPER(TRIM(CLEAN(Sales_Table[[#This Row],[Salesperson]])))</f>
        <v>Suresh</v>
      </c>
      <c r="M1473" t="s">
        <v>54</v>
      </c>
      <c r="N1473" t="str">
        <f t="shared" si="157"/>
        <v>Net Banking</v>
      </c>
      <c r="O1473" t="s">
        <v>60</v>
      </c>
      <c r="P1473">
        <f t="shared" si="158"/>
        <v>1</v>
      </c>
      <c r="Q1473" t="s">
        <v>93</v>
      </c>
      <c r="R1473">
        <f t="shared" si="159"/>
        <v>4569</v>
      </c>
      <c r="S1473" t="s">
        <v>3476</v>
      </c>
      <c r="T1473">
        <f t="shared" si="160"/>
        <v>4569</v>
      </c>
      <c r="U1473">
        <f>YEAR(Sales_Table[[#This Row],[Date_clean]])</f>
        <v>2024</v>
      </c>
      <c r="V1473" t="str">
        <f>TEXT(Sales_Table[[#This Row],[Date_clean]],"mmmm")</f>
        <v>March</v>
      </c>
      <c r="W1473">
        <f>WEEKNUM(Sales_Table[[#This Row],[Date_clean]],2)</f>
        <v>9</v>
      </c>
      <c r="X1473" t="str" cm="1">
        <f t="array" ref="X1473">_xlfn.IFS(Sales_Table[[#This Row],[Revenue]]&gt;=50000,"High",Sales_Table[[#This Row],[Revenue]]&gt;=20000,"Medium",Sales_Table[[#This Row],[Revenue]]&lt;20000,"Low")</f>
        <v>Low</v>
      </c>
      <c r="Y1473" t="str">
        <f>IF(Sales_Table[[#This Row],[Payment Method_clean]]="cash","Offline","Online")</f>
        <v>Online</v>
      </c>
      <c r="Z1473">
        <f>IFERROR(Sales_Table[[#This Row],[Revenue]],0)</f>
        <v>4569</v>
      </c>
    </row>
    <row r="1474" spans="1:26" x14ac:dyDescent="0.3">
      <c r="A1474">
        <v>1473</v>
      </c>
      <c r="B1474" s="2">
        <f t="shared" si="154"/>
        <v>45353.333333333336</v>
      </c>
      <c r="C1474" t="s">
        <v>3477</v>
      </c>
      <c r="D1474" t="s">
        <v>45</v>
      </c>
      <c r="E1474" t="str">
        <f>PROPER(TRIM(CLEAN(Sales_Table[[#This Row],[Region]])))</f>
        <v>North</v>
      </c>
      <c r="F1474" t="s">
        <v>46</v>
      </c>
      <c r="G1474" t="str">
        <f t="shared" si="155"/>
        <v>Electronics</v>
      </c>
      <c r="H1474" t="str">
        <f>PROPER(TRIM(CLEAN(Sales_Table[[#This Row],[Product Name]])))</f>
        <v>Rice 5Kg</v>
      </c>
      <c r="I1474" t="s">
        <v>73</v>
      </c>
      <c r="J1474" t="str">
        <f t="shared" si="156"/>
        <v>CUST0188</v>
      </c>
      <c r="K1474" t="s">
        <v>1217</v>
      </c>
      <c r="L1474" t="str">
        <f>PROPER(TRIM(CLEAN(Sales_Table[[#This Row],[Salesperson]])))</f>
        <v>Rahul</v>
      </c>
      <c r="M1474" t="s">
        <v>31</v>
      </c>
      <c r="N1474" t="str">
        <f t="shared" si="157"/>
        <v>Cash</v>
      </c>
      <c r="O1474" t="s">
        <v>32</v>
      </c>
      <c r="P1474">
        <f t="shared" si="158"/>
        <v>6</v>
      </c>
      <c r="Q1474" t="s">
        <v>75</v>
      </c>
      <c r="R1474">
        <f t="shared" si="159"/>
        <v>2194</v>
      </c>
      <c r="S1474" t="s">
        <v>3478</v>
      </c>
      <c r="T1474">
        <f t="shared" si="160"/>
        <v>13164</v>
      </c>
      <c r="U1474">
        <f>YEAR(Sales_Table[[#This Row],[Date_clean]])</f>
        <v>2024</v>
      </c>
      <c r="V1474" t="str">
        <f>TEXT(Sales_Table[[#This Row],[Date_clean]],"mmmm")</f>
        <v>March</v>
      </c>
      <c r="W1474">
        <f>WEEKNUM(Sales_Table[[#This Row],[Date_clean]],2)</f>
        <v>9</v>
      </c>
      <c r="X1474" t="str" cm="1">
        <f t="array" ref="X1474">_xlfn.IFS(Sales_Table[[#This Row],[Revenue]]&gt;=50000,"High",Sales_Table[[#This Row],[Revenue]]&gt;=20000,"Medium",Sales_Table[[#This Row],[Revenue]]&lt;20000,"Low")</f>
        <v>Low</v>
      </c>
      <c r="Y1474" t="str">
        <f>IF(Sales_Table[[#This Row],[Payment Method_clean]]="cash","Offline","Online")</f>
        <v>Offline</v>
      </c>
      <c r="Z1474">
        <f>IFERROR(Sales_Table[[#This Row],[Revenue]],0)</f>
        <v>13164</v>
      </c>
    </row>
    <row r="1475" spans="1:26" x14ac:dyDescent="0.3">
      <c r="A1475">
        <v>1474</v>
      </c>
      <c r="B1475" s="2">
        <f t="shared" ref="B1475:B1538" si="161">DATEVALUE(LEFT(C1475,10))+TIMEVALUE(MID(C1475,12,8))</f>
        <v>45353.375</v>
      </c>
      <c r="C1475" t="s">
        <v>3479</v>
      </c>
      <c r="D1475" t="s">
        <v>84</v>
      </c>
      <c r="E1475" t="str">
        <f>PROPER(TRIM(CLEAN(Sales_Table[[#This Row],[Region]])))</f>
        <v>South</v>
      </c>
      <c r="F1475" t="s">
        <v>37</v>
      </c>
      <c r="G1475" t="str">
        <f t="shared" ref="G1475:G1538" si="162">PROPER(TRIM(CLEAN(F1475)))</f>
        <v>Home Appliances</v>
      </c>
      <c r="H1475" t="str">
        <f>PROPER(TRIM(CLEAN(Sales_Table[[#This Row],[Product Name]])))</f>
        <v>Rice 5Kg</v>
      </c>
      <c r="I1475" t="s">
        <v>73</v>
      </c>
      <c r="J1475" t="str">
        <f t="shared" ref="J1475:J1538" si="163">TRIM(K1475)</f>
        <v>CUST0516</v>
      </c>
      <c r="K1475" t="s">
        <v>1016</v>
      </c>
      <c r="L1475" t="str">
        <f>PROPER(TRIM(CLEAN(Sales_Table[[#This Row],[Salesperson]])))</f>
        <v>Rahul</v>
      </c>
      <c r="M1475" t="s">
        <v>31</v>
      </c>
      <c r="N1475" t="str">
        <f t="shared" ref="N1475:N1538" si="164">PROPER(TRIM(O1475))</f>
        <v>Cash</v>
      </c>
      <c r="O1475" t="s">
        <v>32</v>
      </c>
      <c r="P1475">
        <f t="shared" ref="P1475:P1538" si="165">VALUE(Q1475)</f>
        <v>13</v>
      </c>
      <c r="Q1475" t="s">
        <v>81</v>
      </c>
      <c r="R1475">
        <f t="shared" ref="R1475:R1538" si="166">VALUE(S1475)</f>
        <v>4003</v>
      </c>
      <c r="S1475" t="s">
        <v>3480</v>
      </c>
      <c r="T1475">
        <f t="shared" ref="T1475:T1538" si="167">P1475*R1475</f>
        <v>52039</v>
      </c>
      <c r="U1475">
        <f>YEAR(Sales_Table[[#This Row],[Date_clean]])</f>
        <v>2024</v>
      </c>
      <c r="V1475" t="str">
        <f>TEXT(Sales_Table[[#This Row],[Date_clean]],"mmmm")</f>
        <v>March</v>
      </c>
      <c r="W1475">
        <f>WEEKNUM(Sales_Table[[#This Row],[Date_clean]],2)</f>
        <v>9</v>
      </c>
      <c r="X1475" t="str" cm="1">
        <f t="array" ref="X1475">_xlfn.IFS(Sales_Table[[#This Row],[Revenue]]&gt;=50000,"High",Sales_Table[[#This Row],[Revenue]]&gt;=20000,"Medium",Sales_Table[[#This Row],[Revenue]]&lt;20000,"Low")</f>
        <v>High</v>
      </c>
      <c r="Y1475" t="str">
        <f>IF(Sales_Table[[#This Row],[Payment Method_clean]]="cash","Offline","Online")</f>
        <v>Offline</v>
      </c>
      <c r="Z1475">
        <f>IFERROR(Sales_Table[[#This Row],[Revenue]],0)</f>
        <v>52039</v>
      </c>
    </row>
    <row r="1476" spans="1:26" x14ac:dyDescent="0.3">
      <c r="A1476">
        <v>1475</v>
      </c>
      <c r="B1476" s="2">
        <f t="shared" si="161"/>
        <v>45353.416666666664</v>
      </c>
      <c r="C1476" t="s">
        <v>3481</v>
      </c>
      <c r="D1476" t="s">
        <v>36</v>
      </c>
      <c r="E1476" t="str">
        <f>PROPER(TRIM(CLEAN(Sales_Table[[#This Row],[Region]])))</f>
        <v>West</v>
      </c>
      <c r="F1476" t="s">
        <v>78</v>
      </c>
      <c r="G1476" t="str">
        <f t="shared" si="162"/>
        <v>Grocery</v>
      </c>
      <c r="H1476" t="str">
        <f>PROPER(TRIM(CLEAN(Sales_Table[[#This Row],[Product Name]])))</f>
        <v>Men T-Shirt</v>
      </c>
      <c r="I1476" t="s">
        <v>38</v>
      </c>
      <c r="J1476" t="str">
        <f t="shared" si="163"/>
        <v>CUST0644</v>
      </c>
      <c r="K1476" t="s">
        <v>3482</v>
      </c>
      <c r="L1476" t="str">
        <f>PROPER(TRIM(CLEAN(Sales_Table[[#This Row],[Salesperson]])))</f>
        <v>Karthik</v>
      </c>
      <c r="M1476" t="s">
        <v>70</v>
      </c>
      <c r="N1476" t="str">
        <f t="shared" si="164"/>
        <v>Debit Card</v>
      </c>
      <c r="O1476" t="s">
        <v>41</v>
      </c>
      <c r="P1476">
        <f t="shared" si="165"/>
        <v>14</v>
      </c>
      <c r="Q1476" t="s">
        <v>55</v>
      </c>
      <c r="R1476">
        <f t="shared" si="166"/>
        <v>3132</v>
      </c>
      <c r="S1476" t="s">
        <v>3483</v>
      </c>
      <c r="T1476">
        <f t="shared" si="167"/>
        <v>43848</v>
      </c>
      <c r="U1476">
        <f>YEAR(Sales_Table[[#This Row],[Date_clean]])</f>
        <v>2024</v>
      </c>
      <c r="V1476" t="str">
        <f>TEXT(Sales_Table[[#This Row],[Date_clean]],"mmmm")</f>
        <v>March</v>
      </c>
      <c r="W1476">
        <f>WEEKNUM(Sales_Table[[#This Row],[Date_clean]],2)</f>
        <v>9</v>
      </c>
      <c r="X1476" t="str" cm="1">
        <f t="array" ref="X1476">_xlfn.IFS(Sales_Table[[#This Row],[Revenue]]&gt;=50000,"High",Sales_Table[[#This Row],[Revenue]]&gt;=20000,"Medium",Sales_Table[[#This Row],[Revenue]]&lt;20000,"Low")</f>
        <v>Medium</v>
      </c>
      <c r="Y1476" t="str">
        <f>IF(Sales_Table[[#This Row],[Payment Method_clean]]="cash","Offline","Online")</f>
        <v>Online</v>
      </c>
      <c r="Z1476">
        <f>IFERROR(Sales_Table[[#This Row],[Revenue]],0)</f>
        <v>43848</v>
      </c>
    </row>
    <row r="1477" spans="1:26" x14ac:dyDescent="0.3">
      <c r="A1477">
        <v>1476</v>
      </c>
      <c r="B1477" s="2">
        <f t="shared" si="161"/>
        <v>45353.458333333336</v>
      </c>
      <c r="C1477" t="s">
        <v>3484</v>
      </c>
      <c r="D1477" t="s">
        <v>36</v>
      </c>
      <c r="E1477" t="str">
        <f>PROPER(TRIM(CLEAN(Sales_Table[[#This Row],[Region]])))</f>
        <v>West</v>
      </c>
      <c r="F1477" t="s">
        <v>28</v>
      </c>
      <c r="G1477" t="str">
        <f t="shared" si="162"/>
        <v>Clothing</v>
      </c>
      <c r="H1477" t="str">
        <f>PROPER(TRIM(CLEAN(Sales_Table[[#This Row],[Product Name]])))</f>
        <v>Led Tv 42Inch</v>
      </c>
      <c r="I1477" t="s">
        <v>58</v>
      </c>
      <c r="J1477" t="str">
        <f t="shared" si="163"/>
        <v>CUST0427</v>
      </c>
      <c r="K1477" t="s">
        <v>2667</v>
      </c>
      <c r="L1477" t="str">
        <f>PROPER(TRIM(CLEAN(Sales_Table[[#This Row],[Salesperson]])))</f>
        <v>Rahul</v>
      </c>
      <c r="M1477" t="s">
        <v>31</v>
      </c>
      <c r="N1477" t="str">
        <f t="shared" si="164"/>
        <v>Upi</v>
      </c>
      <c r="O1477" t="s">
        <v>48</v>
      </c>
      <c r="P1477">
        <f t="shared" si="165"/>
        <v>3</v>
      </c>
      <c r="Q1477" t="s">
        <v>66</v>
      </c>
      <c r="R1477">
        <f t="shared" si="166"/>
        <v>1648</v>
      </c>
      <c r="S1477" t="s">
        <v>3485</v>
      </c>
      <c r="T1477">
        <f t="shared" si="167"/>
        <v>4944</v>
      </c>
      <c r="U1477">
        <f>YEAR(Sales_Table[[#This Row],[Date_clean]])</f>
        <v>2024</v>
      </c>
      <c r="V1477" t="str">
        <f>TEXT(Sales_Table[[#This Row],[Date_clean]],"mmmm")</f>
        <v>March</v>
      </c>
      <c r="W1477">
        <f>WEEKNUM(Sales_Table[[#This Row],[Date_clean]],2)</f>
        <v>9</v>
      </c>
      <c r="X1477" t="str" cm="1">
        <f t="array" ref="X1477">_xlfn.IFS(Sales_Table[[#This Row],[Revenue]]&gt;=50000,"High",Sales_Table[[#This Row],[Revenue]]&gt;=20000,"Medium",Sales_Table[[#This Row],[Revenue]]&lt;20000,"Low")</f>
        <v>Low</v>
      </c>
      <c r="Y1477" t="str">
        <f>IF(Sales_Table[[#This Row],[Payment Method_clean]]="cash","Offline","Online")</f>
        <v>Online</v>
      </c>
      <c r="Z1477">
        <f>IFERROR(Sales_Table[[#This Row],[Revenue]],0)</f>
        <v>4944</v>
      </c>
    </row>
    <row r="1478" spans="1:26" x14ac:dyDescent="0.3">
      <c r="A1478">
        <v>1477</v>
      </c>
      <c r="B1478" s="2">
        <f t="shared" si="161"/>
        <v>45353.5</v>
      </c>
      <c r="C1478" t="s">
        <v>3486</v>
      </c>
      <c r="D1478" t="s">
        <v>27</v>
      </c>
      <c r="E1478" t="str">
        <f>PROPER(TRIM(CLEAN(Sales_Table[[#This Row],[Region]])))</f>
        <v>East</v>
      </c>
      <c r="F1478" t="s">
        <v>28</v>
      </c>
      <c r="G1478" t="str">
        <f t="shared" si="162"/>
        <v>Clothing</v>
      </c>
      <c r="H1478" t="str">
        <f>PROPER(TRIM(CLEAN(Sales_Table[[#This Row],[Product Name]])))</f>
        <v>Mixer Grinder</v>
      </c>
      <c r="I1478" t="s">
        <v>29</v>
      </c>
      <c r="J1478" t="str">
        <f t="shared" si="163"/>
        <v>CUST0502</v>
      </c>
      <c r="K1478" t="s">
        <v>3487</v>
      </c>
      <c r="L1478" t="str">
        <f>PROPER(TRIM(CLEAN(Sales_Table[[#This Row],[Salesperson]])))</f>
        <v>Rahul</v>
      </c>
      <c r="M1478" t="s">
        <v>31</v>
      </c>
      <c r="N1478" t="str">
        <f t="shared" si="164"/>
        <v>Net Banking</v>
      </c>
      <c r="O1478" t="s">
        <v>60</v>
      </c>
      <c r="P1478">
        <f t="shared" si="165"/>
        <v>11</v>
      </c>
      <c r="Q1478" t="s">
        <v>97</v>
      </c>
      <c r="R1478">
        <f t="shared" si="166"/>
        <v>467</v>
      </c>
      <c r="S1478" t="s">
        <v>1345</v>
      </c>
      <c r="T1478">
        <f t="shared" si="167"/>
        <v>5137</v>
      </c>
      <c r="U1478">
        <f>YEAR(Sales_Table[[#This Row],[Date_clean]])</f>
        <v>2024</v>
      </c>
      <c r="V1478" t="str">
        <f>TEXT(Sales_Table[[#This Row],[Date_clean]],"mmmm")</f>
        <v>March</v>
      </c>
      <c r="W1478">
        <f>WEEKNUM(Sales_Table[[#This Row],[Date_clean]],2)</f>
        <v>9</v>
      </c>
      <c r="X1478" t="str" cm="1">
        <f t="array" ref="X1478">_xlfn.IFS(Sales_Table[[#This Row],[Revenue]]&gt;=50000,"High",Sales_Table[[#This Row],[Revenue]]&gt;=20000,"Medium",Sales_Table[[#This Row],[Revenue]]&lt;20000,"Low")</f>
        <v>Low</v>
      </c>
      <c r="Y1478" t="str">
        <f>IF(Sales_Table[[#This Row],[Payment Method_clean]]="cash","Offline","Online")</f>
        <v>Online</v>
      </c>
      <c r="Z1478">
        <f>IFERROR(Sales_Table[[#This Row],[Revenue]],0)</f>
        <v>5137</v>
      </c>
    </row>
    <row r="1479" spans="1:26" x14ac:dyDescent="0.3">
      <c r="A1479">
        <v>1478</v>
      </c>
      <c r="B1479" s="2">
        <f t="shared" si="161"/>
        <v>45353.541666666664</v>
      </c>
      <c r="C1479" t="s">
        <v>3488</v>
      </c>
      <c r="D1479" t="s">
        <v>36</v>
      </c>
      <c r="E1479" t="str">
        <f>PROPER(TRIM(CLEAN(Sales_Table[[#This Row],[Region]])))</f>
        <v>West</v>
      </c>
      <c r="F1479" t="s">
        <v>28</v>
      </c>
      <c r="G1479" t="str">
        <f t="shared" si="162"/>
        <v>Clothing</v>
      </c>
      <c r="H1479" t="str">
        <f>PROPER(TRIM(CLEAN(Sales_Table[[#This Row],[Product Name]])))</f>
        <v>Mixer Grinder</v>
      </c>
      <c r="I1479" t="s">
        <v>29</v>
      </c>
      <c r="J1479" t="str">
        <f t="shared" si="163"/>
        <v>CUST0730</v>
      </c>
      <c r="K1479" t="s">
        <v>273</v>
      </c>
      <c r="L1479" t="str">
        <f>PROPER(TRIM(CLEAN(Sales_Table[[#This Row],[Salesperson]])))</f>
        <v>Rahul</v>
      </c>
      <c r="M1479" t="s">
        <v>31</v>
      </c>
      <c r="N1479" t="str">
        <f t="shared" si="164"/>
        <v>Debit Card</v>
      </c>
      <c r="O1479" t="s">
        <v>41</v>
      </c>
      <c r="P1479">
        <f t="shared" si="165"/>
        <v>3</v>
      </c>
      <c r="Q1479" t="s">
        <v>66</v>
      </c>
      <c r="R1479">
        <f t="shared" si="166"/>
        <v>164</v>
      </c>
      <c r="S1479" t="s">
        <v>3489</v>
      </c>
      <c r="T1479">
        <f t="shared" si="167"/>
        <v>492</v>
      </c>
      <c r="U1479">
        <f>YEAR(Sales_Table[[#This Row],[Date_clean]])</f>
        <v>2024</v>
      </c>
      <c r="V1479" t="str">
        <f>TEXT(Sales_Table[[#This Row],[Date_clean]],"mmmm")</f>
        <v>March</v>
      </c>
      <c r="W1479">
        <f>WEEKNUM(Sales_Table[[#This Row],[Date_clean]],2)</f>
        <v>9</v>
      </c>
      <c r="X1479" t="str" cm="1">
        <f t="array" ref="X1479">_xlfn.IFS(Sales_Table[[#This Row],[Revenue]]&gt;=50000,"High",Sales_Table[[#This Row],[Revenue]]&gt;=20000,"Medium",Sales_Table[[#This Row],[Revenue]]&lt;20000,"Low")</f>
        <v>Low</v>
      </c>
      <c r="Y1479" t="str">
        <f>IF(Sales_Table[[#This Row],[Payment Method_clean]]="cash","Offline","Online")</f>
        <v>Online</v>
      </c>
      <c r="Z1479">
        <f>IFERROR(Sales_Table[[#This Row],[Revenue]],0)</f>
        <v>492</v>
      </c>
    </row>
    <row r="1480" spans="1:26" x14ac:dyDescent="0.3">
      <c r="A1480">
        <v>1479</v>
      </c>
      <c r="B1480" s="2">
        <f t="shared" si="161"/>
        <v>45353.583333333336</v>
      </c>
      <c r="C1480" t="s">
        <v>3490</v>
      </c>
      <c r="D1480" t="s">
        <v>84</v>
      </c>
      <c r="E1480" t="str">
        <f>PROPER(TRIM(CLEAN(Sales_Table[[#This Row],[Region]])))</f>
        <v>South</v>
      </c>
      <c r="F1480" t="s">
        <v>37</v>
      </c>
      <c r="G1480" t="str">
        <f t="shared" si="162"/>
        <v>Home Appliances</v>
      </c>
      <c r="H1480" t="str">
        <f>PROPER(TRIM(CLEAN(Sales_Table[[#This Row],[Product Name]])))</f>
        <v>Led Tv 42Inch</v>
      </c>
      <c r="I1480" t="s">
        <v>58</v>
      </c>
      <c r="J1480" t="str">
        <f t="shared" si="163"/>
        <v>CUST0260</v>
      </c>
      <c r="K1480" t="s">
        <v>710</v>
      </c>
      <c r="L1480" t="str">
        <f>PROPER(TRIM(CLEAN(Sales_Table[[#This Row],[Salesperson]])))</f>
        <v>Meena</v>
      </c>
      <c r="M1480" t="s">
        <v>40</v>
      </c>
      <c r="N1480" t="str">
        <f t="shared" si="164"/>
        <v>Cash</v>
      </c>
      <c r="O1480" t="s">
        <v>32</v>
      </c>
      <c r="P1480">
        <f t="shared" si="165"/>
        <v>3</v>
      </c>
      <c r="Q1480" t="s">
        <v>66</v>
      </c>
      <c r="R1480">
        <f t="shared" si="166"/>
        <v>3399</v>
      </c>
      <c r="S1480" t="s">
        <v>3491</v>
      </c>
      <c r="T1480">
        <f t="shared" si="167"/>
        <v>10197</v>
      </c>
      <c r="U1480">
        <f>YEAR(Sales_Table[[#This Row],[Date_clean]])</f>
        <v>2024</v>
      </c>
      <c r="V1480" t="str">
        <f>TEXT(Sales_Table[[#This Row],[Date_clean]],"mmmm")</f>
        <v>March</v>
      </c>
      <c r="W1480">
        <f>WEEKNUM(Sales_Table[[#This Row],[Date_clean]],2)</f>
        <v>9</v>
      </c>
      <c r="X1480" t="str" cm="1">
        <f t="array" ref="X1480">_xlfn.IFS(Sales_Table[[#This Row],[Revenue]]&gt;=50000,"High",Sales_Table[[#This Row],[Revenue]]&gt;=20000,"Medium",Sales_Table[[#This Row],[Revenue]]&lt;20000,"Low")</f>
        <v>Low</v>
      </c>
      <c r="Y1480" t="str">
        <f>IF(Sales_Table[[#This Row],[Payment Method_clean]]="cash","Offline","Online")</f>
        <v>Offline</v>
      </c>
      <c r="Z1480">
        <f>IFERROR(Sales_Table[[#This Row],[Revenue]],0)</f>
        <v>10197</v>
      </c>
    </row>
    <row r="1481" spans="1:26" x14ac:dyDescent="0.3">
      <c r="A1481">
        <v>1480</v>
      </c>
      <c r="B1481" s="2">
        <f t="shared" si="161"/>
        <v>45353.625</v>
      </c>
      <c r="C1481" t="s">
        <v>3492</v>
      </c>
      <c r="D1481" t="s">
        <v>36</v>
      </c>
      <c r="E1481" t="str">
        <f>PROPER(TRIM(CLEAN(Sales_Table[[#This Row],[Region]])))</f>
        <v>West</v>
      </c>
      <c r="F1481" t="s">
        <v>46</v>
      </c>
      <c r="G1481" t="str">
        <f t="shared" si="162"/>
        <v>Electronics</v>
      </c>
      <c r="H1481" t="str">
        <f>PROPER(TRIM(CLEAN(Sales_Table[[#This Row],[Product Name]])))</f>
        <v>Rice 5Kg</v>
      </c>
      <c r="I1481" t="s">
        <v>73</v>
      </c>
      <c r="J1481" t="str">
        <f t="shared" si="163"/>
        <v>CUST0513</v>
      </c>
      <c r="K1481" t="s">
        <v>3472</v>
      </c>
      <c r="L1481" t="str">
        <f>PROPER(TRIM(CLEAN(Sales_Table[[#This Row],[Salesperson]])))</f>
        <v>Rahul</v>
      </c>
      <c r="M1481" t="s">
        <v>31</v>
      </c>
      <c r="N1481" t="str">
        <f t="shared" si="164"/>
        <v>Debit Card</v>
      </c>
      <c r="O1481" t="s">
        <v>41</v>
      </c>
      <c r="P1481">
        <f t="shared" si="165"/>
        <v>10</v>
      </c>
      <c r="Q1481" t="s">
        <v>117</v>
      </c>
      <c r="R1481">
        <f t="shared" si="166"/>
        <v>4949</v>
      </c>
      <c r="S1481" t="s">
        <v>3493</v>
      </c>
      <c r="T1481">
        <f t="shared" si="167"/>
        <v>49490</v>
      </c>
      <c r="U1481">
        <f>YEAR(Sales_Table[[#This Row],[Date_clean]])</f>
        <v>2024</v>
      </c>
      <c r="V1481" t="str">
        <f>TEXT(Sales_Table[[#This Row],[Date_clean]],"mmmm")</f>
        <v>March</v>
      </c>
      <c r="W1481">
        <f>WEEKNUM(Sales_Table[[#This Row],[Date_clean]],2)</f>
        <v>9</v>
      </c>
      <c r="X1481" t="str" cm="1">
        <f t="array" ref="X1481">_xlfn.IFS(Sales_Table[[#This Row],[Revenue]]&gt;=50000,"High",Sales_Table[[#This Row],[Revenue]]&gt;=20000,"Medium",Sales_Table[[#This Row],[Revenue]]&lt;20000,"Low")</f>
        <v>Medium</v>
      </c>
      <c r="Y1481" t="str">
        <f>IF(Sales_Table[[#This Row],[Payment Method_clean]]="cash","Offline","Online")</f>
        <v>Online</v>
      </c>
      <c r="Z1481">
        <f>IFERROR(Sales_Table[[#This Row],[Revenue]],0)</f>
        <v>49490</v>
      </c>
    </row>
    <row r="1482" spans="1:26" x14ac:dyDescent="0.3">
      <c r="A1482">
        <v>1481</v>
      </c>
      <c r="B1482" s="2">
        <f t="shared" si="161"/>
        <v>45353.666666666664</v>
      </c>
      <c r="C1482" t="s">
        <v>3494</v>
      </c>
      <c r="D1482" t="s">
        <v>27</v>
      </c>
      <c r="E1482" t="str">
        <f>PROPER(TRIM(CLEAN(Sales_Table[[#This Row],[Region]])))</f>
        <v>East</v>
      </c>
      <c r="F1482" t="s">
        <v>46</v>
      </c>
      <c r="G1482" t="str">
        <f t="shared" si="162"/>
        <v>Electronics</v>
      </c>
      <c r="H1482" t="str">
        <f>PROPER(TRIM(CLEAN(Sales_Table[[#This Row],[Product Name]])))</f>
        <v>Men T-Shirt</v>
      </c>
      <c r="I1482" t="s">
        <v>38</v>
      </c>
      <c r="J1482" t="str">
        <f t="shared" si="163"/>
        <v>CUST0071</v>
      </c>
      <c r="K1482" t="s">
        <v>925</v>
      </c>
      <c r="L1482" t="str">
        <f>PROPER(TRIM(CLEAN(Sales_Table[[#This Row],[Salesperson]])))</f>
        <v>Anita</v>
      </c>
      <c r="M1482" t="s">
        <v>64</v>
      </c>
      <c r="N1482" t="str">
        <f t="shared" si="164"/>
        <v>Net Banking</v>
      </c>
      <c r="O1482" t="s">
        <v>60</v>
      </c>
      <c r="P1482">
        <f t="shared" si="165"/>
        <v>11</v>
      </c>
      <c r="Q1482" t="s">
        <v>97</v>
      </c>
      <c r="R1482">
        <f t="shared" si="166"/>
        <v>2135</v>
      </c>
      <c r="S1482" t="s">
        <v>3495</v>
      </c>
      <c r="T1482">
        <f t="shared" si="167"/>
        <v>23485</v>
      </c>
      <c r="U1482">
        <f>YEAR(Sales_Table[[#This Row],[Date_clean]])</f>
        <v>2024</v>
      </c>
      <c r="V1482" t="str">
        <f>TEXT(Sales_Table[[#This Row],[Date_clean]],"mmmm")</f>
        <v>March</v>
      </c>
      <c r="W1482">
        <f>WEEKNUM(Sales_Table[[#This Row],[Date_clean]],2)</f>
        <v>9</v>
      </c>
      <c r="X1482" t="str" cm="1">
        <f t="array" ref="X1482">_xlfn.IFS(Sales_Table[[#This Row],[Revenue]]&gt;=50000,"High",Sales_Table[[#This Row],[Revenue]]&gt;=20000,"Medium",Sales_Table[[#This Row],[Revenue]]&lt;20000,"Low")</f>
        <v>Medium</v>
      </c>
      <c r="Y1482" t="str">
        <f>IF(Sales_Table[[#This Row],[Payment Method_clean]]="cash","Offline","Online")</f>
        <v>Online</v>
      </c>
      <c r="Z1482">
        <f>IFERROR(Sales_Table[[#This Row],[Revenue]],0)</f>
        <v>23485</v>
      </c>
    </row>
    <row r="1483" spans="1:26" x14ac:dyDescent="0.3">
      <c r="A1483">
        <v>1482</v>
      </c>
      <c r="B1483" s="2">
        <f t="shared" si="161"/>
        <v>45353.708333333336</v>
      </c>
      <c r="C1483" t="s">
        <v>3496</v>
      </c>
      <c r="D1483" t="s">
        <v>45</v>
      </c>
      <c r="E1483" t="str">
        <f>PROPER(TRIM(CLEAN(Sales_Table[[#This Row],[Region]])))</f>
        <v>North</v>
      </c>
      <c r="F1483" t="s">
        <v>28</v>
      </c>
      <c r="G1483" t="str">
        <f t="shared" si="162"/>
        <v>Clothing</v>
      </c>
      <c r="H1483" t="str">
        <f>PROPER(TRIM(CLEAN(Sales_Table[[#This Row],[Product Name]])))</f>
        <v>Men T-Shirt</v>
      </c>
      <c r="I1483" t="s">
        <v>38</v>
      </c>
      <c r="J1483" t="str">
        <f t="shared" si="163"/>
        <v>CUST0478</v>
      </c>
      <c r="K1483" t="s">
        <v>2730</v>
      </c>
      <c r="L1483" t="str">
        <f>PROPER(TRIM(CLEAN(Sales_Table[[#This Row],[Salesperson]])))</f>
        <v>Anita</v>
      </c>
      <c r="M1483" t="s">
        <v>64</v>
      </c>
      <c r="N1483" t="str">
        <f t="shared" si="164"/>
        <v>Credit Card</v>
      </c>
      <c r="O1483" t="s">
        <v>65</v>
      </c>
      <c r="P1483">
        <f t="shared" si="165"/>
        <v>11</v>
      </c>
      <c r="Q1483" t="s">
        <v>97</v>
      </c>
      <c r="R1483">
        <f t="shared" si="166"/>
        <v>2963</v>
      </c>
      <c r="S1483" t="s">
        <v>3497</v>
      </c>
      <c r="T1483">
        <f t="shared" si="167"/>
        <v>32593</v>
      </c>
      <c r="U1483">
        <f>YEAR(Sales_Table[[#This Row],[Date_clean]])</f>
        <v>2024</v>
      </c>
      <c r="V1483" t="str">
        <f>TEXT(Sales_Table[[#This Row],[Date_clean]],"mmmm")</f>
        <v>March</v>
      </c>
      <c r="W1483">
        <f>WEEKNUM(Sales_Table[[#This Row],[Date_clean]],2)</f>
        <v>9</v>
      </c>
      <c r="X1483" t="str" cm="1">
        <f t="array" ref="X1483">_xlfn.IFS(Sales_Table[[#This Row],[Revenue]]&gt;=50000,"High",Sales_Table[[#This Row],[Revenue]]&gt;=20000,"Medium",Sales_Table[[#This Row],[Revenue]]&lt;20000,"Low")</f>
        <v>Medium</v>
      </c>
      <c r="Y1483" t="str">
        <f>IF(Sales_Table[[#This Row],[Payment Method_clean]]="cash","Offline","Online")</f>
        <v>Online</v>
      </c>
      <c r="Z1483">
        <f>IFERROR(Sales_Table[[#This Row],[Revenue]],0)</f>
        <v>32593</v>
      </c>
    </row>
    <row r="1484" spans="1:26" x14ac:dyDescent="0.3">
      <c r="A1484">
        <v>1483</v>
      </c>
      <c r="B1484" s="2">
        <f t="shared" si="161"/>
        <v>45353.75</v>
      </c>
      <c r="C1484" t="s">
        <v>3498</v>
      </c>
      <c r="D1484" t="s">
        <v>84</v>
      </c>
      <c r="E1484" t="str">
        <f>PROPER(TRIM(CLEAN(Sales_Table[[#This Row],[Region]])))</f>
        <v>South</v>
      </c>
      <c r="F1484" t="s">
        <v>78</v>
      </c>
      <c r="G1484" t="str">
        <f t="shared" si="162"/>
        <v>Grocery</v>
      </c>
      <c r="H1484" t="str">
        <f>PROPER(TRIM(CLEAN(Sales_Table[[#This Row],[Product Name]])))</f>
        <v>Mixer Grinder</v>
      </c>
      <c r="I1484" t="s">
        <v>29</v>
      </c>
      <c r="J1484" t="str">
        <f t="shared" si="163"/>
        <v>CUST0178</v>
      </c>
      <c r="K1484" t="s">
        <v>279</v>
      </c>
      <c r="L1484" t="str">
        <f>PROPER(TRIM(CLEAN(Sales_Table[[#This Row],[Salesperson]])))</f>
        <v>Karthik</v>
      </c>
      <c r="M1484" t="s">
        <v>70</v>
      </c>
      <c r="N1484" t="str">
        <f t="shared" si="164"/>
        <v>Net Banking</v>
      </c>
      <c r="O1484" t="s">
        <v>60</v>
      </c>
      <c r="P1484">
        <f t="shared" si="165"/>
        <v>10</v>
      </c>
      <c r="Q1484" t="s">
        <v>117</v>
      </c>
      <c r="R1484">
        <f t="shared" si="166"/>
        <v>1976</v>
      </c>
      <c r="S1484" t="s">
        <v>3499</v>
      </c>
      <c r="T1484">
        <f t="shared" si="167"/>
        <v>19760</v>
      </c>
      <c r="U1484">
        <f>YEAR(Sales_Table[[#This Row],[Date_clean]])</f>
        <v>2024</v>
      </c>
      <c r="V1484" t="str">
        <f>TEXT(Sales_Table[[#This Row],[Date_clean]],"mmmm")</f>
        <v>March</v>
      </c>
      <c r="W1484">
        <f>WEEKNUM(Sales_Table[[#This Row],[Date_clean]],2)</f>
        <v>9</v>
      </c>
      <c r="X1484" t="str" cm="1">
        <f t="array" ref="X1484">_xlfn.IFS(Sales_Table[[#This Row],[Revenue]]&gt;=50000,"High",Sales_Table[[#This Row],[Revenue]]&gt;=20000,"Medium",Sales_Table[[#This Row],[Revenue]]&lt;20000,"Low")</f>
        <v>Low</v>
      </c>
      <c r="Y1484" t="str">
        <f>IF(Sales_Table[[#This Row],[Payment Method_clean]]="cash","Offline","Online")</f>
        <v>Online</v>
      </c>
      <c r="Z1484">
        <f>IFERROR(Sales_Table[[#This Row],[Revenue]],0)</f>
        <v>19760</v>
      </c>
    </row>
    <row r="1485" spans="1:26" x14ac:dyDescent="0.3">
      <c r="A1485">
        <v>1484</v>
      </c>
      <c r="B1485" s="2">
        <f t="shared" si="161"/>
        <v>45353.791666666664</v>
      </c>
      <c r="C1485" t="s">
        <v>3500</v>
      </c>
      <c r="D1485" t="s">
        <v>45</v>
      </c>
      <c r="E1485" t="str">
        <f>PROPER(TRIM(CLEAN(Sales_Table[[#This Row],[Region]])))</f>
        <v>North</v>
      </c>
      <c r="F1485" t="s">
        <v>78</v>
      </c>
      <c r="G1485" t="str">
        <f t="shared" si="162"/>
        <v>Grocery</v>
      </c>
      <c r="H1485" t="str">
        <f>PROPER(TRIM(CLEAN(Sales_Table[[#This Row],[Product Name]])))</f>
        <v>Men T-Shirt</v>
      </c>
      <c r="I1485" t="s">
        <v>38</v>
      </c>
      <c r="J1485" t="str">
        <f t="shared" si="163"/>
        <v>CUST0457</v>
      </c>
      <c r="K1485" t="s">
        <v>1978</v>
      </c>
      <c r="L1485" t="str">
        <f>PROPER(TRIM(CLEAN(Sales_Table[[#This Row],[Salesperson]])))</f>
        <v>Meena</v>
      </c>
      <c r="M1485" t="s">
        <v>40</v>
      </c>
      <c r="N1485" t="str">
        <f t="shared" si="164"/>
        <v>Credit Card</v>
      </c>
      <c r="O1485" t="s">
        <v>65</v>
      </c>
      <c r="P1485">
        <f t="shared" si="165"/>
        <v>11</v>
      </c>
      <c r="Q1485" t="s">
        <v>97</v>
      </c>
      <c r="R1485">
        <f t="shared" si="166"/>
        <v>4951</v>
      </c>
      <c r="S1485" t="s">
        <v>3501</v>
      </c>
      <c r="T1485">
        <f t="shared" si="167"/>
        <v>54461</v>
      </c>
      <c r="U1485">
        <f>YEAR(Sales_Table[[#This Row],[Date_clean]])</f>
        <v>2024</v>
      </c>
      <c r="V1485" t="str">
        <f>TEXT(Sales_Table[[#This Row],[Date_clean]],"mmmm")</f>
        <v>March</v>
      </c>
      <c r="W1485">
        <f>WEEKNUM(Sales_Table[[#This Row],[Date_clean]],2)</f>
        <v>9</v>
      </c>
      <c r="X1485" t="str" cm="1">
        <f t="array" ref="X1485">_xlfn.IFS(Sales_Table[[#This Row],[Revenue]]&gt;=50000,"High",Sales_Table[[#This Row],[Revenue]]&gt;=20000,"Medium",Sales_Table[[#This Row],[Revenue]]&lt;20000,"Low")</f>
        <v>High</v>
      </c>
      <c r="Y1485" t="str">
        <f>IF(Sales_Table[[#This Row],[Payment Method_clean]]="cash","Offline","Online")</f>
        <v>Online</v>
      </c>
      <c r="Z1485">
        <f>IFERROR(Sales_Table[[#This Row],[Revenue]],0)</f>
        <v>54461</v>
      </c>
    </row>
    <row r="1486" spans="1:26" x14ac:dyDescent="0.3">
      <c r="A1486">
        <v>1485</v>
      </c>
      <c r="B1486" s="2">
        <f t="shared" si="161"/>
        <v>45353.833333333336</v>
      </c>
      <c r="C1486" t="s">
        <v>3502</v>
      </c>
      <c r="D1486" t="s">
        <v>27</v>
      </c>
      <c r="E1486" t="str">
        <f>PROPER(TRIM(CLEAN(Sales_Table[[#This Row],[Region]])))</f>
        <v>East</v>
      </c>
      <c r="F1486" t="s">
        <v>46</v>
      </c>
      <c r="G1486" t="str">
        <f t="shared" si="162"/>
        <v>Electronics</v>
      </c>
      <c r="H1486" t="str">
        <f>PROPER(TRIM(CLEAN(Sales_Table[[#This Row],[Product Name]])))</f>
        <v>Laptop</v>
      </c>
      <c r="I1486" t="s">
        <v>52</v>
      </c>
      <c r="J1486" t="str">
        <f t="shared" si="163"/>
        <v>CUST0189</v>
      </c>
      <c r="K1486" t="s">
        <v>666</v>
      </c>
      <c r="L1486" t="str">
        <f>PROPER(TRIM(CLEAN(Sales_Table[[#This Row],[Salesperson]])))</f>
        <v>Anita</v>
      </c>
      <c r="M1486" t="s">
        <v>64</v>
      </c>
      <c r="N1486" t="str">
        <f t="shared" si="164"/>
        <v>Credit Card</v>
      </c>
      <c r="O1486" t="s">
        <v>65</v>
      </c>
      <c r="P1486">
        <f t="shared" si="165"/>
        <v>8</v>
      </c>
      <c r="Q1486" t="s">
        <v>42</v>
      </c>
      <c r="R1486">
        <f t="shared" si="166"/>
        <v>2328</v>
      </c>
      <c r="S1486" t="s">
        <v>1456</v>
      </c>
      <c r="T1486">
        <f t="shared" si="167"/>
        <v>18624</v>
      </c>
      <c r="U1486">
        <f>YEAR(Sales_Table[[#This Row],[Date_clean]])</f>
        <v>2024</v>
      </c>
      <c r="V1486" t="str">
        <f>TEXT(Sales_Table[[#This Row],[Date_clean]],"mmmm")</f>
        <v>March</v>
      </c>
      <c r="W1486">
        <f>WEEKNUM(Sales_Table[[#This Row],[Date_clean]],2)</f>
        <v>9</v>
      </c>
      <c r="X1486" t="str" cm="1">
        <f t="array" ref="X1486">_xlfn.IFS(Sales_Table[[#This Row],[Revenue]]&gt;=50000,"High",Sales_Table[[#This Row],[Revenue]]&gt;=20000,"Medium",Sales_Table[[#This Row],[Revenue]]&lt;20000,"Low")</f>
        <v>Low</v>
      </c>
      <c r="Y1486" t="str">
        <f>IF(Sales_Table[[#This Row],[Payment Method_clean]]="cash","Offline","Online")</f>
        <v>Online</v>
      </c>
      <c r="Z1486">
        <f>IFERROR(Sales_Table[[#This Row],[Revenue]],0)</f>
        <v>18624</v>
      </c>
    </row>
    <row r="1487" spans="1:26" x14ac:dyDescent="0.3">
      <c r="A1487">
        <v>1486</v>
      </c>
      <c r="B1487" s="2">
        <f t="shared" si="161"/>
        <v>45353.875</v>
      </c>
      <c r="C1487" t="s">
        <v>3503</v>
      </c>
      <c r="D1487" t="s">
        <v>27</v>
      </c>
      <c r="E1487" t="str">
        <f>PROPER(TRIM(CLEAN(Sales_Table[[#This Row],[Region]])))</f>
        <v>East</v>
      </c>
      <c r="F1487" t="s">
        <v>78</v>
      </c>
      <c r="G1487" t="str">
        <f t="shared" si="162"/>
        <v>Grocery</v>
      </c>
      <c r="H1487" t="str">
        <f>PROPER(TRIM(CLEAN(Sales_Table[[#This Row],[Product Name]])))</f>
        <v>Led Tv 42Inch</v>
      </c>
      <c r="I1487" t="s">
        <v>58</v>
      </c>
      <c r="J1487" t="str">
        <f t="shared" si="163"/>
        <v>CUST0291</v>
      </c>
      <c r="K1487" t="s">
        <v>2370</v>
      </c>
      <c r="L1487" t="str">
        <f>PROPER(TRIM(CLEAN(Sales_Table[[#This Row],[Salesperson]])))</f>
        <v>Meena</v>
      </c>
      <c r="M1487" t="s">
        <v>40</v>
      </c>
      <c r="N1487" t="str">
        <f t="shared" si="164"/>
        <v>Credit Card</v>
      </c>
      <c r="O1487" t="s">
        <v>65</v>
      </c>
      <c r="P1487">
        <f t="shared" si="165"/>
        <v>13</v>
      </c>
      <c r="Q1487" t="s">
        <v>81</v>
      </c>
      <c r="R1487">
        <f t="shared" si="166"/>
        <v>696</v>
      </c>
      <c r="S1487" t="s">
        <v>3504</v>
      </c>
      <c r="T1487">
        <f t="shared" si="167"/>
        <v>9048</v>
      </c>
      <c r="U1487">
        <f>YEAR(Sales_Table[[#This Row],[Date_clean]])</f>
        <v>2024</v>
      </c>
      <c r="V1487" t="str">
        <f>TEXT(Sales_Table[[#This Row],[Date_clean]],"mmmm")</f>
        <v>March</v>
      </c>
      <c r="W1487">
        <f>WEEKNUM(Sales_Table[[#This Row],[Date_clean]],2)</f>
        <v>9</v>
      </c>
      <c r="X1487" t="str" cm="1">
        <f t="array" ref="X1487">_xlfn.IFS(Sales_Table[[#This Row],[Revenue]]&gt;=50000,"High",Sales_Table[[#This Row],[Revenue]]&gt;=20000,"Medium",Sales_Table[[#This Row],[Revenue]]&lt;20000,"Low")</f>
        <v>Low</v>
      </c>
      <c r="Y1487" t="str">
        <f>IF(Sales_Table[[#This Row],[Payment Method_clean]]="cash","Offline","Online")</f>
        <v>Online</v>
      </c>
      <c r="Z1487">
        <f>IFERROR(Sales_Table[[#This Row],[Revenue]],0)</f>
        <v>9048</v>
      </c>
    </row>
    <row r="1488" spans="1:26" x14ac:dyDescent="0.3">
      <c r="A1488">
        <v>1487</v>
      </c>
      <c r="B1488" s="2">
        <f t="shared" si="161"/>
        <v>45353.916666666664</v>
      </c>
      <c r="C1488" t="s">
        <v>3505</v>
      </c>
      <c r="D1488" t="s">
        <v>27</v>
      </c>
      <c r="E1488" t="str">
        <f>PROPER(TRIM(CLEAN(Sales_Table[[#This Row],[Region]])))</f>
        <v>East</v>
      </c>
      <c r="F1488" t="s">
        <v>46</v>
      </c>
      <c r="G1488" t="str">
        <f t="shared" si="162"/>
        <v>Electronics</v>
      </c>
      <c r="H1488" t="str">
        <f>PROPER(TRIM(CLEAN(Sales_Table[[#This Row],[Product Name]])))</f>
        <v>Rice 5Kg</v>
      </c>
      <c r="I1488" t="s">
        <v>73</v>
      </c>
      <c r="J1488" t="str">
        <f t="shared" si="163"/>
        <v>CUST0520</v>
      </c>
      <c r="K1488" t="s">
        <v>228</v>
      </c>
      <c r="L1488" t="str">
        <f>PROPER(TRIM(CLEAN(Sales_Table[[#This Row],[Salesperson]])))</f>
        <v>Meena</v>
      </c>
      <c r="M1488" t="s">
        <v>40</v>
      </c>
      <c r="N1488" t="str">
        <f t="shared" si="164"/>
        <v>Debit Card</v>
      </c>
      <c r="O1488" t="s">
        <v>41</v>
      </c>
      <c r="P1488">
        <f t="shared" si="165"/>
        <v>5</v>
      </c>
      <c r="Q1488" t="s">
        <v>89</v>
      </c>
      <c r="R1488">
        <f t="shared" si="166"/>
        <v>3706</v>
      </c>
      <c r="S1488" t="s">
        <v>3506</v>
      </c>
      <c r="T1488">
        <f t="shared" si="167"/>
        <v>18530</v>
      </c>
      <c r="U1488">
        <f>YEAR(Sales_Table[[#This Row],[Date_clean]])</f>
        <v>2024</v>
      </c>
      <c r="V1488" t="str">
        <f>TEXT(Sales_Table[[#This Row],[Date_clean]],"mmmm")</f>
        <v>March</v>
      </c>
      <c r="W1488">
        <f>WEEKNUM(Sales_Table[[#This Row],[Date_clean]],2)</f>
        <v>9</v>
      </c>
      <c r="X1488" t="str" cm="1">
        <f t="array" ref="X1488">_xlfn.IFS(Sales_Table[[#This Row],[Revenue]]&gt;=50000,"High",Sales_Table[[#This Row],[Revenue]]&gt;=20000,"Medium",Sales_Table[[#This Row],[Revenue]]&lt;20000,"Low")</f>
        <v>Low</v>
      </c>
      <c r="Y1488" t="str">
        <f>IF(Sales_Table[[#This Row],[Payment Method_clean]]="cash","Offline","Online")</f>
        <v>Online</v>
      </c>
      <c r="Z1488">
        <f>IFERROR(Sales_Table[[#This Row],[Revenue]],0)</f>
        <v>18530</v>
      </c>
    </row>
    <row r="1489" spans="1:26" x14ac:dyDescent="0.3">
      <c r="A1489">
        <v>1488</v>
      </c>
      <c r="B1489" s="2">
        <f t="shared" si="161"/>
        <v>45353.958333333336</v>
      </c>
      <c r="C1489" t="s">
        <v>3507</v>
      </c>
      <c r="D1489" t="s">
        <v>45</v>
      </c>
      <c r="E1489" t="str">
        <f>PROPER(TRIM(CLEAN(Sales_Table[[#This Row],[Region]])))</f>
        <v>North</v>
      </c>
      <c r="F1489" t="s">
        <v>28</v>
      </c>
      <c r="G1489" t="str">
        <f t="shared" si="162"/>
        <v>Clothing</v>
      </c>
      <c r="H1489" t="str">
        <f>PROPER(TRIM(CLEAN(Sales_Table[[#This Row],[Product Name]])))</f>
        <v>Laptop</v>
      </c>
      <c r="I1489" t="s">
        <v>52</v>
      </c>
      <c r="J1489" t="str">
        <f t="shared" si="163"/>
        <v>CUST0765</v>
      </c>
      <c r="K1489" t="s">
        <v>1856</v>
      </c>
      <c r="L1489" t="str">
        <f>PROPER(TRIM(CLEAN(Sales_Table[[#This Row],[Salesperson]])))</f>
        <v>Karthik</v>
      </c>
      <c r="M1489" t="s">
        <v>70</v>
      </c>
      <c r="N1489" t="str">
        <f t="shared" si="164"/>
        <v>Cash</v>
      </c>
      <c r="O1489" t="s">
        <v>32</v>
      </c>
      <c r="P1489">
        <f t="shared" si="165"/>
        <v>4</v>
      </c>
      <c r="Q1489" t="s">
        <v>113</v>
      </c>
      <c r="R1489">
        <f t="shared" si="166"/>
        <v>2774</v>
      </c>
      <c r="S1489" t="s">
        <v>3508</v>
      </c>
      <c r="T1489">
        <f t="shared" si="167"/>
        <v>11096</v>
      </c>
      <c r="U1489">
        <f>YEAR(Sales_Table[[#This Row],[Date_clean]])</f>
        <v>2024</v>
      </c>
      <c r="V1489" t="str">
        <f>TEXT(Sales_Table[[#This Row],[Date_clean]],"mmmm")</f>
        <v>March</v>
      </c>
      <c r="W1489">
        <f>WEEKNUM(Sales_Table[[#This Row],[Date_clean]],2)</f>
        <v>9</v>
      </c>
      <c r="X1489" t="str" cm="1">
        <f t="array" ref="X1489">_xlfn.IFS(Sales_Table[[#This Row],[Revenue]]&gt;=50000,"High",Sales_Table[[#This Row],[Revenue]]&gt;=20000,"Medium",Sales_Table[[#This Row],[Revenue]]&lt;20000,"Low")</f>
        <v>Low</v>
      </c>
      <c r="Y1489" t="str">
        <f>IF(Sales_Table[[#This Row],[Payment Method_clean]]="cash","Offline","Online")</f>
        <v>Offline</v>
      </c>
      <c r="Z1489">
        <f>IFERROR(Sales_Table[[#This Row],[Revenue]],0)</f>
        <v>11096</v>
      </c>
    </row>
    <row r="1490" spans="1:26" x14ac:dyDescent="0.3">
      <c r="A1490">
        <v>1489</v>
      </c>
      <c r="B1490" s="2">
        <f t="shared" si="161"/>
        <v>45354</v>
      </c>
      <c r="C1490" t="s">
        <v>3509</v>
      </c>
      <c r="D1490" t="s">
        <v>45</v>
      </c>
      <c r="E1490" t="str">
        <f>PROPER(TRIM(CLEAN(Sales_Table[[#This Row],[Region]])))</f>
        <v>North</v>
      </c>
      <c r="F1490" t="s">
        <v>46</v>
      </c>
      <c r="G1490" t="str">
        <f t="shared" si="162"/>
        <v>Electronics</v>
      </c>
      <c r="H1490" t="str">
        <f>PROPER(TRIM(CLEAN(Sales_Table[[#This Row],[Product Name]])))</f>
        <v>Led Tv 42Inch</v>
      </c>
      <c r="I1490" t="s">
        <v>58</v>
      </c>
      <c r="J1490" t="str">
        <f t="shared" si="163"/>
        <v>CUST0292</v>
      </c>
      <c r="K1490" t="s">
        <v>3510</v>
      </c>
      <c r="L1490" t="str">
        <f>PROPER(TRIM(CLEAN(Sales_Table[[#This Row],[Salesperson]])))</f>
        <v>Meena</v>
      </c>
      <c r="M1490" t="s">
        <v>40</v>
      </c>
      <c r="N1490" t="str">
        <f t="shared" si="164"/>
        <v>Debit Card</v>
      </c>
      <c r="O1490" t="s">
        <v>41</v>
      </c>
      <c r="P1490">
        <f t="shared" si="165"/>
        <v>13</v>
      </c>
      <c r="Q1490" t="s">
        <v>81</v>
      </c>
      <c r="R1490">
        <f t="shared" si="166"/>
        <v>3989</v>
      </c>
      <c r="S1490" t="s">
        <v>3511</v>
      </c>
      <c r="T1490">
        <f t="shared" si="167"/>
        <v>51857</v>
      </c>
      <c r="U1490">
        <f>YEAR(Sales_Table[[#This Row],[Date_clean]])</f>
        <v>2024</v>
      </c>
      <c r="V1490" t="str">
        <f>TEXT(Sales_Table[[#This Row],[Date_clean]],"mmmm")</f>
        <v>March</v>
      </c>
      <c r="W1490">
        <f>WEEKNUM(Sales_Table[[#This Row],[Date_clean]],2)</f>
        <v>9</v>
      </c>
      <c r="X1490" t="str" cm="1">
        <f t="array" ref="X1490">_xlfn.IFS(Sales_Table[[#This Row],[Revenue]]&gt;=50000,"High",Sales_Table[[#This Row],[Revenue]]&gt;=20000,"Medium",Sales_Table[[#This Row],[Revenue]]&lt;20000,"Low")</f>
        <v>High</v>
      </c>
      <c r="Y1490" t="str">
        <f>IF(Sales_Table[[#This Row],[Payment Method_clean]]="cash","Offline","Online")</f>
        <v>Online</v>
      </c>
      <c r="Z1490">
        <f>IFERROR(Sales_Table[[#This Row],[Revenue]],0)</f>
        <v>51857</v>
      </c>
    </row>
    <row r="1491" spans="1:26" x14ac:dyDescent="0.3">
      <c r="A1491">
        <v>1490</v>
      </c>
      <c r="B1491" s="2">
        <f t="shared" si="161"/>
        <v>45354.041666666664</v>
      </c>
      <c r="C1491" t="s">
        <v>3512</v>
      </c>
      <c r="D1491" t="s">
        <v>45</v>
      </c>
      <c r="E1491" t="str">
        <f>PROPER(TRIM(CLEAN(Sales_Table[[#This Row],[Region]])))</f>
        <v>North</v>
      </c>
      <c r="F1491" t="s">
        <v>46</v>
      </c>
      <c r="G1491" t="str">
        <f t="shared" si="162"/>
        <v>Electronics</v>
      </c>
      <c r="H1491" t="str">
        <f>PROPER(TRIM(CLEAN(Sales_Table[[#This Row],[Product Name]])))</f>
        <v>Washing Machine</v>
      </c>
      <c r="I1491" t="s">
        <v>79</v>
      </c>
      <c r="J1491" t="str">
        <f t="shared" si="163"/>
        <v>CUST0756</v>
      </c>
      <c r="K1491" t="s">
        <v>3513</v>
      </c>
      <c r="L1491" t="str">
        <f>PROPER(TRIM(CLEAN(Sales_Table[[#This Row],[Salesperson]])))</f>
        <v>Rahul</v>
      </c>
      <c r="M1491" t="s">
        <v>31</v>
      </c>
      <c r="N1491" t="str">
        <f t="shared" si="164"/>
        <v>Cash</v>
      </c>
      <c r="O1491" t="s">
        <v>32</v>
      </c>
      <c r="P1491">
        <f t="shared" si="165"/>
        <v>9</v>
      </c>
      <c r="Q1491" t="s">
        <v>130</v>
      </c>
      <c r="R1491">
        <f t="shared" si="166"/>
        <v>3606</v>
      </c>
      <c r="S1491" t="s">
        <v>2644</v>
      </c>
      <c r="T1491">
        <f t="shared" si="167"/>
        <v>32454</v>
      </c>
      <c r="U1491">
        <f>YEAR(Sales_Table[[#This Row],[Date_clean]])</f>
        <v>2024</v>
      </c>
      <c r="V1491" t="str">
        <f>TEXT(Sales_Table[[#This Row],[Date_clean]],"mmmm")</f>
        <v>March</v>
      </c>
      <c r="W1491">
        <f>WEEKNUM(Sales_Table[[#This Row],[Date_clean]],2)</f>
        <v>9</v>
      </c>
      <c r="X1491" t="str" cm="1">
        <f t="array" ref="X1491">_xlfn.IFS(Sales_Table[[#This Row],[Revenue]]&gt;=50000,"High",Sales_Table[[#This Row],[Revenue]]&gt;=20000,"Medium",Sales_Table[[#This Row],[Revenue]]&lt;20000,"Low")</f>
        <v>Medium</v>
      </c>
      <c r="Y1491" t="str">
        <f>IF(Sales_Table[[#This Row],[Payment Method_clean]]="cash","Offline","Online")</f>
        <v>Offline</v>
      </c>
      <c r="Z1491">
        <f>IFERROR(Sales_Table[[#This Row],[Revenue]],0)</f>
        <v>32454</v>
      </c>
    </row>
    <row r="1492" spans="1:26" x14ac:dyDescent="0.3">
      <c r="A1492">
        <v>1491</v>
      </c>
      <c r="B1492" s="2">
        <f t="shared" si="161"/>
        <v>45354.083333333336</v>
      </c>
      <c r="C1492" t="s">
        <v>3514</v>
      </c>
      <c r="D1492" t="s">
        <v>45</v>
      </c>
      <c r="E1492" t="str">
        <f>PROPER(TRIM(CLEAN(Sales_Table[[#This Row],[Region]])))</f>
        <v>North</v>
      </c>
      <c r="F1492" t="s">
        <v>28</v>
      </c>
      <c r="G1492" t="str">
        <f t="shared" si="162"/>
        <v>Clothing</v>
      </c>
      <c r="H1492" t="str">
        <f>PROPER(TRIM(CLEAN(Sales_Table[[#This Row],[Product Name]])))</f>
        <v>Mixer Grinder</v>
      </c>
      <c r="I1492" t="s">
        <v>29</v>
      </c>
      <c r="J1492" t="str">
        <f t="shared" si="163"/>
        <v>CUST0635</v>
      </c>
      <c r="K1492" t="s">
        <v>3515</v>
      </c>
      <c r="L1492" t="str">
        <f>PROPER(TRIM(CLEAN(Sales_Table[[#This Row],[Salesperson]])))</f>
        <v>Meena</v>
      </c>
      <c r="M1492" t="s">
        <v>40</v>
      </c>
      <c r="N1492" t="str">
        <f t="shared" si="164"/>
        <v>Net Banking</v>
      </c>
      <c r="O1492" t="s">
        <v>60</v>
      </c>
      <c r="P1492">
        <f t="shared" si="165"/>
        <v>9</v>
      </c>
      <c r="Q1492" t="s">
        <v>130</v>
      </c>
      <c r="R1492">
        <f t="shared" si="166"/>
        <v>1934</v>
      </c>
      <c r="S1492" t="s">
        <v>3516</v>
      </c>
      <c r="T1492">
        <f t="shared" si="167"/>
        <v>17406</v>
      </c>
      <c r="U1492">
        <f>YEAR(Sales_Table[[#This Row],[Date_clean]])</f>
        <v>2024</v>
      </c>
      <c r="V1492" t="str">
        <f>TEXT(Sales_Table[[#This Row],[Date_clean]],"mmmm")</f>
        <v>March</v>
      </c>
      <c r="W1492">
        <f>WEEKNUM(Sales_Table[[#This Row],[Date_clean]],2)</f>
        <v>9</v>
      </c>
      <c r="X1492" t="str" cm="1">
        <f t="array" ref="X1492">_xlfn.IFS(Sales_Table[[#This Row],[Revenue]]&gt;=50000,"High",Sales_Table[[#This Row],[Revenue]]&gt;=20000,"Medium",Sales_Table[[#This Row],[Revenue]]&lt;20000,"Low")</f>
        <v>Low</v>
      </c>
      <c r="Y1492" t="str">
        <f>IF(Sales_Table[[#This Row],[Payment Method_clean]]="cash","Offline","Online")</f>
        <v>Online</v>
      </c>
      <c r="Z1492">
        <f>IFERROR(Sales_Table[[#This Row],[Revenue]],0)</f>
        <v>17406</v>
      </c>
    </row>
    <row r="1493" spans="1:26" x14ac:dyDescent="0.3">
      <c r="A1493">
        <v>1492</v>
      </c>
      <c r="B1493" s="2">
        <f t="shared" si="161"/>
        <v>45354.125</v>
      </c>
      <c r="C1493" t="s">
        <v>3517</v>
      </c>
      <c r="D1493" t="s">
        <v>27</v>
      </c>
      <c r="E1493" t="str">
        <f>PROPER(TRIM(CLEAN(Sales_Table[[#This Row],[Region]])))</f>
        <v>East</v>
      </c>
      <c r="F1493" t="s">
        <v>78</v>
      </c>
      <c r="G1493" t="str">
        <f t="shared" si="162"/>
        <v>Grocery</v>
      </c>
      <c r="H1493" t="str">
        <f>PROPER(TRIM(CLEAN(Sales_Table[[#This Row],[Product Name]])))</f>
        <v>Men T-Shirt</v>
      </c>
      <c r="I1493" t="s">
        <v>38</v>
      </c>
      <c r="J1493" t="str">
        <f t="shared" si="163"/>
        <v>CUST0283</v>
      </c>
      <c r="K1493" t="s">
        <v>1776</v>
      </c>
      <c r="L1493" t="str">
        <f>PROPER(TRIM(CLEAN(Sales_Table[[#This Row],[Salesperson]])))</f>
        <v>Karthik</v>
      </c>
      <c r="M1493" t="s">
        <v>70</v>
      </c>
      <c r="N1493" t="str">
        <f t="shared" si="164"/>
        <v>Upi</v>
      </c>
      <c r="O1493" t="s">
        <v>48</v>
      </c>
      <c r="P1493">
        <f t="shared" si="165"/>
        <v>1</v>
      </c>
      <c r="Q1493" t="s">
        <v>93</v>
      </c>
      <c r="R1493">
        <f t="shared" si="166"/>
        <v>1495</v>
      </c>
      <c r="S1493" t="s">
        <v>3518</v>
      </c>
      <c r="T1493">
        <f t="shared" si="167"/>
        <v>1495</v>
      </c>
      <c r="U1493">
        <f>YEAR(Sales_Table[[#This Row],[Date_clean]])</f>
        <v>2024</v>
      </c>
      <c r="V1493" t="str">
        <f>TEXT(Sales_Table[[#This Row],[Date_clean]],"mmmm")</f>
        <v>March</v>
      </c>
      <c r="W1493">
        <f>WEEKNUM(Sales_Table[[#This Row],[Date_clean]],2)</f>
        <v>9</v>
      </c>
      <c r="X1493" t="str" cm="1">
        <f t="array" ref="X1493">_xlfn.IFS(Sales_Table[[#This Row],[Revenue]]&gt;=50000,"High",Sales_Table[[#This Row],[Revenue]]&gt;=20000,"Medium",Sales_Table[[#This Row],[Revenue]]&lt;20000,"Low")</f>
        <v>Low</v>
      </c>
      <c r="Y1493" t="str">
        <f>IF(Sales_Table[[#This Row],[Payment Method_clean]]="cash","Offline","Online")</f>
        <v>Online</v>
      </c>
      <c r="Z1493">
        <f>IFERROR(Sales_Table[[#This Row],[Revenue]],0)</f>
        <v>1495</v>
      </c>
    </row>
    <row r="1494" spans="1:26" x14ac:dyDescent="0.3">
      <c r="A1494">
        <v>1493</v>
      </c>
      <c r="B1494" s="2">
        <f t="shared" si="161"/>
        <v>45354.166666666664</v>
      </c>
      <c r="C1494" t="s">
        <v>3519</v>
      </c>
      <c r="D1494" t="s">
        <v>27</v>
      </c>
      <c r="E1494" t="str">
        <f>PROPER(TRIM(CLEAN(Sales_Table[[#This Row],[Region]])))</f>
        <v>East</v>
      </c>
      <c r="F1494" t="s">
        <v>46</v>
      </c>
      <c r="G1494" t="str">
        <f t="shared" si="162"/>
        <v>Electronics</v>
      </c>
      <c r="H1494" t="str">
        <f>PROPER(TRIM(CLEAN(Sales_Table[[#This Row],[Product Name]])))</f>
        <v>Washing Machine</v>
      </c>
      <c r="I1494" t="s">
        <v>79</v>
      </c>
      <c r="J1494" t="str">
        <f t="shared" si="163"/>
        <v>CUST0544</v>
      </c>
      <c r="K1494" t="s">
        <v>1296</v>
      </c>
      <c r="L1494" t="str">
        <f>PROPER(TRIM(CLEAN(Sales_Table[[#This Row],[Salesperson]])))</f>
        <v>Karthik</v>
      </c>
      <c r="M1494" t="s">
        <v>70</v>
      </c>
      <c r="N1494" t="str">
        <f t="shared" si="164"/>
        <v>Net Banking</v>
      </c>
      <c r="O1494" t="s">
        <v>60</v>
      </c>
      <c r="P1494">
        <f t="shared" si="165"/>
        <v>2</v>
      </c>
      <c r="Q1494" t="s">
        <v>196</v>
      </c>
      <c r="R1494">
        <f t="shared" si="166"/>
        <v>1686</v>
      </c>
      <c r="S1494" t="s">
        <v>3520</v>
      </c>
      <c r="T1494">
        <f t="shared" si="167"/>
        <v>3372</v>
      </c>
      <c r="U1494">
        <f>YEAR(Sales_Table[[#This Row],[Date_clean]])</f>
        <v>2024</v>
      </c>
      <c r="V1494" t="str">
        <f>TEXT(Sales_Table[[#This Row],[Date_clean]],"mmmm")</f>
        <v>March</v>
      </c>
      <c r="W1494">
        <f>WEEKNUM(Sales_Table[[#This Row],[Date_clean]],2)</f>
        <v>9</v>
      </c>
      <c r="X1494" t="str" cm="1">
        <f t="array" ref="X1494">_xlfn.IFS(Sales_Table[[#This Row],[Revenue]]&gt;=50000,"High",Sales_Table[[#This Row],[Revenue]]&gt;=20000,"Medium",Sales_Table[[#This Row],[Revenue]]&lt;20000,"Low")</f>
        <v>Low</v>
      </c>
      <c r="Y1494" t="str">
        <f>IF(Sales_Table[[#This Row],[Payment Method_clean]]="cash","Offline","Online")</f>
        <v>Online</v>
      </c>
      <c r="Z1494">
        <f>IFERROR(Sales_Table[[#This Row],[Revenue]],0)</f>
        <v>3372</v>
      </c>
    </row>
    <row r="1495" spans="1:26" x14ac:dyDescent="0.3">
      <c r="A1495">
        <v>1494</v>
      </c>
      <c r="B1495" s="2">
        <f t="shared" si="161"/>
        <v>45354.208333333336</v>
      </c>
      <c r="C1495" t="s">
        <v>3521</v>
      </c>
      <c r="D1495" t="s">
        <v>84</v>
      </c>
      <c r="E1495" t="str">
        <f>PROPER(TRIM(CLEAN(Sales_Table[[#This Row],[Region]])))</f>
        <v>South</v>
      </c>
      <c r="F1495" t="s">
        <v>46</v>
      </c>
      <c r="G1495" t="str">
        <f t="shared" si="162"/>
        <v>Electronics</v>
      </c>
      <c r="H1495" t="str">
        <f>PROPER(TRIM(CLEAN(Sales_Table[[#This Row],[Product Name]])))</f>
        <v>Men T-Shirt</v>
      </c>
      <c r="I1495" t="s">
        <v>38</v>
      </c>
      <c r="J1495" t="str">
        <f t="shared" si="163"/>
        <v>CUST0377</v>
      </c>
      <c r="K1495" t="s">
        <v>3522</v>
      </c>
      <c r="L1495" t="str">
        <f>PROPER(TRIM(CLEAN(Sales_Table[[#This Row],[Salesperson]])))</f>
        <v>Karthik</v>
      </c>
      <c r="M1495" t="s">
        <v>70</v>
      </c>
      <c r="N1495" t="str">
        <f t="shared" si="164"/>
        <v>Debit Card</v>
      </c>
      <c r="O1495" t="s">
        <v>41</v>
      </c>
      <c r="P1495">
        <f t="shared" si="165"/>
        <v>8</v>
      </c>
      <c r="Q1495" t="s">
        <v>42</v>
      </c>
      <c r="R1495">
        <f t="shared" si="166"/>
        <v>211</v>
      </c>
      <c r="S1495" t="s">
        <v>348</v>
      </c>
      <c r="T1495">
        <f t="shared" si="167"/>
        <v>1688</v>
      </c>
      <c r="U1495">
        <f>YEAR(Sales_Table[[#This Row],[Date_clean]])</f>
        <v>2024</v>
      </c>
      <c r="V1495" t="str">
        <f>TEXT(Sales_Table[[#This Row],[Date_clean]],"mmmm")</f>
        <v>March</v>
      </c>
      <c r="W1495">
        <f>WEEKNUM(Sales_Table[[#This Row],[Date_clean]],2)</f>
        <v>9</v>
      </c>
      <c r="X1495" t="str" cm="1">
        <f t="array" ref="X1495">_xlfn.IFS(Sales_Table[[#This Row],[Revenue]]&gt;=50000,"High",Sales_Table[[#This Row],[Revenue]]&gt;=20000,"Medium",Sales_Table[[#This Row],[Revenue]]&lt;20000,"Low")</f>
        <v>Low</v>
      </c>
      <c r="Y1495" t="str">
        <f>IF(Sales_Table[[#This Row],[Payment Method_clean]]="cash","Offline","Online")</f>
        <v>Online</v>
      </c>
      <c r="Z1495">
        <f>IFERROR(Sales_Table[[#This Row],[Revenue]],0)</f>
        <v>1688</v>
      </c>
    </row>
    <row r="1496" spans="1:26" x14ac:dyDescent="0.3">
      <c r="A1496">
        <v>1495</v>
      </c>
      <c r="B1496" s="2">
        <f t="shared" si="161"/>
        <v>45354.25</v>
      </c>
      <c r="C1496" t="s">
        <v>3523</v>
      </c>
      <c r="D1496" t="s">
        <v>84</v>
      </c>
      <c r="E1496" t="str">
        <f>PROPER(TRIM(CLEAN(Sales_Table[[#This Row],[Region]])))</f>
        <v>South</v>
      </c>
      <c r="F1496" t="s">
        <v>28</v>
      </c>
      <c r="G1496" t="str">
        <f t="shared" si="162"/>
        <v>Clothing</v>
      </c>
      <c r="H1496" t="str">
        <f>PROPER(TRIM(CLEAN(Sales_Table[[#This Row],[Product Name]])))</f>
        <v>Laptop</v>
      </c>
      <c r="I1496" t="s">
        <v>52</v>
      </c>
      <c r="J1496" t="str">
        <f t="shared" si="163"/>
        <v>CUST0658</v>
      </c>
      <c r="K1496" t="s">
        <v>291</v>
      </c>
      <c r="L1496" t="str">
        <f>PROPER(TRIM(CLEAN(Sales_Table[[#This Row],[Salesperson]])))</f>
        <v>Anita</v>
      </c>
      <c r="M1496" t="s">
        <v>64</v>
      </c>
      <c r="N1496" t="str">
        <f t="shared" si="164"/>
        <v>Debit Card</v>
      </c>
      <c r="O1496" t="s">
        <v>41</v>
      </c>
      <c r="P1496">
        <f t="shared" si="165"/>
        <v>5</v>
      </c>
      <c r="Q1496" t="s">
        <v>89</v>
      </c>
      <c r="R1496">
        <f t="shared" si="166"/>
        <v>552</v>
      </c>
      <c r="S1496" t="s">
        <v>3524</v>
      </c>
      <c r="T1496">
        <f t="shared" si="167"/>
        <v>2760</v>
      </c>
      <c r="U1496">
        <f>YEAR(Sales_Table[[#This Row],[Date_clean]])</f>
        <v>2024</v>
      </c>
      <c r="V1496" t="str">
        <f>TEXT(Sales_Table[[#This Row],[Date_clean]],"mmmm")</f>
        <v>March</v>
      </c>
      <c r="W1496">
        <f>WEEKNUM(Sales_Table[[#This Row],[Date_clean]],2)</f>
        <v>9</v>
      </c>
      <c r="X1496" t="str" cm="1">
        <f t="array" ref="X1496">_xlfn.IFS(Sales_Table[[#This Row],[Revenue]]&gt;=50000,"High",Sales_Table[[#This Row],[Revenue]]&gt;=20000,"Medium",Sales_Table[[#This Row],[Revenue]]&lt;20000,"Low")</f>
        <v>Low</v>
      </c>
      <c r="Y1496" t="str">
        <f>IF(Sales_Table[[#This Row],[Payment Method_clean]]="cash","Offline","Online")</f>
        <v>Online</v>
      </c>
      <c r="Z1496">
        <f>IFERROR(Sales_Table[[#This Row],[Revenue]],0)</f>
        <v>2760</v>
      </c>
    </row>
    <row r="1497" spans="1:26" x14ac:dyDescent="0.3">
      <c r="A1497">
        <v>1496</v>
      </c>
      <c r="B1497" s="2">
        <f t="shared" si="161"/>
        <v>45354.291666666664</v>
      </c>
      <c r="C1497" t="s">
        <v>3525</v>
      </c>
      <c r="D1497" t="s">
        <v>45</v>
      </c>
      <c r="E1497" t="str">
        <f>PROPER(TRIM(CLEAN(Sales_Table[[#This Row],[Region]])))</f>
        <v>North</v>
      </c>
      <c r="F1497" t="s">
        <v>78</v>
      </c>
      <c r="G1497" t="str">
        <f t="shared" si="162"/>
        <v>Grocery</v>
      </c>
      <c r="H1497" t="str">
        <f>PROPER(TRIM(CLEAN(Sales_Table[[#This Row],[Product Name]])))</f>
        <v>Rice 5Kg</v>
      </c>
      <c r="I1497" t="s">
        <v>73</v>
      </c>
      <c r="J1497" t="str">
        <f t="shared" si="163"/>
        <v>CUST0156</v>
      </c>
      <c r="K1497" t="s">
        <v>332</v>
      </c>
      <c r="L1497" t="str">
        <f>PROPER(TRIM(CLEAN(Sales_Table[[#This Row],[Salesperson]])))</f>
        <v>Rahul</v>
      </c>
      <c r="M1497" t="s">
        <v>31</v>
      </c>
      <c r="N1497" t="str">
        <f t="shared" si="164"/>
        <v>Cash</v>
      </c>
      <c r="O1497" t="s">
        <v>32</v>
      </c>
      <c r="P1497">
        <f t="shared" si="165"/>
        <v>7</v>
      </c>
      <c r="Q1497" t="s">
        <v>49</v>
      </c>
      <c r="R1497">
        <f t="shared" si="166"/>
        <v>2903</v>
      </c>
      <c r="S1497" t="s">
        <v>3526</v>
      </c>
      <c r="T1497">
        <f t="shared" si="167"/>
        <v>20321</v>
      </c>
      <c r="U1497">
        <f>YEAR(Sales_Table[[#This Row],[Date_clean]])</f>
        <v>2024</v>
      </c>
      <c r="V1497" t="str">
        <f>TEXT(Sales_Table[[#This Row],[Date_clean]],"mmmm")</f>
        <v>March</v>
      </c>
      <c r="W1497">
        <f>WEEKNUM(Sales_Table[[#This Row],[Date_clean]],2)</f>
        <v>9</v>
      </c>
      <c r="X1497" t="str" cm="1">
        <f t="array" ref="X1497">_xlfn.IFS(Sales_Table[[#This Row],[Revenue]]&gt;=50000,"High",Sales_Table[[#This Row],[Revenue]]&gt;=20000,"Medium",Sales_Table[[#This Row],[Revenue]]&lt;20000,"Low")</f>
        <v>Medium</v>
      </c>
      <c r="Y1497" t="str">
        <f>IF(Sales_Table[[#This Row],[Payment Method_clean]]="cash","Offline","Online")</f>
        <v>Offline</v>
      </c>
      <c r="Z1497">
        <f>IFERROR(Sales_Table[[#This Row],[Revenue]],0)</f>
        <v>20321</v>
      </c>
    </row>
    <row r="1498" spans="1:26" x14ac:dyDescent="0.3">
      <c r="A1498">
        <v>1497</v>
      </c>
      <c r="B1498" s="2">
        <f t="shared" si="161"/>
        <v>45354.333333333336</v>
      </c>
      <c r="C1498" t="s">
        <v>3527</v>
      </c>
      <c r="D1498" t="s">
        <v>36</v>
      </c>
      <c r="E1498" t="str">
        <f>PROPER(TRIM(CLEAN(Sales_Table[[#This Row],[Region]])))</f>
        <v>West</v>
      </c>
      <c r="F1498" t="s">
        <v>46</v>
      </c>
      <c r="G1498" t="str">
        <f t="shared" si="162"/>
        <v>Electronics</v>
      </c>
      <c r="H1498" t="str">
        <f>PROPER(TRIM(CLEAN(Sales_Table[[#This Row],[Product Name]])))</f>
        <v>Rice 5Kg</v>
      </c>
      <c r="I1498" t="s">
        <v>73</v>
      </c>
      <c r="J1498" t="str">
        <f t="shared" si="163"/>
        <v>CUST0508</v>
      </c>
      <c r="K1498" t="s">
        <v>521</v>
      </c>
      <c r="L1498" t="str">
        <f>PROPER(TRIM(CLEAN(Sales_Table[[#This Row],[Salesperson]])))</f>
        <v>Anita</v>
      </c>
      <c r="M1498" t="s">
        <v>64</v>
      </c>
      <c r="N1498" t="str">
        <f t="shared" si="164"/>
        <v>Debit Card</v>
      </c>
      <c r="O1498" t="s">
        <v>41</v>
      </c>
      <c r="P1498">
        <f t="shared" si="165"/>
        <v>1</v>
      </c>
      <c r="Q1498" t="s">
        <v>93</v>
      </c>
      <c r="R1498">
        <f t="shared" si="166"/>
        <v>2731</v>
      </c>
      <c r="S1498" t="s">
        <v>1194</v>
      </c>
      <c r="T1498">
        <f t="shared" si="167"/>
        <v>2731</v>
      </c>
      <c r="U1498">
        <f>YEAR(Sales_Table[[#This Row],[Date_clean]])</f>
        <v>2024</v>
      </c>
      <c r="V1498" t="str">
        <f>TEXT(Sales_Table[[#This Row],[Date_clean]],"mmmm")</f>
        <v>March</v>
      </c>
      <c r="W1498">
        <f>WEEKNUM(Sales_Table[[#This Row],[Date_clean]],2)</f>
        <v>9</v>
      </c>
      <c r="X1498" t="str" cm="1">
        <f t="array" ref="X1498">_xlfn.IFS(Sales_Table[[#This Row],[Revenue]]&gt;=50000,"High",Sales_Table[[#This Row],[Revenue]]&gt;=20000,"Medium",Sales_Table[[#This Row],[Revenue]]&lt;20000,"Low")</f>
        <v>Low</v>
      </c>
      <c r="Y1498" t="str">
        <f>IF(Sales_Table[[#This Row],[Payment Method_clean]]="cash","Offline","Online")</f>
        <v>Online</v>
      </c>
      <c r="Z1498">
        <f>IFERROR(Sales_Table[[#This Row],[Revenue]],0)</f>
        <v>2731</v>
      </c>
    </row>
    <row r="1499" spans="1:26" x14ac:dyDescent="0.3">
      <c r="A1499">
        <v>1498</v>
      </c>
      <c r="B1499" s="2">
        <f t="shared" si="161"/>
        <v>45354.375</v>
      </c>
      <c r="C1499" t="s">
        <v>3528</v>
      </c>
      <c r="D1499" t="s">
        <v>36</v>
      </c>
      <c r="E1499" t="str">
        <f>PROPER(TRIM(CLEAN(Sales_Table[[#This Row],[Region]])))</f>
        <v>West</v>
      </c>
      <c r="F1499" t="s">
        <v>28</v>
      </c>
      <c r="G1499" t="str">
        <f t="shared" si="162"/>
        <v>Clothing</v>
      </c>
      <c r="H1499" t="str">
        <f>PROPER(TRIM(CLEAN(Sales_Table[[#This Row],[Product Name]])))</f>
        <v>Rice 5Kg</v>
      </c>
      <c r="I1499" t="s">
        <v>73</v>
      </c>
      <c r="J1499" t="str">
        <f t="shared" si="163"/>
        <v>CUST0413</v>
      </c>
      <c r="K1499" t="s">
        <v>3529</v>
      </c>
      <c r="L1499" t="str">
        <f>PROPER(TRIM(CLEAN(Sales_Table[[#This Row],[Salesperson]])))</f>
        <v>Suresh</v>
      </c>
      <c r="M1499" t="s">
        <v>54</v>
      </c>
      <c r="N1499" t="str">
        <f t="shared" si="164"/>
        <v>Credit Card</v>
      </c>
      <c r="O1499" t="s">
        <v>65</v>
      </c>
      <c r="P1499">
        <f t="shared" si="165"/>
        <v>12</v>
      </c>
      <c r="Q1499" t="s">
        <v>33</v>
      </c>
      <c r="R1499">
        <f t="shared" si="166"/>
        <v>2286</v>
      </c>
      <c r="S1499" t="s">
        <v>3530</v>
      </c>
      <c r="T1499">
        <f t="shared" si="167"/>
        <v>27432</v>
      </c>
      <c r="U1499">
        <f>YEAR(Sales_Table[[#This Row],[Date_clean]])</f>
        <v>2024</v>
      </c>
      <c r="V1499" t="str">
        <f>TEXT(Sales_Table[[#This Row],[Date_clean]],"mmmm")</f>
        <v>March</v>
      </c>
      <c r="W1499">
        <f>WEEKNUM(Sales_Table[[#This Row],[Date_clean]],2)</f>
        <v>9</v>
      </c>
      <c r="X1499" t="str" cm="1">
        <f t="array" ref="X1499">_xlfn.IFS(Sales_Table[[#This Row],[Revenue]]&gt;=50000,"High",Sales_Table[[#This Row],[Revenue]]&gt;=20000,"Medium",Sales_Table[[#This Row],[Revenue]]&lt;20000,"Low")</f>
        <v>Medium</v>
      </c>
      <c r="Y1499" t="str">
        <f>IF(Sales_Table[[#This Row],[Payment Method_clean]]="cash","Offline","Online")</f>
        <v>Online</v>
      </c>
      <c r="Z1499">
        <f>IFERROR(Sales_Table[[#This Row],[Revenue]],0)</f>
        <v>27432</v>
      </c>
    </row>
    <row r="1500" spans="1:26" x14ac:dyDescent="0.3">
      <c r="A1500">
        <v>1499</v>
      </c>
      <c r="B1500" s="2">
        <f t="shared" si="161"/>
        <v>45354.416666666664</v>
      </c>
      <c r="C1500" t="s">
        <v>3531</v>
      </c>
      <c r="D1500" t="s">
        <v>27</v>
      </c>
      <c r="E1500" t="str">
        <f>PROPER(TRIM(CLEAN(Sales_Table[[#This Row],[Region]])))</f>
        <v>East</v>
      </c>
      <c r="F1500" t="s">
        <v>46</v>
      </c>
      <c r="G1500" t="str">
        <f t="shared" si="162"/>
        <v>Electronics</v>
      </c>
      <c r="H1500" t="str">
        <f>PROPER(TRIM(CLEAN(Sales_Table[[#This Row],[Product Name]])))</f>
        <v>Men T-Shirt</v>
      </c>
      <c r="I1500" t="s">
        <v>38</v>
      </c>
      <c r="J1500" t="str">
        <f t="shared" si="163"/>
        <v>CUST0528</v>
      </c>
      <c r="K1500" t="s">
        <v>225</v>
      </c>
      <c r="L1500" t="str">
        <f>PROPER(TRIM(CLEAN(Sales_Table[[#This Row],[Salesperson]])))</f>
        <v>Rahul</v>
      </c>
      <c r="M1500" t="s">
        <v>31</v>
      </c>
      <c r="N1500" t="str">
        <f t="shared" si="164"/>
        <v>Debit Card</v>
      </c>
      <c r="O1500" t="s">
        <v>41</v>
      </c>
      <c r="P1500">
        <f t="shared" si="165"/>
        <v>10</v>
      </c>
      <c r="Q1500" t="s">
        <v>117</v>
      </c>
      <c r="R1500">
        <f t="shared" si="166"/>
        <v>4448</v>
      </c>
      <c r="S1500" t="s">
        <v>638</v>
      </c>
      <c r="T1500">
        <f t="shared" si="167"/>
        <v>44480</v>
      </c>
      <c r="U1500">
        <f>YEAR(Sales_Table[[#This Row],[Date_clean]])</f>
        <v>2024</v>
      </c>
      <c r="V1500" t="str">
        <f>TEXT(Sales_Table[[#This Row],[Date_clean]],"mmmm")</f>
        <v>March</v>
      </c>
      <c r="W1500">
        <f>WEEKNUM(Sales_Table[[#This Row],[Date_clean]],2)</f>
        <v>9</v>
      </c>
      <c r="X1500" t="str" cm="1">
        <f t="array" ref="X1500">_xlfn.IFS(Sales_Table[[#This Row],[Revenue]]&gt;=50000,"High",Sales_Table[[#This Row],[Revenue]]&gt;=20000,"Medium",Sales_Table[[#This Row],[Revenue]]&lt;20000,"Low")</f>
        <v>Medium</v>
      </c>
      <c r="Y1500" t="str">
        <f>IF(Sales_Table[[#This Row],[Payment Method_clean]]="cash","Offline","Online")</f>
        <v>Online</v>
      </c>
      <c r="Z1500">
        <f>IFERROR(Sales_Table[[#This Row],[Revenue]],0)</f>
        <v>44480</v>
      </c>
    </row>
    <row r="1501" spans="1:26" x14ac:dyDescent="0.3">
      <c r="A1501">
        <v>1500</v>
      </c>
      <c r="B1501" s="2">
        <f t="shared" si="161"/>
        <v>45354.458333333336</v>
      </c>
      <c r="C1501" t="s">
        <v>3532</v>
      </c>
      <c r="D1501" t="s">
        <v>27</v>
      </c>
      <c r="E1501" t="str">
        <f>PROPER(TRIM(CLEAN(Sales_Table[[#This Row],[Region]])))</f>
        <v>East</v>
      </c>
      <c r="F1501" t="s">
        <v>37</v>
      </c>
      <c r="G1501" t="str">
        <f t="shared" si="162"/>
        <v>Home Appliances</v>
      </c>
      <c r="H1501" t="str">
        <f>PROPER(TRIM(CLEAN(Sales_Table[[#This Row],[Product Name]])))</f>
        <v>Washing Machine</v>
      </c>
      <c r="I1501" t="s">
        <v>79</v>
      </c>
      <c r="J1501" t="str">
        <f t="shared" si="163"/>
        <v>CUST0355</v>
      </c>
      <c r="K1501" t="s">
        <v>144</v>
      </c>
      <c r="L1501" t="str">
        <f>PROPER(TRIM(CLEAN(Sales_Table[[#This Row],[Salesperson]])))</f>
        <v>Meena</v>
      </c>
      <c r="M1501" t="s">
        <v>40</v>
      </c>
      <c r="N1501" t="str">
        <f t="shared" si="164"/>
        <v>Cash</v>
      </c>
      <c r="O1501" t="s">
        <v>32</v>
      </c>
      <c r="P1501">
        <f t="shared" si="165"/>
        <v>12</v>
      </c>
      <c r="Q1501" t="s">
        <v>33</v>
      </c>
      <c r="R1501">
        <f t="shared" si="166"/>
        <v>2104</v>
      </c>
      <c r="S1501" t="s">
        <v>1565</v>
      </c>
      <c r="T1501">
        <f t="shared" si="167"/>
        <v>25248</v>
      </c>
      <c r="U1501">
        <f>YEAR(Sales_Table[[#This Row],[Date_clean]])</f>
        <v>2024</v>
      </c>
      <c r="V1501" t="str">
        <f>TEXT(Sales_Table[[#This Row],[Date_clean]],"mmmm")</f>
        <v>March</v>
      </c>
      <c r="W1501">
        <f>WEEKNUM(Sales_Table[[#This Row],[Date_clean]],2)</f>
        <v>9</v>
      </c>
      <c r="X1501" t="str" cm="1">
        <f t="array" ref="X1501">_xlfn.IFS(Sales_Table[[#This Row],[Revenue]]&gt;=50000,"High",Sales_Table[[#This Row],[Revenue]]&gt;=20000,"Medium",Sales_Table[[#This Row],[Revenue]]&lt;20000,"Low")</f>
        <v>Medium</v>
      </c>
      <c r="Y1501" t="str">
        <f>IF(Sales_Table[[#This Row],[Payment Method_clean]]="cash","Offline","Online")</f>
        <v>Offline</v>
      </c>
      <c r="Z1501">
        <f>IFERROR(Sales_Table[[#This Row],[Revenue]],0)</f>
        <v>25248</v>
      </c>
    </row>
    <row r="1502" spans="1:26" x14ac:dyDescent="0.3">
      <c r="A1502">
        <v>1501</v>
      </c>
      <c r="B1502" s="2">
        <f t="shared" si="161"/>
        <v>45354.5</v>
      </c>
      <c r="C1502" t="s">
        <v>3533</v>
      </c>
      <c r="D1502" t="s">
        <v>27</v>
      </c>
      <c r="E1502" t="str">
        <f>PROPER(TRIM(CLEAN(Sales_Table[[#This Row],[Region]])))</f>
        <v>East</v>
      </c>
      <c r="F1502" t="s">
        <v>28</v>
      </c>
      <c r="G1502" t="str">
        <f t="shared" si="162"/>
        <v>Clothing</v>
      </c>
      <c r="H1502" t="str">
        <f>PROPER(TRIM(CLEAN(Sales_Table[[#This Row],[Product Name]])))</f>
        <v>Rice 5Kg</v>
      </c>
      <c r="I1502" t="s">
        <v>73</v>
      </c>
      <c r="J1502" t="str">
        <f t="shared" si="163"/>
        <v>CUST0559</v>
      </c>
      <c r="K1502" t="s">
        <v>2801</v>
      </c>
      <c r="L1502" t="str">
        <f>PROPER(TRIM(CLEAN(Sales_Table[[#This Row],[Salesperson]])))</f>
        <v>Karthik</v>
      </c>
      <c r="M1502" t="s">
        <v>70</v>
      </c>
      <c r="N1502" t="str">
        <f t="shared" si="164"/>
        <v>Cash</v>
      </c>
      <c r="O1502" t="s">
        <v>32</v>
      </c>
      <c r="P1502">
        <f t="shared" si="165"/>
        <v>5</v>
      </c>
      <c r="Q1502" t="s">
        <v>89</v>
      </c>
      <c r="R1502">
        <f t="shared" si="166"/>
        <v>1559</v>
      </c>
      <c r="S1502" t="s">
        <v>3534</v>
      </c>
      <c r="T1502">
        <f t="shared" si="167"/>
        <v>7795</v>
      </c>
      <c r="U1502">
        <f>YEAR(Sales_Table[[#This Row],[Date_clean]])</f>
        <v>2024</v>
      </c>
      <c r="V1502" t="str">
        <f>TEXT(Sales_Table[[#This Row],[Date_clean]],"mmmm")</f>
        <v>March</v>
      </c>
      <c r="W1502">
        <f>WEEKNUM(Sales_Table[[#This Row],[Date_clean]],2)</f>
        <v>9</v>
      </c>
      <c r="X1502" t="str" cm="1">
        <f t="array" ref="X1502">_xlfn.IFS(Sales_Table[[#This Row],[Revenue]]&gt;=50000,"High",Sales_Table[[#This Row],[Revenue]]&gt;=20000,"Medium",Sales_Table[[#This Row],[Revenue]]&lt;20000,"Low")</f>
        <v>Low</v>
      </c>
      <c r="Y1502" t="str">
        <f>IF(Sales_Table[[#This Row],[Payment Method_clean]]="cash","Offline","Online")</f>
        <v>Offline</v>
      </c>
      <c r="Z1502">
        <f>IFERROR(Sales_Table[[#This Row],[Revenue]],0)</f>
        <v>7795</v>
      </c>
    </row>
    <row r="1503" spans="1:26" x14ac:dyDescent="0.3">
      <c r="A1503">
        <v>1502</v>
      </c>
      <c r="B1503" s="2">
        <f t="shared" si="161"/>
        <v>45354.541666666664</v>
      </c>
      <c r="C1503" t="s">
        <v>3535</v>
      </c>
      <c r="D1503" t="s">
        <v>84</v>
      </c>
      <c r="E1503" t="str">
        <f>PROPER(TRIM(CLEAN(Sales_Table[[#This Row],[Region]])))</f>
        <v>South</v>
      </c>
      <c r="F1503" t="s">
        <v>78</v>
      </c>
      <c r="G1503" t="str">
        <f t="shared" si="162"/>
        <v>Grocery</v>
      </c>
      <c r="H1503" t="str">
        <f>PROPER(TRIM(CLEAN(Sales_Table[[#This Row],[Product Name]])))</f>
        <v>Washing Machine</v>
      </c>
      <c r="I1503" t="s">
        <v>79</v>
      </c>
      <c r="J1503" t="str">
        <f t="shared" si="163"/>
        <v>CUST0763</v>
      </c>
      <c r="K1503" t="s">
        <v>934</v>
      </c>
      <c r="L1503" t="str">
        <f>PROPER(TRIM(CLEAN(Sales_Table[[#This Row],[Salesperson]])))</f>
        <v>Suresh</v>
      </c>
      <c r="M1503" t="s">
        <v>54</v>
      </c>
      <c r="N1503" t="str">
        <f t="shared" si="164"/>
        <v>Credit Card</v>
      </c>
      <c r="O1503" t="s">
        <v>65</v>
      </c>
      <c r="P1503">
        <f t="shared" si="165"/>
        <v>11</v>
      </c>
      <c r="Q1503" t="s">
        <v>97</v>
      </c>
      <c r="R1503">
        <f t="shared" si="166"/>
        <v>2042</v>
      </c>
      <c r="S1503" t="s">
        <v>2944</v>
      </c>
      <c r="T1503">
        <f t="shared" si="167"/>
        <v>22462</v>
      </c>
      <c r="U1503">
        <f>YEAR(Sales_Table[[#This Row],[Date_clean]])</f>
        <v>2024</v>
      </c>
      <c r="V1503" t="str">
        <f>TEXT(Sales_Table[[#This Row],[Date_clean]],"mmmm")</f>
        <v>March</v>
      </c>
      <c r="W1503">
        <f>WEEKNUM(Sales_Table[[#This Row],[Date_clean]],2)</f>
        <v>9</v>
      </c>
      <c r="X1503" t="str" cm="1">
        <f t="array" ref="X1503">_xlfn.IFS(Sales_Table[[#This Row],[Revenue]]&gt;=50000,"High",Sales_Table[[#This Row],[Revenue]]&gt;=20000,"Medium",Sales_Table[[#This Row],[Revenue]]&lt;20000,"Low")</f>
        <v>Medium</v>
      </c>
      <c r="Y1503" t="str">
        <f>IF(Sales_Table[[#This Row],[Payment Method_clean]]="cash","Offline","Online")</f>
        <v>Online</v>
      </c>
      <c r="Z1503">
        <f>IFERROR(Sales_Table[[#This Row],[Revenue]],0)</f>
        <v>22462</v>
      </c>
    </row>
    <row r="1504" spans="1:26" x14ac:dyDescent="0.3">
      <c r="A1504">
        <v>1503</v>
      </c>
      <c r="B1504" s="2">
        <f t="shared" si="161"/>
        <v>45354.583333333336</v>
      </c>
      <c r="C1504" t="s">
        <v>3536</v>
      </c>
      <c r="D1504" t="s">
        <v>84</v>
      </c>
      <c r="E1504" t="str">
        <f>PROPER(TRIM(CLEAN(Sales_Table[[#This Row],[Region]])))</f>
        <v>South</v>
      </c>
      <c r="F1504" t="s">
        <v>78</v>
      </c>
      <c r="G1504" t="str">
        <f t="shared" si="162"/>
        <v>Grocery</v>
      </c>
      <c r="H1504" t="str">
        <f>PROPER(TRIM(CLEAN(Sales_Table[[#This Row],[Product Name]])))</f>
        <v>Men T-Shirt</v>
      </c>
      <c r="I1504" t="s">
        <v>38</v>
      </c>
      <c r="J1504" t="str">
        <f t="shared" si="163"/>
        <v>CUST0187</v>
      </c>
      <c r="K1504" t="s">
        <v>1196</v>
      </c>
      <c r="L1504" t="str">
        <f>PROPER(TRIM(CLEAN(Sales_Table[[#This Row],[Salesperson]])))</f>
        <v>Rahul</v>
      </c>
      <c r="M1504" t="s">
        <v>31</v>
      </c>
      <c r="N1504" t="str">
        <f t="shared" si="164"/>
        <v>Cash</v>
      </c>
      <c r="O1504" t="s">
        <v>32</v>
      </c>
      <c r="P1504">
        <f t="shared" si="165"/>
        <v>12</v>
      </c>
      <c r="Q1504" t="s">
        <v>33</v>
      </c>
      <c r="R1504">
        <f t="shared" si="166"/>
        <v>3593</v>
      </c>
      <c r="S1504" t="s">
        <v>3537</v>
      </c>
      <c r="T1504">
        <f t="shared" si="167"/>
        <v>43116</v>
      </c>
      <c r="U1504">
        <f>YEAR(Sales_Table[[#This Row],[Date_clean]])</f>
        <v>2024</v>
      </c>
      <c r="V1504" t="str">
        <f>TEXT(Sales_Table[[#This Row],[Date_clean]],"mmmm")</f>
        <v>March</v>
      </c>
      <c r="W1504">
        <f>WEEKNUM(Sales_Table[[#This Row],[Date_clean]],2)</f>
        <v>9</v>
      </c>
      <c r="X1504" t="str" cm="1">
        <f t="array" ref="X1504">_xlfn.IFS(Sales_Table[[#This Row],[Revenue]]&gt;=50000,"High",Sales_Table[[#This Row],[Revenue]]&gt;=20000,"Medium",Sales_Table[[#This Row],[Revenue]]&lt;20000,"Low")</f>
        <v>Medium</v>
      </c>
      <c r="Y1504" t="str">
        <f>IF(Sales_Table[[#This Row],[Payment Method_clean]]="cash","Offline","Online")</f>
        <v>Offline</v>
      </c>
      <c r="Z1504">
        <f>IFERROR(Sales_Table[[#This Row],[Revenue]],0)</f>
        <v>43116</v>
      </c>
    </row>
    <row r="1505" spans="1:26" x14ac:dyDescent="0.3">
      <c r="A1505">
        <v>1504</v>
      </c>
      <c r="B1505" s="2">
        <f t="shared" si="161"/>
        <v>45354.625</v>
      </c>
      <c r="C1505" t="s">
        <v>3538</v>
      </c>
      <c r="D1505" t="s">
        <v>27</v>
      </c>
      <c r="E1505" t="str">
        <f>PROPER(TRIM(CLEAN(Sales_Table[[#This Row],[Region]])))</f>
        <v>East</v>
      </c>
      <c r="F1505" t="s">
        <v>78</v>
      </c>
      <c r="G1505" t="str">
        <f t="shared" si="162"/>
        <v>Grocery</v>
      </c>
      <c r="H1505" t="str">
        <f>PROPER(TRIM(CLEAN(Sales_Table[[#This Row],[Product Name]])))</f>
        <v>Laptop</v>
      </c>
      <c r="I1505" t="s">
        <v>52</v>
      </c>
      <c r="J1505" t="str">
        <f t="shared" si="163"/>
        <v>CUST0031</v>
      </c>
      <c r="K1505" t="s">
        <v>1038</v>
      </c>
      <c r="L1505" t="str">
        <f>PROPER(TRIM(CLEAN(Sales_Table[[#This Row],[Salesperson]])))</f>
        <v>Anita</v>
      </c>
      <c r="M1505" t="s">
        <v>64</v>
      </c>
      <c r="N1505" t="str">
        <f t="shared" si="164"/>
        <v>Upi</v>
      </c>
      <c r="O1505" t="s">
        <v>48</v>
      </c>
      <c r="P1505">
        <f t="shared" si="165"/>
        <v>3</v>
      </c>
      <c r="Q1505" t="s">
        <v>66</v>
      </c>
      <c r="R1505">
        <f t="shared" si="166"/>
        <v>1957</v>
      </c>
      <c r="S1505" t="s">
        <v>2190</v>
      </c>
      <c r="T1505">
        <f t="shared" si="167"/>
        <v>5871</v>
      </c>
      <c r="U1505">
        <f>YEAR(Sales_Table[[#This Row],[Date_clean]])</f>
        <v>2024</v>
      </c>
      <c r="V1505" t="str">
        <f>TEXT(Sales_Table[[#This Row],[Date_clean]],"mmmm")</f>
        <v>March</v>
      </c>
      <c r="W1505">
        <f>WEEKNUM(Sales_Table[[#This Row],[Date_clean]],2)</f>
        <v>9</v>
      </c>
      <c r="X1505" t="str" cm="1">
        <f t="array" ref="X1505">_xlfn.IFS(Sales_Table[[#This Row],[Revenue]]&gt;=50000,"High",Sales_Table[[#This Row],[Revenue]]&gt;=20000,"Medium",Sales_Table[[#This Row],[Revenue]]&lt;20000,"Low")</f>
        <v>Low</v>
      </c>
      <c r="Y1505" t="str">
        <f>IF(Sales_Table[[#This Row],[Payment Method_clean]]="cash","Offline","Online")</f>
        <v>Online</v>
      </c>
      <c r="Z1505">
        <f>IFERROR(Sales_Table[[#This Row],[Revenue]],0)</f>
        <v>5871</v>
      </c>
    </row>
    <row r="1506" spans="1:26" x14ac:dyDescent="0.3">
      <c r="A1506">
        <v>1505</v>
      </c>
      <c r="B1506" s="2">
        <f t="shared" si="161"/>
        <v>45354.666666666664</v>
      </c>
      <c r="C1506" t="s">
        <v>3539</v>
      </c>
      <c r="D1506" t="s">
        <v>27</v>
      </c>
      <c r="E1506" t="str">
        <f>PROPER(TRIM(CLEAN(Sales_Table[[#This Row],[Region]])))</f>
        <v>East</v>
      </c>
      <c r="F1506" t="s">
        <v>78</v>
      </c>
      <c r="G1506" t="str">
        <f t="shared" si="162"/>
        <v>Grocery</v>
      </c>
      <c r="H1506" t="str">
        <f>PROPER(TRIM(CLEAN(Sales_Table[[#This Row],[Product Name]])))</f>
        <v>Washing Machine</v>
      </c>
      <c r="I1506" t="s">
        <v>79</v>
      </c>
      <c r="J1506" t="str">
        <f t="shared" si="163"/>
        <v>CUST0260</v>
      </c>
      <c r="K1506" t="s">
        <v>710</v>
      </c>
      <c r="L1506" t="str">
        <f>PROPER(TRIM(CLEAN(Sales_Table[[#This Row],[Salesperson]])))</f>
        <v>Karthik</v>
      </c>
      <c r="M1506" t="s">
        <v>70</v>
      </c>
      <c r="N1506" t="str">
        <f t="shared" si="164"/>
        <v>Net Banking</v>
      </c>
      <c r="O1506" t="s">
        <v>60</v>
      </c>
      <c r="P1506">
        <f t="shared" si="165"/>
        <v>10</v>
      </c>
      <c r="Q1506" t="s">
        <v>117</v>
      </c>
      <c r="R1506">
        <f t="shared" si="166"/>
        <v>161</v>
      </c>
      <c r="S1506" t="s">
        <v>2077</v>
      </c>
      <c r="T1506">
        <f t="shared" si="167"/>
        <v>1610</v>
      </c>
      <c r="U1506">
        <f>YEAR(Sales_Table[[#This Row],[Date_clean]])</f>
        <v>2024</v>
      </c>
      <c r="V1506" t="str">
        <f>TEXT(Sales_Table[[#This Row],[Date_clean]],"mmmm")</f>
        <v>March</v>
      </c>
      <c r="W1506">
        <f>WEEKNUM(Sales_Table[[#This Row],[Date_clean]],2)</f>
        <v>9</v>
      </c>
      <c r="X1506" t="str" cm="1">
        <f t="array" ref="X1506">_xlfn.IFS(Sales_Table[[#This Row],[Revenue]]&gt;=50000,"High",Sales_Table[[#This Row],[Revenue]]&gt;=20000,"Medium",Sales_Table[[#This Row],[Revenue]]&lt;20000,"Low")</f>
        <v>Low</v>
      </c>
      <c r="Y1506" t="str">
        <f>IF(Sales_Table[[#This Row],[Payment Method_clean]]="cash","Offline","Online")</f>
        <v>Online</v>
      </c>
      <c r="Z1506">
        <f>IFERROR(Sales_Table[[#This Row],[Revenue]],0)</f>
        <v>1610</v>
      </c>
    </row>
    <row r="1507" spans="1:26" x14ac:dyDescent="0.3">
      <c r="A1507">
        <v>1506</v>
      </c>
      <c r="B1507" s="2">
        <f t="shared" si="161"/>
        <v>45354.708333333336</v>
      </c>
      <c r="C1507" t="s">
        <v>3540</v>
      </c>
      <c r="D1507" t="s">
        <v>27</v>
      </c>
      <c r="E1507" t="str">
        <f>PROPER(TRIM(CLEAN(Sales_Table[[#This Row],[Region]])))</f>
        <v>East</v>
      </c>
      <c r="F1507" t="s">
        <v>46</v>
      </c>
      <c r="G1507" t="str">
        <f t="shared" si="162"/>
        <v>Electronics</v>
      </c>
      <c r="H1507" t="str">
        <f>PROPER(TRIM(CLEAN(Sales_Table[[#This Row],[Product Name]])))</f>
        <v>Laptop</v>
      </c>
      <c r="I1507" t="s">
        <v>52</v>
      </c>
      <c r="J1507" t="str">
        <f t="shared" si="163"/>
        <v>CUST0421</v>
      </c>
      <c r="K1507" t="s">
        <v>2878</v>
      </c>
      <c r="L1507" t="str">
        <f>PROPER(TRIM(CLEAN(Sales_Table[[#This Row],[Salesperson]])))</f>
        <v>Anita</v>
      </c>
      <c r="M1507" t="s">
        <v>64</v>
      </c>
      <c r="N1507" t="str">
        <f t="shared" si="164"/>
        <v>Debit Card</v>
      </c>
      <c r="O1507" t="s">
        <v>41</v>
      </c>
      <c r="P1507">
        <f t="shared" si="165"/>
        <v>12</v>
      </c>
      <c r="Q1507" t="s">
        <v>33</v>
      </c>
      <c r="R1507">
        <f t="shared" si="166"/>
        <v>1594</v>
      </c>
      <c r="S1507" t="s">
        <v>3541</v>
      </c>
      <c r="T1507">
        <f t="shared" si="167"/>
        <v>19128</v>
      </c>
      <c r="U1507">
        <f>YEAR(Sales_Table[[#This Row],[Date_clean]])</f>
        <v>2024</v>
      </c>
      <c r="V1507" t="str">
        <f>TEXT(Sales_Table[[#This Row],[Date_clean]],"mmmm")</f>
        <v>March</v>
      </c>
      <c r="W1507">
        <f>WEEKNUM(Sales_Table[[#This Row],[Date_clean]],2)</f>
        <v>9</v>
      </c>
      <c r="X1507" t="str" cm="1">
        <f t="array" ref="X1507">_xlfn.IFS(Sales_Table[[#This Row],[Revenue]]&gt;=50000,"High",Sales_Table[[#This Row],[Revenue]]&gt;=20000,"Medium",Sales_Table[[#This Row],[Revenue]]&lt;20000,"Low")</f>
        <v>Low</v>
      </c>
      <c r="Y1507" t="str">
        <f>IF(Sales_Table[[#This Row],[Payment Method_clean]]="cash","Offline","Online")</f>
        <v>Online</v>
      </c>
      <c r="Z1507">
        <f>IFERROR(Sales_Table[[#This Row],[Revenue]],0)</f>
        <v>19128</v>
      </c>
    </row>
    <row r="1508" spans="1:26" x14ac:dyDescent="0.3">
      <c r="A1508">
        <v>1507</v>
      </c>
      <c r="B1508" s="2">
        <f t="shared" si="161"/>
        <v>45354.75</v>
      </c>
      <c r="C1508" t="s">
        <v>3542</v>
      </c>
      <c r="D1508" t="s">
        <v>36</v>
      </c>
      <c r="E1508" t="str">
        <f>PROPER(TRIM(CLEAN(Sales_Table[[#This Row],[Region]])))</f>
        <v>West</v>
      </c>
      <c r="F1508" t="s">
        <v>46</v>
      </c>
      <c r="G1508" t="str">
        <f t="shared" si="162"/>
        <v>Electronics</v>
      </c>
      <c r="H1508" t="str">
        <f>PROPER(TRIM(CLEAN(Sales_Table[[#This Row],[Product Name]])))</f>
        <v>Men T-Shirt</v>
      </c>
      <c r="I1508" t="s">
        <v>38</v>
      </c>
      <c r="J1508" t="str">
        <f t="shared" si="163"/>
        <v>CUST0529</v>
      </c>
      <c r="K1508" t="s">
        <v>2051</v>
      </c>
      <c r="L1508" t="str">
        <f>PROPER(TRIM(CLEAN(Sales_Table[[#This Row],[Salesperson]])))</f>
        <v>Rahul</v>
      </c>
      <c r="M1508" t="s">
        <v>31</v>
      </c>
      <c r="N1508" t="str">
        <f t="shared" si="164"/>
        <v>Upi</v>
      </c>
      <c r="O1508" t="s">
        <v>48</v>
      </c>
      <c r="P1508">
        <f t="shared" si="165"/>
        <v>12</v>
      </c>
      <c r="Q1508" t="s">
        <v>33</v>
      </c>
      <c r="R1508">
        <f t="shared" si="166"/>
        <v>1280</v>
      </c>
      <c r="S1508" t="s">
        <v>3543</v>
      </c>
      <c r="T1508">
        <f t="shared" si="167"/>
        <v>15360</v>
      </c>
      <c r="U1508">
        <f>YEAR(Sales_Table[[#This Row],[Date_clean]])</f>
        <v>2024</v>
      </c>
      <c r="V1508" t="str">
        <f>TEXT(Sales_Table[[#This Row],[Date_clean]],"mmmm")</f>
        <v>March</v>
      </c>
      <c r="W1508">
        <f>WEEKNUM(Sales_Table[[#This Row],[Date_clean]],2)</f>
        <v>9</v>
      </c>
      <c r="X1508" t="str" cm="1">
        <f t="array" ref="X1508">_xlfn.IFS(Sales_Table[[#This Row],[Revenue]]&gt;=50000,"High",Sales_Table[[#This Row],[Revenue]]&gt;=20000,"Medium",Sales_Table[[#This Row],[Revenue]]&lt;20000,"Low")</f>
        <v>Low</v>
      </c>
      <c r="Y1508" t="str">
        <f>IF(Sales_Table[[#This Row],[Payment Method_clean]]="cash","Offline","Online")</f>
        <v>Online</v>
      </c>
      <c r="Z1508">
        <f>IFERROR(Sales_Table[[#This Row],[Revenue]],0)</f>
        <v>15360</v>
      </c>
    </row>
    <row r="1509" spans="1:26" x14ac:dyDescent="0.3">
      <c r="A1509">
        <v>1508</v>
      </c>
      <c r="B1509" s="2">
        <f t="shared" si="161"/>
        <v>45354.791666666664</v>
      </c>
      <c r="C1509" t="s">
        <v>3544</v>
      </c>
      <c r="D1509" t="s">
        <v>84</v>
      </c>
      <c r="E1509" t="str">
        <f>PROPER(TRIM(CLEAN(Sales_Table[[#This Row],[Region]])))</f>
        <v>South</v>
      </c>
      <c r="F1509" t="s">
        <v>78</v>
      </c>
      <c r="G1509" t="str">
        <f t="shared" si="162"/>
        <v>Grocery</v>
      </c>
      <c r="H1509" t="str">
        <f>PROPER(TRIM(CLEAN(Sales_Table[[#This Row],[Product Name]])))</f>
        <v>Men T-Shirt</v>
      </c>
      <c r="I1509" t="s">
        <v>38</v>
      </c>
      <c r="J1509" t="str">
        <f t="shared" si="163"/>
        <v>CUST0551</v>
      </c>
      <c r="K1509" t="s">
        <v>1231</v>
      </c>
      <c r="L1509" t="str">
        <f>PROPER(TRIM(CLEAN(Sales_Table[[#This Row],[Salesperson]])))</f>
        <v>Rahul</v>
      </c>
      <c r="M1509" t="s">
        <v>31</v>
      </c>
      <c r="N1509" t="str">
        <f t="shared" si="164"/>
        <v>Debit Card</v>
      </c>
      <c r="O1509" t="s">
        <v>41</v>
      </c>
      <c r="P1509">
        <f t="shared" si="165"/>
        <v>14</v>
      </c>
      <c r="Q1509" t="s">
        <v>55</v>
      </c>
      <c r="R1509">
        <f t="shared" si="166"/>
        <v>2888</v>
      </c>
      <c r="S1509" t="s">
        <v>3545</v>
      </c>
      <c r="T1509">
        <f t="shared" si="167"/>
        <v>40432</v>
      </c>
      <c r="U1509">
        <f>YEAR(Sales_Table[[#This Row],[Date_clean]])</f>
        <v>2024</v>
      </c>
      <c r="V1509" t="str">
        <f>TEXT(Sales_Table[[#This Row],[Date_clean]],"mmmm")</f>
        <v>March</v>
      </c>
      <c r="W1509">
        <f>WEEKNUM(Sales_Table[[#This Row],[Date_clean]],2)</f>
        <v>9</v>
      </c>
      <c r="X1509" t="str" cm="1">
        <f t="array" ref="X1509">_xlfn.IFS(Sales_Table[[#This Row],[Revenue]]&gt;=50000,"High",Sales_Table[[#This Row],[Revenue]]&gt;=20000,"Medium",Sales_Table[[#This Row],[Revenue]]&lt;20000,"Low")</f>
        <v>Medium</v>
      </c>
      <c r="Y1509" t="str">
        <f>IF(Sales_Table[[#This Row],[Payment Method_clean]]="cash","Offline","Online")</f>
        <v>Online</v>
      </c>
      <c r="Z1509">
        <f>IFERROR(Sales_Table[[#This Row],[Revenue]],0)</f>
        <v>40432</v>
      </c>
    </row>
    <row r="1510" spans="1:26" x14ac:dyDescent="0.3">
      <c r="A1510">
        <v>1509</v>
      </c>
      <c r="B1510" s="2">
        <f t="shared" si="161"/>
        <v>45354.833333333336</v>
      </c>
      <c r="C1510" t="s">
        <v>3546</v>
      </c>
      <c r="D1510" t="s">
        <v>36</v>
      </c>
      <c r="E1510" t="str">
        <f>PROPER(TRIM(CLEAN(Sales_Table[[#This Row],[Region]])))</f>
        <v>West</v>
      </c>
      <c r="F1510" t="s">
        <v>78</v>
      </c>
      <c r="G1510" t="str">
        <f t="shared" si="162"/>
        <v>Grocery</v>
      </c>
      <c r="H1510" t="str">
        <f>PROPER(TRIM(CLEAN(Sales_Table[[#This Row],[Product Name]])))</f>
        <v>Mixer Grinder</v>
      </c>
      <c r="I1510" t="s">
        <v>29</v>
      </c>
      <c r="J1510" t="str">
        <f t="shared" si="163"/>
        <v>CUST0304</v>
      </c>
      <c r="K1510" t="s">
        <v>524</v>
      </c>
      <c r="L1510" t="str">
        <f>PROPER(TRIM(CLEAN(Sales_Table[[#This Row],[Salesperson]])))</f>
        <v>Suresh</v>
      </c>
      <c r="M1510" t="s">
        <v>54</v>
      </c>
      <c r="N1510" t="str">
        <f t="shared" si="164"/>
        <v>Upi</v>
      </c>
      <c r="O1510" t="s">
        <v>48</v>
      </c>
      <c r="P1510">
        <f t="shared" si="165"/>
        <v>2</v>
      </c>
      <c r="Q1510" t="s">
        <v>196</v>
      </c>
      <c r="R1510">
        <f t="shared" si="166"/>
        <v>1975</v>
      </c>
      <c r="S1510" t="s">
        <v>3547</v>
      </c>
      <c r="T1510">
        <f t="shared" si="167"/>
        <v>3950</v>
      </c>
      <c r="U1510">
        <f>YEAR(Sales_Table[[#This Row],[Date_clean]])</f>
        <v>2024</v>
      </c>
      <c r="V1510" t="str">
        <f>TEXT(Sales_Table[[#This Row],[Date_clean]],"mmmm")</f>
        <v>March</v>
      </c>
      <c r="W1510">
        <f>WEEKNUM(Sales_Table[[#This Row],[Date_clean]],2)</f>
        <v>9</v>
      </c>
      <c r="X1510" t="str" cm="1">
        <f t="array" ref="X1510">_xlfn.IFS(Sales_Table[[#This Row],[Revenue]]&gt;=50000,"High",Sales_Table[[#This Row],[Revenue]]&gt;=20000,"Medium",Sales_Table[[#This Row],[Revenue]]&lt;20000,"Low")</f>
        <v>Low</v>
      </c>
      <c r="Y1510" t="str">
        <f>IF(Sales_Table[[#This Row],[Payment Method_clean]]="cash","Offline","Online")</f>
        <v>Online</v>
      </c>
      <c r="Z1510">
        <f>IFERROR(Sales_Table[[#This Row],[Revenue]],0)</f>
        <v>3950</v>
      </c>
    </row>
    <row r="1511" spans="1:26" x14ac:dyDescent="0.3">
      <c r="A1511">
        <v>1510</v>
      </c>
      <c r="B1511" s="2">
        <f t="shared" si="161"/>
        <v>45354.875</v>
      </c>
      <c r="C1511" t="s">
        <v>3548</v>
      </c>
      <c r="D1511" t="s">
        <v>36</v>
      </c>
      <c r="E1511" t="str">
        <f>PROPER(TRIM(CLEAN(Sales_Table[[#This Row],[Region]])))</f>
        <v>West</v>
      </c>
      <c r="F1511" t="s">
        <v>78</v>
      </c>
      <c r="G1511" t="str">
        <f t="shared" si="162"/>
        <v>Grocery</v>
      </c>
      <c r="H1511" t="str">
        <f>PROPER(TRIM(CLEAN(Sales_Table[[#This Row],[Product Name]])))</f>
        <v>Men T-Shirt</v>
      </c>
      <c r="I1511" t="s">
        <v>38</v>
      </c>
      <c r="J1511" t="str">
        <f t="shared" si="163"/>
        <v>CUST0039</v>
      </c>
      <c r="K1511" t="s">
        <v>990</v>
      </c>
      <c r="L1511" t="str">
        <f>PROPER(TRIM(CLEAN(Sales_Table[[#This Row],[Salesperson]])))</f>
        <v>Meena</v>
      </c>
      <c r="M1511" t="s">
        <v>40</v>
      </c>
      <c r="N1511" t="str">
        <f t="shared" si="164"/>
        <v>Debit Card</v>
      </c>
      <c r="O1511" t="s">
        <v>41</v>
      </c>
      <c r="P1511">
        <f t="shared" si="165"/>
        <v>2</v>
      </c>
      <c r="Q1511" t="s">
        <v>196</v>
      </c>
      <c r="R1511">
        <f t="shared" si="166"/>
        <v>2308</v>
      </c>
      <c r="S1511" t="s">
        <v>289</v>
      </c>
      <c r="T1511">
        <f t="shared" si="167"/>
        <v>4616</v>
      </c>
      <c r="U1511">
        <f>YEAR(Sales_Table[[#This Row],[Date_clean]])</f>
        <v>2024</v>
      </c>
      <c r="V1511" t="str">
        <f>TEXT(Sales_Table[[#This Row],[Date_clean]],"mmmm")</f>
        <v>March</v>
      </c>
      <c r="W1511">
        <f>WEEKNUM(Sales_Table[[#This Row],[Date_clean]],2)</f>
        <v>9</v>
      </c>
      <c r="X1511" t="str" cm="1">
        <f t="array" ref="X1511">_xlfn.IFS(Sales_Table[[#This Row],[Revenue]]&gt;=50000,"High",Sales_Table[[#This Row],[Revenue]]&gt;=20000,"Medium",Sales_Table[[#This Row],[Revenue]]&lt;20000,"Low")</f>
        <v>Low</v>
      </c>
      <c r="Y1511" t="str">
        <f>IF(Sales_Table[[#This Row],[Payment Method_clean]]="cash","Offline","Online")</f>
        <v>Online</v>
      </c>
      <c r="Z1511">
        <f>IFERROR(Sales_Table[[#This Row],[Revenue]],0)</f>
        <v>4616</v>
      </c>
    </row>
    <row r="1512" spans="1:26" x14ac:dyDescent="0.3">
      <c r="A1512">
        <v>1511</v>
      </c>
      <c r="B1512" s="2">
        <f t="shared" si="161"/>
        <v>45354.916666666664</v>
      </c>
      <c r="C1512" t="s">
        <v>3549</v>
      </c>
      <c r="D1512" t="s">
        <v>27</v>
      </c>
      <c r="E1512" t="str">
        <f>PROPER(TRIM(CLEAN(Sales_Table[[#This Row],[Region]])))</f>
        <v>East</v>
      </c>
      <c r="F1512" t="s">
        <v>46</v>
      </c>
      <c r="G1512" t="str">
        <f t="shared" si="162"/>
        <v>Electronics</v>
      </c>
      <c r="H1512" t="str">
        <f>PROPER(TRIM(CLEAN(Sales_Table[[#This Row],[Product Name]])))</f>
        <v>Men T-Shirt</v>
      </c>
      <c r="I1512" t="s">
        <v>38</v>
      </c>
      <c r="J1512" t="str">
        <f t="shared" si="163"/>
        <v>CUST0489</v>
      </c>
      <c r="K1512" t="s">
        <v>3550</v>
      </c>
      <c r="L1512" t="str">
        <f>PROPER(TRIM(CLEAN(Sales_Table[[#This Row],[Salesperson]])))</f>
        <v>Anita</v>
      </c>
      <c r="M1512" t="s">
        <v>64</v>
      </c>
      <c r="N1512" t="str">
        <f t="shared" si="164"/>
        <v>Credit Card</v>
      </c>
      <c r="O1512" t="s">
        <v>65</v>
      </c>
      <c r="P1512">
        <f t="shared" si="165"/>
        <v>9</v>
      </c>
      <c r="Q1512" t="s">
        <v>130</v>
      </c>
      <c r="R1512">
        <f t="shared" si="166"/>
        <v>4736</v>
      </c>
      <c r="S1512" t="s">
        <v>3551</v>
      </c>
      <c r="T1512">
        <f t="shared" si="167"/>
        <v>42624</v>
      </c>
      <c r="U1512">
        <f>YEAR(Sales_Table[[#This Row],[Date_clean]])</f>
        <v>2024</v>
      </c>
      <c r="V1512" t="str">
        <f>TEXT(Sales_Table[[#This Row],[Date_clean]],"mmmm")</f>
        <v>March</v>
      </c>
      <c r="W1512">
        <f>WEEKNUM(Sales_Table[[#This Row],[Date_clean]],2)</f>
        <v>9</v>
      </c>
      <c r="X1512" t="str" cm="1">
        <f t="array" ref="X1512">_xlfn.IFS(Sales_Table[[#This Row],[Revenue]]&gt;=50000,"High",Sales_Table[[#This Row],[Revenue]]&gt;=20000,"Medium",Sales_Table[[#This Row],[Revenue]]&lt;20000,"Low")</f>
        <v>Medium</v>
      </c>
      <c r="Y1512" t="str">
        <f>IF(Sales_Table[[#This Row],[Payment Method_clean]]="cash","Offline","Online")</f>
        <v>Online</v>
      </c>
      <c r="Z1512">
        <f>IFERROR(Sales_Table[[#This Row],[Revenue]],0)</f>
        <v>42624</v>
      </c>
    </row>
    <row r="1513" spans="1:26" x14ac:dyDescent="0.3">
      <c r="A1513">
        <v>1512</v>
      </c>
      <c r="B1513" s="2">
        <f t="shared" si="161"/>
        <v>45354.958333333336</v>
      </c>
      <c r="C1513" t="s">
        <v>3552</v>
      </c>
      <c r="D1513" t="s">
        <v>27</v>
      </c>
      <c r="E1513" t="str">
        <f>PROPER(TRIM(CLEAN(Sales_Table[[#This Row],[Region]])))</f>
        <v>East</v>
      </c>
      <c r="F1513" t="s">
        <v>78</v>
      </c>
      <c r="G1513" t="str">
        <f t="shared" si="162"/>
        <v>Grocery</v>
      </c>
      <c r="H1513" t="str">
        <f>PROPER(TRIM(CLEAN(Sales_Table[[#This Row],[Product Name]])))</f>
        <v>Led Tv 42Inch</v>
      </c>
      <c r="I1513" t="s">
        <v>58</v>
      </c>
      <c r="J1513" t="str">
        <f t="shared" si="163"/>
        <v>CUST0644</v>
      </c>
      <c r="K1513" t="s">
        <v>3482</v>
      </c>
      <c r="L1513" t="str">
        <f>PROPER(TRIM(CLEAN(Sales_Table[[#This Row],[Salesperson]])))</f>
        <v>Suresh</v>
      </c>
      <c r="M1513" t="s">
        <v>54</v>
      </c>
      <c r="N1513" t="str">
        <f t="shared" si="164"/>
        <v>Cash</v>
      </c>
      <c r="O1513" t="s">
        <v>32</v>
      </c>
      <c r="P1513">
        <f t="shared" si="165"/>
        <v>13</v>
      </c>
      <c r="Q1513" t="s">
        <v>81</v>
      </c>
      <c r="R1513">
        <f t="shared" si="166"/>
        <v>4821</v>
      </c>
      <c r="S1513" t="s">
        <v>2581</v>
      </c>
      <c r="T1513">
        <f t="shared" si="167"/>
        <v>62673</v>
      </c>
      <c r="U1513">
        <f>YEAR(Sales_Table[[#This Row],[Date_clean]])</f>
        <v>2024</v>
      </c>
      <c r="V1513" t="str">
        <f>TEXT(Sales_Table[[#This Row],[Date_clean]],"mmmm")</f>
        <v>March</v>
      </c>
      <c r="W1513">
        <f>WEEKNUM(Sales_Table[[#This Row],[Date_clean]],2)</f>
        <v>9</v>
      </c>
      <c r="X1513" t="str" cm="1">
        <f t="array" ref="X1513">_xlfn.IFS(Sales_Table[[#This Row],[Revenue]]&gt;=50000,"High",Sales_Table[[#This Row],[Revenue]]&gt;=20000,"Medium",Sales_Table[[#This Row],[Revenue]]&lt;20000,"Low")</f>
        <v>High</v>
      </c>
      <c r="Y1513" t="str">
        <f>IF(Sales_Table[[#This Row],[Payment Method_clean]]="cash","Offline","Online")</f>
        <v>Offline</v>
      </c>
      <c r="Z1513">
        <f>IFERROR(Sales_Table[[#This Row],[Revenue]],0)</f>
        <v>62673</v>
      </c>
    </row>
    <row r="1514" spans="1:26" x14ac:dyDescent="0.3">
      <c r="A1514">
        <v>1513</v>
      </c>
      <c r="B1514" s="2">
        <f t="shared" si="161"/>
        <v>45355</v>
      </c>
      <c r="C1514" t="s">
        <v>3553</v>
      </c>
      <c r="D1514" t="s">
        <v>45</v>
      </c>
      <c r="E1514" t="str">
        <f>PROPER(TRIM(CLEAN(Sales_Table[[#This Row],[Region]])))</f>
        <v>North</v>
      </c>
      <c r="F1514" t="s">
        <v>78</v>
      </c>
      <c r="G1514" t="str">
        <f t="shared" si="162"/>
        <v>Grocery</v>
      </c>
      <c r="H1514" t="str">
        <f>PROPER(TRIM(CLEAN(Sales_Table[[#This Row],[Product Name]])))</f>
        <v>Rice 5Kg</v>
      </c>
      <c r="I1514" t="s">
        <v>73</v>
      </c>
      <c r="J1514" t="str">
        <f t="shared" si="163"/>
        <v>CUST0542</v>
      </c>
      <c r="K1514" t="s">
        <v>3554</v>
      </c>
      <c r="L1514" t="str">
        <f>PROPER(TRIM(CLEAN(Sales_Table[[#This Row],[Salesperson]])))</f>
        <v>Karthik</v>
      </c>
      <c r="M1514" t="s">
        <v>70</v>
      </c>
      <c r="N1514" t="str">
        <f t="shared" si="164"/>
        <v>Cash</v>
      </c>
      <c r="O1514" t="s">
        <v>32</v>
      </c>
      <c r="P1514">
        <f t="shared" si="165"/>
        <v>4</v>
      </c>
      <c r="Q1514" t="s">
        <v>113</v>
      </c>
      <c r="R1514">
        <f t="shared" si="166"/>
        <v>205</v>
      </c>
      <c r="S1514" t="s">
        <v>3555</v>
      </c>
      <c r="T1514">
        <f t="shared" si="167"/>
        <v>820</v>
      </c>
      <c r="U1514">
        <f>YEAR(Sales_Table[[#This Row],[Date_clean]])</f>
        <v>2024</v>
      </c>
      <c r="V1514" t="str">
        <f>TEXT(Sales_Table[[#This Row],[Date_clean]],"mmmm")</f>
        <v>March</v>
      </c>
      <c r="W1514">
        <f>WEEKNUM(Sales_Table[[#This Row],[Date_clean]],2)</f>
        <v>10</v>
      </c>
      <c r="X1514" t="str" cm="1">
        <f t="array" ref="X1514">_xlfn.IFS(Sales_Table[[#This Row],[Revenue]]&gt;=50000,"High",Sales_Table[[#This Row],[Revenue]]&gt;=20000,"Medium",Sales_Table[[#This Row],[Revenue]]&lt;20000,"Low")</f>
        <v>Low</v>
      </c>
      <c r="Y1514" t="str">
        <f>IF(Sales_Table[[#This Row],[Payment Method_clean]]="cash","Offline","Online")</f>
        <v>Offline</v>
      </c>
      <c r="Z1514">
        <f>IFERROR(Sales_Table[[#This Row],[Revenue]],0)</f>
        <v>820</v>
      </c>
    </row>
    <row r="1515" spans="1:26" x14ac:dyDescent="0.3">
      <c r="A1515">
        <v>1514</v>
      </c>
      <c r="B1515" s="2">
        <f t="shared" si="161"/>
        <v>45355.041666666664</v>
      </c>
      <c r="C1515" t="s">
        <v>3556</v>
      </c>
      <c r="D1515" t="s">
        <v>45</v>
      </c>
      <c r="E1515" t="str">
        <f>PROPER(TRIM(CLEAN(Sales_Table[[#This Row],[Region]])))</f>
        <v>North</v>
      </c>
      <c r="F1515" t="s">
        <v>37</v>
      </c>
      <c r="G1515" t="str">
        <f t="shared" si="162"/>
        <v>Home Appliances</v>
      </c>
      <c r="H1515" t="str">
        <f>PROPER(TRIM(CLEAN(Sales_Table[[#This Row],[Product Name]])))</f>
        <v>Mixer Grinder</v>
      </c>
      <c r="I1515" t="s">
        <v>29</v>
      </c>
      <c r="J1515" t="str">
        <f t="shared" si="163"/>
        <v>CUST0670</v>
      </c>
      <c r="K1515" t="s">
        <v>1834</v>
      </c>
      <c r="L1515" t="str">
        <f>PROPER(TRIM(CLEAN(Sales_Table[[#This Row],[Salesperson]])))</f>
        <v>Meena</v>
      </c>
      <c r="M1515" t="s">
        <v>40</v>
      </c>
      <c r="N1515" t="str">
        <f t="shared" si="164"/>
        <v>Credit Card</v>
      </c>
      <c r="O1515" t="s">
        <v>65</v>
      </c>
      <c r="P1515">
        <f t="shared" si="165"/>
        <v>4</v>
      </c>
      <c r="Q1515" t="s">
        <v>113</v>
      </c>
      <c r="R1515">
        <f t="shared" si="166"/>
        <v>1254</v>
      </c>
      <c r="S1515" t="s">
        <v>3557</v>
      </c>
      <c r="T1515">
        <f t="shared" si="167"/>
        <v>5016</v>
      </c>
      <c r="U1515">
        <f>YEAR(Sales_Table[[#This Row],[Date_clean]])</f>
        <v>2024</v>
      </c>
      <c r="V1515" t="str">
        <f>TEXT(Sales_Table[[#This Row],[Date_clean]],"mmmm")</f>
        <v>March</v>
      </c>
      <c r="W1515">
        <f>WEEKNUM(Sales_Table[[#This Row],[Date_clean]],2)</f>
        <v>10</v>
      </c>
      <c r="X1515" t="str" cm="1">
        <f t="array" ref="X1515">_xlfn.IFS(Sales_Table[[#This Row],[Revenue]]&gt;=50000,"High",Sales_Table[[#This Row],[Revenue]]&gt;=20000,"Medium",Sales_Table[[#This Row],[Revenue]]&lt;20000,"Low")</f>
        <v>Low</v>
      </c>
      <c r="Y1515" t="str">
        <f>IF(Sales_Table[[#This Row],[Payment Method_clean]]="cash","Offline","Online")</f>
        <v>Online</v>
      </c>
      <c r="Z1515">
        <f>IFERROR(Sales_Table[[#This Row],[Revenue]],0)</f>
        <v>5016</v>
      </c>
    </row>
    <row r="1516" spans="1:26" x14ac:dyDescent="0.3">
      <c r="A1516">
        <v>1515</v>
      </c>
      <c r="B1516" s="2">
        <f t="shared" si="161"/>
        <v>45355.083333333336</v>
      </c>
      <c r="C1516" t="s">
        <v>3558</v>
      </c>
      <c r="D1516" t="s">
        <v>36</v>
      </c>
      <c r="E1516" t="str">
        <f>PROPER(TRIM(CLEAN(Sales_Table[[#This Row],[Region]])))</f>
        <v>West</v>
      </c>
      <c r="F1516" t="s">
        <v>37</v>
      </c>
      <c r="G1516" t="str">
        <f t="shared" si="162"/>
        <v>Home Appliances</v>
      </c>
      <c r="H1516" t="str">
        <f>PROPER(TRIM(CLEAN(Sales_Table[[#This Row],[Product Name]])))</f>
        <v>Mixer Grinder</v>
      </c>
      <c r="I1516" t="s">
        <v>29</v>
      </c>
      <c r="J1516" t="str">
        <f t="shared" si="163"/>
        <v>CUST0278</v>
      </c>
      <c r="K1516" t="s">
        <v>2005</v>
      </c>
      <c r="L1516" t="str">
        <f>PROPER(TRIM(CLEAN(Sales_Table[[#This Row],[Salesperson]])))</f>
        <v>Suresh</v>
      </c>
      <c r="M1516" t="s">
        <v>54</v>
      </c>
      <c r="N1516" t="str">
        <f t="shared" si="164"/>
        <v>Upi</v>
      </c>
      <c r="O1516" t="s">
        <v>48</v>
      </c>
      <c r="P1516">
        <f t="shared" si="165"/>
        <v>7</v>
      </c>
      <c r="Q1516" t="s">
        <v>49</v>
      </c>
      <c r="R1516">
        <f t="shared" si="166"/>
        <v>3528</v>
      </c>
      <c r="S1516" t="s">
        <v>3559</v>
      </c>
      <c r="T1516">
        <f t="shared" si="167"/>
        <v>24696</v>
      </c>
      <c r="U1516">
        <f>YEAR(Sales_Table[[#This Row],[Date_clean]])</f>
        <v>2024</v>
      </c>
      <c r="V1516" t="str">
        <f>TEXT(Sales_Table[[#This Row],[Date_clean]],"mmmm")</f>
        <v>March</v>
      </c>
      <c r="W1516">
        <f>WEEKNUM(Sales_Table[[#This Row],[Date_clean]],2)</f>
        <v>10</v>
      </c>
      <c r="X1516" t="str" cm="1">
        <f t="array" ref="X1516">_xlfn.IFS(Sales_Table[[#This Row],[Revenue]]&gt;=50000,"High",Sales_Table[[#This Row],[Revenue]]&gt;=20000,"Medium",Sales_Table[[#This Row],[Revenue]]&lt;20000,"Low")</f>
        <v>Medium</v>
      </c>
      <c r="Y1516" t="str">
        <f>IF(Sales_Table[[#This Row],[Payment Method_clean]]="cash","Offline","Online")</f>
        <v>Online</v>
      </c>
      <c r="Z1516">
        <f>IFERROR(Sales_Table[[#This Row],[Revenue]],0)</f>
        <v>24696</v>
      </c>
    </row>
    <row r="1517" spans="1:26" x14ac:dyDescent="0.3">
      <c r="A1517">
        <v>1516</v>
      </c>
      <c r="B1517" s="2">
        <f t="shared" si="161"/>
        <v>45355.125</v>
      </c>
      <c r="C1517" t="s">
        <v>3560</v>
      </c>
      <c r="D1517" t="s">
        <v>84</v>
      </c>
      <c r="E1517" t="str">
        <f>PROPER(TRIM(CLEAN(Sales_Table[[#This Row],[Region]])))</f>
        <v>South</v>
      </c>
      <c r="F1517" t="s">
        <v>78</v>
      </c>
      <c r="G1517" t="str">
        <f t="shared" si="162"/>
        <v>Grocery</v>
      </c>
      <c r="H1517" t="str">
        <f>PROPER(TRIM(CLEAN(Sales_Table[[#This Row],[Product Name]])))</f>
        <v>Mixer Grinder</v>
      </c>
      <c r="I1517" t="s">
        <v>29</v>
      </c>
      <c r="J1517" t="str">
        <f t="shared" si="163"/>
        <v>CUST0203</v>
      </c>
      <c r="K1517" t="s">
        <v>1911</v>
      </c>
      <c r="L1517" t="str">
        <f>PROPER(TRIM(CLEAN(Sales_Table[[#This Row],[Salesperson]])))</f>
        <v>Anita</v>
      </c>
      <c r="M1517" t="s">
        <v>64</v>
      </c>
      <c r="N1517" t="str">
        <f t="shared" si="164"/>
        <v>Net Banking</v>
      </c>
      <c r="O1517" t="s">
        <v>60</v>
      </c>
      <c r="P1517">
        <f t="shared" si="165"/>
        <v>10</v>
      </c>
      <c r="Q1517" t="s">
        <v>117</v>
      </c>
      <c r="R1517">
        <f t="shared" si="166"/>
        <v>4187</v>
      </c>
      <c r="S1517" t="s">
        <v>3561</v>
      </c>
      <c r="T1517">
        <f t="shared" si="167"/>
        <v>41870</v>
      </c>
      <c r="U1517">
        <f>YEAR(Sales_Table[[#This Row],[Date_clean]])</f>
        <v>2024</v>
      </c>
      <c r="V1517" t="str">
        <f>TEXT(Sales_Table[[#This Row],[Date_clean]],"mmmm")</f>
        <v>March</v>
      </c>
      <c r="W1517">
        <f>WEEKNUM(Sales_Table[[#This Row],[Date_clean]],2)</f>
        <v>10</v>
      </c>
      <c r="X1517" t="str" cm="1">
        <f t="array" ref="X1517">_xlfn.IFS(Sales_Table[[#This Row],[Revenue]]&gt;=50000,"High",Sales_Table[[#This Row],[Revenue]]&gt;=20000,"Medium",Sales_Table[[#This Row],[Revenue]]&lt;20000,"Low")</f>
        <v>Medium</v>
      </c>
      <c r="Y1517" t="str">
        <f>IF(Sales_Table[[#This Row],[Payment Method_clean]]="cash","Offline","Online")</f>
        <v>Online</v>
      </c>
      <c r="Z1517">
        <f>IFERROR(Sales_Table[[#This Row],[Revenue]],0)</f>
        <v>41870</v>
      </c>
    </row>
    <row r="1518" spans="1:26" x14ac:dyDescent="0.3">
      <c r="A1518">
        <v>1517</v>
      </c>
      <c r="B1518" s="2">
        <f t="shared" si="161"/>
        <v>45355.166666666664</v>
      </c>
      <c r="C1518" t="s">
        <v>3562</v>
      </c>
      <c r="D1518" t="s">
        <v>27</v>
      </c>
      <c r="E1518" t="str">
        <f>PROPER(TRIM(CLEAN(Sales_Table[[#This Row],[Region]])))</f>
        <v>East</v>
      </c>
      <c r="F1518" t="s">
        <v>28</v>
      </c>
      <c r="G1518" t="str">
        <f t="shared" si="162"/>
        <v>Clothing</v>
      </c>
      <c r="H1518" t="str">
        <f>PROPER(TRIM(CLEAN(Sales_Table[[#This Row],[Product Name]])))</f>
        <v>Led Tv 42Inch</v>
      </c>
      <c r="I1518" t="s">
        <v>58</v>
      </c>
      <c r="J1518" t="str">
        <f t="shared" si="163"/>
        <v>CUST0066</v>
      </c>
      <c r="K1518" t="s">
        <v>3563</v>
      </c>
      <c r="L1518" t="str">
        <f>PROPER(TRIM(CLEAN(Sales_Table[[#This Row],[Salesperson]])))</f>
        <v>Rahul</v>
      </c>
      <c r="M1518" t="s">
        <v>31</v>
      </c>
      <c r="N1518" t="str">
        <f t="shared" si="164"/>
        <v>Upi</v>
      </c>
      <c r="O1518" t="s">
        <v>48</v>
      </c>
      <c r="P1518">
        <f t="shared" si="165"/>
        <v>10</v>
      </c>
      <c r="Q1518" t="s">
        <v>117</v>
      </c>
      <c r="R1518">
        <f t="shared" si="166"/>
        <v>1808</v>
      </c>
      <c r="S1518" t="s">
        <v>3564</v>
      </c>
      <c r="T1518">
        <f t="shared" si="167"/>
        <v>18080</v>
      </c>
      <c r="U1518">
        <f>YEAR(Sales_Table[[#This Row],[Date_clean]])</f>
        <v>2024</v>
      </c>
      <c r="V1518" t="str">
        <f>TEXT(Sales_Table[[#This Row],[Date_clean]],"mmmm")</f>
        <v>March</v>
      </c>
      <c r="W1518">
        <f>WEEKNUM(Sales_Table[[#This Row],[Date_clean]],2)</f>
        <v>10</v>
      </c>
      <c r="X1518" t="str" cm="1">
        <f t="array" ref="X1518">_xlfn.IFS(Sales_Table[[#This Row],[Revenue]]&gt;=50000,"High",Sales_Table[[#This Row],[Revenue]]&gt;=20000,"Medium",Sales_Table[[#This Row],[Revenue]]&lt;20000,"Low")</f>
        <v>Low</v>
      </c>
      <c r="Y1518" t="str">
        <f>IF(Sales_Table[[#This Row],[Payment Method_clean]]="cash","Offline","Online")</f>
        <v>Online</v>
      </c>
      <c r="Z1518">
        <f>IFERROR(Sales_Table[[#This Row],[Revenue]],0)</f>
        <v>18080</v>
      </c>
    </row>
    <row r="1519" spans="1:26" x14ac:dyDescent="0.3">
      <c r="A1519">
        <v>1518</v>
      </c>
      <c r="B1519" s="2">
        <f t="shared" si="161"/>
        <v>45355.208333333336</v>
      </c>
      <c r="C1519" t="s">
        <v>3565</v>
      </c>
      <c r="D1519" t="s">
        <v>27</v>
      </c>
      <c r="E1519" t="str">
        <f>PROPER(TRIM(CLEAN(Sales_Table[[#This Row],[Region]])))</f>
        <v>East</v>
      </c>
      <c r="F1519" t="s">
        <v>78</v>
      </c>
      <c r="G1519" t="str">
        <f t="shared" si="162"/>
        <v>Grocery</v>
      </c>
      <c r="H1519" t="str">
        <f>PROPER(TRIM(CLEAN(Sales_Table[[#This Row],[Product Name]])))</f>
        <v>Laptop</v>
      </c>
      <c r="I1519" t="s">
        <v>52</v>
      </c>
      <c r="J1519" t="str">
        <f t="shared" si="163"/>
        <v>CUST0108</v>
      </c>
      <c r="K1519" t="s">
        <v>1961</v>
      </c>
      <c r="L1519" t="str">
        <f>PROPER(TRIM(CLEAN(Sales_Table[[#This Row],[Salesperson]])))</f>
        <v>Karthik</v>
      </c>
      <c r="M1519" t="s">
        <v>70</v>
      </c>
      <c r="N1519" t="str">
        <f t="shared" si="164"/>
        <v>Cash</v>
      </c>
      <c r="O1519" t="s">
        <v>32</v>
      </c>
      <c r="P1519">
        <f t="shared" si="165"/>
        <v>13</v>
      </c>
      <c r="Q1519" t="s">
        <v>81</v>
      </c>
      <c r="R1519">
        <f t="shared" si="166"/>
        <v>2923</v>
      </c>
      <c r="S1519" t="s">
        <v>1368</v>
      </c>
      <c r="T1519">
        <f t="shared" si="167"/>
        <v>37999</v>
      </c>
      <c r="U1519">
        <f>YEAR(Sales_Table[[#This Row],[Date_clean]])</f>
        <v>2024</v>
      </c>
      <c r="V1519" t="str">
        <f>TEXT(Sales_Table[[#This Row],[Date_clean]],"mmmm")</f>
        <v>March</v>
      </c>
      <c r="W1519">
        <f>WEEKNUM(Sales_Table[[#This Row],[Date_clean]],2)</f>
        <v>10</v>
      </c>
      <c r="X1519" t="str" cm="1">
        <f t="array" ref="X1519">_xlfn.IFS(Sales_Table[[#This Row],[Revenue]]&gt;=50000,"High",Sales_Table[[#This Row],[Revenue]]&gt;=20000,"Medium",Sales_Table[[#This Row],[Revenue]]&lt;20000,"Low")</f>
        <v>Medium</v>
      </c>
      <c r="Y1519" t="str">
        <f>IF(Sales_Table[[#This Row],[Payment Method_clean]]="cash","Offline","Online")</f>
        <v>Offline</v>
      </c>
      <c r="Z1519">
        <f>IFERROR(Sales_Table[[#This Row],[Revenue]],0)</f>
        <v>37999</v>
      </c>
    </row>
    <row r="1520" spans="1:26" x14ac:dyDescent="0.3">
      <c r="A1520">
        <v>1519</v>
      </c>
      <c r="B1520" s="2">
        <f t="shared" si="161"/>
        <v>45355.25</v>
      </c>
      <c r="C1520" t="s">
        <v>3566</v>
      </c>
      <c r="D1520" t="s">
        <v>36</v>
      </c>
      <c r="E1520" t="str">
        <f>PROPER(TRIM(CLEAN(Sales_Table[[#This Row],[Region]])))</f>
        <v>West</v>
      </c>
      <c r="F1520" t="s">
        <v>37</v>
      </c>
      <c r="G1520" t="str">
        <f t="shared" si="162"/>
        <v>Home Appliances</v>
      </c>
      <c r="H1520" t="str">
        <f>PROPER(TRIM(CLEAN(Sales_Table[[#This Row],[Product Name]])))</f>
        <v>Men T-Shirt</v>
      </c>
      <c r="I1520" t="s">
        <v>38</v>
      </c>
      <c r="J1520" t="str">
        <f t="shared" si="163"/>
        <v>CUST0268</v>
      </c>
      <c r="K1520" t="s">
        <v>905</v>
      </c>
      <c r="L1520" t="str">
        <f>PROPER(TRIM(CLEAN(Sales_Table[[#This Row],[Salesperson]])))</f>
        <v>Anita</v>
      </c>
      <c r="M1520" t="s">
        <v>64</v>
      </c>
      <c r="N1520" t="str">
        <f t="shared" si="164"/>
        <v>Net Banking</v>
      </c>
      <c r="O1520" t="s">
        <v>60</v>
      </c>
      <c r="P1520">
        <f t="shared" si="165"/>
        <v>2</v>
      </c>
      <c r="Q1520" t="s">
        <v>196</v>
      </c>
      <c r="R1520">
        <f t="shared" si="166"/>
        <v>4025</v>
      </c>
      <c r="S1520" t="s">
        <v>1246</v>
      </c>
      <c r="T1520">
        <f t="shared" si="167"/>
        <v>8050</v>
      </c>
      <c r="U1520">
        <f>YEAR(Sales_Table[[#This Row],[Date_clean]])</f>
        <v>2024</v>
      </c>
      <c r="V1520" t="str">
        <f>TEXT(Sales_Table[[#This Row],[Date_clean]],"mmmm")</f>
        <v>March</v>
      </c>
      <c r="W1520">
        <f>WEEKNUM(Sales_Table[[#This Row],[Date_clean]],2)</f>
        <v>10</v>
      </c>
      <c r="X1520" t="str" cm="1">
        <f t="array" ref="X1520">_xlfn.IFS(Sales_Table[[#This Row],[Revenue]]&gt;=50000,"High",Sales_Table[[#This Row],[Revenue]]&gt;=20000,"Medium",Sales_Table[[#This Row],[Revenue]]&lt;20000,"Low")</f>
        <v>Low</v>
      </c>
      <c r="Y1520" t="str">
        <f>IF(Sales_Table[[#This Row],[Payment Method_clean]]="cash","Offline","Online")</f>
        <v>Online</v>
      </c>
      <c r="Z1520">
        <f>IFERROR(Sales_Table[[#This Row],[Revenue]],0)</f>
        <v>8050</v>
      </c>
    </row>
    <row r="1521" spans="1:26" x14ac:dyDescent="0.3">
      <c r="A1521">
        <v>1520</v>
      </c>
      <c r="B1521" s="2">
        <f t="shared" si="161"/>
        <v>45355.291666666664</v>
      </c>
      <c r="C1521" t="s">
        <v>3567</v>
      </c>
      <c r="D1521" t="s">
        <v>45</v>
      </c>
      <c r="E1521" t="str">
        <f>PROPER(TRIM(CLEAN(Sales_Table[[#This Row],[Region]])))</f>
        <v>North</v>
      </c>
      <c r="F1521" t="s">
        <v>28</v>
      </c>
      <c r="G1521" t="str">
        <f t="shared" si="162"/>
        <v>Clothing</v>
      </c>
      <c r="H1521" t="str">
        <f>PROPER(TRIM(CLEAN(Sales_Table[[#This Row],[Product Name]])))</f>
        <v>Rice 5Kg</v>
      </c>
      <c r="I1521" t="s">
        <v>73</v>
      </c>
      <c r="J1521" t="str">
        <f t="shared" si="163"/>
        <v>CUST0222</v>
      </c>
      <c r="K1521" t="s">
        <v>320</v>
      </c>
      <c r="L1521" t="str">
        <f>PROPER(TRIM(CLEAN(Sales_Table[[#This Row],[Salesperson]])))</f>
        <v>Meena</v>
      </c>
      <c r="M1521" t="s">
        <v>40</v>
      </c>
      <c r="N1521" t="str">
        <f t="shared" si="164"/>
        <v>Debit Card</v>
      </c>
      <c r="O1521" t="s">
        <v>41</v>
      </c>
      <c r="P1521">
        <f t="shared" si="165"/>
        <v>3</v>
      </c>
      <c r="Q1521" t="s">
        <v>66</v>
      </c>
      <c r="R1521">
        <f t="shared" si="166"/>
        <v>2008</v>
      </c>
      <c r="S1521" t="s">
        <v>3568</v>
      </c>
      <c r="T1521">
        <f t="shared" si="167"/>
        <v>6024</v>
      </c>
      <c r="U1521">
        <f>YEAR(Sales_Table[[#This Row],[Date_clean]])</f>
        <v>2024</v>
      </c>
      <c r="V1521" t="str">
        <f>TEXT(Sales_Table[[#This Row],[Date_clean]],"mmmm")</f>
        <v>March</v>
      </c>
      <c r="W1521">
        <f>WEEKNUM(Sales_Table[[#This Row],[Date_clean]],2)</f>
        <v>10</v>
      </c>
      <c r="X1521" t="str" cm="1">
        <f t="array" ref="X1521">_xlfn.IFS(Sales_Table[[#This Row],[Revenue]]&gt;=50000,"High",Sales_Table[[#This Row],[Revenue]]&gt;=20000,"Medium",Sales_Table[[#This Row],[Revenue]]&lt;20000,"Low")</f>
        <v>Low</v>
      </c>
      <c r="Y1521" t="str">
        <f>IF(Sales_Table[[#This Row],[Payment Method_clean]]="cash","Offline","Online")</f>
        <v>Online</v>
      </c>
      <c r="Z1521">
        <f>IFERROR(Sales_Table[[#This Row],[Revenue]],0)</f>
        <v>6024</v>
      </c>
    </row>
    <row r="1522" spans="1:26" x14ac:dyDescent="0.3">
      <c r="A1522">
        <v>1521</v>
      </c>
      <c r="B1522" s="2">
        <f t="shared" si="161"/>
        <v>45355.333333333336</v>
      </c>
      <c r="C1522" t="s">
        <v>3569</v>
      </c>
      <c r="D1522" t="s">
        <v>84</v>
      </c>
      <c r="E1522" t="str">
        <f>PROPER(TRIM(CLEAN(Sales_Table[[#This Row],[Region]])))</f>
        <v>South</v>
      </c>
      <c r="F1522" t="s">
        <v>28</v>
      </c>
      <c r="G1522" t="str">
        <f t="shared" si="162"/>
        <v>Clothing</v>
      </c>
      <c r="H1522" t="str">
        <f>PROPER(TRIM(CLEAN(Sales_Table[[#This Row],[Product Name]])))</f>
        <v>Washing Machine</v>
      </c>
      <c r="I1522" t="s">
        <v>79</v>
      </c>
      <c r="J1522" t="str">
        <f t="shared" si="163"/>
        <v>CUST0530</v>
      </c>
      <c r="K1522" t="s">
        <v>1119</v>
      </c>
      <c r="L1522" t="str">
        <f>PROPER(TRIM(CLEAN(Sales_Table[[#This Row],[Salesperson]])))</f>
        <v>Meena</v>
      </c>
      <c r="M1522" t="s">
        <v>40</v>
      </c>
      <c r="N1522" t="str">
        <f t="shared" si="164"/>
        <v>Net Banking</v>
      </c>
      <c r="O1522" t="s">
        <v>60</v>
      </c>
      <c r="P1522">
        <f t="shared" si="165"/>
        <v>3</v>
      </c>
      <c r="Q1522" t="s">
        <v>66</v>
      </c>
      <c r="R1522">
        <f t="shared" si="166"/>
        <v>2149</v>
      </c>
      <c r="S1522" t="s">
        <v>1841</v>
      </c>
      <c r="T1522">
        <f t="shared" si="167"/>
        <v>6447</v>
      </c>
      <c r="U1522">
        <f>YEAR(Sales_Table[[#This Row],[Date_clean]])</f>
        <v>2024</v>
      </c>
      <c r="V1522" t="str">
        <f>TEXT(Sales_Table[[#This Row],[Date_clean]],"mmmm")</f>
        <v>March</v>
      </c>
      <c r="W1522">
        <f>WEEKNUM(Sales_Table[[#This Row],[Date_clean]],2)</f>
        <v>10</v>
      </c>
      <c r="X1522" t="str" cm="1">
        <f t="array" ref="X1522">_xlfn.IFS(Sales_Table[[#This Row],[Revenue]]&gt;=50000,"High",Sales_Table[[#This Row],[Revenue]]&gt;=20000,"Medium",Sales_Table[[#This Row],[Revenue]]&lt;20000,"Low")</f>
        <v>Low</v>
      </c>
      <c r="Y1522" t="str">
        <f>IF(Sales_Table[[#This Row],[Payment Method_clean]]="cash","Offline","Online")</f>
        <v>Online</v>
      </c>
      <c r="Z1522">
        <f>IFERROR(Sales_Table[[#This Row],[Revenue]],0)</f>
        <v>6447</v>
      </c>
    </row>
    <row r="1523" spans="1:26" x14ac:dyDescent="0.3">
      <c r="A1523">
        <v>1522</v>
      </c>
      <c r="B1523" s="2">
        <f t="shared" si="161"/>
        <v>45355.375</v>
      </c>
      <c r="C1523" t="s">
        <v>3570</v>
      </c>
      <c r="D1523" t="s">
        <v>45</v>
      </c>
      <c r="E1523" t="str">
        <f>PROPER(TRIM(CLEAN(Sales_Table[[#This Row],[Region]])))</f>
        <v>North</v>
      </c>
      <c r="F1523" t="s">
        <v>78</v>
      </c>
      <c r="G1523" t="str">
        <f t="shared" si="162"/>
        <v>Grocery</v>
      </c>
      <c r="H1523" t="str">
        <f>PROPER(TRIM(CLEAN(Sales_Table[[#This Row],[Product Name]])))</f>
        <v>Laptop</v>
      </c>
      <c r="I1523" t="s">
        <v>52</v>
      </c>
      <c r="J1523" t="str">
        <f t="shared" si="163"/>
        <v>CUST0090</v>
      </c>
      <c r="K1523" t="s">
        <v>784</v>
      </c>
      <c r="L1523" t="str">
        <f>PROPER(TRIM(CLEAN(Sales_Table[[#This Row],[Salesperson]])))</f>
        <v>Rahul</v>
      </c>
      <c r="M1523" t="s">
        <v>31</v>
      </c>
      <c r="N1523" t="str">
        <f t="shared" si="164"/>
        <v>Upi</v>
      </c>
      <c r="O1523" t="s">
        <v>48</v>
      </c>
      <c r="P1523">
        <f t="shared" si="165"/>
        <v>6</v>
      </c>
      <c r="Q1523" t="s">
        <v>75</v>
      </c>
      <c r="R1523">
        <f t="shared" si="166"/>
        <v>4564</v>
      </c>
      <c r="S1523" t="s">
        <v>3571</v>
      </c>
      <c r="T1523">
        <f t="shared" si="167"/>
        <v>27384</v>
      </c>
      <c r="U1523">
        <f>YEAR(Sales_Table[[#This Row],[Date_clean]])</f>
        <v>2024</v>
      </c>
      <c r="V1523" t="str">
        <f>TEXT(Sales_Table[[#This Row],[Date_clean]],"mmmm")</f>
        <v>March</v>
      </c>
      <c r="W1523">
        <f>WEEKNUM(Sales_Table[[#This Row],[Date_clean]],2)</f>
        <v>10</v>
      </c>
      <c r="X1523" t="str" cm="1">
        <f t="array" ref="X1523">_xlfn.IFS(Sales_Table[[#This Row],[Revenue]]&gt;=50000,"High",Sales_Table[[#This Row],[Revenue]]&gt;=20000,"Medium",Sales_Table[[#This Row],[Revenue]]&lt;20000,"Low")</f>
        <v>Medium</v>
      </c>
      <c r="Y1523" t="str">
        <f>IF(Sales_Table[[#This Row],[Payment Method_clean]]="cash","Offline","Online")</f>
        <v>Online</v>
      </c>
      <c r="Z1523">
        <f>IFERROR(Sales_Table[[#This Row],[Revenue]],0)</f>
        <v>27384</v>
      </c>
    </row>
    <row r="1524" spans="1:26" x14ac:dyDescent="0.3">
      <c r="A1524">
        <v>1523</v>
      </c>
      <c r="B1524" s="2">
        <f t="shared" si="161"/>
        <v>45355.416666666664</v>
      </c>
      <c r="C1524" t="s">
        <v>3572</v>
      </c>
      <c r="D1524" t="s">
        <v>45</v>
      </c>
      <c r="E1524" t="str">
        <f>PROPER(TRIM(CLEAN(Sales_Table[[#This Row],[Region]])))</f>
        <v>North</v>
      </c>
      <c r="F1524" t="s">
        <v>37</v>
      </c>
      <c r="G1524" t="str">
        <f t="shared" si="162"/>
        <v>Home Appliances</v>
      </c>
      <c r="H1524" t="str">
        <f>PROPER(TRIM(CLEAN(Sales_Table[[#This Row],[Product Name]])))</f>
        <v>Men T-Shirt</v>
      </c>
      <c r="I1524" t="s">
        <v>38</v>
      </c>
      <c r="J1524" t="str">
        <f t="shared" si="163"/>
        <v>CUST0693</v>
      </c>
      <c r="K1524" t="s">
        <v>1793</v>
      </c>
      <c r="L1524" t="str">
        <f>PROPER(TRIM(CLEAN(Sales_Table[[#This Row],[Salesperson]])))</f>
        <v>Rahul</v>
      </c>
      <c r="M1524" t="s">
        <v>31</v>
      </c>
      <c r="N1524" t="str">
        <f t="shared" si="164"/>
        <v>Credit Card</v>
      </c>
      <c r="O1524" t="s">
        <v>65</v>
      </c>
      <c r="P1524">
        <f t="shared" si="165"/>
        <v>3</v>
      </c>
      <c r="Q1524" t="s">
        <v>66</v>
      </c>
      <c r="R1524">
        <f t="shared" si="166"/>
        <v>1374</v>
      </c>
      <c r="S1524" t="s">
        <v>3573</v>
      </c>
      <c r="T1524">
        <f t="shared" si="167"/>
        <v>4122</v>
      </c>
      <c r="U1524">
        <f>YEAR(Sales_Table[[#This Row],[Date_clean]])</f>
        <v>2024</v>
      </c>
      <c r="V1524" t="str">
        <f>TEXT(Sales_Table[[#This Row],[Date_clean]],"mmmm")</f>
        <v>March</v>
      </c>
      <c r="W1524">
        <f>WEEKNUM(Sales_Table[[#This Row],[Date_clean]],2)</f>
        <v>10</v>
      </c>
      <c r="X1524" t="str" cm="1">
        <f t="array" ref="X1524">_xlfn.IFS(Sales_Table[[#This Row],[Revenue]]&gt;=50000,"High",Sales_Table[[#This Row],[Revenue]]&gt;=20000,"Medium",Sales_Table[[#This Row],[Revenue]]&lt;20000,"Low")</f>
        <v>Low</v>
      </c>
      <c r="Y1524" t="str">
        <f>IF(Sales_Table[[#This Row],[Payment Method_clean]]="cash","Offline","Online")</f>
        <v>Online</v>
      </c>
      <c r="Z1524">
        <f>IFERROR(Sales_Table[[#This Row],[Revenue]],0)</f>
        <v>4122</v>
      </c>
    </row>
    <row r="1525" spans="1:26" x14ac:dyDescent="0.3">
      <c r="A1525">
        <v>1524</v>
      </c>
      <c r="B1525" s="2">
        <f t="shared" si="161"/>
        <v>45355.458333333336</v>
      </c>
      <c r="C1525" t="s">
        <v>3574</v>
      </c>
      <c r="D1525" t="s">
        <v>45</v>
      </c>
      <c r="E1525" t="str">
        <f>PROPER(TRIM(CLEAN(Sales_Table[[#This Row],[Region]])))</f>
        <v>North</v>
      </c>
      <c r="F1525" t="s">
        <v>37</v>
      </c>
      <c r="G1525" t="str">
        <f t="shared" si="162"/>
        <v>Home Appliances</v>
      </c>
      <c r="H1525" t="str">
        <f>PROPER(TRIM(CLEAN(Sales_Table[[#This Row],[Product Name]])))</f>
        <v>Led Tv 42Inch</v>
      </c>
      <c r="I1525" t="s">
        <v>58</v>
      </c>
      <c r="J1525" t="str">
        <f t="shared" si="163"/>
        <v>CUST0255</v>
      </c>
      <c r="K1525" t="s">
        <v>1320</v>
      </c>
      <c r="L1525" t="str">
        <f>PROPER(TRIM(CLEAN(Sales_Table[[#This Row],[Salesperson]])))</f>
        <v>Karthik</v>
      </c>
      <c r="M1525" t="s">
        <v>70</v>
      </c>
      <c r="N1525" t="str">
        <f t="shared" si="164"/>
        <v>Debit Card</v>
      </c>
      <c r="O1525" t="s">
        <v>41</v>
      </c>
      <c r="P1525">
        <f t="shared" si="165"/>
        <v>11</v>
      </c>
      <c r="Q1525" t="s">
        <v>97</v>
      </c>
      <c r="R1525">
        <f t="shared" si="166"/>
        <v>1045</v>
      </c>
      <c r="S1525" t="s">
        <v>3575</v>
      </c>
      <c r="T1525">
        <f t="shared" si="167"/>
        <v>11495</v>
      </c>
      <c r="U1525">
        <f>YEAR(Sales_Table[[#This Row],[Date_clean]])</f>
        <v>2024</v>
      </c>
      <c r="V1525" t="str">
        <f>TEXT(Sales_Table[[#This Row],[Date_clean]],"mmmm")</f>
        <v>March</v>
      </c>
      <c r="W1525">
        <f>WEEKNUM(Sales_Table[[#This Row],[Date_clean]],2)</f>
        <v>10</v>
      </c>
      <c r="X1525" t="str" cm="1">
        <f t="array" ref="X1525">_xlfn.IFS(Sales_Table[[#This Row],[Revenue]]&gt;=50000,"High",Sales_Table[[#This Row],[Revenue]]&gt;=20000,"Medium",Sales_Table[[#This Row],[Revenue]]&lt;20000,"Low")</f>
        <v>Low</v>
      </c>
      <c r="Y1525" t="str">
        <f>IF(Sales_Table[[#This Row],[Payment Method_clean]]="cash","Offline","Online")</f>
        <v>Online</v>
      </c>
      <c r="Z1525">
        <f>IFERROR(Sales_Table[[#This Row],[Revenue]],0)</f>
        <v>11495</v>
      </c>
    </row>
    <row r="1526" spans="1:26" x14ac:dyDescent="0.3">
      <c r="A1526">
        <v>1525</v>
      </c>
      <c r="B1526" s="2">
        <f t="shared" si="161"/>
        <v>45355.5</v>
      </c>
      <c r="C1526" t="s">
        <v>3576</v>
      </c>
      <c r="D1526" t="s">
        <v>45</v>
      </c>
      <c r="E1526" t="str">
        <f>PROPER(TRIM(CLEAN(Sales_Table[[#This Row],[Region]])))</f>
        <v>North</v>
      </c>
      <c r="F1526" t="s">
        <v>28</v>
      </c>
      <c r="G1526" t="str">
        <f t="shared" si="162"/>
        <v>Clothing</v>
      </c>
      <c r="H1526" t="str">
        <f>PROPER(TRIM(CLEAN(Sales_Table[[#This Row],[Product Name]])))</f>
        <v>Men T-Shirt</v>
      </c>
      <c r="I1526" t="s">
        <v>38</v>
      </c>
      <c r="J1526" t="str">
        <f t="shared" si="163"/>
        <v>CUST0455</v>
      </c>
      <c r="K1526" t="s">
        <v>435</v>
      </c>
      <c r="L1526" t="str">
        <f>PROPER(TRIM(CLEAN(Sales_Table[[#This Row],[Salesperson]])))</f>
        <v>Karthik</v>
      </c>
      <c r="M1526" t="s">
        <v>70</v>
      </c>
      <c r="N1526" t="str">
        <f t="shared" si="164"/>
        <v>Upi</v>
      </c>
      <c r="O1526" t="s">
        <v>48</v>
      </c>
      <c r="P1526">
        <f t="shared" si="165"/>
        <v>5</v>
      </c>
      <c r="Q1526" t="s">
        <v>89</v>
      </c>
      <c r="R1526">
        <f t="shared" si="166"/>
        <v>4004</v>
      </c>
      <c r="S1526" t="s">
        <v>3577</v>
      </c>
      <c r="T1526">
        <f t="shared" si="167"/>
        <v>20020</v>
      </c>
      <c r="U1526">
        <f>YEAR(Sales_Table[[#This Row],[Date_clean]])</f>
        <v>2024</v>
      </c>
      <c r="V1526" t="str">
        <f>TEXT(Sales_Table[[#This Row],[Date_clean]],"mmmm")</f>
        <v>March</v>
      </c>
      <c r="W1526">
        <f>WEEKNUM(Sales_Table[[#This Row],[Date_clean]],2)</f>
        <v>10</v>
      </c>
      <c r="X1526" t="str" cm="1">
        <f t="array" ref="X1526">_xlfn.IFS(Sales_Table[[#This Row],[Revenue]]&gt;=50000,"High",Sales_Table[[#This Row],[Revenue]]&gt;=20000,"Medium",Sales_Table[[#This Row],[Revenue]]&lt;20000,"Low")</f>
        <v>Medium</v>
      </c>
      <c r="Y1526" t="str">
        <f>IF(Sales_Table[[#This Row],[Payment Method_clean]]="cash","Offline","Online")</f>
        <v>Online</v>
      </c>
      <c r="Z1526">
        <f>IFERROR(Sales_Table[[#This Row],[Revenue]],0)</f>
        <v>20020</v>
      </c>
    </row>
    <row r="1527" spans="1:26" x14ac:dyDescent="0.3">
      <c r="A1527">
        <v>1526</v>
      </c>
      <c r="B1527" s="2">
        <f t="shared" si="161"/>
        <v>45355.541666666664</v>
      </c>
      <c r="C1527" t="s">
        <v>3578</v>
      </c>
      <c r="D1527" t="s">
        <v>27</v>
      </c>
      <c r="E1527" t="str">
        <f>PROPER(TRIM(CLEAN(Sales_Table[[#This Row],[Region]])))</f>
        <v>East</v>
      </c>
      <c r="F1527" t="s">
        <v>78</v>
      </c>
      <c r="G1527" t="str">
        <f t="shared" si="162"/>
        <v>Grocery</v>
      </c>
      <c r="H1527" t="str">
        <f>PROPER(TRIM(CLEAN(Sales_Table[[#This Row],[Product Name]])))</f>
        <v>Men T-Shirt</v>
      </c>
      <c r="I1527" t="s">
        <v>38</v>
      </c>
      <c r="J1527" t="str">
        <f t="shared" si="163"/>
        <v>CUST0253</v>
      </c>
      <c r="K1527" t="s">
        <v>508</v>
      </c>
      <c r="L1527" t="str">
        <f>PROPER(TRIM(CLEAN(Sales_Table[[#This Row],[Salesperson]])))</f>
        <v>Rahul</v>
      </c>
      <c r="M1527" t="s">
        <v>31</v>
      </c>
      <c r="N1527" t="str">
        <f t="shared" si="164"/>
        <v>Debit Card</v>
      </c>
      <c r="O1527" t="s">
        <v>41</v>
      </c>
      <c r="P1527">
        <f t="shared" si="165"/>
        <v>4</v>
      </c>
      <c r="Q1527" t="s">
        <v>113</v>
      </c>
      <c r="R1527">
        <f t="shared" si="166"/>
        <v>2327</v>
      </c>
      <c r="S1527" t="s">
        <v>3579</v>
      </c>
      <c r="T1527">
        <f t="shared" si="167"/>
        <v>9308</v>
      </c>
      <c r="U1527">
        <f>YEAR(Sales_Table[[#This Row],[Date_clean]])</f>
        <v>2024</v>
      </c>
      <c r="V1527" t="str">
        <f>TEXT(Sales_Table[[#This Row],[Date_clean]],"mmmm")</f>
        <v>March</v>
      </c>
      <c r="W1527">
        <f>WEEKNUM(Sales_Table[[#This Row],[Date_clean]],2)</f>
        <v>10</v>
      </c>
      <c r="X1527" t="str" cm="1">
        <f t="array" ref="X1527">_xlfn.IFS(Sales_Table[[#This Row],[Revenue]]&gt;=50000,"High",Sales_Table[[#This Row],[Revenue]]&gt;=20000,"Medium",Sales_Table[[#This Row],[Revenue]]&lt;20000,"Low")</f>
        <v>Low</v>
      </c>
      <c r="Y1527" t="str">
        <f>IF(Sales_Table[[#This Row],[Payment Method_clean]]="cash","Offline","Online")</f>
        <v>Online</v>
      </c>
      <c r="Z1527">
        <f>IFERROR(Sales_Table[[#This Row],[Revenue]],0)</f>
        <v>9308</v>
      </c>
    </row>
    <row r="1528" spans="1:26" x14ac:dyDescent="0.3">
      <c r="A1528">
        <v>1527</v>
      </c>
      <c r="B1528" s="2">
        <f t="shared" si="161"/>
        <v>45355.583333333336</v>
      </c>
      <c r="C1528" t="s">
        <v>3580</v>
      </c>
      <c r="D1528" t="s">
        <v>27</v>
      </c>
      <c r="E1528" t="str">
        <f>PROPER(TRIM(CLEAN(Sales_Table[[#This Row],[Region]])))</f>
        <v>East</v>
      </c>
      <c r="F1528" t="s">
        <v>46</v>
      </c>
      <c r="G1528" t="str">
        <f t="shared" si="162"/>
        <v>Electronics</v>
      </c>
      <c r="H1528" t="str">
        <f>PROPER(TRIM(CLEAN(Sales_Table[[#This Row],[Product Name]])))</f>
        <v>Led Tv 42Inch</v>
      </c>
      <c r="I1528" t="s">
        <v>58</v>
      </c>
      <c r="J1528" t="str">
        <f t="shared" si="163"/>
        <v>CUST0257</v>
      </c>
      <c r="K1528" t="s">
        <v>3581</v>
      </c>
      <c r="L1528" t="str">
        <f>PROPER(TRIM(CLEAN(Sales_Table[[#This Row],[Salesperson]])))</f>
        <v>Rahul</v>
      </c>
      <c r="M1528" t="s">
        <v>31</v>
      </c>
      <c r="N1528" t="str">
        <f t="shared" si="164"/>
        <v>Net Banking</v>
      </c>
      <c r="O1528" t="s">
        <v>60</v>
      </c>
      <c r="P1528">
        <f t="shared" si="165"/>
        <v>3</v>
      </c>
      <c r="Q1528" t="s">
        <v>66</v>
      </c>
      <c r="R1528">
        <f t="shared" si="166"/>
        <v>3896</v>
      </c>
      <c r="S1528" t="s">
        <v>3582</v>
      </c>
      <c r="T1528">
        <f t="shared" si="167"/>
        <v>11688</v>
      </c>
      <c r="U1528">
        <f>YEAR(Sales_Table[[#This Row],[Date_clean]])</f>
        <v>2024</v>
      </c>
      <c r="V1528" t="str">
        <f>TEXT(Sales_Table[[#This Row],[Date_clean]],"mmmm")</f>
        <v>March</v>
      </c>
      <c r="W1528">
        <f>WEEKNUM(Sales_Table[[#This Row],[Date_clean]],2)</f>
        <v>10</v>
      </c>
      <c r="X1528" t="str" cm="1">
        <f t="array" ref="X1528">_xlfn.IFS(Sales_Table[[#This Row],[Revenue]]&gt;=50000,"High",Sales_Table[[#This Row],[Revenue]]&gt;=20000,"Medium",Sales_Table[[#This Row],[Revenue]]&lt;20000,"Low")</f>
        <v>Low</v>
      </c>
      <c r="Y1528" t="str">
        <f>IF(Sales_Table[[#This Row],[Payment Method_clean]]="cash","Offline","Online")</f>
        <v>Online</v>
      </c>
      <c r="Z1528">
        <f>IFERROR(Sales_Table[[#This Row],[Revenue]],0)</f>
        <v>11688</v>
      </c>
    </row>
    <row r="1529" spans="1:26" x14ac:dyDescent="0.3">
      <c r="A1529">
        <v>1528</v>
      </c>
      <c r="B1529" s="2">
        <f t="shared" si="161"/>
        <v>45355.625</v>
      </c>
      <c r="C1529" t="s">
        <v>3583</v>
      </c>
      <c r="D1529" t="s">
        <v>45</v>
      </c>
      <c r="E1529" t="str">
        <f>PROPER(TRIM(CLEAN(Sales_Table[[#This Row],[Region]])))</f>
        <v>North</v>
      </c>
      <c r="F1529" t="s">
        <v>46</v>
      </c>
      <c r="G1529" t="str">
        <f t="shared" si="162"/>
        <v>Electronics</v>
      </c>
      <c r="H1529" t="str">
        <f>PROPER(TRIM(CLEAN(Sales_Table[[#This Row],[Product Name]])))</f>
        <v>Mixer Grinder</v>
      </c>
      <c r="I1529" t="s">
        <v>29</v>
      </c>
      <c r="J1529" t="str">
        <f t="shared" si="163"/>
        <v>CUST0383</v>
      </c>
      <c r="K1529" t="s">
        <v>590</v>
      </c>
      <c r="L1529" t="str">
        <f>PROPER(TRIM(CLEAN(Sales_Table[[#This Row],[Salesperson]])))</f>
        <v>Meena</v>
      </c>
      <c r="M1529" t="s">
        <v>40</v>
      </c>
      <c r="N1529" t="str">
        <f t="shared" si="164"/>
        <v>Cash</v>
      </c>
      <c r="O1529" t="s">
        <v>32</v>
      </c>
      <c r="P1529">
        <f t="shared" si="165"/>
        <v>8</v>
      </c>
      <c r="Q1529" t="s">
        <v>42</v>
      </c>
      <c r="R1529">
        <f t="shared" si="166"/>
        <v>392</v>
      </c>
      <c r="S1529" t="s">
        <v>3584</v>
      </c>
      <c r="T1529">
        <f t="shared" si="167"/>
        <v>3136</v>
      </c>
      <c r="U1529">
        <f>YEAR(Sales_Table[[#This Row],[Date_clean]])</f>
        <v>2024</v>
      </c>
      <c r="V1529" t="str">
        <f>TEXT(Sales_Table[[#This Row],[Date_clean]],"mmmm")</f>
        <v>March</v>
      </c>
      <c r="W1529">
        <f>WEEKNUM(Sales_Table[[#This Row],[Date_clean]],2)</f>
        <v>10</v>
      </c>
      <c r="X1529" t="str" cm="1">
        <f t="array" ref="X1529">_xlfn.IFS(Sales_Table[[#This Row],[Revenue]]&gt;=50000,"High",Sales_Table[[#This Row],[Revenue]]&gt;=20000,"Medium",Sales_Table[[#This Row],[Revenue]]&lt;20000,"Low")</f>
        <v>Low</v>
      </c>
      <c r="Y1529" t="str">
        <f>IF(Sales_Table[[#This Row],[Payment Method_clean]]="cash","Offline","Online")</f>
        <v>Offline</v>
      </c>
      <c r="Z1529">
        <f>IFERROR(Sales_Table[[#This Row],[Revenue]],0)</f>
        <v>3136</v>
      </c>
    </row>
    <row r="1530" spans="1:26" x14ac:dyDescent="0.3">
      <c r="A1530">
        <v>1529</v>
      </c>
      <c r="B1530" s="2">
        <f t="shared" si="161"/>
        <v>45355.666666666664</v>
      </c>
      <c r="C1530" t="s">
        <v>3585</v>
      </c>
      <c r="D1530" t="s">
        <v>84</v>
      </c>
      <c r="E1530" t="str">
        <f>PROPER(TRIM(CLEAN(Sales_Table[[#This Row],[Region]])))</f>
        <v>South</v>
      </c>
      <c r="F1530" t="s">
        <v>37</v>
      </c>
      <c r="G1530" t="str">
        <f t="shared" si="162"/>
        <v>Home Appliances</v>
      </c>
      <c r="H1530" t="str">
        <f>PROPER(TRIM(CLEAN(Sales_Table[[#This Row],[Product Name]])))</f>
        <v>Mixer Grinder</v>
      </c>
      <c r="I1530" t="s">
        <v>29</v>
      </c>
      <c r="J1530" t="str">
        <f t="shared" si="163"/>
        <v>CUST0442</v>
      </c>
      <c r="K1530" t="s">
        <v>177</v>
      </c>
      <c r="L1530" t="str">
        <f>PROPER(TRIM(CLEAN(Sales_Table[[#This Row],[Salesperson]])))</f>
        <v>Rahul</v>
      </c>
      <c r="M1530" t="s">
        <v>31</v>
      </c>
      <c r="N1530" t="str">
        <f t="shared" si="164"/>
        <v>Upi</v>
      </c>
      <c r="O1530" t="s">
        <v>48</v>
      </c>
      <c r="P1530">
        <f t="shared" si="165"/>
        <v>14</v>
      </c>
      <c r="Q1530" t="s">
        <v>55</v>
      </c>
      <c r="R1530">
        <f t="shared" si="166"/>
        <v>4779</v>
      </c>
      <c r="S1530" t="s">
        <v>3586</v>
      </c>
      <c r="T1530">
        <f t="shared" si="167"/>
        <v>66906</v>
      </c>
      <c r="U1530">
        <f>YEAR(Sales_Table[[#This Row],[Date_clean]])</f>
        <v>2024</v>
      </c>
      <c r="V1530" t="str">
        <f>TEXT(Sales_Table[[#This Row],[Date_clean]],"mmmm")</f>
        <v>March</v>
      </c>
      <c r="W1530">
        <f>WEEKNUM(Sales_Table[[#This Row],[Date_clean]],2)</f>
        <v>10</v>
      </c>
      <c r="X1530" t="str" cm="1">
        <f t="array" ref="X1530">_xlfn.IFS(Sales_Table[[#This Row],[Revenue]]&gt;=50000,"High",Sales_Table[[#This Row],[Revenue]]&gt;=20000,"Medium",Sales_Table[[#This Row],[Revenue]]&lt;20000,"Low")</f>
        <v>High</v>
      </c>
      <c r="Y1530" t="str">
        <f>IF(Sales_Table[[#This Row],[Payment Method_clean]]="cash","Offline","Online")</f>
        <v>Online</v>
      </c>
      <c r="Z1530">
        <f>IFERROR(Sales_Table[[#This Row],[Revenue]],0)</f>
        <v>66906</v>
      </c>
    </row>
    <row r="1531" spans="1:26" x14ac:dyDescent="0.3">
      <c r="A1531">
        <v>1530</v>
      </c>
      <c r="B1531" s="2">
        <f t="shared" si="161"/>
        <v>45355.708333333336</v>
      </c>
      <c r="C1531" t="s">
        <v>3587</v>
      </c>
      <c r="D1531" t="s">
        <v>36</v>
      </c>
      <c r="E1531" t="str">
        <f>PROPER(TRIM(CLEAN(Sales_Table[[#This Row],[Region]])))</f>
        <v>West</v>
      </c>
      <c r="F1531" t="s">
        <v>46</v>
      </c>
      <c r="G1531" t="str">
        <f t="shared" si="162"/>
        <v>Electronics</v>
      </c>
      <c r="H1531" t="str">
        <f>PROPER(TRIM(CLEAN(Sales_Table[[#This Row],[Product Name]])))</f>
        <v>Rice 5Kg</v>
      </c>
      <c r="I1531" t="s">
        <v>73</v>
      </c>
      <c r="J1531" t="str">
        <f t="shared" si="163"/>
        <v>CUST0599</v>
      </c>
      <c r="K1531" t="s">
        <v>2393</v>
      </c>
      <c r="L1531" t="str">
        <f>PROPER(TRIM(CLEAN(Sales_Table[[#This Row],[Salesperson]])))</f>
        <v>Suresh</v>
      </c>
      <c r="M1531" t="s">
        <v>54</v>
      </c>
      <c r="N1531" t="str">
        <f t="shared" si="164"/>
        <v>Credit Card</v>
      </c>
      <c r="O1531" t="s">
        <v>65</v>
      </c>
      <c r="P1531">
        <f t="shared" si="165"/>
        <v>10</v>
      </c>
      <c r="Q1531" t="s">
        <v>117</v>
      </c>
      <c r="R1531">
        <f t="shared" si="166"/>
        <v>2322</v>
      </c>
      <c r="S1531" t="s">
        <v>3588</v>
      </c>
      <c r="T1531">
        <f t="shared" si="167"/>
        <v>23220</v>
      </c>
      <c r="U1531">
        <f>YEAR(Sales_Table[[#This Row],[Date_clean]])</f>
        <v>2024</v>
      </c>
      <c r="V1531" t="str">
        <f>TEXT(Sales_Table[[#This Row],[Date_clean]],"mmmm")</f>
        <v>March</v>
      </c>
      <c r="W1531">
        <f>WEEKNUM(Sales_Table[[#This Row],[Date_clean]],2)</f>
        <v>10</v>
      </c>
      <c r="X1531" t="str" cm="1">
        <f t="array" ref="X1531">_xlfn.IFS(Sales_Table[[#This Row],[Revenue]]&gt;=50000,"High",Sales_Table[[#This Row],[Revenue]]&gt;=20000,"Medium",Sales_Table[[#This Row],[Revenue]]&lt;20000,"Low")</f>
        <v>Medium</v>
      </c>
      <c r="Y1531" t="str">
        <f>IF(Sales_Table[[#This Row],[Payment Method_clean]]="cash","Offline","Online")</f>
        <v>Online</v>
      </c>
      <c r="Z1531">
        <f>IFERROR(Sales_Table[[#This Row],[Revenue]],0)</f>
        <v>23220</v>
      </c>
    </row>
    <row r="1532" spans="1:26" x14ac:dyDescent="0.3">
      <c r="A1532">
        <v>1531</v>
      </c>
      <c r="B1532" s="2">
        <f t="shared" si="161"/>
        <v>45355.75</v>
      </c>
      <c r="C1532" t="s">
        <v>3589</v>
      </c>
      <c r="D1532" t="s">
        <v>84</v>
      </c>
      <c r="E1532" t="str">
        <f>PROPER(TRIM(CLEAN(Sales_Table[[#This Row],[Region]])))</f>
        <v>South</v>
      </c>
      <c r="F1532" t="s">
        <v>37</v>
      </c>
      <c r="G1532" t="str">
        <f t="shared" si="162"/>
        <v>Home Appliances</v>
      </c>
      <c r="H1532" t="str">
        <f>PROPER(TRIM(CLEAN(Sales_Table[[#This Row],[Product Name]])))</f>
        <v>Rice 5Kg</v>
      </c>
      <c r="I1532" t="s">
        <v>73</v>
      </c>
      <c r="J1532" t="str">
        <f t="shared" si="163"/>
        <v>CUST0090</v>
      </c>
      <c r="K1532" t="s">
        <v>784</v>
      </c>
      <c r="L1532" t="str">
        <f>PROPER(TRIM(CLEAN(Sales_Table[[#This Row],[Salesperson]])))</f>
        <v>Anita</v>
      </c>
      <c r="M1532" t="s">
        <v>64</v>
      </c>
      <c r="N1532" t="str">
        <f t="shared" si="164"/>
        <v>Net Banking</v>
      </c>
      <c r="O1532" t="s">
        <v>60</v>
      </c>
      <c r="P1532">
        <f t="shared" si="165"/>
        <v>3</v>
      </c>
      <c r="Q1532" t="s">
        <v>66</v>
      </c>
      <c r="R1532">
        <f t="shared" si="166"/>
        <v>4073</v>
      </c>
      <c r="S1532" t="s">
        <v>2381</v>
      </c>
      <c r="T1532">
        <f t="shared" si="167"/>
        <v>12219</v>
      </c>
      <c r="U1532">
        <f>YEAR(Sales_Table[[#This Row],[Date_clean]])</f>
        <v>2024</v>
      </c>
      <c r="V1532" t="str">
        <f>TEXT(Sales_Table[[#This Row],[Date_clean]],"mmmm")</f>
        <v>March</v>
      </c>
      <c r="W1532">
        <f>WEEKNUM(Sales_Table[[#This Row],[Date_clean]],2)</f>
        <v>10</v>
      </c>
      <c r="X1532" t="str" cm="1">
        <f t="array" ref="X1532">_xlfn.IFS(Sales_Table[[#This Row],[Revenue]]&gt;=50000,"High",Sales_Table[[#This Row],[Revenue]]&gt;=20000,"Medium",Sales_Table[[#This Row],[Revenue]]&lt;20000,"Low")</f>
        <v>Low</v>
      </c>
      <c r="Y1532" t="str">
        <f>IF(Sales_Table[[#This Row],[Payment Method_clean]]="cash","Offline","Online")</f>
        <v>Online</v>
      </c>
      <c r="Z1532">
        <f>IFERROR(Sales_Table[[#This Row],[Revenue]],0)</f>
        <v>12219</v>
      </c>
    </row>
    <row r="1533" spans="1:26" x14ac:dyDescent="0.3">
      <c r="A1533">
        <v>1532</v>
      </c>
      <c r="B1533" s="2">
        <f t="shared" si="161"/>
        <v>45355.791666666664</v>
      </c>
      <c r="C1533" t="s">
        <v>3590</v>
      </c>
      <c r="D1533" t="s">
        <v>84</v>
      </c>
      <c r="E1533" t="str">
        <f>PROPER(TRIM(CLEAN(Sales_Table[[#This Row],[Region]])))</f>
        <v>South</v>
      </c>
      <c r="F1533" t="s">
        <v>37</v>
      </c>
      <c r="G1533" t="str">
        <f t="shared" si="162"/>
        <v>Home Appliances</v>
      </c>
      <c r="H1533" t="str">
        <f>PROPER(TRIM(CLEAN(Sales_Table[[#This Row],[Product Name]])))</f>
        <v>Mixer Grinder</v>
      </c>
      <c r="I1533" t="s">
        <v>29</v>
      </c>
      <c r="J1533" t="str">
        <f t="shared" si="163"/>
        <v>CUST0749</v>
      </c>
      <c r="K1533" t="s">
        <v>1741</v>
      </c>
      <c r="L1533" t="str">
        <f>PROPER(TRIM(CLEAN(Sales_Table[[#This Row],[Salesperson]])))</f>
        <v>Rahul</v>
      </c>
      <c r="M1533" t="s">
        <v>31</v>
      </c>
      <c r="N1533" t="str">
        <f t="shared" si="164"/>
        <v>Upi</v>
      </c>
      <c r="O1533" t="s">
        <v>48</v>
      </c>
      <c r="P1533">
        <f t="shared" si="165"/>
        <v>6</v>
      </c>
      <c r="Q1533" t="s">
        <v>75</v>
      </c>
      <c r="R1533">
        <f t="shared" si="166"/>
        <v>2591</v>
      </c>
      <c r="S1533" t="s">
        <v>3591</v>
      </c>
      <c r="T1533">
        <f t="shared" si="167"/>
        <v>15546</v>
      </c>
      <c r="U1533">
        <f>YEAR(Sales_Table[[#This Row],[Date_clean]])</f>
        <v>2024</v>
      </c>
      <c r="V1533" t="str">
        <f>TEXT(Sales_Table[[#This Row],[Date_clean]],"mmmm")</f>
        <v>March</v>
      </c>
      <c r="W1533">
        <f>WEEKNUM(Sales_Table[[#This Row],[Date_clean]],2)</f>
        <v>10</v>
      </c>
      <c r="X1533" t="str" cm="1">
        <f t="array" ref="X1533">_xlfn.IFS(Sales_Table[[#This Row],[Revenue]]&gt;=50000,"High",Sales_Table[[#This Row],[Revenue]]&gt;=20000,"Medium",Sales_Table[[#This Row],[Revenue]]&lt;20000,"Low")</f>
        <v>Low</v>
      </c>
      <c r="Y1533" t="str">
        <f>IF(Sales_Table[[#This Row],[Payment Method_clean]]="cash","Offline","Online")</f>
        <v>Online</v>
      </c>
      <c r="Z1533">
        <f>IFERROR(Sales_Table[[#This Row],[Revenue]],0)</f>
        <v>15546</v>
      </c>
    </row>
    <row r="1534" spans="1:26" x14ac:dyDescent="0.3">
      <c r="A1534">
        <v>1533</v>
      </c>
      <c r="B1534" s="2">
        <f t="shared" si="161"/>
        <v>45355.833333333336</v>
      </c>
      <c r="C1534" t="s">
        <v>3592</v>
      </c>
      <c r="D1534" t="s">
        <v>84</v>
      </c>
      <c r="E1534" t="str">
        <f>PROPER(TRIM(CLEAN(Sales_Table[[#This Row],[Region]])))</f>
        <v>South</v>
      </c>
      <c r="F1534" t="s">
        <v>37</v>
      </c>
      <c r="G1534" t="str">
        <f t="shared" si="162"/>
        <v>Home Appliances</v>
      </c>
      <c r="H1534" t="str">
        <f>PROPER(TRIM(CLEAN(Sales_Table[[#This Row],[Product Name]])))</f>
        <v>Laptop</v>
      </c>
      <c r="I1534" t="s">
        <v>52</v>
      </c>
      <c r="J1534" t="str">
        <f t="shared" si="163"/>
        <v>CUST0390</v>
      </c>
      <c r="K1534" t="s">
        <v>1211</v>
      </c>
      <c r="L1534" t="str">
        <f>PROPER(TRIM(CLEAN(Sales_Table[[#This Row],[Salesperson]])))</f>
        <v>Karthik</v>
      </c>
      <c r="M1534" t="s">
        <v>70</v>
      </c>
      <c r="N1534" t="str">
        <f t="shared" si="164"/>
        <v>Credit Card</v>
      </c>
      <c r="O1534" t="s">
        <v>65</v>
      </c>
      <c r="P1534">
        <f t="shared" si="165"/>
        <v>13</v>
      </c>
      <c r="Q1534" t="s">
        <v>81</v>
      </c>
      <c r="R1534">
        <f t="shared" si="166"/>
        <v>2575</v>
      </c>
      <c r="S1534" t="s">
        <v>3593</v>
      </c>
      <c r="T1534">
        <f t="shared" si="167"/>
        <v>33475</v>
      </c>
      <c r="U1534">
        <f>YEAR(Sales_Table[[#This Row],[Date_clean]])</f>
        <v>2024</v>
      </c>
      <c r="V1534" t="str">
        <f>TEXT(Sales_Table[[#This Row],[Date_clean]],"mmmm")</f>
        <v>March</v>
      </c>
      <c r="W1534">
        <f>WEEKNUM(Sales_Table[[#This Row],[Date_clean]],2)</f>
        <v>10</v>
      </c>
      <c r="X1534" t="str" cm="1">
        <f t="array" ref="X1534">_xlfn.IFS(Sales_Table[[#This Row],[Revenue]]&gt;=50000,"High",Sales_Table[[#This Row],[Revenue]]&gt;=20000,"Medium",Sales_Table[[#This Row],[Revenue]]&lt;20000,"Low")</f>
        <v>Medium</v>
      </c>
      <c r="Y1534" t="str">
        <f>IF(Sales_Table[[#This Row],[Payment Method_clean]]="cash","Offline","Online")</f>
        <v>Online</v>
      </c>
      <c r="Z1534">
        <f>IFERROR(Sales_Table[[#This Row],[Revenue]],0)</f>
        <v>33475</v>
      </c>
    </row>
    <row r="1535" spans="1:26" x14ac:dyDescent="0.3">
      <c r="A1535">
        <v>1534</v>
      </c>
      <c r="B1535" s="2">
        <f t="shared" si="161"/>
        <v>45355.875</v>
      </c>
      <c r="C1535" t="s">
        <v>3594</v>
      </c>
      <c r="D1535" t="s">
        <v>45</v>
      </c>
      <c r="E1535" t="str">
        <f>PROPER(TRIM(CLEAN(Sales_Table[[#This Row],[Region]])))</f>
        <v>North</v>
      </c>
      <c r="F1535" t="s">
        <v>46</v>
      </c>
      <c r="G1535" t="str">
        <f t="shared" si="162"/>
        <v>Electronics</v>
      </c>
      <c r="H1535" t="str">
        <f>PROPER(TRIM(CLEAN(Sales_Table[[#This Row],[Product Name]])))</f>
        <v>Washing Machine</v>
      </c>
      <c r="I1535" t="s">
        <v>79</v>
      </c>
      <c r="J1535" t="str">
        <f t="shared" si="163"/>
        <v>CUST0582</v>
      </c>
      <c r="K1535" t="s">
        <v>2682</v>
      </c>
      <c r="L1535" t="str">
        <f>PROPER(TRIM(CLEAN(Sales_Table[[#This Row],[Salesperson]])))</f>
        <v>Suresh</v>
      </c>
      <c r="M1535" t="s">
        <v>54</v>
      </c>
      <c r="N1535" t="str">
        <f t="shared" si="164"/>
        <v>Upi</v>
      </c>
      <c r="O1535" t="s">
        <v>48</v>
      </c>
      <c r="P1535">
        <f t="shared" si="165"/>
        <v>7</v>
      </c>
      <c r="Q1535" t="s">
        <v>49</v>
      </c>
      <c r="R1535">
        <f t="shared" si="166"/>
        <v>4960</v>
      </c>
      <c r="S1535" t="s">
        <v>3595</v>
      </c>
      <c r="T1535">
        <f t="shared" si="167"/>
        <v>34720</v>
      </c>
      <c r="U1535">
        <f>YEAR(Sales_Table[[#This Row],[Date_clean]])</f>
        <v>2024</v>
      </c>
      <c r="V1535" t="str">
        <f>TEXT(Sales_Table[[#This Row],[Date_clean]],"mmmm")</f>
        <v>March</v>
      </c>
      <c r="W1535">
        <f>WEEKNUM(Sales_Table[[#This Row],[Date_clean]],2)</f>
        <v>10</v>
      </c>
      <c r="X1535" t="str" cm="1">
        <f t="array" ref="X1535">_xlfn.IFS(Sales_Table[[#This Row],[Revenue]]&gt;=50000,"High",Sales_Table[[#This Row],[Revenue]]&gt;=20000,"Medium",Sales_Table[[#This Row],[Revenue]]&lt;20000,"Low")</f>
        <v>Medium</v>
      </c>
      <c r="Y1535" t="str">
        <f>IF(Sales_Table[[#This Row],[Payment Method_clean]]="cash","Offline","Online")</f>
        <v>Online</v>
      </c>
      <c r="Z1535">
        <f>IFERROR(Sales_Table[[#This Row],[Revenue]],0)</f>
        <v>34720</v>
      </c>
    </row>
    <row r="1536" spans="1:26" x14ac:dyDescent="0.3">
      <c r="A1536">
        <v>1535</v>
      </c>
      <c r="B1536" s="2">
        <f t="shared" si="161"/>
        <v>45355.916666666664</v>
      </c>
      <c r="C1536" t="s">
        <v>3596</v>
      </c>
      <c r="D1536" t="s">
        <v>27</v>
      </c>
      <c r="E1536" t="str">
        <f>PROPER(TRIM(CLEAN(Sales_Table[[#This Row],[Region]])))</f>
        <v>East</v>
      </c>
      <c r="F1536" t="s">
        <v>37</v>
      </c>
      <c r="G1536" t="str">
        <f t="shared" si="162"/>
        <v>Home Appliances</v>
      </c>
      <c r="H1536" t="str">
        <f>PROPER(TRIM(CLEAN(Sales_Table[[#This Row],[Product Name]])))</f>
        <v>Men T-Shirt</v>
      </c>
      <c r="I1536" t="s">
        <v>38</v>
      </c>
      <c r="J1536" t="str">
        <f t="shared" si="163"/>
        <v>CUST0044</v>
      </c>
      <c r="K1536" t="s">
        <v>156</v>
      </c>
      <c r="L1536" t="str">
        <f>PROPER(TRIM(CLEAN(Sales_Table[[#This Row],[Salesperson]])))</f>
        <v>Karthik</v>
      </c>
      <c r="M1536" t="s">
        <v>70</v>
      </c>
      <c r="N1536" t="str">
        <f t="shared" si="164"/>
        <v>Net Banking</v>
      </c>
      <c r="O1536" t="s">
        <v>60</v>
      </c>
      <c r="P1536">
        <f t="shared" si="165"/>
        <v>7</v>
      </c>
      <c r="Q1536" t="s">
        <v>49</v>
      </c>
      <c r="R1536">
        <f t="shared" si="166"/>
        <v>3829</v>
      </c>
      <c r="S1536" t="s">
        <v>3597</v>
      </c>
      <c r="T1536">
        <f t="shared" si="167"/>
        <v>26803</v>
      </c>
      <c r="U1536">
        <f>YEAR(Sales_Table[[#This Row],[Date_clean]])</f>
        <v>2024</v>
      </c>
      <c r="V1536" t="str">
        <f>TEXT(Sales_Table[[#This Row],[Date_clean]],"mmmm")</f>
        <v>March</v>
      </c>
      <c r="W1536">
        <f>WEEKNUM(Sales_Table[[#This Row],[Date_clean]],2)</f>
        <v>10</v>
      </c>
      <c r="X1536" t="str" cm="1">
        <f t="array" ref="X1536">_xlfn.IFS(Sales_Table[[#This Row],[Revenue]]&gt;=50000,"High",Sales_Table[[#This Row],[Revenue]]&gt;=20000,"Medium",Sales_Table[[#This Row],[Revenue]]&lt;20000,"Low")</f>
        <v>Medium</v>
      </c>
      <c r="Y1536" t="str">
        <f>IF(Sales_Table[[#This Row],[Payment Method_clean]]="cash","Offline","Online")</f>
        <v>Online</v>
      </c>
      <c r="Z1536">
        <f>IFERROR(Sales_Table[[#This Row],[Revenue]],0)</f>
        <v>26803</v>
      </c>
    </row>
    <row r="1537" spans="1:26" x14ac:dyDescent="0.3">
      <c r="A1537">
        <v>1536</v>
      </c>
      <c r="B1537" s="2">
        <f t="shared" si="161"/>
        <v>45355.958333333336</v>
      </c>
      <c r="C1537" t="s">
        <v>3598</v>
      </c>
      <c r="D1537" t="s">
        <v>84</v>
      </c>
      <c r="E1537" t="str">
        <f>PROPER(TRIM(CLEAN(Sales_Table[[#This Row],[Region]])))</f>
        <v>South</v>
      </c>
      <c r="F1537" t="s">
        <v>28</v>
      </c>
      <c r="G1537" t="str">
        <f t="shared" si="162"/>
        <v>Clothing</v>
      </c>
      <c r="H1537" t="str">
        <f>PROPER(TRIM(CLEAN(Sales_Table[[#This Row],[Product Name]])))</f>
        <v>Washing Machine</v>
      </c>
      <c r="I1537" t="s">
        <v>79</v>
      </c>
      <c r="J1537" t="str">
        <f t="shared" si="163"/>
        <v>CUST0712</v>
      </c>
      <c r="K1537" t="s">
        <v>1280</v>
      </c>
      <c r="L1537" t="str">
        <f>PROPER(TRIM(CLEAN(Sales_Table[[#This Row],[Salesperson]])))</f>
        <v>Suresh</v>
      </c>
      <c r="M1537" t="s">
        <v>54</v>
      </c>
      <c r="N1537" t="str">
        <f t="shared" si="164"/>
        <v>Upi</v>
      </c>
      <c r="O1537" t="s">
        <v>48</v>
      </c>
      <c r="P1537">
        <f t="shared" si="165"/>
        <v>2</v>
      </c>
      <c r="Q1537" t="s">
        <v>196</v>
      </c>
      <c r="R1537">
        <f t="shared" si="166"/>
        <v>527</v>
      </c>
      <c r="S1537" t="s">
        <v>969</v>
      </c>
      <c r="T1537">
        <f t="shared" si="167"/>
        <v>1054</v>
      </c>
      <c r="U1537">
        <f>YEAR(Sales_Table[[#This Row],[Date_clean]])</f>
        <v>2024</v>
      </c>
      <c r="V1537" t="str">
        <f>TEXT(Sales_Table[[#This Row],[Date_clean]],"mmmm")</f>
        <v>March</v>
      </c>
      <c r="W1537">
        <f>WEEKNUM(Sales_Table[[#This Row],[Date_clean]],2)</f>
        <v>10</v>
      </c>
      <c r="X1537" t="str" cm="1">
        <f t="array" ref="X1537">_xlfn.IFS(Sales_Table[[#This Row],[Revenue]]&gt;=50000,"High",Sales_Table[[#This Row],[Revenue]]&gt;=20000,"Medium",Sales_Table[[#This Row],[Revenue]]&lt;20000,"Low")</f>
        <v>Low</v>
      </c>
      <c r="Y1537" t="str">
        <f>IF(Sales_Table[[#This Row],[Payment Method_clean]]="cash","Offline","Online")</f>
        <v>Online</v>
      </c>
      <c r="Z1537">
        <f>IFERROR(Sales_Table[[#This Row],[Revenue]],0)</f>
        <v>1054</v>
      </c>
    </row>
    <row r="1538" spans="1:26" x14ac:dyDescent="0.3">
      <c r="A1538">
        <v>1537</v>
      </c>
      <c r="B1538" s="2">
        <f t="shared" si="161"/>
        <v>45356</v>
      </c>
      <c r="C1538" t="s">
        <v>3599</v>
      </c>
      <c r="D1538" t="s">
        <v>45</v>
      </c>
      <c r="E1538" t="str">
        <f>PROPER(TRIM(CLEAN(Sales_Table[[#This Row],[Region]])))</f>
        <v>North</v>
      </c>
      <c r="F1538" t="s">
        <v>78</v>
      </c>
      <c r="G1538" t="str">
        <f t="shared" si="162"/>
        <v>Grocery</v>
      </c>
      <c r="H1538" t="str">
        <f>PROPER(TRIM(CLEAN(Sales_Table[[#This Row],[Product Name]])))</f>
        <v>Men T-Shirt</v>
      </c>
      <c r="I1538" t="s">
        <v>38</v>
      </c>
      <c r="J1538" t="str">
        <f t="shared" si="163"/>
        <v>CUST0664</v>
      </c>
      <c r="K1538" t="s">
        <v>3600</v>
      </c>
      <c r="L1538" t="str">
        <f>PROPER(TRIM(CLEAN(Sales_Table[[#This Row],[Salesperson]])))</f>
        <v>Rahul</v>
      </c>
      <c r="M1538" t="s">
        <v>31</v>
      </c>
      <c r="N1538" t="str">
        <f t="shared" si="164"/>
        <v>Debit Card</v>
      </c>
      <c r="O1538" t="s">
        <v>41</v>
      </c>
      <c r="P1538">
        <f t="shared" si="165"/>
        <v>14</v>
      </c>
      <c r="Q1538" t="s">
        <v>55</v>
      </c>
      <c r="R1538">
        <f t="shared" si="166"/>
        <v>3072</v>
      </c>
      <c r="S1538" t="s">
        <v>3601</v>
      </c>
      <c r="T1538">
        <f t="shared" si="167"/>
        <v>43008</v>
      </c>
      <c r="U1538">
        <f>YEAR(Sales_Table[[#This Row],[Date_clean]])</f>
        <v>2024</v>
      </c>
      <c r="V1538" t="str">
        <f>TEXT(Sales_Table[[#This Row],[Date_clean]],"mmmm")</f>
        <v>March</v>
      </c>
      <c r="W1538">
        <f>WEEKNUM(Sales_Table[[#This Row],[Date_clean]],2)</f>
        <v>10</v>
      </c>
      <c r="X1538" t="str" cm="1">
        <f t="array" ref="X1538">_xlfn.IFS(Sales_Table[[#This Row],[Revenue]]&gt;=50000,"High",Sales_Table[[#This Row],[Revenue]]&gt;=20000,"Medium",Sales_Table[[#This Row],[Revenue]]&lt;20000,"Low")</f>
        <v>Medium</v>
      </c>
      <c r="Y1538" t="str">
        <f>IF(Sales_Table[[#This Row],[Payment Method_clean]]="cash","Offline","Online")</f>
        <v>Online</v>
      </c>
      <c r="Z1538">
        <f>IFERROR(Sales_Table[[#This Row],[Revenue]],0)</f>
        <v>43008</v>
      </c>
    </row>
    <row r="1539" spans="1:26" x14ac:dyDescent="0.3">
      <c r="A1539">
        <v>1538</v>
      </c>
      <c r="B1539" s="2">
        <f t="shared" ref="B1539:B1602" si="168">DATEVALUE(LEFT(C1539,10))+TIMEVALUE(MID(C1539,12,8))</f>
        <v>45356.041666666664</v>
      </c>
      <c r="C1539" t="s">
        <v>3602</v>
      </c>
      <c r="D1539" t="s">
        <v>84</v>
      </c>
      <c r="E1539" t="str">
        <f>PROPER(TRIM(CLEAN(Sales_Table[[#This Row],[Region]])))</f>
        <v>South</v>
      </c>
      <c r="F1539" t="s">
        <v>78</v>
      </c>
      <c r="G1539" t="str">
        <f t="shared" ref="G1539:G1602" si="169">PROPER(TRIM(CLEAN(F1539)))</f>
        <v>Grocery</v>
      </c>
      <c r="H1539" t="str">
        <f>PROPER(TRIM(CLEAN(Sales_Table[[#This Row],[Product Name]])))</f>
        <v>Mixer Grinder</v>
      </c>
      <c r="I1539" t="s">
        <v>29</v>
      </c>
      <c r="J1539" t="str">
        <f t="shared" ref="J1539:J1602" si="170">TRIM(K1539)</f>
        <v>CUST0598</v>
      </c>
      <c r="K1539" t="s">
        <v>530</v>
      </c>
      <c r="L1539" t="str">
        <f>PROPER(TRIM(CLEAN(Sales_Table[[#This Row],[Salesperson]])))</f>
        <v>Anita</v>
      </c>
      <c r="M1539" t="s">
        <v>64</v>
      </c>
      <c r="N1539" t="str">
        <f t="shared" ref="N1539:N1602" si="171">PROPER(TRIM(O1539))</f>
        <v>Net Banking</v>
      </c>
      <c r="O1539" t="s">
        <v>60</v>
      </c>
      <c r="P1539">
        <f t="shared" ref="P1539:P1602" si="172">VALUE(Q1539)</f>
        <v>3</v>
      </c>
      <c r="Q1539" t="s">
        <v>66</v>
      </c>
      <c r="R1539">
        <f t="shared" ref="R1539:R1602" si="173">VALUE(S1539)</f>
        <v>206</v>
      </c>
      <c r="S1539" t="s">
        <v>2752</v>
      </c>
      <c r="T1539">
        <f t="shared" ref="T1539:T1602" si="174">P1539*R1539</f>
        <v>618</v>
      </c>
      <c r="U1539">
        <f>YEAR(Sales_Table[[#This Row],[Date_clean]])</f>
        <v>2024</v>
      </c>
      <c r="V1539" t="str">
        <f>TEXT(Sales_Table[[#This Row],[Date_clean]],"mmmm")</f>
        <v>March</v>
      </c>
      <c r="W1539">
        <f>WEEKNUM(Sales_Table[[#This Row],[Date_clean]],2)</f>
        <v>10</v>
      </c>
      <c r="X1539" t="str" cm="1">
        <f t="array" ref="X1539">_xlfn.IFS(Sales_Table[[#This Row],[Revenue]]&gt;=50000,"High",Sales_Table[[#This Row],[Revenue]]&gt;=20000,"Medium",Sales_Table[[#This Row],[Revenue]]&lt;20000,"Low")</f>
        <v>Low</v>
      </c>
      <c r="Y1539" t="str">
        <f>IF(Sales_Table[[#This Row],[Payment Method_clean]]="cash","Offline","Online")</f>
        <v>Online</v>
      </c>
      <c r="Z1539">
        <f>IFERROR(Sales_Table[[#This Row],[Revenue]],0)</f>
        <v>618</v>
      </c>
    </row>
    <row r="1540" spans="1:26" x14ac:dyDescent="0.3">
      <c r="A1540">
        <v>1539</v>
      </c>
      <c r="B1540" s="2">
        <f t="shared" si="168"/>
        <v>45356.083333333336</v>
      </c>
      <c r="C1540" t="s">
        <v>3603</v>
      </c>
      <c r="D1540" t="s">
        <v>84</v>
      </c>
      <c r="E1540" t="str">
        <f>PROPER(TRIM(CLEAN(Sales_Table[[#This Row],[Region]])))</f>
        <v>South</v>
      </c>
      <c r="F1540" t="s">
        <v>37</v>
      </c>
      <c r="G1540" t="str">
        <f t="shared" si="169"/>
        <v>Home Appliances</v>
      </c>
      <c r="H1540" t="str">
        <f>PROPER(TRIM(CLEAN(Sales_Table[[#This Row],[Product Name]])))</f>
        <v>Rice 5Kg</v>
      </c>
      <c r="I1540" t="s">
        <v>73</v>
      </c>
      <c r="J1540" t="str">
        <f t="shared" si="170"/>
        <v>CUST0019</v>
      </c>
      <c r="K1540" t="s">
        <v>593</v>
      </c>
      <c r="L1540" t="str">
        <f>PROPER(TRIM(CLEAN(Sales_Table[[#This Row],[Salesperson]])))</f>
        <v>Karthik</v>
      </c>
      <c r="M1540" t="s">
        <v>70</v>
      </c>
      <c r="N1540" t="str">
        <f t="shared" si="171"/>
        <v>Upi</v>
      </c>
      <c r="O1540" t="s">
        <v>48</v>
      </c>
      <c r="P1540">
        <f t="shared" si="172"/>
        <v>12</v>
      </c>
      <c r="Q1540" t="s">
        <v>33</v>
      </c>
      <c r="R1540">
        <f t="shared" si="173"/>
        <v>3719</v>
      </c>
      <c r="S1540" t="s">
        <v>3604</v>
      </c>
      <c r="T1540">
        <f t="shared" si="174"/>
        <v>44628</v>
      </c>
      <c r="U1540">
        <f>YEAR(Sales_Table[[#This Row],[Date_clean]])</f>
        <v>2024</v>
      </c>
      <c r="V1540" t="str">
        <f>TEXT(Sales_Table[[#This Row],[Date_clean]],"mmmm")</f>
        <v>March</v>
      </c>
      <c r="W1540">
        <f>WEEKNUM(Sales_Table[[#This Row],[Date_clean]],2)</f>
        <v>10</v>
      </c>
      <c r="X1540" t="str" cm="1">
        <f t="array" ref="X1540">_xlfn.IFS(Sales_Table[[#This Row],[Revenue]]&gt;=50000,"High",Sales_Table[[#This Row],[Revenue]]&gt;=20000,"Medium",Sales_Table[[#This Row],[Revenue]]&lt;20000,"Low")</f>
        <v>Medium</v>
      </c>
      <c r="Y1540" t="str">
        <f>IF(Sales_Table[[#This Row],[Payment Method_clean]]="cash","Offline","Online")</f>
        <v>Online</v>
      </c>
      <c r="Z1540">
        <f>IFERROR(Sales_Table[[#This Row],[Revenue]],0)</f>
        <v>44628</v>
      </c>
    </row>
    <row r="1541" spans="1:26" x14ac:dyDescent="0.3">
      <c r="A1541">
        <v>1540</v>
      </c>
      <c r="B1541" s="2">
        <f t="shared" si="168"/>
        <v>45356.125</v>
      </c>
      <c r="C1541" t="s">
        <v>3605</v>
      </c>
      <c r="D1541" t="s">
        <v>45</v>
      </c>
      <c r="E1541" t="str">
        <f>PROPER(TRIM(CLEAN(Sales_Table[[#This Row],[Region]])))</f>
        <v>North</v>
      </c>
      <c r="F1541" t="s">
        <v>78</v>
      </c>
      <c r="G1541" t="str">
        <f t="shared" si="169"/>
        <v>Grocery</v>
      </c>
      <c r="H1541" t="str">
        <f>PROPER(TRIM(CLEAN(Sales_Table[[#This Row],[Product Name]])))</f>
        <v>Laptop</v>
      </c>
      <c r="I1541" t="s">
        <v>52</v>
      </c>
      <c r="J1541" t="str">
        <f t="shared" si="170"/>
        <v>CUST0101</v>
      </c>
      <c r="K1541" t="s">
        <v>1007</v>
      </c>
      <c r="L1541" t="str">
        <f>PROPER(TRIM(CLEAN(Sales_Table[[#This Row],[Salesperson]])))</f>
        <v>Suresh</v>
      </c>
      <c r="M1541" t="s">
        <v>54</v>
      </c>
      <c r="N1541" t="str">
        <f t="shared" si="171"/>
        <v>Cash</v>
      </c>
      <c r="O1541" t="s">
        <v>32</v>
      </c>
      <c r="P1541">
        <f t="shared" si="172"/>
        <v>10</v>
      </c>
      <c r="Q1541" t="s">
        <v>117</v>
      </c>
      <c r="R1541">
        <f t="shared" si="173"/>
        <v>4854</v>
      </c>
      <c r="S1541" t="s">
        <v>3606</v>
      </c>
      <c r="T1541">
        <f t="shared" si="174"/>
        <v>48540</v>
      </c>
      <c r="U1541">
        <f>YEAR(Sales_Table[[#This Row],[Date_clean]])</f>
        <v>2024</v>
      </c>
      <c r="V1541" t="str">
        <f>TEXT(Sales_Table[[#This Row],[Date_clean]],"mmmm")</f>
        <v>March</v>
      </c>
      <c r="W1541">
        <f>WEEKNUM(Sales_Table[[#This Row],[Date_clean]],2)</f>
        <v>10</v>
      </c>
      <c r="X1541" t="str" cm="1">
        <f t="array" ref="X1541">_xlfn.IFS(Sales_Table[[#This Row],[Revenue]]&gt;=50000,"High",Sales_Table[[#This Row],[Revenue]]&gt;=20000,"Medium",Sales_Table[[#This Row],[Revenue]]&lt;20000,"Low")</f>
        <v>Medium</v>
      </c>
      <c r="Y1541" t="str">
        <f>IF(Sales_Table[[#This Row],[Payment Method_clean]]="cash","Offline","Online")</f>
        <v>Offline</v>
      </c>
      <c r="Z1541">
        <f>IFERROR(Sales_Table[[#This Row],[Revenue]],0)</f>
        <v>48540</v>
      </c>
    </row>
    <row r="1542" spans="1:26" x14ac:dyDescent="0.3">
      <c r="A1542">
        <v>1541</v>
      </c>
      <c r="B1542" s="2">
        <f t="shared" si="168"/>
        <v>45356.166666666664</v>
      </c>
      <c r="C1542" t="s">
        <v>3607</v>
      </c>
      <c r="D1542" t="s">
        <v>27</v>
      </c>
      <c r="E1542" t="str">
        <f>PROPER(TRIM(CLEAN(Sales_Table[[#This Row],[Region]])))</f>
        <v>East</v>
      </c>
      <c r="F1542" t="s">
        <v>46</v>
      </c>
      <c r="G1542" t="str">
        <f t="shared" si="169"/>
        <v>Electronics</v>
      </c>
      <c r="H1542" t="str">
        <f>PROPER(TRIM(CLEAN(Sales_Table[[#This Row],[Product Name]])))</f>
        <v>Rice 5Kg</v>
      </c>
      <c r="I1542" t="s">
        <v>73</v>
      </c>
      <c r="J1542" t="str">
        <f t="shared" si="170"/>
        <v>CUST0607</v>
      </c>
      <c r="K1542" t="s">
        <v>886</v>
      </c>
      <c r="L1542" t="str">
        <f>PROPER(TRIM(CLEAN(Sales_Table[[#This Row],[Salesperson]])))</f>
        <v>Meena</v>
      </c>
      <c r="M1542" t="s">
        <v>40</v>
      </c>
      <c r="N1542" t="str">
        <f t="shared" si="171"/>
        <v>Upi</v>
      </c>
      <c r="O1542" t="s">
        <v>48</v>
      </c>
      <c r="P1542">
        <f t="shared" si="172"/>
        <v>10</v>
      </c>
      <c r="Q1542" t="s">
        <v>117</v>
      </c>
      <c r="R1542">
        <f t="shared" si="173"/>
        <v>3433</v>
      </c>
      <c r="S1542" t="s">
        <v>3608</v>
      </c>
      <c r="T1542">
        <f t="shared" si="174"/>
        <v>34330</v>
      </c>
      <c r="U1542">
        <f>YEAR(Sales_Table[[#This Row],[Date_clean]])</f>
        <v>2024</v>
      </c>
      <c r="V1542" t="str">
        <f>TEXT(Sales_Table[[#This Row],[Date_clean]],"mmmm")</f>
        <v>March</v>
      </c>
      <c r="W1542">
        <f>WEEKNUM(Sales_Table[[#This Row],[Date_clean]],2)</f>
        <v>10</v>
      </c>
      <c r="X1542" t="str" cm="1">
        <f t="array" ref="X1542">_xlfn.IFS(Sales_Table[[#This Row],[Revenue]]&gt;=50000,"High",Sales_Table[[#This Row],[Revenue]]&gt;=20000,"Medium",Sales_Table[[#This Row],[Revenue]]&lt;20000,"Low")</f>
        <v>Medium</v>
      </c>
      <c r="Y1542" t="str">
        <f>IF(Sales_Table[[#This Row],[Payment Method_clean]]="cash","Offline","Online")</f>
        <v>Online</v>
      </c>
      <c r="Z1542">
        <f>IFERROR(Sales_Table[[#This Row],[Revenue]],0)</f>
        <v>34330</v>
      </c>
    </row>
    <row r="1543" spans="1:26" x14ac:dyDescent="0.3">
      <c r="A1543">
        <v>1542</v>
      </c>
      <c r="B1543" s="2">
        <f t="shared" si="168"/>
        <v>45356.208333333336</v>
      </c>
      <c r="C1543" t="s">
        <v>3609</v>
      </c>
      <c r="D1543" t="s">
        <v>27</v>
      </c>
      <c r="E1543" t="str">
        <f>PROPER(TRIM(CLEAN(Sales_Table[[#This Row],[Region]])))</f>
        <v>East</v>
      </c>
      <c r="F1543" t="s">
        <v>46</v>
      </c>
      <c r="G1543" t="str">
        <f t="shared" si="169"/>
        <v>Electronics</v>
      </c>
      <c r="H1543" t="str">
        <f>PROPER(TRIM(CLEAN(Sales_Table[[#This Row],[Product Name]])))</f>
        <v>Washing Machine</v>
      </c>
      <c r="I1543" t="s">
        <v>79</v>
      </c>
      <c r="J1543" t="str">
        <f t="shared" si="170"/>
        <v>CUST0766</v>
      </c>
      <c r="K1543" t="s">
        <v>1335</v>
      </c>
      <c r="L1543" t="str">
        <f>PROPER(TRIM(CLEAN(Sales_Table[[#This Row],[Salesperson]])))</f>
        <v>Rahul</v>
      </c>
      <c r="M1543" t="s">
        <v>31</v>
      </c>
      <c r="N1543" t="str">
        <f t="shared" si="171"/>
        <v>Debit Card</v>
      </c>
      <c r="O1543" t="s">
        <v>41</v>
      </c>
      <c r="P1543">
        <f t="shared" si="172"/>
        <v>4</v>
      </c>
      <c r="Q1543" t="s">
        <v>113</v>
      </c>
      <c r="R1543">
        <f t="shared" si="173"/>
        <v>4092</v>
      </c>
      <c r="S1543" t="s">
        <v>3610</v>
      </c>
      <c r="T1543">
        <f t="shared" si="174"/>
        <v>16368</v>
      </c>
      <c r="U1543">
        <f>YEAR(Sales_Table[[#This Row],[Date_clean]])</f>
        <v>2024</v>
      </c>
      <c r="V1543" t="str">
        <f>TEXT(Sales_Table[[#This Row],[Date_clean]],"mmmm")</f>
        <v>March</v>
      </c>
      <c r="W1543">
        <f>WEEKNUM(Sales_Table[[#This Row],[Date_clean]],2)</f>
        <v>10</v>
      </c>
      <c r="X1543" t="str" cm="1">
        <f t="array" ref="X1543">_xlfn.IFS(Sales_Table[[#This Row],[Revenue]]&gt;=50000,"High",Sales_Table[[#This Row],[Revenue]]&gt;=20000,"Medium",Sales_Table[[#This Row],[Revenue]]&lt;20000,"Low")</f>
        <v>Low</v>
      </c>
      <c r="Y1543" t="str">
        <f>IF(Sales_Table[[#This Row],[Payment Method_clean]]="cash","Offline","Online")</f>
        <v>Online</v>
      </c>
      <c r="Z1543">
        <f>IFERROR(Sales_Table[[#This Row],[Revenue]],0)</f>
        <v>16368</v>
      </c>
    </row>
    <row r="1544" spans="1:26" x14ac:dyDescent="0.3">
      <c r="A1544">
        <v>1543</v>
      </c>
      <c r="B1544" s="2">
        <f t="shared" si="168"/>
        <v>45356.25</v>
      </c>
      <c r="C1544" t="s">
        <v>3611</v>
      </c>
      <c r="D1544" t="s">
        <v>36</v>
      </c>
      <c r="E1544" t="str">
        <f>PROPER(TRIM(CLEAN(Sales_Table[[#This Row],[Region]])))</f>
        <v>West</v>
      </c>
      <c r="F1544" t="s">
        <v>78</v>
      </c>
      <c r="G1544" t="str">
        <f t="shared" si="169"/>
        <v>Grocery</v>
      </c>
      <c r="H1544" t="str">
        <f>PROPER(TRIM(CLEAN(Sales_Table[[#This Row],[Product Name]])))</f>
        <v>Rice 5Kg</v>
      </c>
      <c r="I1544" t="s">
        <v>73</v>
      </c>
      <c r="J1544" t="str">
        <f t="shared" si="170"/>
        <v>CUST0357</v>
      </c>
      <c r="K1544" t="s">
        <v>3612</v>
      </c>
      <c r="L1544" t="str">
        <f>PROPER(TRIM(CLEAN(Sales_Table[[#This Row],[Salesperson]])))</f>
        <v>Anita</v>
      </c>
      <c r="M1544" t="s">
        <v>64</v>
      </c>
      <c r="N1544" t="str">
        <f t="shared" si="171"/>
        <v>Credit Card</v>
      </c>
      <c r="O1544" t="s">
        <v>65</v>
      </c>
      <c r="P1544">
        <f t="shared" si="172"/>
        <v>7</v>
      </c>
      <c r="Q1544" t="s">
        <v>49</v>
      </c>
      <c r="R1544">
        <f t="shared" si="173"/>
        <v>1325</v>
      </c>
      <c r="S1544" t="s">
        <v>3613</v>
      </c>
      <c r="T1544">
        <f t="shared" si="174"/>
        <v>9275</v>
      </c>
      <c r="U1544">
        <f>YEAR(Sales_Table[[#This Row],[Date_clean]])</f>
        <v>2024</v>
      </c>
      <c r="V1544" t="str">
        <f>TEXT(Sales_Table[[#This Row],[Date_clean]],"mmmm")</f>
        <v>March</v>
      </c>
      <c r="W1544">
        <f>WEEKNUM(Sales_Table[[#This Row],[Date_clean]],2)</f>
        <v>10</v>
      </c>
      <c r="X1544" t="str" cm="1">
        <f t="array" ref="X1544">_xlfn.IFS(Sales_Table[[#This Row],[Revenue]]&gt;=50000,"High",Sales_Table[[#This Row],[Revenue]]&gt;=20000,"Medium",Sales_Table[[#This Row],[Revenue]]&lt;20000,"Low")</f>
        <v>Low</v>
      </c>
      <c r="Y1544" t="str">
        <f>IF(Sales_Table[[#This Row],[Payment Method_clean]]="cash","Offline","Online")</f>
        <v>Online</v>
      </c>
      <c r="Z1544">
        <f>IFERROR(Sales_Table[[#This Row],[Revenue]],0)</f>
        <v>9275</v>
      </c>
    </row>
    <row r="1545" spans="1:26" x14ac:dyDescent="0.3">
      <c r="A1545">
        <v>1544</v>
      </c>
      <c r="B1545" s="2">
        <f t="shared" si="168"/>
        <v>45356.291666666664</v>
      </c>
      <c r="C1545" t="s">
        <v>3614</v>
      </c>
      <c r="D1545" t="s">
        <v>45</v>
      </c>
      <c r="E1545" t="str">
        <f>PROPER(TRIM(CLEAN(Sales_Table[[#This Row],[Region]])))</f>
        <v>North</v>
      </c>
      <c r="F1545" t="s">
        <v>46</v>
      </c>
      <c r="G1545" t="str">
        <f t="shared" si="169"/>
        <v>Electronics</v>
      </c>
      <c r="H1545" t="str">
        <f>PROPER(TRIM(CLEAN(Sales_Table[[#This Row],[Product Name]])))</f>
        <v>Mixer Grinder</v>
      </c>
      <c r="I1545" t="s">
        <v>29</v>
      </c>
      <c r="J1545" t="str">
        <f t="shared" si="170"/>
        <v>CUST0542</v>
      </c>
      <c r="K1545" t="s">
        <v>3554</v>
      </c>
      <c r="L1545" t="str">
        <f>PROPER(TRIM(CLEAN(Sales_Table[[#This Row],[Salesperson]])))</f>
        <v>Rahul</v>
      </c>
      <c r="M1545" t="s">
        <v>31</v>
      </c>
      <c r="N1545" t="str">
        <f t="shared" si="171"/>
        <v>Credit Card</v>
      </c>
      <c r="O1545" t="s">
        <v>65</v>
      </c>
      <c r="P1545">
        <f t="shared" si="172"/>
        <v>2</v>
      </c>
      <c r="Q1545" t="s">
        <v>196</v>
      </c>
      <c r="R1545">
        <f t="shared" si="173"/>
        <v>4104</v>
      </c>
      <c r="S1545" t="s">
        <v>2947</v>
      </c>
      <c r="T1545">
        <f t="shared" si="174"/>
        <v>8208</v>
      </c>
      <c r="U1545">
        <f>YEAR(Sales_Table[[#This Row],[Date_clean]])</f>
        <v>2024</v>
      </c>
      <c r="V1545" t="str">
        <f>TEXT(Sales_Table[[#This Row],[Date_clean]],"mmmm")</f>
        <v>March</v>
      </c>
      <c r="W1545">
        <f>WEEKNUM(Sales_Table[[#This Row],[Date_clean]],2)</f>
        <v>10</v>
      </c>
      <c r="X1545" t="str" cm="1">
        <f t="array" ref="X1545">_xlfn.IFS(Sales_Table[[#This Row],[Revenue]]&gt;=50000,"High",Sales_Table[[#This Row],[Revenue]]&gt;=20000,"Medium",Sales_Table[[#This Row],[Revenue]]&lt;20000,"Low")</f>
        <v>Low</v>
      </c>
      <c r="Y1545" t="str">
        <f>IF(Sales_Table[[#This Row],[Payment Method_clean]]="cash","Offline","Online")</f>
        <v>Online</v>
      </c>
      <c r="Z1545">
        <f>IFERROR(Sales_Table[[#This Row],[Revenue]],0)</f>
        <v>8208</v>
      </c>
    </row>
    <row r="1546" spans="1:26" x14ac:dyDescent="0.3">
      <c r="A1546">
        <v>1545</v>
      </c>
      <c r="B1546" s="2">
        <f t="shared" si="168"/>
        <v>45356.333333333336</v>
      </c>
      <c r="C1546" t="s">
        <v>3615</v>
      </c>
      <c r="D1546" t="s">
        <v>36</v>
      </c>
      <c r="E1546" t="str">
        <f>PROPER(TRIM(CLEAN(Sales_Table[[#This Row],[Region]])))</f>
        <v>West</v>
      </c>
      <c r="F1546" t="s">
        <v>78</v>
      </c>
      <c r="G1546" t="str">
        <f t="shared" si="169"/>
        <v>Grocery</v>
      </c>
      <c r="H1546" t="str">
        <f>PROPER(TRIM(CLEAN(Sales_Table[[#This Row],[Product Name]])))</f>
        <v>Laptop</v>
      </c>
      <c r="I1546" t="s">
        <v>52</v>
      </c>
      <c r="J1546" t="str">
        <f t="shared" si="170"/>
        <v>CUST0761</v>
      </c>
      <c r="K1546" t="s">
        <v>1180</v>
      </c>
      <c r="L1546" t="str">
        <f>PROPER(TRIM(CLEAN(Sales_Table[[#This Row],[Salesperson]])))</f>
        <v>Meena</v>
      </c>
      <c r="M1546" t="s">
        <v>40</v>
      </c>
      <c r="N1546" t="str">
        <f t="shared" si="171"/>
        <v>Credit Card</v>
      </c>
      <c r="O1546" t="s">
        <v>65</v>
      </c>
      <c r="P1546">
        <f t="shared" si="172"/>
        <v>3</v>
      </c>
      <c r="Q1546" t="s">
        <v>66</v>
      </c>
      <c r="R1546">
        <f t="shared" si="173"/>
        <v>4350</v>
      </c>
      <c r="S1546" t="s">
        <v>3616</v>
      </c>
      <c r="T1546">
        <f t="shared" si="174"/>
        <v>13050</v>
      </c>
      <c r="U1546">
        <f>YEAR(Sales_Table[[#This Row],[Date_clean]])</f>
        <v>2024</v>
      </c>
      <c r="V1546" t="str">
        <f>TEXT(Sales_Table[[#This Row],[Date_clean]],"mmmm")</f>
        <v>March</v>
      </c>
      <c r="W1546">
        <f>WEEKNUM(Sales_Table[[#This Row],[Date_clean]],2)</f>
        <v>10</v>
      </c>
      <c r="X1546" t="str" cm="1">
        <f t="array" ref="X1546">_xlfn.IFS(Sales_Table[[#This Row],[Revenue]]&gt;=50000,"High",Sales_Table[[#This Row],[Revenue]]&gt;=20000,"Medium",Sales_Table[[#This Row],[Revenue]]&lt;20000,"Low")</f>
        <v>Low</v>
      </c>
      <c r="Y1546" t="str">
        <f>IF(Sales_Table[[#This Row],[Payment Method_clean]]="cash","Offline","Online")</f>
        <v>Online</v>
      </c>
      <c r="Z1546">
        <f>IFERROR(Sales_Table[[#This Row],[Revenue]],0)</f>
        <v>13050</v>
      </c>
    </row>
    <row r="1547" spans="1:26" x14ac:dyDescent="0.3">
      <c r="A1547">
        <v>1546</v>
      </c>
      <c r="B1547" s="2">
        <f t="shared" si="168"/>
        <v>45356.375</v>
      </c>
      <c r="C1547" t="s">
        <v>3617</v>
      </c>
      <c r="D1547" t="s">
        <v>36</v>
      </c>
      <c r="E1547" t="str">
        <f>PROPER(TRIM(CLEAN(Sales_Table[[#This Row],[Region]])))</f>
        <v>West</v>
      </c>
      <c r="F1547" t="s">
        <v>78</v>
      </c>
      <c r="G1547" t="str">
        <f t="shared" si="169"/>
        <v>Grocery</v>
      </c>
      <c r="H1547" t="str">
        <f>PROPER(TRIM(CLEAN(Sales_Table[[#This Row],[Product Name]])))</f>
        <v>Washing Machine</v>
      </c>
      <c r="I1547" t="s">
        <v>79</v>
      </c>
      <c r="J1547" t="str">
        <f t="shared" si="170"/>
        <v>CUST0033</v>
      </c>
      <c r="K1547" t="s">
        <v>3618</v>
      </c>
      <c r="L1547" t="str">
        <f>PROPER(TRIM(CLEAN(Sales_Table[[#This Row],[Salesperson]])))</f>
        <v>Anita</v>
      </c>
      <c r="M1547" t="s">
        <v>64</v>
      </c>
      <c r="N1547" t="str">
        <f t="shared" si="171"/>
        <v>Cash</v>
      </c>
      <c r="O1547" t="s">
        <v>32</v>
      </c>
      <c r="P1547">
        <f t="shared" si="172"/>
        <v>7</v>
      </c>
      <c r="Q1547" t="s">
        <v>49</v>
      </c>
      <c r="R1547">
        <f t="shared" si="173"/>
        <v>3468</v>
      </c>
      <c r="S1547" t="s">
        <v>3619</v>
      </c>
      <c r="T1547">
        <f t="shared" si="174"/>
        <v>24276</v>
      </c>
      <c r="U1547">
        <f>YEAR(Sales_Table[[#This Row],[Date_clean]])</f>
        <v>2024</v>
      </c>
      <c r="V1547" t="str">
        <f>TEXT(Sales_Table[[#This Row],[Date_clean]],"mmmm")</f>
        <v>March</v>
      </c>
      <c r="W1547">
        <f>WEEKNUM(Sales_Table[[#This Row],[Date_clean]],2)</f>
        <v>10</v>
      </c>
      <c r="X1547" t="str" cm="1">
        <f t="array" ref="X1547">_xlfn.IFS(Sales_Table[[#This Row],[Revenue]]&gt;=50000,"High",Sales_Table[[#This Row],[Revenue]]&gt;=20000,"Medium",Sales_Table[[#This Row],[Revenue]]&lt;20000,"Low")</f>
        <v>Medium</v>
      </c>
      <c r="Y1547" t="str">
        <f>IF(Sales_Table[[#This Row],[Payment Method_clean]]="cash","Offline","Online")</f>
        <v>Offline</v>
      </c>
      <c r="Z1547">
        <f>IFERROR(Sales_Table[[#This Row],[Revenue]],0)</f>
        <v>24276</v>
      </c>
    </row>
    <row r="1548" spans="1:26" x14ac:dyDescent="0.3">
      <c r="A1548">
        <v>1547</v>
      </c>
      <c r="B1548" s="2">
        <f t="shared" si="168"/>
        <v>45356.416666666664</v>
      </c>
      <c r="C1548" t="s">
        <v>3620</v>
      </c>
      <c r="D1548" t="s">
        <v>36</v>
      </c>
      <c r="E1548" t="str">
        <f>PROPER(TRIM(CLEAN(Sales_Table[[#This Row],[Region]])))</f>
        <v>West</v>
      </c>
      <c r="F1548" t="s">
        <v>78</v>
      </c>
      <c r="G1548" t="str">
        <f t="shared" si="169"/>
        <v>Grocery</v>
      </c>
      <c r="H1548" t="str">
        <f>PROPER(TRIM(CLEAN(Sales_Table[[#This Row],[Product Name]])))</f>
        <v>Laptop</v>
      </c>
      <c r="I1548" t="s">
        <v>52</v>
      </c>
      <c r="J1548" t="str">
        <f t="shared" si="170"/>
        <v>CUST0229</v>
      </c>
      <c r="K1548" t="s">
        <v>1208</v>
      </c>
      <c r="L1548" t="str">
        <f>PROPER(TRIM(CLEAN(Sales_Table[[#This Row],[Salesperson]])))</f>
        <v>Meena</v>
      </c>
      <c r="M1548" t="s">
        <v>40</v>
      </c>
      <c r="N1548" t="str">
        <f t="shared" si="171"/>
        <v>Debit Card</v>
      </c>
      <c r="O1548" t="s">
        <v>41</v>
      </c>
      <c r="P1548">
        <f t="shared" si="172"/>
        <v>7</v>
      </c>
      <c r="Q1548" t="s">
        <v>49</v>
      </c>
      <c r="R1548">
        <f t="shared" si="173"/>
        <v>995</v>
      </c>
      <c r="S1548" t="s">
        <v>3621</v>
      </c>
      <c r="T1548">
        <f t="shared" si="174"/>
        <v>6965</v>
      </c>
      <c r="U1548">
        <f>YEAR(Sales_Table[[#This Row],[Date_clean]])</f>
        <v>2024</v>
      </c>
      <c r="V1548" t="str">
        <f>TEXT(Sales_Table[[#This Row],[Date_clean]],"mmmm")</f>
        <v>March</v>
      </c>
      <c r="W1548">
        <f>WEEKNUM(Sales_Table[[#This Row],[Date_clean]],2)</f>
        <v>10</v>
      </c>
      <c r="X1548" t="str" cm="1">
        <f t="array" ref="X1548">_xlfn.IFS(Sales_Table[[#This Row],[Revenue]]&gt;=50000,"High",Sales_Table[[#This Row],[Revenue]]&gt;=20000,"Medium",Sales_Table[[#This Row],[Revenue]]&lt;20000,"Low")</f>
        <v>Low</v>
      </c>
      <c r="Y1548" t="str">
        <f>IF(Sales_Table[[#This Row],[Payment Method_clean]]="cash","Offline","Online")</f>
        <v>Online</v>
      </c>
      <c r="Z1548">
        <f>IFERROR(Sales_Table[[#This Row],[Revenue]],0)</f>
        <v>6965</v>
      </c>
    </row>
    <row r="1549" spans="1:26" x14ac:dyDescent="0.3">
      <c r="A1549">
        <v>1548</v>
      </c>
      <c r="B1549" s="2">
        <f t="shared" si="168"/>
        <v>45356.458333333336</v>
      </c>
      <c r="C1549" t="s">
        <v>3622</v>
      </c>
      <c r="D1549" t="s">
        <v>27</v>
      </c>
      <c r="E1549" t="str">
        <f>PROPER(TRIM(CLEAN(Sales_Table[[#This Row],[Region]])))</f>
        <v>East</v>
      </c>
      <c r="F1549" t="s">
        <v>37</v>
      </c>
      <c r="G1549" t="str">
        <f t="shared" si="169"/>
        <v>Home Appliances</v>
      </c>
      <c r="H1549" t="str">
        <f>PROPER(TRIM(CLEAN(Sales_Table[[#This Row],[Product Name]])))</f>
        <v>Men T-Shirt</v>
      </c>
      <c r="I1549" t="s">
        <v>38</v>
      </c>
      <c r="J1549" t="str">
        <f t="shared" si="170"/>
        <v>CUST0524</v>
      </c>
      <c r="K1549" t="s">
        <v>2965</v>
      </c>
      <c r="L1549" t="str">
        <f>PROPER(TRIM(CLEAN(Sales_Table[[#This Row],[Salesperson]])))</f>
        <v>Rahul</v>
      </c>
      <c r="M1549" t="s">
        <v>31</v>
      </c>
      <c r="N1549" t="str">
        <f t="shared" si="171"/>
        <v>Net Banking</v>
      </c>
      <c r="O1549" t="s">
        <v>60</v>
      </c>
      <c r="P1549">
        <f t="shared" si="172"/>
        <v>10</v>
      </c>
      <c r="Q1549" t="s">
        <v>117</v>
      </c>
      <c r="R1549">
        <f t="shared" si="173"/>
        <v>4005</v>
      </c>
      <c r="S1549" t="s">
        <v>2471</v>
      </c>
      <c r="T1549">
        <f t="shared" si="174"/>
        <v>40050</v>
      </c>
      <c r="U1549">
        <f>YEAR(Sales_Table[[#This Row],[Date_clean]])</f>
        <v>2024</v>
      </c>
      <c r="V1549" t="str">
        <f>TEXT(Sales_Table[[#This Row],[Date_clean]],"mmmm")</f>
        <v>March</v>
      </c>
      <c r="W1549">
        <f>WEEKNUM(Sales_Table[[#This Row],[Date_clean]],2)</f>
        <v>10</v>
      </c>
      <c r="X1549" t="str" cm="1">
        <f t="array" ref="X1549">_xlfn.IFS(Sales_Table[[#This Row],[Revenue]]&gt;=50000,"High",Sales_Table[[#This Row],[Revenue]]&gt;=20000,"Medium",Sales_Table[[#This Row],[Revenue]]&lt;20000,"Low")</f>
        <v>Medium</v>
      </c>
      <c r="Y1549" t="str">
        <f>IF(Sales_Table[[#This Row],[Payment Method_clean]]="cash","Offline","Online")</f>
        <v>Online</v>
      </c>
      <c r="Z1549">
        <f>IFERROR(Sales_Table[[#This Row],[Revenue]],0)</f>
        <v>40050</v>
      </c>
    </row>
    <row r="1550" spans="1:26" x14ac:dyDescent="0.3">
      <c r="A1550">
        <v>1549</v>
      </c>
      <c r="B1550" s="2">
        <f t="shared" si="168"/>
        <v>45356.5</v>
      </c>
      <c r="C1550" t="s">
        <v>3623</v>
      </c>
      <c r="D1550" t="s">
        <v>45</v>
      </c>
      <c r="E1550" t="str">
        <f>PROPER(TRIM(CLEAN(Sales_Table[[#This Row],[Region]])))</f>
        <v>North</v>
      </c>
      <c r="F1550" t="s">
        <v>78</v>
      </c>
      <c r="G1550" t="str">
        <f t="shared" si="169"/>
        <v>Grocery</v>
      </c>
      <c r="H1550" t="str">
        <f>PROPER(TRIM(CLEAN(Sales_Table[[#This Row],[Product Name]])))</f>
        <v>Rice 5Kg</v>
      </c>
      <c r="I1550" t="s">
        <v>73</v>
      </c>
      <c r="J1550" t="str">
        <f t="shared" si="170"/>
        <v>CUST0630</v>
      </c>
      <c r="K1550" t="s">
        <v>1755</v>
      </c>
      <c r="L1550" t="str">
        <f>PROPER(TRIM(CLEAN(Sales_Table[[#This Row],[Salesperson]])))</f>
        <v>Suresh</v>
      </c>
      <c r="M1550" t="s">
        <v>54</v>
      </c>
      <c r="N1550" t="str">
        <f t="shared" si="171"/>
        <v>Credit Card</v>
      </c>
      <c r="O1550" t="s">
        <v>65</v>
      </c>
      <c r="P1550">
        <f t="shared" si="172"/>
        <v>3</v>
      </c>
      <c r="Q1550" t="s">
        <v>66</v>
      </c>
      <c r="R1550">
        <f t="shared" si="173"/>
        <v>1720</v>
      </c>
      <c r="S1550" t="s">
        <v>1998</v>
      </c>
      <c r="T1550">
        <f t="shared" si="174"/>
        <v>5160</v>
      </c>
      <c r="U1550">
        <f>YEAR(Sales_Table[[#This Row],[Date_clean]])</f>
        <v>2024</v>
      </c>
      <c r="V1550" t="str">
        <f>TEXT(Sales_Table[[#This Row],[Date_clean]],"mmmm")</f>
        <v>March</v>
      </c>
      <c r="W1550">
        <f>WEEKNUM(Sales_Table[[#This Row],[Date_clean]],2)</f>
        <v>10</v>
      </c>
      <c r="X1550" t="str" cm="1">
        <f t="array" ref="X1550">_xlfn.IFS(Sales_Table[[#This Row],[Revenue]]&gt;=50000,"High",Sales_Table[[#This Row],[Revenue]]&gt;=20000,"Medium",Sales_Table[[#This Row],[Revenue]]&lt;20000,"Low")</f>
        <v>Low</v>
      </c>
      <c r="Y1550" t="str">
        <f>IF(Sales_Table[[#This Row],[Payment Method_clean]]="cash","Offline","Online")</f>
        <v>Online</v>
      </c>
      <c r="Z1550">
        <f>IFERROR(Sales_Table[[#This Row],[Revenue]],0)</f>
        <v>5160</v>
      </c>
    </row>
    <row r="1551" spans="1:26" x14ac:dyDescent="0.3">
      <c r="A1551">
        <v>1550</v>
      </c>
      <c r="B1551" s="2">
        <f t="shared" si="168"/>
        <v>45356.541666666664</v>
      </c>
      <c r="C1551" t="s">
        <v>3624</v>
      </c>
      <c r="D1551" t="s">
        <v>36</v>
      </c>
      <c r="E1551" t="str">
        <f>PROPER(TRIM(CLEAN(Sales_Table[[#This Row],[Region]])))</f>
        <v>West</v>
      </c>
      <c r="F1551" t="s">
        <v>37</v>
      </c>
      <c r="G1551" t="str">
        <f t="shared" si="169"/>
        <v>Home Appliances</v>
      </c>
      <c r="H1551" t="str">
        <f>PROPER(TRIM(CLEAN(Sales_Table[[#This Row],[Product Name]])))</f>
        <v>Laptop</v>
      </c>
      <c r="I1551" t="s">
        <v>52</v>
      </c>
      <c r="J1551" t="str">
        <f t="shared" si="170"/>
        <v>CUST0155</v>
      </c>
      <c r="K1551" t="s">
        <v>669</v>
      </c>
      <c r="L1551" t="str">
        <f>PROPER(TRIM(CLEAN(Sales_Table[[#This Row],[Salesperson]])))</f>
        <v>Rahul</v>
      </c>
      <c r="M1551" t="s">
        <v>31</v>
      </c>
      <c r="N1551" t="str">
        <f t="shared" si="171"/>
        <v>Debit Card</v>
      </c>
      <c r="O1551" t="s">
        <v>41</v>
      </c>
      <c r="P1551">
        <f t="shared" si="172"/>
        <v>12</v>
      </c>
      <c r="Q1551" t="s">
        <v>33</v>
      </c>
      <c r="R1551">
        <f t="shared" si="173"/>
        <v>3963</v>
      </c>
      <c r="S1551" t="s">
        <v>3625</v>
      </c>
      <c r="T1551">
        <f t="shared" si="174"/>
        <v>47556</v>
      </c>
      <c r="U1551">
        <f>YEAR(Sales_Table[[#This Row],[Date_clean]])</f>
        <v>2024</v>
      </c>
      <c r="V1551" t="str">
        <f>TEXT(Sales_Table[[#This Row],[Date_clean]],"mmmm")</f>
        <v>March</v>
      </c>
      <c r="W1551">
        <f>WEEKNUM(Sales_Table[[#This Row],[Date_clean]],2)</f>
        <v>10</v>
      </c>
      <c r="X1551" t="str" cm="1">
        <f t="array" ref="X1551">_xlfn.IFS(Sales_Table[[#This Row],[Revenue]]&gt;=50000,"High",Sales_Table[[#This Row],[Revenue]]&gt;=20000,"Medium",Sales_Table[[#This Row],[Revenue]]&lt;20000,"Low")</f>
        <v>Medium</v>
      </c>
      <c r="Y1551" t="str">
        <f>IF(Sales_Table[[#This Row],[Payment Method_clean]]="cash","Offline","Online")</f>
        <v>Online</v>
      </c>
      <c r="Z1551">
        <f>IFERROR(Sales_Table[[#This Row],[Revenue]],0)</f>
        <v>47556</v>
      </c>
    </row>
    <row r="1552" spans="1:26" x14ac:dyDescent="0.3">
      <c r="A1552">
        <v>1551</v>
      </c>
      <c r="B1552" s="2">
        <f t="shared" si="168"/>
        <v>45356.583333333336</v>
      </c>
      <c r="C1552" t="s">
        <v>3626</v>
      </c>
      <c r="D1552" t="s">
        <v>45</v>
      </c>
      <c r="E1552" t="str">
        <f>PROPER(TRIM(CLEAN(Sales_Table[[#This Row],[Region]])))</f>
        <v>North</v>
      </c>
      <c r="F1552" t="s">
        <v>78</v>
      </c>
      <c r="G1552" t="str">
        <f t="shared" si="169"/>
        <v>Grocery</v>
      </c>
      <c r="H1552" t="str">
        <f>PROPER(TRIM(CLEAN(Sales_Table[[#This Row],[Product Name]])))</f>
        <v>Led Tv 42Inch</v>
      </c>
      <c r="I1552" t="s">
        <v>58</v>
      </c>
      <c r="J1552" t="str">
        <f t="shared" si="170"/>
        <v>CUST0423</v>
      </c>
      <c r="K1552" t="s">
        <v>2285</v>
      </c>
      <c r="L1552" t="str">
        <f>PROPER(TRIM(CLEAN(Sales_Table[[#This Row],[Salesperson]])))</f>
        <v>Rahul</v>
      </c>
      <c r="M1552" t="s">
        <v>31</v>
      </c>
      <c r="N1552" t="str">
        <f t="shared" si="171"/>
        <v>Upi</v>
      </c>
      <c r="O1552" t="s">
        <v>48</v>
      </c>
      <c r="P1552">
        <f t="shared" si="172"/>
        <v>1</v>
      </c>
      <c r="Q1552" t="s">
        <v>93</v>
      </c>
      <c r="R1552">
        <f t="shared" si="173"/>
        <v>2392</v>
      </c>
      <c r="S1552" t="s">
        <v>2824</v>
      </c>
      <c r="T1552">
        <f t="shared" si="174"/>
        <v>2392</v>
      </c>
      <c r="U1552">
        <f>YEAR(Sales_Table[[#This Row],[Date_clean]])</f>
        <v>2024</v>
      </c>
      <c r="V1552" t="str">
        <f>TEXT(Sales_Table[[#This Row],[Date_clean]],"mmmm")</f>
        <v>March</v>
      </c>
      <c r="W1552">
        <f>WEEKNUM(Sales_Table[[#This Row],[Date_clean]],2)</f>
        <v>10</v>
      </c>
      <c r="X1552" t="str" cm="1">
        <f t="array" ref="X1552">_xlfn.IFS(Sales_Table[[#This Row],[Revenue]]&gt;=50000,"High",Sales_Table[[#This Row],[Revenue]]&gt;=20000,"Medium",Sales_Table[[#This Row],[Revenue]]&lt;20000,"Low")</f>
        <v>Low</v>
      </c>
      <c r="Y1552" t="str">
        <f>IF(Sales_Table[[#This Row],[Payment Method_clean]]="cash","Offline","Online")</f>
        <v>Online</v>
      </c>
      <c r="Z1552">
        <f>IFERROR(Sales_Table[[#This Row],[Revenue]],0)</f>
        <v>2392</v>
      </c>
    </row>
    <row r="1553" spans="1:26" x14ac:dyDescent="0.3">
      <c r="A1553">
        <v>1552</v>
      </c>
      <c r="B1553" s="2">
        <f t="shared" si="168"/>
        <v>45356.625</v>
      </c>
      <c r="C1553" t="s">
        <v>3627</v>
      </c>
      <c r="D1553" t="s">
        <v>45</v>
      </c>
      <c r="E1553" t="str">
        <f>PROPER(TRIM(CLEAN(Sales_Table[[#This Row],[Region]])))</f>
        <v>North</v>
      </c>
      <c r="F1553" t="s">
        <v>78</v>
      </c>
      <c r="G1553" t="str">
        <f t="shared" si="169"/>
        <v>Grocery</v>
      </c>
      <c r="H1553" t="str">
        <f>PROPER(TRIM(CLEAN(Sales_Table[[#This Row],[Product Name]])))</f>
        <v>Rice 5Kg</v>
      </c>
      <c r="I1553" t="s">
        <v>73</v>
      </c>
      <c r="J1553" t="str">
        <f t="shared" si="170"/>
        <v>CUST0246</v>
      </c>
      <c r="K1553" t="s">
        <v>1826</v>
      </c>
      <c r="L1553" t="str">
        <f>PROPER(TRIM(CLEAN(Sales_Table[[#This Row],[Salesperson]])))</f>
        <v>Rahul</v>
      </c>
      <c r="M1553" t="s">
        <v>31</v>
      </c>
      <c r="N1553" t="str">
        <f t="shared" si="171"/>
        <v>Cash</v>
      </c>
      <c r="O1553" t="s">
        <v>32</v>
      </c>
      <c r="P1553">
        <f t="shared" si="172"/>
        <v>12</v>
      </c>
      <c r="Q1553" t="s">
        <v>33</v>
      </c>
      <c r="R1553">
        <f t="shared" si="173"/>
        <v>1485</v>
      </c>
      <c r="S1553" t="s">
        <v>1981</v>
      </c>
      <c r="T1553">
        <f t="shared" si="174"/>
        <v>17820</v>
      </c>
      <c r="U1553">
        <f>YEAR(Sales_Table[[#This Row],[Date_clean]])</f>
        <v>2024</v>
      </c>
      <c r="V1553" t="str">
        <f>TEXT(Sales_Table[[#This Row],[Date_clean]],"mmmm")</f>
        <v>March</v>
      </c>
      <c r="W1553">
        <f>WEEKNUM(Sales_Table[[#This Row],[Date_clean]],2)</f>
        <v>10</v>
      </c>
      <c r="X1553" t="str" cm="1">
        <f t="array" ref="X1553">_xlfn.IFS(Sales_Table[[#This Row],[Revenue]]&gt;=50000,"High",Sales_Table[[#This Row],[Revenue]]&gt;=20000,"Medium",Sales_Table[[#This Row],[Revenue]]&lt;20000,"Low")</f>
        <v>Low</v>
      </c>
      <c r="Y1553" t="str">
        <f>IF(Sales_Table[[#This Row],[Payment Method_clean]]="cash","Offline","Online")</f>
        <v>Offline</v>
      </c>
      <c r="Z1553">
        <f>IFERROR(Sales_Table[[#This Row],[Revenue]],0)</f>
        <v>17820</v>
      </c>
    </row>
    <row r="1554" spans="1:26" x14ac:dyDescent="0.3">
      <c r="A1554">
        <v>1553</v>
      </c>
      <c r="B1554" s="2">
        <f t="shared" si="168"/>
        <v>45356.666666666664</v>
      </c>
      <c r="C1554" t="s">
        <v>3628</v>
      </c>
      <c r="D1554" t="s">
        <v>27</v>
      </c>
      <c r="E1554" t="str">
        <f>PROPER(TRIM(CLEAN(Sales_Table[[#This Row],[Region]])))</f>
        <v>East</v>
      </c>
      <c r="F1554" t="s">
        <v>78</v>
      </c>
      <c r="G1554" t="str">
        <f t="shared" si="169"/>
        <v>Grocery</v>
      </c>
      <c r="H1554" t="str">
        <f>PROPER(TRIM(CLEAN(Sales_Table[[#This Row],[Product Name]])))</f>
        <v>Men T-Shirt</v>
      </c>
      <c r="I1554" t="s">
        <v>38</v>
      </c>
      <c r="J1554" t="str">
        <f t="shared" si="170"/>
        <v>CUST0405</v>
      </c>
      <c r="K1554" t="s">
        <v>393</v>
      </c>
      <c r="L1554" t="str">
        <f>PROPER(TRIM(CLEAN(Sales_Table[[#This Row],[Salesperson]])))</f>
        <v>Karthik</v>
      </c>
      <c r="M1554" t="s">
        <v>70</v>
      </c>
      <c r="N1554" t="str">
        <f t="shared" si="171"/>
        <v>Debit Card</v>
      </c>
      <c r="O1554" t="s">
        <v>41</v>
      </c>
      <c r="P1554">
        <f t="shared" si="172"/>
        <v>3</v>
      </c>
      <c r="Q1554" t="s">
        <v>66</v>
      </c>
      <c r="R1554">
        <f t="shared" si="173"/>
        <v>3999</v>
      </c>
      <c r="S1554" t="s">
        <v>3629</v>
      </c>
      <c r="T1554">
        <f t="shared" si="174"/>
        <v>11997</v>
      </c>
      <c r="U1554">
        <f>YEAR(Sales_Table[[#This Row],[Date_clean]])</f>
        <v>2024</v>
      </c>
      <c r="V1554" t="str">
        <f>TEXT(Sales_Table[[#This Row],[Date_clean]],"mmmm")</f>
        <v>March</v>
      </c>
      <c r="W1554">
        <f>WEEKNUM(Sales_Table[[#This Row],[Date_clean]],2)</f>
        <v>10</v>
      </c>
      <c r="X1554" t="str" cm="1">
        <f t="array" ref="X1554">_xlfn.IFS(Sales_Table[[#This Row],[Revenue]]&gt;=50000,"High",Sales_Table[[#This Row],[Revenue]]&gt;=20000,"Medium",Sales_Table[[#This Row],[Revenue]]&lt;20000,"Low")</f>
        <v>Low</v>
      </c>
      <c r="Y1554" t="str">
        <f>IF(Sales_Table[[#This Row],[Payment Method_clean]]="cash","Offline","Online")</f>
        <v>Online</v>
      </c>
      <c r="Z1554">
        <f>IFERROR(Sales_Table[[#This Row],[Revenue]],0)</f>
        <v>11997</v>
      </c>
    </row>
    <row r="1555" spans="1:26" x14ac:dyDescent="0.3">
      <c r="A1555">
        <v>1554</v>
      </c>
      <c r="B1555" s="2">
        <f t="shared" si="168"/>
        <v>45356.708333333336</v>
      </c>
      <c r="C1555" t="s">
        <v>3630</v>
      </c>
      <c r="D1555" t="s">
        <v>36</v>
      </c>
      <c r="E1555" t="str">
        <f>PROPER(TRIM(CLEAN(Sales_Table[[#This Row],[Region]])))</f>
        <v>West</v>
      </c>
      <c r="F1555" t="s">
        <v>46</v>
      </c>
      <c r="G1555" t="str">
        <f t="shared" si="169"/>
        <v>Electronics</v>
      </c>
      <c r="H1555" t="str">
        <f>PROPER(TRIM(CLEAN(Sales_Table[[#This Row],[Product Name]])))</f>
        <v>Laptop</v>
      </c>
      <c r="I1555" t="s">
        <v>52</v>
      </c>
      <c r="J1555" t="str">
        <f t="shared" si="170"/>
        <v>CUST0759</v>
      </c>
      <c r="K1555" t="s">
        <v>2379</v>
      </c>
      <c r="L1555" t="str">
        <f>PROPER(TRIM(CLEAN(Sales_Table[[#This Row],[Salesperson]])))</f>
        <v>Meena</v>
      </c>
      <c r="M1555" t="s">
        <v>40</v>
      </c>
      <c r="N1555" t="str">
        <f t="shared" si="171"/>
        <v>Debit Card</v>
      </c>
      <c r="O1555" t="s">
        <v>41</v>
      </c>
      <c r="P1555">
        <f t="shared" si="172"/>
        <v>5</v>
      </c>
      <c r="Q1555" t="s">
        <v>89</v>
      </c>
      <c r="R1555">
        <f t="shared" si="173"/>
        <v>3692</v>
      </c>
      <c r="S1555" t="s">
        <v>3631</v>
      </c>
      <c r="T1555">
        <f t="shared" si="174"/>
        <v>18460</v>
      </c>
      <c r="U1555">
        <f>YEAR(Sales_Table[[#This Row],[Date_clean]])</f>
        <v>2024</v>
      </c>
      <c r="V1555" t="str">
        <f>TEXT(Sales_Table[[#This Row],[Date_clean]],"mmmm")</f>
        <v>March</v>
      </c>
      <c r="W1555">
        <f>WEEKNUM(Sales_Table[[#This Row],[Date_clean]],2)</f>
        <v>10</v>
      </c>
      <c r="X1555" t="str" cm="1">
        <f t="array" ref="X1555">_xlfn.IFS(Sales_Table[[#This Row],[Revenue]]&gt;=50000,"High",Sales_Table[[#This Row],[Revenue]]&gt;=20000,"Medium",Sales_Table[[#This Row],[Revenue]]&lt;20000,"Low")</f>
        <v>Low</v>
      </c>
      <c r="Y1555" t="str">
        <f>IF(Sales_Table[[#This Row],[Payment Method_clean]]="cash","Offline","Online")</f>
        <v>Online</v>
      </c>
      <c r="Z1555">
        <f>IFERROR(Sales_Table[[#This Row],[Revenue]],0)</f>
        <v>18460</v>
      </c>
    </row>
    <row r="1556" spans="1:26" x14ac:dyDescent="0.3">
      <c r="A1556">
        <v>1555</v>
      </c>
      <c r="B1556" s="2">
        <f t="shared" si="168"/>
        <v>45356.75</v>
      </c>
      <c r="C1556" t="s">
        <v>3632</v>
      </c>
      <c r="D1556" t="s">
        <v>36</v>
      </c>
      <c r="E1556" t="str">
        <f>PROPER(TRIM(CLEAN(Sales_Table[[#This Row],[Region]])))</f>
        <v>West</v>
      </c>
      <c r="F1556" t="s">
        <v>37</v>
      </c>
      <c r="G1556" t="str">
        <f t="shared" si="169"/>
        <v>Home Appliances</v>
      </c>
      <c r="H1556" t="str">
        <f>PROPER(TRIM(CLEAN(Sales_Table[[#This Row],[Product Name]])))</f>
        <v>Washing Machine</v>
      </c>
      <c r="I1556" t="s">
        <v>79</v>
      </c>
      <c r="J1556" t="str">
        <f t="shared" si="170"/>
        <v>CUST0541</v>
      </c>
      <c r="K1556" t="s">
        <v>159</v>
      </c>
      <c r="L1556" t="str">
        <f>PROPER(TRIM(CLEAN(Sales_Table[[#This Row],[Salesperson]])))</f>
        <v>Meena</v>
      </c>
      <c r="M1556" t="s">
        <v>40</v>
      </c>
      <c r="N1556" t="str">
        <f t="shared" si="171"/>
        <v>Net Banking</v>
      </c>
      <c r="O1556" t="s">
        <v>60</v>
      </c>
      <c r="P1556">
        <f t="shared" si="172"/>
        <v>7</v>
      </c>
      <c r="Q1556" t="s">
        <v>49</v>
      </c>
      <c r="R1556">
        <f t="shared" si="173"/>
        <v>2533</v>
      </c>
      <c r="S1556" t="s">
        <v>2985</v>
      </c>
      <c r="T1556">
        <f t="shared" si="174"/>
        <v>17731</v>
      </c>
      <c r="U1556">
        <f>YEAR(Sales_Table[[#This Row],[Date_clean]])</f>
        <v>2024</v>
      </c>
      <c r="V1556" t="str">
        <f>TEXT(Sales_Table[[#This Row],[Date_clean]],"mmmm")</f>
        <v>March</v>
      </c>
      <c r="W1556">
        <f>WEEKNUM(Sales_Table[[#This Row],[Date_clean]],2)</f>
        <v>10</v>
      </c>
      <c r="X1556" t="str" cm="1">
        <f t="array" ref="X1556">_xlfn.IFS(Sales_Table[[#This Row],[Revenue]]&gt;=50000,"High",Sales_Table[[#This Row],[Revenue]]&gt;=20000,"Medium",Sales_Table[[#This Row],[Revenue]]&lt;20000,"Low")</f>
        <v>Low</v>
      </c>
      <c r="Y1556" t="str">
        <f>IF(Sales_Table[[#This Row],[Payment Method_clean]]="cash","Offline","Online")</f>
        <v>Online</v>
      </c>
      <c r="Z1556">
        <f>IFERROR(Sales_Table[[#This Row],[Revenue]],0)</f>
        <v>17731</v>
      </c>
    </row>
    <row r="1557" spans="1:26" x14ac:dyDescent="0.3">
      <c r="A1557">
        <v>1556</v>
      </c>
      <c r="B1557" s="2">
        <f t="shared" si="168"/>
        <v>45356.791666666664</v>
      </c>
      <c r="C1557" t="s">
        <v>3633</v>
      </c>
      <c r="D1557" t="s">
        <v>45</v>
      </c>
      <c r="E1557" t="str">
        <f>PROPER(TRIM(CLEAN(Sales_Table[[#This Row],[Region]])))</f>
        <v>North</v>
      </c>
      <c r="F1557" t="s">
        <v>37</v>
      </c>
      <c r="G1557" t="str">
        <f t="shared" si="169"/>
        <v>Home Appliances</v>
      </c>
      <c r="H1557" t="str">
        <f>PROPER(TRIM(CLEAN(Sales_Table[[#This Row],[Product Name]])))</f>
        <v>Men T-Shirt</v>
      </c>
      <c r="I1557" t="s">
        <v>38</v>
      </c>
      <c r="J1557" t="str">
        <f t="shared" si="170"/>
        <v>CUST0161</v>
      </c>
      <c r="K1557" t="s">
        <v>369</v>
      </c>
      <c r="L1557" t="str">
        <f>PROPER(TRIM(CLEAN(Sales_Table[[#This Row],[Salesperson]])))</f>
        <v>Meena</v>
      </c>
      <c r="M1557" t="s">
        <v>40</v>
      </c>
      <c r="N1557" t="str">
        <f t="shared" si="171"/>
        <v>Debit Card</v>
      </c>
      <c r="O1557" t="s">
        <v>41</v>
      </c>
      <c r="P1557">
        <f t="shared" si="172"/>
        <v>4</v>
      </c>
      <c r="Q1557" t="s">
        <v>113</v>
      </c>
      <c r="R1557">
        <f t="shared" si="173"/>
        <v>2906</v>
      </c>
      <c r="S1557" t="s">
        <v>3634</v>
      </c>
      <c r="T1557">
        <f t="shared" si="174"/>
        <v>11624</v>
      </c>
      <c r="U1557">
        <f>YEAR(Sales_Table[[#This Row],[Date_clean]])</f>
        <v>2024</v>
      </c>
      <c r="V1557" t="str">
        <f>TEXT(Sales_Table[[#This Row],[Date_clean]],"mmmm")</f>
        <v>March</v>
      </c>
      <c r="W1557">
        <f>WEEKNUM(Sales_Table[[#This Row],[Date_clean]],2)</f>
        <v>10</v>
      </c>
      <c r="X1557" t="str" cm="1">
        <f t="array" ref="X1557">_xlfn.IFS(Sales_Table[[#This Row],[Revenue]]&gt;=50000,"High",Sales_Table[[#This Row],[Revenue]]&gt;=20000,"Medium",Sales_Table[[#This Row],[Revenue]]&lt;20000,"Low")</f>
        <v>Low</v>
      </c>
      <c r="Y1557" t="str">
        <f>IF(Sales_Table[[#This Row],[Payment Method_clean]]="cash","Offline","Online")</f>
        <v>Online</v>
      </c>
      <c r="Z1557">
        <f>IFERROR(Sales_Table[[#This Row],[Revenue]],0)</f>
        <v>11624</v>
      </c>
    </row>
    <row r="1558" spans="1:26" x14ac:dyDescent="0.3">
      <c r="A1558">
        <v>1557</v>
      </c>
      <c r="B1558" s="2">
        <f t="shared" si="168"/>
        <v>45356.833333333336</v>
      </c>
      <c r="C1558" t="s">
        <v>3635</v>
      </c>
      <c r="D1558" t="s">
        <v>84</v>
      </c>
      <c r="E1558" t="str">
        <f>PROPER(TRIM(CLEAN(Sales_Table[[#This Row],[Region]])))</f>
        <v>South</v>
      </c>
      <c r="F1558" t="s">
        <v>78</v>
      </c>
      <c r="G1558" t="str">
        <f t="shared" si="169"/>
        <v>Grocery</v>
      </c>
      <c r="H1558" t="str">
        <f>PROPER(TRIM(CLEAN(Sales_Table[[#This Row],[Product Name]])))</f>
        <v>Led Tv 42Inch</v>
      </c>
      <c r="I1558" t="s">
        <v>58</v>
      </c>
      <c r="J1558" t="str">
        <f t="shared" si="170"/>
        <v>CUST0747</v>
      </c>
      <c r="K1558" t="s">
        <v>834</v>
      </c>
      <c r="L1558" t="str">
        <f>PROPER(TRIM(CLEAN(Sales_Table[[#This Row],[Salesperson]])))</f>
        <v>Karthik</v>
      </c>
      <c r="M1558" t="s">
        <v>70</v>
      </c>
      <c r="N1558" t="str">
        <f t="shared" si="171"/>
        <v>Net Banking</v>
      </c>
      <c r="O1558" t="s">
        <v>60</v>
      </c>
      <c r="P1558">
        <f t="shared" si="172"/>
        <v>13</v>
      </c>
      <c r="Q1558" t="s">
        <v>81</v>
      </c>
      <c r="R1558">
        <f t="shared" si="173"/>
        <v>3483</v>
      </c>
      <c r="S1558" t="s">
        <v>1553</v>
      </c>
      <c r="T1558">
        <f t="shared" si="174"/>
        <v>45279</v>
      </c>
      <c r="U1558">
        <f>YEAR(Sales_Table[[#This Row],[Date_clean]])</f>
        <v>2024</v>
      </c>
      <c r="V1558" t="str">
        <f>TEXT(Sales_Table[[#This Row],[Date_clean]],"mmmm")</f>
        <v>March</v>
      </c>
      <c r="W1558">
        <f>WEEKNUM(Sales_Table[[#This Row],[Date_clean]],2)</f>
        <v>10</v>
      </c>
      <c r="X1558" t="str" cm="1">
        <f t="array" ref="X1558">_xlfn.IFS(Sales_Table[[#This Row],[Revenue]]&gt;=50000,"High",Sales_Table[[#This Row],[Revenue]]&gt;=20000,"Medium",Sales_Table[[#This Row],[Revenue]]&lt;20000,"Low")</f>
        <v>Medium</v>
      </c>
      <c r="Y1558" t="str">
        <f>IF(Sales_Table[[#This Row],[Payment Method_clean]]="cash","Offline","Online")</f>
        <v>Online</v>
      </c>
      <c r="Z1558">
        <f>IFERROR(Sales_Table[[#This Row],[Revenue]],0)</f>
        <v>45279</v>
      </c>
    </row>
    <row r="1559" spans="1:26" x14ac:dyDescent="0.3">
      <c r="A1559">
        <v>1558</v>
      </c>
      <c r="B1559" s="2">
        <f t="shared" si="168"/>
        <v>45356.875</v>
      </c>
      <c r="C1559" t="s">
        <v>3636</v>
      </c>
      <c r="D1559" t="s">
        <v>27</v>
      </c>
      <c r="E1559" t="str">
        <f>PROPER(TRIM(CLEAN(Sales_Table[[#This Row],[Region]])))</f>
        <v>East</v>
      </c>
      <c r="F1559" t="s">
        <v>78</v>
      </c>
      <c r="G1559" t="str">
        <f t="shared" si="169"/>
        <v>Grocery</v>
      </c>
      <c r="H1559" t="str">
        <f>PROPER(TRIM(CLEAN(Sales_Table[[#This Row],[Product Name]])))</f>
        <v>Laptop</v>
      </c>
      <c r="I1559" t="s">
        <v>52</v>
      </c>
      <c r="J1559" t="str">
        <f t="shared" si="170"/>
        <v>CUST0702</v>
      </c>
      <c r="K1559" t="s">
        <v>1323</v>
      </c>
      <c r="L1559" t="str">
        <f>PROPER(TRIM(CLEAN(Sales_Table[[#This Row],[Salesperson]])))</f>
        <v>Suresh</v>
      </c>
      <c r="M1559" t="s">
        <v>54</v>
      </c>
      <c r="N1559" t="str">
        <f t="shared" si="171"/>
        <v>Cash</v>
      </c>
      <c r="O1559" t="s">
        <v>32</v>
      </c>
      <c r="P1559">
        <f t="shared" si="172"/>
        <v>13</v>
      </c>
      <c r="Q1559" t="s">
        <v>81</v>
      </c>
      <c r="R1559">
        <f t="shared" si="173"/>
        <v>1401</v>
      </c>
      <c r="S1559" t="s">
        <v>2663</v>
      </c>
      <c r="T1559">
        <f t="shared" si="174"/>
        <v>18213</v>
      </c>
      <c r="U1559">
        <f>YEAR(Sales_Table[[#This Row],[Date_clean]])</f>
        <v>2024</v>
      </c>
      <c r="V1559" t="str">
        <f>TEXT(Sales_Table[[#This Row],[Date_clean]],"mmmm")</f>
        <v>March</v>
      </c>
      <c r="W1559">
        <f>WEEKNUM(Sales_Table[[#This Row],[Date_clean]],2)</f>
        <v>10</v>
      </c>
      <c r="X1559" t="str" cm="1">
        <f t="array" ref="X1559">_xlfn.IFS(Sales_Table[[#This Row],[Revenue]]&gt;=50000,"High",Sales_Table[[#This Row],[Revenue]]&gt;=20000,"Medium",Sales_Table[[#This Row],[Revenue]]&lt;20000,"Low")</f>
        <v>Low</v>
      </c>
      <c r="Y1559" t="str">
        <f>IF(Sales_Table[[#This Row],[Payment Method_clean]]="cash","Offline","Online")</f>
        <v>Offline</v>
      </c>
      <c r="Z1559">
        <f>IFERROR(Sales_Table[[#This Row],[Revenue]],0)</f>
        <v>18213</v>
      </c>
    </row>
    <row r="1560" spans="1:26" x14ac:dyDescent="0.3">
      <c r="A1560">
        <v>1559</v>
      </c>
      <c r="B1560" s="2">
        <f t="shared" si="168"/>
        <v>45356.916666666664</v>
      </c>
      <c r="C1560" t="s">
        <v>3637</v>
      </c>
      <c r="D1560" t="s">
        <v>27</v>
      </c>
      <c r="E1560" t="str">
        <f>PROPER(TRIM(CLEAN(Sales_Table[[#This Row],[Region]])))</f>
        <v>East</v>
      </c>
      <c r="F1560" t="s">
        <v>46</v>
      </c>
      <c r="G1560" t="str">
        <f t="shared" si="169"/>
        <v>Electronics</v>
      </c>
      <c r="H1560" t="str">
        <f>PROPER(TRIM(CLEAN(Sales_Table[[#This Row],[Product Name]])))</f>
        <v>Mixer Grinder</v>
      </c>
      <c r="I1560" t="s">
        <v>29</v>
      </c>
      <c r="J1560" t="str">
        <f t="shared" si="170"/>
        <v>CUST0117</v>
      </c>
      <c r="K1560" t="s">
        <v>3638</v>
      </c>
      <c r="L1560" t="str">
        <f>PROPER(TRIM(CLEAN(Sales_Table[[#This Row],[Salesperson]])))</f>
        <v>Rahul</v>
      </c>
      <c r="M1560" t="s">
        <v>31</v>
      </c>
      <c r="N1560" t="str">
        <f t="shared" si="171"/>
        <v>Cash</v>
      </c>
      <c r="O1560" t="s">
        <v>32</v>
      </c>
      <c r="P1560">
        <f t="shared" si="172"/>
        <v>11</v>
      </c>
      <c r="Q1560" t="s">
        <v>97</v>
      </c>
      <c r="R1560">
        <f t="shared" si="173"/>
        <v>858</v>
      </c>
      <c r="S1560" t="s">
        <v>3639</v>
      </c>
      <c r="T1560">
        <f t="shared" si="174"/>
        <v>9438</v>
      </c>
      <c r="U1560">
        <f>YEAR(Sales_Table[[#This Row],[Date_clean]])</f>
        <v>2024</v>
      </c>
      <c r="V1560" t="str">
        <f>TEXT(Sales_Table[[#This Row],[Date_clean]],"mmmm")</f>
        <v>March</v>
      </c>
      <c r="W1560">
        <f>WEEKNUM(Sales_Table[[#This Row],[Date_clean]],2)</f>
        <v>10</v>
      </c>
      <c r="X1560" t="str" cm="1">
        <f t="array" ref="X1560">_xlfn.IFS(Sales_Table[[#This Row],[Revenue]]&gt;=50000,"High",Sales_Table[[#This Row],[Revenue]]&gt;=20000,"Medium",Sales_Table[[#This Row],[Revenue]]&lt;20000,"Low")</f>
        <v>Low</v>
      </c>
      <c r="Y1560" t="str">
        <f>IF(Sales_Table[[#This Row],[Payment Method_clean]]="cash","Offline","Online")</f>
        <v>Offline</v>
      </c>
      <c r="Z1560">
        <f>IFERROR(Sales_Table[[#This Row],[Revenue]],0)</f>
        <v>9438</v>
      </c>
    </row>
    <row r="1561" spans="1:26" x14ac:dyDescent="0.3">
      <c r="A1561">
        <v>1560</v>
      </c>
      <c r="B1561" s="2">
        <f t="shared" si="168"/>
        <v>45356.958333333336</v>
      </c>
      <c r="C1561" t="s">
        <v>3640</v>
      </c>
      <c r="D1561" t="s">
        <v>27</v>
      </c>
      <c r="E1561" t="str">
        <f>PROPER(TRIM(CLEAN(Sales_Table[[#This Row],[Region]])))</f>
        <v>East</v>
      </c>
      <c r="F1561" t="s">
        <v>46</v>
      </c>
      <c r="G1561" t="str">
        <f t="shared" si="169"/>
        <v>Electronics</v>
      </c>
      <c r="H1561" t="str">
        <f>PROPER(TRIM(CLEAN(Sales_Table[[#This Row],[Product Name]])))</f>
        <v>Rice 5Kg</v>
      </c>
      <c r="I1561" t="s">
        <v>73</v>
      </c>
      <c r="J1561" t="str">
        <f t="shared" si="170"/>
        <v>CUST0271</v>
      </c>
      <c r="K1561" t="s">
        <v>1128</v>
      </c>
      <c r="L1561" t="str">
        <f>PROPER(TRIM(CLEAN(Sales_Table[[#This Row],[Salesperson]])))</f>
        <v>Suresh</v>
      </c>
      <c r="M1561" t="s">
        <v>54</v>
      </c>
      <c r="N1561" t="str">
        <f t="shared" si="171"/>
        <v>Upi</v>
      </c>
      <c r="O1561" t="s">
        <v>48</v>
      </c>
      <c r="P1561">
        <f t="shared" si="172"/>
        <v>11</v>
      </c>
      <c r="Q1561" t="s">
        <v>97</v>
      </c>
      <c r="R1561">
        <f t="shared" si="173"/>
        <v>846</v>
      </c>
      <c r="S1561" t="s">
        <v>2289</v>
      </c>
      <c r="T1561">
        <f t="shared" si="174"/>
        <v>9306</v>
      </c>
      <c r="U1561">
        <f>YEAR(Sales_Table[[#This Row],[Date_clean]])</f>
        <v>2024</v>
      </c>
      <c r="V1561" t="str">
        <f>TEXT(Sales_Table[[#This Row],[Date_clean]],"mmmm")</f>
        <v>March</v>
      </c>
      <c r="W1561">
        <f>WEEKNUM(Sales_Table[[#This Row],[Date_clean]],2)</f>
        <v>10</v>
      </c>
      <c r="X1561" t="str" cm="1">
        <f t="array" ref="X1561">_xlfn.IFS(Sales_Table[[#This Row],[Revenue]]&gt;=50000,"High",Sales_Table[[#This Row],[Revenue]]&gt;=20000,"Medium",Sales_Table[[#This Row],[Revenue]]&lt;20000,"Low")</f>
        <v>Low</v>
      </c>
      <c r="Y1561" t="str">
        <f>IF(Sales_Table[[#This Row],[Payment Method_clean]]="cash","Offline","Online")</f>
        <v>Online</v>
      </c>
      <c r="Z1561">
        <f>IFERROR(Sales_Table[[#This Row],[Revenue]],0)</f>
        <v>9306</v>
      </c>
    </row>
    <row r="1562" spans="1:26" x14ac:dyDescent="0.3">
      <c r="A1562">
        <v>1561</v>
      </c>
      <c r="B1562" s="2">
        <f t="shared" si="168"/>
        <v>45357</v>
      </c>
      <c r="C1562" t="s">
        <v>3641</v>
      </c>
      <c r="D1562" t="s">
        <v>27</v>
      </c>
      <c r="E1562" t="str">
        <f>PROPER(TRIM(CLEAN(Sales_Table[[#This Row],[Region]])))</f>
        <v>East</v>
      </c>
      <c r="F1562" t="s">
        <v>46</v>
      </c>
      <c r="G1562" t="str">
        <f t="shared" si="169"/>
        <v>Electronics</v>
      </c>
      <c r="H1562" t="str">
        <f>PROPER(TRIM(CLEAN(Sales_Table[[#This Row],[Product Name]])))</f>
        <v>Washing Machine</v>
      </c>
      <c r="I1562" t="s">
        <v>79</v>
      </c>
      <c r="J1562" t="str">
        <f t="shared" si="170"/>
        <v>CUST0770</v>
      </c>
      <c r="K1562" t="s">
        <v>3642</v>
      </c>
      <c r="L1562" t="str">
        <f>PROPER(TRIM(CLEAN(Sales_Table[[#This Row],[Salesperson]])))</f>
        <v>Karthik</v>
      </c>
      <c r="M1562" t="s">
        <v>70</v>
      </c>
      <c r="N1562" t="str">
        <f t="shared" si="171"/>
        <v>Net Banking</v>
      </c>
      <c r="O1562" t="s">
        <v>60</v>
      </c>
      <c r="P1562">
        <f t="shared" si="172"/>
        <v>1</v>
      </c>
      <c r="Q1562" t="s">
        <v>93</v>
      </c>
      <c r="R1562">
        <f t="shared" si="173"/>
        <v>692</v>
      </c>
      <c r="S1562" t="s">
        <v>1259</v>
      </c>
      <c r="T1562">
        <f t="shared" si="174"/>
        <v>692</v>
      </c>
      <c r="U1562">
        <f>YEAR(Sales_Table[[#This Row],[Date_clean]])</f>
        <v>2024</v>
      </c>
      <c r="V1562" t="str">
        <f>TEXT(Sales_Table[[#This Row],[Date_clean]],"mmmm")</f>
        <v>March</v>
      </c>
      <c r="W1562">
        <f>WEEKNUM(Sales_Table[[#This Row],[Date_clean]],2)</f>
        <v>10</v>
      </c>
      <c r="X1562" t="str" cm="1">
        <f t="array" ref="X1562">_xlfn.IFS(Sales_Table[[#This Row],[Revenue]]&gt;=50000,"High",Sales_Table[[#This Row],[Revenue]]&gt;=20000,"Medium",Sales_Table[[#This Row],[Revenue]]&lt;20000,"Low")</f>
        <v>Low</v>
      </c>
      <c r="Y1562" t="str">
        <f>IF(Sales_Table[[#This Row],[Payment Method_clean]]="cash","Offline","Online")</f>
        <v>Online</v>
      </c>
      <c r="Z1562">
        <f>IFERROR(Sales_Table[[#This Row],[Revenue]],0)</f>
        <v>692</v>
      </c>
    </row>
    <row r="1563" spans="1:26" x14ac:dyDescent="0.3">
      <c r="A1563">
        <v>1562</v>
      </c>
      <c r="B1563" s="2">
        <f t="shared" si="168"/>
        <v>45357.041666666664</v>
      </c>
      <c r="C1563" t="s">
        <v>3643</v>
      </c>
      <c r="D1563" t="s">
        <v>36</v>
      </c>
      <c r="E1563" t="str">
        <f>PROPER(TRIM(CLEAN(Sales_Table[[#This Row],[Region]])))</f>
        <v>West</v>
      </c>
      <c r="F1563" t="s">
        <v>37</v>
      </c>
      <c r="G1563" t="str">
        <f t="shared" si="169"/>
        <v>Home Appliances</v>
      </c>
      <c r="H1563" t="str">
        <f>PROPER(TRIM(CLEAN(Sales_Table[[#This Row],[Product Name]])))</f>
        <v>Mixer Grinder</v>
      </c>
      <c r="I1563" t="s">
        <v>29</v>
      </c>
      <c r="J1563" t="str">
        <f t="shared" si="170"/>
        <v>CUST0692</v>
      </c>
      <c r="K1563" t="s">
        <v>1496</v>
      </c>
      <c r="L1563" t="str">
        <f>PROPER(TRIM(CLEAN(Sales_Table[[#This Row],[Salesperson]])))</f>
        <v>Meena</v>
      </c>
      <c r="M1563" t="s">
        <v>40</v>
      </c>
      <c r="N1563" t="str">
        <f t="shared" si="171"/>
        <v>Net Banking</v>
      </c>
      <c r="O1563" t="s">
        <v>60</v>
      </c>
      <c r="P1563">
        <f t="shared" si="172"/>
        <v>6</v>
      </c>
      <c r="Q1563" t="s">
        <v>75</v>
      </c>
      <c r="R1563">
        <f t="shared" si="173"/>
        <v>2986</v>
      </c>
      <c r="S1563" t="s">
        <v>3644</v>
      </c>
      <c r="T1563">
        <f t="shared" si="174"/>
        <v>17916</v>
      </c>
      <c r="U1563">
        <f>YEAR(Sales_Table[[#This Row],[Date_clean]])</f>
        <v>2024</v>
      </c>
      <c r="V1563" t="str">
        <f>TEXT(Sales_Table[[#This Row],[Date_clean]],"mmmm")</f>
        <v>March</v>
      </c>
      <c r="W1563">
        <f>WEEKNUM(Sales_Table[[#This Row],[Date_clean]],2)</f>
        <v>10</v>
      </c>
      <c r="X1563" t="str" cm="1">
        <f t="array" ref="X1563">_xlfn.IFS(Sales_Table[[#This Row],[Revenue]]&gt;=50000,"High",Sales_Table[[#This Row],[Revenue]]&gt;=20000,"Medium",Sales_Table[[#This Row],[Revenue]]&lt;20000,"Low")</f>
        <v>Low</v>
      </c>
      <c r="Y1563" t="str">
        <f>IF(Sales_Table[[#This Row],[Payment Method_clean]]="cash","Offline","Online")</f>
        <v>Online</v>
      </c>
      <c r="Z1563">
        <f>IFERROR(Sales_Table[[#This Row],[Revenue]],0)</f>
        <v>17916</v>
      </c>
    </row>
    <row r="1564" spans="1:26" x14ac:dyDescent="0.3">
      <c r="A1564">
        <v>1563</v>
      </c>
      <c r="B1564" s="2">
        <f t="shared" si="168"/>
        <v>45357.083333333336</v>
      </c>
      <c r="C1564" t="s">
        <v>3645</v>
      </c>
      <c r="D1564" t="s">
        <v>36</v>
      </c>
      <c r="E1564" t="str">
        <f>PROPER(TRIM(CLEAN(Sales_Table[[#This Row],[Region]])))</f>
        <v>West</v>
      </c>
      <c r="F1564" t="s">
        <v>37</v>
      </c>
      <c r="G1564" t="str">
        <f t="shared" si="169"/>
        <v>Home Appliances</v>
      </c>
      <c r="H1564" t="str">
        <f>PROPER(TRIM(CLEAN(Sales_Table[[#This Row],[Product Name]])))</f>
        <v>Laptop</v>
      </c>
      <c r="I1564" t="s">
        <v>52</v>
      </c>
      <c r="J1564" t="str">
        <f t="shared" si="170"/>
        <v>CUST0487</v>
      </c>
      <c r="K1564" t="s">
        <v>1347</v>
      </c>
      <c r="L1564" t="str">
        <f>PROPER(TRIM(CLEAN(Sales_Table[[#This Row],[Salesperson]])))</f>
        <v>Rahul</v>
      </c>
      <c r="M1564" t="s">
        <v>31</v>
      </c>
      <c r="N1564" t="str">
        <f t="shared" si="171"/>
        <v>Credit Card</v>
      </c>
      <c r="O1564" t="s">
        <v>65</v>
      </c>
      <c r="P1564">
        <f t="shared" si="172"/>
        <v>2</v>
      </c>
      <c r="Q1564" t="s">
        <v>196</v>
      </c>
      <c r="R1564">
        <f t="shared" si="173"/>
        <v>4211</v>
      </c>
      <c r="S1564" t="s">
        <v>1097</v>
      </c>
      <c r="T1564">
        <f t="shared" si="174"/>
        <v>8422</v>
      </c>
      <c r="U1564">
        <f>YEAR(Sales_Table[[#This Row],[Date_clean]])</f>
        <v>2024</v>
      </c>
      <c r="V1564" t="str">
        <f>TEXT(Sales_Table[[#This Row],[Date_clean]],"mmmm")</f>
        <v>March</v>
      </c>
      <c r="W1564">
        <f>WEEKNUM(Sales_Table[[#This Row],[Date_clean]],2)</f>
        <v>10</v>
      </c>
      <c r="X1564" t="str" cm="1">
        <f t="array" ref="X1564">_xlfn.IFS(Sales_Table[[#This Row],[Revenue]]&gt;=50000,"High",Sales_Table[[#This Row],[Revenue]]&gt;=20000,"Medium",Sales_Table[[#This Row],[Revenue]]&lt;20000,"Low")</f>
        <v>Low</v>
      </c>
      <c r="Y1564" t="str">
        <f>IF(Sales_Table[[#This Row],[Payment Method_clean]]="cash","Offline","Online")</f>
        <v>Online</v>
      </c>
      <c r="Z1564">
        <f>IFERROR(Sales_Table[[#This Row],[Revenue]],0)</f>
        <v>8422</v>
      </c>
    </row>
    <row r="1565" spans="1:26" x14ac:dyDescent="0.3">
      <c r="A1565">
        <v>1564</v>
      </c>
      <c r="B1565" s="2">
        <f t="shared" si="168"/>
        <v>45357.125</v>
      </c>
      <c r="C1565" t="s">
        <v>3646</v>
      </c>
      <c r="D1565" t="s">
        <v>84</v>
      </c>
      <c r="E1565" t="str">
        <f>PROPER(TRIM(CLEAN(Sales_Table[[#This Row],[Region]])))</f>
        <v>South</v>
      </c>
      <c r="F1565" t="s">
        <v>37</v>
      </c>
      <c r="G1565" t="str">
        <f t="shared" si="169"/>
        <v>Home Appliances</v>
      </c>
      <c r="H1565" t="str">
        <f>PROPER(TRIM(CLEAN(Sales_Table[[#This Row],[Product Name]])))</f>
        <v>Laptop</v>
      </c>
      <c r="I1565" t="s">
        <v>52</v>
      </c>
      <c r="J1565" t="str">
        <f t="shared" si="170"/>
        <v>CUST0172</v>
      </c>
      <c r="K1565" t="s">
        <v>3647</v>
      </c>
      <c r="L1565" t="str">
        <f>PROPER(TRIM(CLEAN(Sales_Table[[#This Row],[Salesperson]])))</f>
        <v>Anita</v>
      </c>
      <c r="M1565" t="s">
        <v>64</v>
      </c>
      <c r="N1565" t="str">
        <f t="shared" si="171"/>
        <v>Credit Card</v>
      </c>
      <c r="O1565" t="s">
        <v>65</v>
      </c>
      <c r="P1565">
        <f t="shared" si="172"/>
        <v>12</v>
      </c>
      <c r="Q1565" t="s">
        <v>33</v>
      </c>
      <c r="R1565">
        <f t="shared" si="173"/>
        <v>1168</v>
      </c>
      <c r="S1565" t="s">
        <v>3648</v>
      </c>
      <c r="T1565">
        <f t="shared" si="174"/>
        <v>14016</v>
      </c>
      <c r="U1565">
        <f>YEAR(Sales_Table[[#This Row],[Date_clean]])</f>
        <v>2024</v>
      </c>
      <c r="V1565" t="str">
        <f>TEXT(Sales_Table[[#This Row],[Date_clean]],"mmmm")</f>
        <v>March</v>
      </c>
      <c r="W1565">
        <f>WEEKNUM(Sales_Table[[#This Row],[Date_clean]],2)</f>
        <v>10</v>
      </c>
      <c r="X1565" t="str" cm="1">
        <f t="array" ref="X1565">_xlfn.IFS(Sales_Table[[#This Row],[Revenue]]&gt;=50000,"High",Sales_Table[[#This Row],[Revenue]]&gt;=20000,"Medium",Sales_Table[[#This Row],[Revenue]]&lt;20000,"Low")</f>
        <v>Low</v>
      </c>
      <c r="Y1565" t="str">
        <f>IF(Sales_Table[[#This Row],[Payment Method_clean]]="cash","Offline","Online")</f>
        <v>Online</v>
      </c>
      <c r="Z1565">
        <f>IFERROR(Sales_Table[[#This Row],[Revenue]],0)</f>
        <v>14016</v>
      </c>
    </row>
    <row r="1566" spans="1:26" x14ac:dyDescent="0.3">
      <c r="A1566">
        <v>1565</v>
      </c>
      <c r="B1566" s="2">
        <f t="shared" si="168"/>
        <v>45357.166666666664</v>
      </c>
      <c r="C1566" t="s">
        <v>3649</v>
      </c>
      <c r="D1566" t="s">
        <v>27</v>
      </c>
      <c r="E1566" t="str">
        <f>PROPER(TRIM(CLEAN(Sales_Table[[#This Row],[Region]])))</f>
        <v>East</v>
      </c>
      <c r="F1566" t="s">
        <v>78</v>
      </c>
      <c r="G1566" t="str">
        <f t="shared" si="169"/>
        <v>Grocery</v>
      </c>
      <c r="H1566" t="str">
        <f>PROPER(TRIM(CLEAN(Sales_Table[[#This Row],[Product Name]])))</f>
        <v>Men T-Shirt</v>
      </c>
      <c r="I1566" t="s">
        <v>38</v>
      </c>
      <c r="J1566" t="str">
        <f t="shared" si="170"/>
        <v>CUST0274</v>
      </c>
      <c r="K1566" t="s">
        <v>3650</v>
      </c>
      <c r="L1566" t="str">
        <f>PROPER(TRIM(CLEAN(Sales_Table[[#This Row],[Salesperson]])))</f>
        <v>Anita</v>
      </c>
      <c r="M1566" t="s">
        <v>64</v>
      </c>
      <c r="N1566" t="str">
        <f t="shared" si="171"/>
        <v>Upi</v>
      </c>
      <c r="O1566" t="s">
        <v>48</v>
      </c>
      <c r="P1566">
        <f t="shared" si="172"/>
        <v>3</v>
      </c>
      <c r="Q1566" t="s">
        <v>66</v>
      </c>
      <c r="R1566">
        <f t="shared" si="173"/>
        <v>3407</v>
      </c>
      <c r="S1566" t="s">
        <v>1019</v>
      </c>
      <c r="T1566">
        <f t="shared" si="174"/>
        <v>10221</v>
      </c>
      <c r="U1566">
        <f>YEAR(Sales_Table[[#This Row],[Date_clean]])</f>
        <v>2024</v>
      </c>
      <c r="V1566" t="str">
        <f>TEXT(Sales_Table[[#This Row],[Date_clean]],"mmmm")</f>
        <v>March</v>
      </c>
      <c r="W1566">
        <f>WEEKNUM(Sales_Table[[#This Row],[Date_clean]],2)</f>
        <v>10</v>
      </c>
      <c r="X1566" t="str" cm="1">
        <f t="array" ref="X1566">_xlfn.IFS(Sales_Table[[#This Row],[Revenue]]&gt;=50000,"High",Sales_Table[[#This Row],[Revenue]]&gt;=20000,"Medium",Sales_Table[[#This Row],[Revenue]]&lt;20000,"Low")</f>
        <v>Low</v>
      </c>
      <c r="Y1566" t="str">
        <f>IF(Sales_Table[[#This Row],[Payment Method_clean]]="cash","Offline","Online")</f>
        <v>Online</v>
      </c>
      <c r="Z1566">
        <f>IFERROR(Sales_Table[[#This Row],[Revenue]],0)</f>
        <v>10221</v>
      </c>
    </row>
    <row r="1567" spans="1:26" x14ac:dyDescent="0.3">
      <c r="A1567">
        <v>1566</v>
      </c>
      <c r="B1567" s="2">
        <f t="shared" si="168"/>
        <v>45357.208333333336</v>
      </c>
      <c r="C1567" t="s">
        <v>3651</v>
      </c>
      <c r="D1567" t="s">
        <v>27</v>
      </c>
      <c r="E1567" t="str">
        <f>PROPER(TRIM(CLEAN(Sales_Table[[#This Row],[Region]])))</f>
        <v>East</v>
      </c>
      <c r="F1567" t="s">
        <v>37</v>
      </c>
      <c r="G1567" t="str">
        <f t="shared" si="169"/>
        <v>Home Appliances</v>
      </c>
      <c r="H1567" t="str">
        <f>PROPER(TRIM(CLEAN(Sales_Table[[#This Row],[Product Name]])))</f>
        <v>Laptop</v>
      </c>
      <c r="I1567" t="s">
        <v>52</v>
      </c>
      <c r="J1567" t="str">
        <f t="shared" si="170"/>
        <v>CUST0259</v>
      </c>
      <c r="K1567" t="s">
        <v>3652</v>
      </c>
      <c r="L1567" t="str">
        <f>PROPER(TRIM(CLEAN(Sales_Table[[#This Row],[Salesperson]])))</f>
        <v>Suresh</v>
      </c>
      <c r="M1567" t="s">
        <v>54</v>
      </c>
      <c r="N1567" t="str">
        <f t="shared" si="171"/>
        <v>Cash</v>
      </c>
      <c r="O1567" t="s">
        <v>32</v>
      </c>
      <c r="P1567">
        <f t="shared" si="172"/>
        <v>4</v>
      </c>
      <c r="Q1567" t="s">
        <v>113</v>
      </c>
      <c r="R1567">
        <f t="shared" si="173"/>
        <v>802</v>
      </c>
      <c r="S1567" t="s">
        <v>1502</v>
      </c>
      <c r="T1567">
        <f t="shared" si="174"/>
        <v>3208</v>
      </c>
      <c r="U1567">
        <f>YEAR(Sales_Table[[#This Row],[Date_clean]])</f>
        <v>2024</v>
      </c>
      <c r="V1567" t="str">
        <f>TEXT(Sales_Table[[#This Row],[Date_clean]],"mmmm")</f>
        <v>March</v>
      </c>
      <c r="W1567">
        <f>WEEKNUM(Sales_Table[[#This Row],[Date_clean]],2)</f>
        <v>10</v>
      </c>
      <c r="X1567" t="str" cm="1">
        <f t="array" ref="X1567">_xlfn.IFS(Sales_Table[[#This Row],[Revenue]]&gt;=50000,"High",Sales_Table[[#This Row],[Revenue]]&gt;=20000,"Medium",Sales_Table[[#This Row],[Revenue]]&lt;20000,"Low")</f>
        <v>Low</v>
      </c>
      <c r="Y1567" t="str">
        <f>IF(Sales_Table[[#This Row],[Payment Method_clean]]="cash","Offline","Online")</f>
        <v>Offline</v>
      </c>
      <c r="Z1567">
        <f>IFERROR(Sales_Table[[#This Row],[Revenue]],0)</f>
        <v>3208</v>
      </c>
    </row>
    <row r="1568" spans="1:26" x14ac:dyDescent="0.3">
      <c r="A1568">
        <v>1567</v>
      </c>
      <c r="B1568" s="2">
        <f t="shared" si="168"/>
        <v>45357.25</v>
      </c>
      <c r="C1568" t="s">
        <v>3653</v>
      </c>
      <c r="D1568" t="s">
        <v>45</v>
      </c>
      <c r="E1568" t="str">
        <f>PROPER(TRIM(CLEAN(Sales_Table[[#This Row],[Region]])))</f>
        <v>North</v>
      </c>
      <c r="F1568" t="s">
        <v>28</v>
      </c>
      <c r="G1568" t="str">
        <f t="shared" si="169"/>
        <v>Clothing</v>
      </c>
      <c r="H1568" t="str">
        <f>PROPER(TRIM(CLEAN(Sales_Table[[#This Row],[Product Name]])))</f>
        <v>Washing Machine</v>
      </c>
      <c r="I1568" t="s">
        <v>79</v>
      </c>
      <c r="J1568" t="str">
        <f t="shared" si="170"/>
        <v>CUST0135</v>
      </c>
      <c r="K1568" t="s">
        <v>2722</v>
      </c>
      <c r="L1568" t="str">
        <f>PROPER(TRIM(CLEAN(Sales_Table[[#This Row],[Salesperson]])))</f>
        <v>Meena</v>
      </c>
      <c r="M1568" t="s">
        <v>40</v>
      </c>
      <c r="N1568" t="str">
        <f t="shared" si="171"/>
        <v>Credit Card</v>
      </c>
      <c r="O1568" t="s">
        <v>65</v>
      </c>
      <c r="P1568">
        <f t="shared" si="172"/>
        <v>6</v>
      </c>
      <c r="Q1568" t="s">
        <v>75</v>
      </c>
      <c r="R1568">
        <f t="shared" si="173"/>
        <v>4808</v>
      </c>
      <c r="S1568" t="s">
        <v>3654</v>
      </c>
      <c r="T1568">
        <f t="shared" si="174"/>
        <v>28848</v>
      </c>
      <c r="U1568">
        <f>YEAR(Sales_Table[[#This Row],[Date_clean]])</f>
        <v>2024</v>
      </c>
      <c r="V1568" t="str">
        <f>TEXT(Sales_Table[[#This Row],[Date_clean]],"mmmm")</f>
        <v>March</v>
      </c>
      <c r="W1568">
        <f>WEEKNUM(Sales_Table[[#This Row],[Date_clean]],2)</f>
        <v>10</v>
      </c>
      <c r="X1568" t="str" cm="1">
        <f t="array" ref="X1568">_xlfn.IFS(Sales_Table[[#This Row],[Revenue]]&gt;=50000,"High",Sales_Table[[#This Row],[Revenue]]&gt;=20000,"Medium",Sales_Table[[#This Row],[Revenue]]&lt;20000,"Low")</f>
        <v>Medium</v>
      </c>
      <c r="Y1568" t="str">
        <f>IF(Sales_Table[[#This Row],[Payment Method_clean]]="cash","Offline","Online")</f>
        <v>Online</v>
      </c>
      <c r="Z1568">
        <f>IFERROR(Sales_Table[[#This Row],[Revenue]],0)</f>
        <v>28848</v>
      </c>
    </row>
    <row r="1569" spans="1:26" x14ac:dyDescent="0.3">
      <c r="A1569">
        <v>1568</v>
      </c>
      <c r="B1569" s="2">
        <f t="shared" si="168"/>
        <v>45357.291666666664</v>
      </c>
      <c r="C1569" t="s">
        <v>3655</v>
      </c>
      <c r="D1569" t="s">
        <v>36</v>
      </c>
      <c r="E1569" t="str">
        <f>PROPER(TRIM(CLEAN(Sales_Table[[#This Row],[Region]])))</f>
        <v>West</v>
      </c>
      <c r="F1569" t="s">
        <v>28</v>
      </c>
      <c r="G1569" t="str">
        <f t="shared" si="169"/>
        <v>Clothing</v>
      </c>
      <c r="H1569" t="str">
        <f>PROPER(TRIM(CLEAN(Sales_Table[[#This Row],[Product Name]])))</f>
        <v>Mixer Grinder</v>
      </c>
      <c r="I1569" t="s">
        <v>29</v>
      </c>
      <c r="J1569" t="str">
        <f t="shared" si="170"/>
        <v>CUST0683</v>
      </c>
      <c r="K1569" t="s">
        <v>595</v>
      </c>
      <c r="L1569" t="str">
        <f>PROPER(TRIM(CLEAN(Sales_Table[[#This Row],[Salesperson]])))</f>
        <v>Anita</v>
      </c>
      <c r="M1569" t="s">
        <v>64</v>
      </c>
      <c r="N1569" t="str">
        <f t="shared" si="171"/>
        <v>Debit Card</v>
      </c>
      <c r="O1569" t="s">
        <v>41</v>
      </c>
      <c r="P1569">
        <f t="shared" si="172"/>
        <v>6</v>
      </c>
      <c r="Q1569" t="s">
        <v>75</v>
      </c>
      <c r="R1569">
        <f t="shared" si="173"/>
        <v>204</v>
      </c>
      <c r="S1569" t="s">
        <v>3656</v>
      </c>
      <c r="T1569">
        <f t="shared" si="174"/>
        <v>1224</v>
      </c>
      <c r="U1569">
        <f>YEAR(Sales_Table[[#This Row],[Date_clean]])</f>
        <v>2024</v>
      </c>
      <c r="V1569" t="str">
        <f>TEXT(Sales_Table[[#This Row],[Date_clean]],"mmmm")</f>
        <v>March</v>
      </c>
      <c r="W1569">
        <f>WEEKNUM(Sales_Table[[#This Row],[Date_clean]],2)</f>
        <v>10</v>
      </c>
      <c r="X1569" t="str" cm="1">
        <f t="array" ref="X1569">_xlfn.IFS(Sales_Table[[#This Row],[Revenue]]&gt;=50000,"High",Sales_Table[[#This Row],[Revenue]]&gt;=20000,"Medium",Sales_Table[[#This Row],[Revenue]]&lt;20000,"Low")</f>
        <v>Low</v>
      </c>
      <c r="Y1569" t="str">
        <f>IF(Sales_Table[[#This Row],[Payment Method_clean]]="cash","Offline","Online")</f>
        <v>Online</v>
      </c>
      <c r="Z1569">
        <f>IFERROR(Sales_Table[[#This Row],[Revenue]],0)</f>
        <v>1224</v>
      </c>
    </row>
    <row r="1570" spans="1:26" x14ac:dyDescent="0.3">
      <c r="A1570">
        <v>1569</v>
      </c>
      <c r="B1570" s="2">
        <f t="shared" si="168"/>
        <v>45357.333333333336</v>
      </c>
      <c r="C1570" t="s">
        <v>3657</v>
      </c>
      <c r="D1570" t="s">
        <v>27</v>
      </c>
      <c r="E1570" t="str">
        <f>PROPER(TRIM(CLEAN(Sales_Table[[#This Row],[Region]])))</f>
        <v>East</v>
      </c>
      <c r="F1570" t="s">
        <v>46</v>
      </c>
      <c r="G1570" t="str">
        <f t="shared" si="169"/>
        <v>Electronics</v>
      </c>
      <c r="H1570" t="str">
        <f>PROPER(TRIM(CLEAN(Sales_Table[[#This Row],[Product Name]])))</f>
        <v>Washing Machine</v>
      </c>
      <c r="I1570" t="s">
        <v>79</v>
      </c>
      <c r="J1570" t="str">
        <f t="shared" si="170"/>
        <v>CUST0722</v>
      </c>
      <c r="K1570" t="s">
        <v>677</v>
      </c>
      <c r="L1570" t="str">
        <f>PROPER(TRIM(CLEAN(Sales_Table[[#This Row],[Salesperson]])))</f>
        <v>Suresh</v>
      </c>
      <c r="M1570" t="s">
        <v>54</v>
      </c>
      <c r="N1570" t="str">
        <f t="shared" si="171"/>
        <v>Cash</v>
      </c>
      <c r="O1570" t="s">
        <v>32</v>
      </c>
      <c r="P1570">
        <f t="shared" si="172"/>
        <v>7</v>
      </c>
      <c r="Q1570" t="s">
        <v>49</v>
      </c>
      <c r="R1570">
        <f t="shared" si="173"/>
        <v>1597</v>
      </c>
      <c r="S1570" t="s">
        <v>1956</v>
      </c>
      <c r="T1570">
        <f t="shared" si="174"/>
        <v>11179</v>
      </c>
      <c r="U1570">
        <f>YEAR(Sales_Table[[#This Row],[Date_clean]])</f>
        <v>2024</v>
      </c>
      <c r="V1570" t="str">
        <f>TEXT(Sales_Table[[#This Row],[Date_clean]],"mmmm")</f>
        <v>March</v>
      </c>
      <c r="W1570">
        <f>WEEKNUM(Sales_Table[[#This Row],[Date_clean]],2)</f>
        <v>10</v>
      </c>
      <c r="X1570" t="str" cm="1">
        <f t="array" ref="X1570">_xlfn.IFS(Sales_Table[[#This Row],[Revenue]]&gt;=50000,"High",Sales_Table[[#This Row],[Revenue]]&gt;=20000,"Medium",Sales_Table[[#This Row],[Revenue]]&lt;20000,"Low")</f>
        <v>Low</v>
      </c>
      <c r="Y1570" t="str">
        <f>IF(Sales_Table[[#This Row],[Payment Method_clean]]="cash","Offline","Online")</f>
        <v>Offline</v>
      </c>
      <c r="Z1570">
        <f>IFERROR(Sales_Table[[#This Row],[Revenue]],0)</f>
        <v>11179</v>
      </c>
    </row>
    <row r="1571" spans="1:26" x14ac:dyDescent="0.3">
      <c r="A1571">
        <v>1570</v>
      </c>
      <c r="B1571" s="2">
        <f t="shared" si="168"/>
        <v>45357.375</v>
      </c>
      <c r="C1571" t="s">
        <v>3658</v>
      </c>
      <c r="D1571" t="s">
        <v>84</v>
      </c>
      <c r="E1571" t="str">
        <f>PROPER(TRIM(CLEAN(Sales_Table[[#This Row],[Region]])))</f>
        <v>South</v>
      </c>
      <c r="F1571" t="s">
        <v>37</v>
      </c>
      <c r="G1571" t="str">
        <f t="shared" si="169"/>
        <v>Home Appliances</v>
      </c>
      <c r="H1571" t="str">
        <f>PROPER(TRIM(CLEAN(Sales_Table[[#This Row],[Product Name]])))</f>
        <v>Led Tv 42Inch</v>
      </c>
      <c r="I1571" t="s">
        <v>58</v>
      </c>
      <c r="J1571" t="str">
        <f t="shared" si="170"/>
        <v>CUST0748</v>
      </c>
      <c r="K1571" t="s">
        <v>3475</v>
      </c>
      <c r="L1571" t="str">
        <f>PROPER(TRIM(CLEAN(Sales_Table[[#This Row],[Salesperson]])))</f>
        <v>Karthik</v>
      </c>
      <c r="M1571" t="s">
        <v>70</v>
      </c>
      <c r="N1571" t="str">
        <f t="shared" si="171"/>
        <v>Debit Card</v>
      </c>
      <c r="O1571" t="s">
        <v>41</v>
      </c>
      <c r="P1571">
        <f t="shared" si="172"/>
        <v>5</v>
      </c>
      <c r="Q1571" t="s">
        <v>89</v>
      </c>
      <c r="R1571">
        <f t="shared" si="173"/>
        <v>3933</v>
      </c>
      <c r="S1571" t="s">
        <v>3659</v>
      </c>
      <c r="T1571">
        <f t="shared" si="174"/>
        <v>19665</v>
      </c>
      <c r="U1571">
        <f>YEAR(Sales_Table[[#This Row],[Date_clean]])</f>
        <v>2024</v>
      </c>
      <c r="V1571" t="str">
        <f>TEXT(Sales_Table[[#This Row],[Date_clean]],"mmmm")</f>
        <v>March</v>
      </c>
      <c r="W1571">
        <f>WEEKNUM(Sales_Table[[#This Row],[Date_clean]],2)</f>
        <v>10</v>
      </c>
      <c r="X1571" t="str" cm="1">
        <f t="array" ref="X1571">_xlfn.IFS(Sales_Table[[#This Row],[Revenue]]&gt;=50000,"High",Sales_Table[[#This Row],[Revenue]]&gt;=20000,"Medium",Sales_Table[[#This Row],[Revenue]]&lt;20000,"Low")</f>
        <v>Low</v>
      </c>
      <c r="Y1571" t="str">
        <f>IF(Sales_Table[[#This Row],[Payment Method_clean]]="cash","Offline","Online")</f>
        <v>Online</v>
      </c>
      <c r="Z1571">
        <f>IFERROR(Sales_Table[[#This Row],[Revenue]],0)</f>
        <v>19665</v>
      </c>
    </row>
    <row r="1572" spans="1:26" x14ac:dyDescent="0.3">
      <c r="A1572">
        <v>1571</v>
      </c>
      <c r="B1572" s="2">
        <f t="shared" si="168"/>
        <v>45357.416666666664</v>
      </c>
      <c r="C1572" t="s">
        <v>3660</v>
      </c>
      <c r="D1572" t="s">
        <v>84</v>
      </c>
      <c r="E1572" t="str">
        <f>PROPER(TRIM(CLEAN(Sales_Table[[#This Row],[Region]])))</f>
        <v>South</v>
      </c>
      <c r="F1572" t="s">
        <v>28</v>
      </c>
      <c r="G1572" t="str">
        <f t="shared" si="169"/>
        <v>Clothing</v>
      </c>
      <c r="H1572" t="str">
        <f>PROPER(TRIM(CLEAN(Sales_Table[[#This Row],[Product Name]])))</f>
        <v>Led Tv 42Inch</v>
      </c>
      <c r="I1572" t="s">
        <v>58</v>
      </c>
      <c r="J1572" t="str">
        <f t="shared" si="170"/>
        <v>CUST0422</v>
      </c>
      <c r="K1572" t="s">
        <v>1248</v>
      </c>
      <c r="L1572" t="str">
        <f>PROPER(TRIM(CLEAN(Sales_Table[[#This Row],[Salesperson]])))</f>
        <v>Suresh</v>
      </c>
      <c r="M1572" t="s">
        <v>54</v>
      </c>
      <c r="N1572" t="str">
        <f t="shared" si="171"/>
        <v>Net Banking</v>
      </c>
      <c r="O1572" t="s">
        <v>60</v>
      </c>
      <c r="P1572">
        <f t="shared" si="172"/>
        <v>7</v>
      </c>
      <c r="Q1572" t="s">
        <v>49</v>
      </c>
      <c r="R1572">
        <f t="shared" si="173"/>
        <v>495</v>
      </c>
      <c r="S1572" t="s">
        <v>3661</v>
      </c>
      <c r="T1572">
        <f t="shared" si="174"/>
        <v>3465</v>
      </c>
      <c r="U1572">
        <f>YEAR(Sales_Table[[#This Row],[Date_clean]])</f>
        <v>2024</v>
      </c>
      <c r="V1572" t="str">
        <f>TEXT(Sales_Table[[#This Row],[Date_clean]],"mmmm")</f>
        <v>March</v>
      </c>
      <c r="W1572">
        <f>WEEKNUM(Sales_Table[[#This Row],[Date_clean]],2)</f>
        <v>10</v>
      </c>
      <c r="X1572" t="str" cm="1">
        <f t="array" ref="X1572">_xlfn.IFS(Sales_Table[[#This Row],[Revenue]]&gt;=50000,"High",Sales_Table[[#This Row],[Revenue]]&gt;=20000,"Medium",Sales_Table[[#This Row],[Revenue]]&lt;20000,"Low")</f>
        <v>Low</v>
      </c>
      <c r="Y1572" t="str">
        <f>IF(Sales_Table[[#This Row],[Payment Method_clean]]="cash","Offline","Online")</f>
        <v>Online</v>
      </c>
      <c r="Z1572">
        <f>IFERROR(Sales_Table[[#This Row],[Revenue]],0)</f>
        <v>3465</v>
      </c>
    </row>
    <row r="1573" spans="1:26" x14ac:dyDescent="0.3">
      <c r="A1573">
        <v>1572</v>
      </c>
      <c r="B1573" s="2">
        <f t="shared" si="168"/>
        <v>45357.458333333336</v>
      </c>
      <c r="C1573" t="s">
        <v>3662</v>
      </c>
      <c r="D1573" t="s">
        <v>36</v>
      </c>
      <c r="E1573" t="str">
        <f>PROPER(TRIM(CLEAN(Sales_Table[[#This Row],[Region]])))</f>
        <v>West</v>
      </c>
      <c r="F1573" t="s">
        <v>46</v>
      </c>
      <c r="G1573" t="str">
        <f t="shared" si="169"/>
        <v>Electronics</v>
      </c>
      <c r="H1573" t="str">
        <f>PROPER(TRIM(CLEAN(Sales_Table[[#This Row],[Product Name]])))</f>
        <v>Rice 5Kg</v>
      </c>
      <c r="I1573" t="s">
        <v>73</v>
      </c>
      <c r="J1573" t="str">
        <f t="shared" si="170"/>
        <v>CUST0421</v>
      </c>
      <c r="K1573" t="s">
        <v>2878</v>
      </c>
      <c r="L1573" t="str">
        <f>PROPER(TRIM(CLEAN(Sales_Table[[#This Row],[Salesperson]])))</f>
        <v>Suresh</v>
      </c>
      <c r="M1573" t="s">
        <v>54</v>
      </c>
      <c r="N1573" t="str">
        <f t="shared" si="171"/>
        <v>Cash</v>
      </c>
      <c r="O1573" t="s">
        <v>32</v>
      </c>
      <c r="P1573">
        <f t="shared" si="172"/>
        <v>2</v>
      </c>
      <c r="Q1573" t="s">
        <v>196</v>
      </c>
      <c r="R1573">
        <f t="shared" si="173"/>
        <v>3617</v>
      </c>
      <c r="S1573" t="s">
        <v>1691</v>
      </c>
      <c r="T1573">
        <f t="shared" si="174"/>
        <v>7234</v>
      </c>
      <c r="U1573">
        <f>YEAR(Sales_Table[[#This Row],[Date_clean]])</f>
        <v>2024</v>
      </c>
      <c r="V1573" t="str">
        <f>TEXT(Sales_Table[[#This Row],[Date_clean]],"mmmm")</f>
        <v>March</v>
      </c>
      <c r="W1573">
        <f>WEEKNUM(Sales_Table[[#This Row],[Date_clean]],2)</f>
        <v>10</v>
      </c>
      <c r="X1573" t="str" cm="1">
        <f t="array" ref="X1573">_xlfn.IFS(Sales_Table[[#This Row],[Revenue]]&gt;=50000,"High",Sales_Table[[#This Row],[Revenue]]&gt;=20000,"Medium",Sales_Table[[#This Row],[Revenue]]&lt;20000,"Low")</f>
        <v>Low</v>
      </c>
      <c r="Y1573" t="str">
        <f>IF(Sales_Table[[#This Row],[Payment Method_clean]]="cash","Offline","Online")</f>
        <v>Offline</v>
      </c>
      <c r="Z1573">
        <f>IFERROR(Sales_Table[[#This Row],[Revenue]],0)</f>
        <v>7234</v>
      </c>
    </row>
    <row r="1574" spans="1:26" x14ac:dyDescent="0.3">
      <c r="A1574">
        <v>1573</v>
      </c>
      <c r="B1574" s="2">
        <f t="shared" si="168"/>
        <v>45357.5</v>
      </c>
      <c r="C1574" t="s">
        <v>3663</v>
      </c>
      <c r="D1574" t="s">
        <v>84</v>
      </c>
      <c r="E1574" t="str">
        <f>PROPER(TRIM(CLEAN(Sales_Table[[#This Row],[Region]])))</f>
        <v>South</v>
      </c>
      <c r="F1574" t="s">
        <v>37</v>
      </c>
      <c r="G1574" t="str">
        <f t="shared" si="169"/>
        <v>Home Appliances</v>
      </c>
      <c r="H1574" t="str">
        <f>PROPER(TRIM(CLEAN(Sales_Table[[#This Row],[Product Name]])))</f>
        <v>Rice 5Kg</v>
      </c>
      <c r="I1574" t="s">
        <v>73</v>
      </c>
      <c r="J1574" t="str">
        <f t="shared" si="170"/>
        <v>CUST0186</v>
      </c>
      <c r="K1574" t="s">
        <v>1687</v>
      </c>
      <c r="L1574" t="str">
        <f>PROPER(TRIM(CLEAN(Sales_Table[[#This Row],[Salesperson]])))</f>
        <v>Suresh</v>
      </c>
      <c r="M1574" t="s">
        <v>54</v>
      </c>
      <c r="N1574" t="str">
        <f t="shared" si="171"/>
        <v>Upi</v>
      </c>
      <c r="O1574" t="s">
        <v>48</v>
      </c>
      <c r="P1574">
        <f t="shared" si="172"/>
        <v>1</v>
      </c>
      <c r="Q1574" t="s">
        <v>93</v>
      </c>
      <c r="R1574">
        <f t="shared" si="173"/>
        <v>2753</v>
      </c>
      <c r="S1574" t="s">
        <v>2096</v>
      </c>
      <c r="T1574">
        <f t="shared" si="174"/>
        <v>2753</v>
      </c>
      <c r="U1574">
        <f>YEAR(Sales_Table[[#This Row],[Date_clean]])</f>
        <v>2024</v>
      </c>
      <c r="V1574" t="str">
        <f>TEXT(Sales_Table[[#This Row],[Date_clean]],"mmmm")</f>
        <v>March</v>
      </c>
      <c r="W1574">
        <f>WEEKNUM(Sales_Table[[#This Row],[Date_clean]],2)</f>
        <v>10</v>
      </c>
      <c r="X1574" t="str" cm="1">
        <f t="array" ref="X1574">_xlfn.IFS(Sales_Table[[#This Row],[Revenue]]&gt;=50000,"High",Sales_Table[[#This Row],[Revenue]]&gt;=20000,"Medium",Sales_Table[[#This Row],[Revenue]]&lt;20000,"Low")</f>
        <v>Low</v>
      </c>
      <c r="Y1574" t="str">
        <f>IF(Sales_Table[[#This Row],[Payment Method_clean]]="cash","Offline","Online")</f>
        <v>Online</v>
      </c>
      <c r="Z1574">
        <f>IFERROR(Sales_Table[[#This Row],[Revenue]],0)</f>
        <v>2753</v>
      </c>
    </row>
    <row r="1575" spans="1:26" x14ac:dyDescent="0.3">
      <c r="A1575">
        <v>1574</v>
      </c>
      <c r="B1575" s="2">
        <f t="shared" si="168"/>
        <v>45357.541666666664</v>
      </c>
      <c r="C1575" t="s">
        <v>3664</v>
      </c>
      <c r="D1575" t="s">
        <v>84</v>
      </c>
      <c r="E1575" t="str">
        <f>PROPER(TRIM(CLEAN(Sales_Table[[#This Row],[Region]])))</f>
        <v>South</v>
      </c>
      <c r="F1575" t="s">
        <v>78</v>
      </c>
      <c r="G1575" t="str">
        <f t="shared" si="169"/>
        <v>Grocery</v>
      </c>
      <c r="H1575" t="str">
        <f>PROPER(TRIM(CLEAN(Sales_Table[[#This Row],[Product Name]])))</f>
        <v>Led Tv 42Inch</v>
      </c>
      <c r="I1575" t="s">
        <v>58</v>
      </c>
      <c r="J1575" t="str">
        <f t="shared" si="170"/>
        <v>CUST0364</v>
      </c>
      <c r="K1575" t="s">
        <v>928</v>
      </c>
      <c r="L1575" t="str">
        <f>PROPER(TRIM(CLEAN(Sales_Table[[#This Row],[Salesperson]])))</f>
        <v>Rahul</v>
      </c>
      <c r="M1575" t="s">
        <v>31</v>
      </c>
      <c r="N1575" t="str">
        <f t="shared" si="171"/>
        <v>Net Banking</v>
      </c>
      <c r="O1575" t="s">
        <v>60</v>
      </c>
      <c r="P1575">
        <f t="shared" si="172"/>
        <v>12</v>
      </c>
      <c r="Q1575" t="s">
        <v>33</v>
      </c>
      <c r="R1575">
        <f t="shared" si="173"/>
        <v>3391</v>
      </c>
      <c r="S1575" t="s">
        <v>1749</v>
      </c>
      <c r="T1575">
        <f t="shared" si="174"/>
        <v>40692</v>
      </c>
      <c r="U1575">
        <f>YEAR(Sales_Table[[#This Row],[Date_clean]])</f>
        <v>2024</v>
      </c>
      <c r="V1575" t="str">
        <f>TEXT(Sales_Table[[#This Row],[Date_clean]],"mmmm")</f>
        <v>March</v>
      </c>
      <c r="W1575">
        <f>WEEKNUM(Sales_Table[[#This Row],[Date_clean]],2)</f>
        <v>10</v>
      </c>
      <c r="X1575" t="str" cm="1">
        <f t="array" ref="X1575">_xlfn.IFS(Sales_Table[[#This Row],[Revenue]]&gt;=50000,"High",Sales_Table[[#This Row],[Revenue]]&gt;=20000,"Medium",Sales_Table[[#This Row],[Revenue]]&lt;20000,"Low")</f>
        <v>Medium</v>
      </c>
      <c r="Y1575" t="str">
        <f>IF(Sales_Table[[#This Row],[Payment Method_clean]]="cash","Offline","Online")</f>
        <v>Online</v>
      </c>
      <c r="Z1575">
        <f>IFERROR(Sales_Table[[#This Row],[Revenue]],0)</f>
        <v>40692</v>
      </c>
    </row>
    <row r="1576" spans="1:26" x14ac:dyDescent="0.3">
      <c r="A1576">
        <v>1575</v>
      </c>
      <c r="B1576" s="2">
        <f t="shared" si="168"/>
        <v>45357.583333333336</v>
      </c>
      <c r="C1576" t="s">
        <v>3665</v>
      </c>
      <c r="D1576" t="s">
        <v>36</v>
      </c>
      <c r="E1576" t="str">
        <f>PROPER(TRIM(CLEAN(Sales_Table[[#This Row],[Region]])))</f>
        <v>West</v>
      </c>
      <c r="F1576" t="s">
        <v>28</v>
      </c>
      <c r="G1576" t="str">
        <f t="shared" si="169"/>
        <v>Clothing</v>
      </c>
      <c r="H1576" t="str">
        <f>PROPER(TRIM(CLEAN(Sales_Table[[#This Row],[Product Name]])))</f>
        <v>Laptop</v>
      </c>
      <c r="I1576" t="s">
        <v>52</v>
      </c>
      <c r="J1576" t="str">
        <f t="shared" si="170"/>
        <v>CUST0607</v>
      </c>
      <c r="K1576" t="s">
        <v>886</v>
      </c>
      <c r="L1576" t="str">
        <f>PROPER(TRIM(CLEAN(Sales_Table[[#This Row],[Salesperson]])))</f>
        <v>Suresh</v>
      </c>
      <c r="M1576" t="s">
        <v>54</v>
      </c>
      <c r="N1576" t="str">
        <f t="shared" si="171"/>
        <v>Net Banking</v>
      </c>
      <c r="O1576" t="s">
        <v>60</v>
      </c>
      <c r="P1576">
        <f t="shared" si="172"/>
        <v>10</v>
      </c>
      <c r="Q1576" t="s">
        <v>117</v>
      </c>
      <c r="R1576">
        <f t="shared" si="173"/>
        <v>2110</v>
      </c>
      <c r="S1576" t="s">
        <v>1432</v>
      </c>
      <c r="T1576">
        <f t="shared" si="174"/>
        <v>21100</v>
      </c>
      <c r="U1576">
        <f>YEAR(Sales_Table[[#This Row],[Date_clean]])</f>
        <v>2024</v>
      </c>
      <c r="V1576" t="str">
        <f>TEXT(Sales_Table[[#This Row],[Date_clean]],"mmmm")</f>
        <v>March</v>
      </c>
      <c r="W1576">
        <f>WEEKNUM(Sales_Table[[#This Row],[Date_clean]],2)</f>
        <v>10</v>
      </c>
      <c r="X1576" t="str" cm="1">
        <f t="array" ref="X1576">_xlfn.IFS(Sales_Table[[#This Row],[Revenue]]&gt;=50000,"High",Sales_Table[[#This Row],[Revenue]]&gt;=20000,"Medium",Sales_Table[[#This Row],[Revenue]]&lt;20000,"Low")</f>
        <v>Medium</v>
      </c>
      <c r="Y1576" t="str">
        <f>IF(Sales_Table[[#This Row],[Payment Method_clean]]="cash","Offline","Online")</f>
        <v>Online</v>
      </c>
      <c r="Z1576">
        <f>IFERROR(Sales_Table[[#This Row],[Revenue]],0)</f>
        <v>21100</v>
      </c>
    </row>
    <row r="1577" spans="1:26" x14ac:dyDescent="0.3">
      <c r="A1577">
        <v>1576</v>
      </c>
      <c r="B1577" s="2">
        <f t="shared" si="168"/>
        <v>45357.625</v>
      </c>
      <c r="C1577" t="s">
        <v>3666</v>
      </c>
      <c r="D1577" t="s">
        <v>27</v>
      </c>
      <c r="E1577" t="str">
        <f>PROPER(TRIM(CLEAN(Sales_Table[[#This Row],[Region]])))</f>
        <v>East</v>
      </c>
      <c r="F1577" t="s">
        <v>78</v>
      </c>
      <c r="G1577" t="str">
        <f t="shared" si="169"/>
        <v>Grocery</v>
      </c>
      <c r="H1577" t="str">
        <f>PROPER(TRIM(CLEAN(Sales_Table[[#This Row],[Product Name]])))</f>
        <v>Washing Machine</v>
      </c>
      <c r="I1577" t="s">
        <v>79</v>
      </c>
      <c r="J1577" t="str">
        <f t="shared" si="170"/>
        <v>CUST0378</v>
      </c>
      <c r="K1577" t="s">
        <v>335</v>
      </c>
      <c r="L1577" t="str">
        <f>PROPER(TRIM(CLEAN(Sales_Table[[#This Row],[Salesperson]])))</f>
        <v>Suresh</v>
      </c>
      <c r="M1577" t="s">
        <v>54</v>
      </c>
      <c r="N1577" t="str">
        <f t="shared" si="171"/>
        <v>Debit Card</v>
      </c>
      <c r="O1577" t="s">
        <v>41</v>
      </c>
      <c r="P1577">
        <f t="shared" si="172"/>
        <v>8</v>
      </c>
      <c r="Q1577" t="s">
        <v>42</v>
      </c>
      <c r="R1577">
        <f t="shared" si="173"/>
        <v>3981</v>
      </c>
      <c r="S1577" t="s">
        <v>585</v>
      </c>
      <c r="T1577">
        <f t="shared" si="174"/>
        <v>31848</v>
      </c>
      <c r="U1577">
        <f>YEAR(Sales_Table[[#This Row],[Date_clean]])</f>
        <v>2024</v>
      </c>
      <c r="V1577" t="str">
        <f>TEXT(Sales_Table[[#This Row],[Date_clean]],"mmmm")</f>
        <v>March</v>
      </c>
      <c r="W1577">
        <f>WEEKNUM(Sales_Table[[#This Row],[Date_clean]],2)</f>
        <v>10</v>
      </c>
      <c r="X1577" t="str" cm="1">
        <f t="array" ref="X1577">_xlfn.IFS(Sales_Table[[#This Row],[Revenue]]&gt;=50000,"High",Sales_Table[[#This Row],[Revenue]]&gt;=20000,"Medium",Sales_Table[[#This Row],[Revenue]]&lt;20000,"Low")</f>
        <v>Medium</v>
      </c>
      <c r="Y1577" t="str">
        <f>IF(Sales_Table[[#This Row],[Payment Method_clean]]="cash","Offline","Online")</f>
        <v>Online</v>
      </c>
      <c r="Z1577">
        <f>IFERROR(Sales_Table[[#This Row],[Revenue]],0)</f>
        <v>31848</v>
      </c>
    </row>
    <row r="1578" spans="1:26" x14ac:dyDescent="0.3">
      <c r="A1578">
        <v>1577</v>
      </c>
      <c r="B1578" s="2">
        <f t="shared" si="168"/>
        <v>45357.666666666664</v>
      </c>
      <c r="C1578" t="s">
        <v>3667</v>
      </c>
      <c r="D1578" t="s">
        <v>27</v>
      </c>
      <c r="E1578" t="str">
        <f>PROPER(TRIM(CLEAN(Sales_Table[[#This Row],[Region]])))</f>
        <v>East</v>
      </c>
      <c r="F1578" t="s">
        <v>37</v>
      </c>
      <c r="G1578" t="str">
        <f t="shared" si="169"/>
        <v>Home Appliances</v>
      </c>
      <c r="H1578" t="str">
        <f>PROPER(TRIM(CLEAN(Sales_Table[[#This Row],[Product Name]])))</f>
        <v>Led Tv 42Inch</v>
      </c>
      <c r="I1578" t="s">
        <v>58</v>
      </c>
      <c r="J1578" t="str">
        <f t="shared" si="170"/>
        <v>CUST0523</v>
      </c>
      <c r="K1578" t="s">
        <v>919</v>
      </c>
      <c r="L1578" t="str">
        <f>PROPER(TRIM(CLEAN(Sales_Table[[#This Row],[Salesperson]])))</f>
        <v>Rahul</v>
      </c>
      <c r="M1578" t="s">
        <v>31</v>
      </c>
      <c r="N1578" t="str">
        <f t="shared" si="171"/>
        <v>Net Banking</v>
      </c>
      <c r="O1578" t="s">
        <v>60</v>
      </c>
      <c r="P1578">
        <f t="shared" si="172"/>
        <v>1</v>
      </c>
      <c r="Q1578" t="s">
        <v>93</v>
      </c>
      <c r="R1578">
        <f t="shared" si="173"/>
        <v>2088</v>
      </c>
      <c r="S1578" t="s">
        <v>3668</v>
      </c>
      <c r="T1578">
        <f t="shared" si="174"/>
        <v>2088</v>
      </c>
      <c r="U1578">
        <f>YEAR(Sales_Table[[#This Row],[Date_clean]])</f>
        <v>2024</v>
      </c>
      <c r="V1578" t="str">
        <f>TEXT(Sales_Table[[#This Row],[Date_clean]],"mmmm")</f>
        <v>March</v>
      </c>
      <c r="W1578">
        <f>WEEKNUM(Sales_Table[[#This Row],[Date_clean]],2)</f>
        <v>10</v>
      </c>
      <c r="X1578" t="str" cm="1">
        <f t="array" ref="X1578">_xlfn.IFS(Sales_Table[[#This Row],[Revenue]]&gt;=50000,"High",Sales_Table[[#This Row],[Revenue]]&gt;=20000,"Medium",Sales_Table[[#This Row],[Revenue]]&lt;20000,"Low")</f>
        <v>Low</v>
      </c>
      <c r="Y1578" t="str">
        <f>IF(Sales_Table[[#This Row],[Payment Method_clean]]="cash","Offline","Online")</f>
        <v>Online</v>
      </c>
      <c r="Z1578">
        <f>IFERROR(Sales_Table[[#This Row],[Revenue]],0)</f>
        <v>2088</v>
      </c>
    </row>
    <row r="1579" spans="1:26" x14ac:dyDescent="0.3">
      <c r="A1579">
        <v>1578</v>
      </c>
      <c r="B1579" s="2">
        <f t="shared" si="168"/>
        <v>45357.708333333336</v>
      </c>
      <c r="C1579" t="s">
        <v>3669</v>
      </c>
      <c r="D1579" t="s">
        <v>84</v>
      </c>
      <c r="E1579" t="str">
        <f>PROPER(TRIM(CLEAN(Sales_Table[[#This Row],[Region]])))</f>
        <v>South</v>
      </c>
      <c r="F1579" t="s">
        <v>28</v>
      </c>
      <c r="G1579" t="str">
        <f t="shared" si="169"/>
        <v>Clothing</v>
      </c>
      <c r="H1579" t="str">
        <f>PROPER(TRIM(CLEAN(Sales_Table[[#This Row],[Product Name]])))</f>
        <v>Rice 5Kg</v>
      </c>
      <c r="I1579" t="s">
        <v>73</v>
      </c>
      <c r="J1579" t="str">
        <f t="shared" si="170"/>
        <v>CUST0580</v>
      </c>
      <c r="K1579" t="s">
        <v>1648</v>
      </c>
      <c r="L1579" t="str">
        <f>PROPER(TRIM(CLEAN(Sales_Table[[#This Row],[Salesperson]])))</f>
        <v>Rahul</v>
      </c>
      <c r="M1579" t="s">
        <v>31</v>
      </c>
      <c r="N1579" t="str">
        <f t="shared" si="171"/>
        <v>Credit Card</v>
      </c>
      <c r="O1579" t="s">
        <v>65</v>
      </c>
      <c r="P1579">
        <f t="shared" si="172"/>
        <v>12</v>
      </c>
      <c r="Q1579" t="s">
        <v>33</v>
      </c>
      <c r="R1579">
        <f t="shared" si="173"/>
        <v>4637</v>
      </c>
      <c r="S1579" t="s">
        <v>3670</v>
      </c>
      <c r="T1579">
        <f t="shared" si="174"/>
        <v>55644</v>
      </c>
      <c r="U1579">
        <f>YEAR(Sales_Table[[#This Row],[Date_clean]])</f>
        <v>2024</v>
      </c>
      <c r="V1579" t="str">
        <f>TEXT(Sales_Table[[#This Row],[Date_clean]],"mmmm")</f>
        <v>March</v>
      </c>
      <c r="W1579">
        <f>WEEKNUM(Sales_Table[[#This Row],[Date_clean]],2)</f>
        <v>10</v>
      </c>
      <c r="X1579" t="str" cm="1">
        <f t="array" ref="X1579">_xlfn.IFS(Sales_Table[[#This Row],[Revenue]]&gt;=50000,"High",Sales_Table[[#This Row],[Revenue]]&gt;=20000,"Medium",Sales_Table[[#This Row],[Revenue]]&lt;20000,"Low")</f>
        <v>High</v>
      </c>
      <c r="Y1579" t="str">
        <f>IF(Sales_Table[[#This Row],[Payment Method_clean]]="cash","Offline","Online")</f>
        <v>Online</v>
      </c>
      <c r="Z1579">
        <f>IFERROR(Sales_Table[[#This Row],[Revenue]],0)</f>
        <v>55644</v>
      </c>
    </row>
    <row r="1580" spans="1:26" x14ac:dyDescent="0.3">
      <c r="A1580">
        <v>1579</v>
      </c>
      <c r="B1580" s="2">
        <f t="shared" si="168"/>
        <v>45357.75</v>
      </c>
      <c r="C1580" t="s">
        <v>3671</v>
      </c>
      <c r="D1580" t="s">
        <v>84</v>
      </c>
      <c r="E1580" t="str">
        <f>PROPER(TRIM(CLEAN(Sales_Table[[#This Row],[Region]])))</f>
        <v>South</v>
      </c>
      <c r="F1580" t="s">
        <v>37</v>
      </c>
      <c r="G1580" t="str">
        <f t="shared" si="169"/>
        <v>Home Appliances</v>
      </c>
      <c r="H1580" t="str">
        <f>PROPER(TRIM(CLEAN(Sales_Table[[#This Row],[Product Name]])))</f>
        <v>Led Tv 42Inch</v>
      </c>
      <c r="I1580" t="s">
        <v>58</v>
      </c>
      <c r="J1580" t="str">
        <f t="shared" si="170"/>
        <v>CUST0722</v>
      </c>
      <c r="K1580" t="s">
        <v>677</v>
      </c>
      <c r="L1580" t="str">
        <f>PROPER(TRIM(CLEAN(Sales_Table[[#This Row],[Salesperson]])))</f>
        <v>Karthik</v>
      </c>
      <c r="M1580" t="s">
        <v>70</v>
      </c>
      <c r="N1580" t="str">
        <f t="shared" si="171"/>
        <v>Cash</v>
      </c>
      <c r="O1580" t="s">
        <v>32</v>
      </c>
      <c r="P1580">
        <f t="shared" si="172"/>
        <v>2</v>
      </c>
      <c r="Q1580" t="s">
        <v>196</v>
      </c>
      <c r="R1580">
        <f t="shared" si="173"/>
        <v>1768</v>
      </c>
      <c r="S1580" t="s">
        <v>3672</v>
      </c>
      <c r="T1580">
        <f t="shared" si="174"/>
        <v>3536</v>
      </c>
      <c r="U1580">
        <f>YEAR(Sales_Table[[#This Row],[Date_clean]])</f>
        <v>2024</v>
      </c>
      <c r="V1580" t="str">
        <f>TEXT(Sales_Table[[#This Row],[Date_clean]],"mmmm")</f>
        <v>March</v>
      </c>
      <c r="W1580">
        <f>WEEKNUM(Sales_Table[[#This Row],[Date_clean]],2)</f>
        <v>10</v>
      </c>
      <c r="X1580" t="str" cm="1">
        <f t="array" ref="X1580">_xlfn.IFS(Sales_Table[[#This Row],[Revenue]]&gt;=50000,"High",Sales_Table[[#This Row],[Revenue]]&gt;=20000,"Medium",Sales_Table[[#This Row],[Revenue]]&lt;20000,"Low")</f>
        <v>Low</v>
      </c>
      <c r="Y1580" t="str">
        <f>IF(Sales_Table[[#This Row],[Payment Method_clean]]="cash","Offline","Online")</f>
        <v>Offline</v>
      </c>
      <c r="Z1580">
        <f>IFERROR(Sales_Table[[#This Row],[Revenue]],0)</f>
        <v>3536</v>
      </c>
    </row>
    <row r="1581" spans="1:26" x14ac:dyDescent="0.3">
      <c r="A1581">
        <v>1580</v>
      </c>
      <c r="B1581" s="2">
        <f t="shared" si="168"/>
        <v>45357.791666666664</v>
      </c>
      <c r="C1581" t="s">
        <v>3673</v>
      </c>
      <c r="D1581" t="s">
        <v>27</v>
      </c>
      <c r="E1581" t="str">
        <f>PROPER(TRIM(CLEAN(Sales_Table[[#This Row],[Region]])))</f>
        <v>East</v>
      </c>
      <c r="F1581" t="s">
        <v>78</v>
      </c>
      <c r="G1581" t="str">
        <f t="shared" si="169"/>
        <v>Grocery</v>
      </c>
      <c r="H1581" t="str">
        <f>PROPER(TRIM(CLEAN(Sales_Table[[#This Row],[Product Name]])))</f>
        <v>Laptop</v>
      </c>
      <c r="I1581" t="s">
        <v>52</v>
      </c>
      <c r="J1581" t="str">
        <f t="shared" si="170"/>
        <v>CUST0196</v>
      </c>
      <c r="K1581" t="s">
        <v>3674</v>
      </c>
      <c r="L1581" t="str">
        <f>PROPER(TRIM(CLEAN(Sales_Table[[#This Row],[Salesperson]])))</f>
        <v>Meena</v>
      </c>
      <c r="M1581" t="s">
        <v>40</v>
      </c>
      <c r="N1581" t="str">
        <f t="shared" si="171"/>
        <v>Credit Card</v>
      </c>
      <c r="O1581" t="s">
        <v>65</v>
      </c>
      <c r="P1581">
        <f t="shared" si="172"/>
        <v>11</v>
      </c>
      <c r="Q1581" t="s">
        <v>97</v>
      </c>
      <c r="R1581">
        <f t="shared" si="173"/>
        <v>4862</v>
      </c>
      <c r="S1581" t="s">
        <v>3675</v>
      </c>
      <c r="T1581">
        <f t="shared" si="174"/>
        <v>53482</v>
      </c>
      <c r="U1581">
        <f>YEAR(Sales_Table[[#This Row],[Date_clean]])</f>
        <v>2024</v>
      </c>
      <c r="V1581" t="str">
        <f>TEXT(Sales_Table[[#This Row],[Date_clean]],"mmmm")</f>
        <v>March</v>
      </c>
      <c r="W1581">
        <f>WEEKNUM(Sales_Table[[#This Row],[Date_clean]],2)</f>
        <v>10</v>
      </c>
      <c r="X1581" t="str" cm="1">
        <f t="array" ref="X1581">_xlfn.IFS(Sales_Table[[#This Row],[Revenue]]&gt;=50000,"High",Sales_Table[[#This Row],[Revenue]]&gt;=20000,"Medium",Sales_Table[[#This Row],[Revenue]]&lt;20000,"Low")</f>
        <v>High</v>
      </c>
      <c r="Y1581" t="str">
        <f>IF(Sales_Table[[#This Row],[Payment Method_clean]]="cash","Offline","Online")</f>
        <v>Online</v>
      </c>
      <c r="Z1581">
        <f>IFERROR(Sales_Table[[#This Row],[Revenue]],0)</f>
        <v>53482</v>
      </c>
    </row>
    <row r="1582" spans="1:26" x14ac:dyDescent="0.3">
      <c r="A1582">
        <v>1581</v>
      </c>
      <c r="B1582" s="2">
        <f t="shared" si="168"/>
        <v>45357.833333333336</v>
      </c>
      <c r="C1582" t="s">
        <v>3676</v>
      </c>
      <c r="D1582" t="s">
        <v>36</v>
      </c>
      <c r="E1582" t="str">
        <f>PROPER(TRIM(CLEAN(Sales_Table[[#This Row],[Region]])))</f>
        <v>West</v>
      </c>
      <c r="F1582" t="s">
        <v>28</v>
      </c>
      <c r="G1582" t="str">
        <f t="shared" si="169"/>
        <v>Clothing</v>
      </c>
      <c r="H1582" t="str">
        <f>PROPER(TRIM(CLEAN(Sales_Table[[#This Row],[Product Name]])))</f>
        <v>Led Tv 42Inch</v>
      </c>
      <c r="I1582" t="s">
        <v>58</v>
      </c>
      <c r="J1582" t="str">
        <f t="shared" si="170"/>
        <v>CUST0098</v>
      </c>
      <c r="K1582" t="s">
        <v>922</v>
      </c>
      <c r="L1582" t="str">
        <f>PROPER(TRIM(CLEAN(Sales_Table[[#This Row],[Salesperson]])))</f>
        <v>Anita</v>
      </c>
      <c r="M1582" t="s">
        <v>64</v>
      </c>
      <c r="N1582" t="str">
        <f t="shared" si="171"/>
        <v>Debit Card</v>
      </c>
      <c r="O1582" t="s">
        <v>41</v>
      </c>
      <c r="P1582">
        <f t="shared" si="172"/>
        <v>12</v>
      </c>
      <c r="Q1582" t="s">
        <v>33</v>
      </c>
      <c r="R1582">
        <f t="shared" si="173"/>
        <v>1151</v>
      </c>
      <c r="S1582" t="s">
        <v>3677</v>
      </c>
      <c r="T1582">
        <f t="shared" si="174"/>
        <v>13812</v>
      </c>
      <c r="U1582">
        <f>YEAR(Sales_Table[[#This Row],[Date_clean]])</f>
        <v>2024</v>
      </c>
      <c r="V1582" t="str">
        <f>TEXT(Sales_Table[[#This Row],[Date_clean]],"mmmm")</f>
        <v>March</v>
      </c>
      <c r="W1582">
        <f>WEEKNUM(Sales_Table[[#This Row],[Date_clean]],2)</f>
        <v>10</v>
      </c>
      <c r="X1582" t="str" cm="1">
        <f t="array" ref="X1582">_xlfn.IFS(Sales_Table[[#This Row],[Revenue]]&gt;=50000,"High",Sales_Table[[#This Row],[Revenue]]&gt;=20000,"Medium",Sales_Table[[#This Row],[Revenue]]&lt;20000,"Low")</f>
        <v>Low</v>
      </c>
      <c r="Y1582" t="str">
        <f>IF(Sales_Table[[#This Row],[Payment Method_clean]]="cash","Offline","Online")</f>
        <v>Online</v>
      </c>
      <c r="Z1582">
        <f>IFERROR(Sales_Table[[#This Row],[Revenue]],0)</f>
        <v>13812</v>
      </c>
    </row>
    <row r="1583" spans="1:26" x14ac:dyDescent="0.3">
      <c r="A1583">
        <v>1582</v>
      </c>
      <c r="B1583" s="2">
        <f t="shared" si="168"/>
        <v>45357.875</v>
      </c>
      <c r="C1583" t="s">
        <v>3678</v>
      </c>
      <c r="D1583" t="s">
        <v>84</v>
      </c>
      <c r="E1583" t="str">
        <f>PROPER(TRIM(CLEAN(Sales_Table[[#This Row],[Region]])))</f>
        <v>South</v>
      </c>
      <c r="F1583" t="s">
        <v>78</v>
      </c>
      <c r="G1583" t="str">
        <f t="shared" si="169"/>
        <v>Grocery</v>
      </c>
      <c r="H1583" t="str">
        <f>PROPER(TRIM(CLEAN(Sales_Table[[#This Row],[Product Name]])))</f>
        <v>Washing Machine</v>
      </c>
      <c r="I1583" t="s">
        <v>79</v>
      </c>
      <c r="J1583" t="str">
        <f t="shared" si="170"/>
        <v>CUST0605</v>
      </c>
      <c r="K1583" t="s">
        <v>3679</v>
      </c>
      <c r="L1583" t="str">
        <f>PROPER(TRIM(CLEAN(Sales_Table[[#This Row],[Salesperson]])))</f>
        <v>Anita</v>
      </c>
      <c r="M1583" t="s">
        <v>64</v>
      </c>
      <c r="N1583" t="str">
        <f t="shared" si="171"/>
        <v>Debit Card</v>
      </c>
      <c r="O1583" t="s">
        <v>41</v>
      </c>
      <c r="P1583">
        <f t="shared" si="172"/>
        <v>10</v>
      </c>
      <c r="Q1583" t="s">
        <v>117</v>
      </c>
      <c r="R1583">
        <f t="shared" si="173"/>
        <v>2941</v>
      </c>
      <c r="S1583" t="s">
        <v>3135</v>
      </c>
      <c r="T1583">
        <f t="shared" si="174"/>
        <v>29410</v>
      </c>
      <c r="U1583">
        <f>YEAR(Sales_Table[[#This Row],[Date_clean]])</f>
        <v>2024</v>
      </c>
      <c r="V1583" t="str">
        <f>TEXT(Sales_Table[[#This Row],[Date_clean]],"mmmm")</f>
        <v>March</v>
      </c>
      <c r="W1583">
        <f>WEEKNUM(Sales_Table[[#This Row],[Date_clean]],2)</f>
        <v>10</v>
      </c>
      <c r="X1583" t="str" cm="1">
        <f t="array" ref="X1583">_xlfn.IFS(Sales_Table[[#This Row],[Revenue]]&gt;=50000,"High",Sales_Table[[#This Row],[Revenue]]&gt;=20000,"Medium",Sales_Table[[#This Row],[Revenue]]&lt;20000,"Low")</f>
        <v>Medium</v>
      </c>
      <c r="Y1583" t="str">
        <f>IF(Sales_Table[[#This Row],[Payment Method_clean]]="cash","Offline","Online")</f>
        <v>Online</v>
      </c>
      <c r="Z1583">
        <f>IFERROR(Sales_Table[[#This Row],[Revenue]],0)</f>
        <v>29410</v>
      </c>
    </row>
    <row r="1584" spans="1:26" x14ac:dyDescent="0.3">
      <c r="A1584">
        <v>1583</v>
      </c>
      <c r="B1584" s="2">
        <f t="shared" si="168"/>
        <v>45357.916666666664</v>
      </c>
      <c r="C1584" t="s">
        <v>3680</v>
      </c>
      <c r="D1584" t="s">
        <v>45</v>
      </c>
      <c r="E1584" t="str">
        <f>PROPER(TRIM(CLEAN(Sales_Table[[#This Row],[Region]])))</f>
        <v>North</v>
      </c>
      <c r="F1584" t="s">
        <v>37</v>
      </c>
      <c r="G1584" t="str">
        <f t="shared" si="169"/>
        <v>Home Appliances</v>
      </c>
      <c r="H1584" t="str">
        <f>PROPER(TRIM(CLEAN(Sales_Table[[#This Row],[Product Name]])))</f>
        <v>Mixer Grinder</v>
      </c>
      <c r="I1584" t="s">
        <v>29</v>
      </c>
      <c r="J1584" t="str">
        <f t="shared" si="170"/>
        <v>CUST0022</v>
      </c>
      <c r="K1584" t="s">
        <v>2035</v>
      </c>
      <c r="L1584" t="str">
        <f>PROPER(TRIM(CLEAN(Sales_Table[[#This Row],[Salesperson]])))</f>
        <v>Suresh</v>
      </c>
      <c r="M1584" t="s">
        <v>54</v>
      </c>
      <c r="N1584" t="str">
        <f t="shared" si="171"/>
        <v>Cash</v>
      </c>
      <c r="O1584" t="s">
        <v>32</v>
      </c>
      <c r="P1584">
        <f t="shared" si="172"/>
        <v>6</v>
      </c>
      <c r="Q1584" t="s">
        <v>75</v>
      </c>
      <c r="R1584">
        <f t="shared" si="173"/>
        <v>4823</v>
      </c>
      <c r="S1584" t="s">
        <v>2302</v>
      </c>
      <c r="T1584">
        <f t="shared" si="174"/>
        <v>28938</v>
      </c>
      <c r="U1584">
        <f>YEAR(Sales_Table[[#This Row],[Date_clean]])</f>
        <v>2024</v>
      </c>
      <c r="V1584" t="str">
        <f>TEXT(Sales_Table[[#This Row],[Date_clean]],"mmmm")</f>
        <v>March</v>
      </c>
      <c r="W1584">
        <f>WEEKNUM(Sales_Table[[#This Row],[Date_clean]],2)</f>
        <v>10</v>
      </c>
      <c r="X1584" t="str" cm="1">
        <f t="array" ref="X1584">_xlfn.IFS(Sales_Table[[#This Row],[Revenue]]&gt;=50000,"High",Sales_Table[[#This Row],[Revenue]]&gt;=20000,"Medium",Sales_Table[[#This Row],[Revenue]]&lt;20000,"Low")</f>
        <v>Medium</v>
      </c>
      <c r="Y1584" t="str">
        <f>IF(Sales_Table[[#This Row],[Payment Method_clean]]="cash","Offline","Online")</f>
        <v>Offline</v>
      </c>
      <c r="Z1584">
        <f>IFERROR(Sales_Table[[#This Row],[Revenue]],0)</f>
        <v>28938</v>
      </c>
    </row>
    <row r="1585" spans="1:26" x14ac:dyDescent="0.3">
      <c r="A1585">
        <v>1584</v>
      </c>
      <c r="B1585" s="2">
        <f t="shared" si="168"/>
        <v>45357.958333333336</v>
      </c>
      <c r="C1585" t="s">
        <v>3681</v>
      </c>
      <c r="D1585" t="s">
        <v>36</v>
      </c>
      <c r="E1585" t="str">
        <f>PROPER(TRIM(CLEAN(Sales_Table[[#This Row],[Region]])))</f>
        <v>West</v>
      </c>
      <c r="F1585" t="s">
        <v>37</v>
      </c>
      <c r="G1585" t="str">
        <f t="shared" si="169"/>
        <v>Home Appliances</v>
      </c>
      <c r="H1585" t="str">
        <f>PROPER(TRIM(CLEAN(Sales_Table[[#This Row],[Product Name]])))</f>
        <v>Laptop</v>
      </c>
      <c r="I1585" t="s">
        <v>52</v>
      </c>
      <c r="J1585" t="str">
        <f t="shared" si="170"/>
        <v>CUST0450</v>
      </c>
      <c r="K1585" t="s">
        <v>598</v>
      </c>
      <c r="L1585" t="str">
        <f>PROPER(TRIM(CLEAN(Sales_Table[[#This Row],[Salesperson]])))</f>
        <v>Karthik</v>
      </c>
      <c r="M1585" t="s">
        <v>70</v>
      </c>
      <c r="N1585" t="str">
        <f t="shared" si="171"/>
        <v>Net Banking</v>
      </c>
      <c r="O1585" t="s">
        <v>60</v>
      </c>
      <c r="P1585">
        <f t="shared" si="172"/>
        <v>1</v>
      </c>
      <c r="Q1585" t="s">
        <v>93</v>
      </c>
      <c r="R1585">
        <f t="shared" si="173"/>
        <v>3684</v>
      </c>
      <c r="S1585" t="s">
        <v>3682</v>
      </c>
      <c r="T1585">
        <f t="shared" si="174"/>
        <v>3684</v>
      </c>
      <c r="U1585">
        <f>YEAR(Sales_Table[[#This Row],[Date_clean]])</f>
        <v>2024</v>
      </c>
      <c r="V1585" t="str">
        <f>TEXT(Sales_Table[[#This Row],[Date_clean]],"mmmm")</f>
        <v>March</v>
      </c>
      <c r="W1585">
        <f>WEEKNUM(Sales_Table[[#This Row],[Date_clean]],2)</f>
        <v>10</v>
      </c>
      <c r="X1585" t="str" cm="1">
        <f t="array" ref="X1585">_xlfn.IFS(Sales_Table[[#This Row],[Revenue]]&gt;=50000,"High",Sales_Table[[#This Row],[Revenue]]&gt;=20000,"Medium",Sales_Table[[#This Row],[Revenue]]&lt;20000,"Low")</f>
        <v>Low</v>
      </c>
      <c r="Y1585" t="str">
        <f>IF(Sales_Table[[#This Row],[Payment Method_clean]]="cash","Offline","Online")</f>
        <v>Online</v>
      </c>
      <c r="Z1585">
        <f>IFERROR(Sales_Table[[#This Row],[Revenue]],0)</f>
        <v>3684</v>
      </c>
    </row>
    <row r="1586" spans="1:26" x14ac:dyDescent="0.3">
      <c r="A1586">
        <v>1585</v>
      </c>
      <c r="B1586" s="2">
        <f t="shared" si="168"/>
        <v>45358</v>
      </c>
      <c r="C1586" t="s">
        <v>3683</v>
      </c>
      <c r="D1586" t="s">
        <v>84</v>
      </c>
      <c r="E1586" t="str">
        <f>PROPER(TRIM(CLEAN(Sales_Table[[#This Row],[Region]])))</f>
        <v>South</v>
      </c>
      <c r="F1586" t="s">
        <v>78</v>
      </c>
      <c r="G1586" t="str">
        <f t="shared" si="169"/>
        <v>Grocery</v>
      </c>
      <c r="H1586" t="str">
        <f>PROPER(TRIM(CLEAN(Sales_Table[[#This Row],[Product Name]])))</f>
        <v>Rice 5Kg</v>
      </c>
      <c r="I1586" t="s">
        <v>73</v>
      </c>
      <c r="J1586" t="str">
        <f t="shared" si="170"/>
        <v>CUST0172</v>
      </c>
      <c r="K1586" t="s">
        <v>3647</v>
      </c>
      <c r="L1586" t="str">
        <f>PROPER(TRIM(CLEAN(Sales_Table[[#This Row],[Salesperson]])))</f>
        <v>Suresh</v>
      </c>
      <c r="M1586" t="s">
        <v>54</v>
      </c>
      <c r="N1586" t="str">
        <f t="shared" si="171"/>
        <v>Upi</v>
      </c>
      <c r="O1586" t="s">
        <v>48</v>
      </c>
      <c r="P1586">
        <f t="shared" si="172"/>
        <v>10</v>
      </c>
      <c r="Q1586" t="s">
        <v>117</v>
      </c>
      <c r="R1586">
        <f t="shared" si="173"/>
        <v>447</v>
      </c>
      <c r="S1586" t="s">
        <v>3684</v>
      </c>
      <c r="T1586">
        <f t="shared" si="174"/>
        <v>4470</v>
      </c>
      <c r="U1586">
        <f>YEAR(Sales_Table[[#This Row],[Date_clean]])</f>
        <v>2024</v>
      </c>
      <c r="V1586" t="str">
        <f>TEXT(Sales_Table[[#This Row],[Date_clean]],"mmmm")</f>
        <v>March</v>
      </c>
      <c r="W1586">
        <f>WEEKNUM(Sales_Table[[#This Row],[Date_clean]],2)</f>
        <v>10</v>
      </c>
      <c r="X1586" t="str" cm="1">
        <f t="array" ref="X1586">_xlfn.IFS(Sales_Table[[#This Row],[Revenue]]&gt;=50000,"High",Sales_Table[[#This Row],[Revenue]]&gt;=20000,"Medium",Sales_Table[[#This Row],[Revenue]]&lt;20000,"Low")</f>
        <v>Low</v>
      </c>
      <c r="Y1586" t="str">
        <f>IF(Sales_Table[[#This Row],[Payment Method_clean]]="cash","Offline","Online")</f>
        <v>Online</v>
      </c>
      <c r="Z1586">
        <f>IFERROR(Sales_Table[[#This Row],[Revenue]],0)</f>
        <v>4470</v>
      </c>
    </row>
    <row r="1587" spans="1:26" x14ac:dyDescent="0.3">
      <c r="A1587">
        <v>1586</v>
      </c>
      <c r="B1587" s="2">
        <f t="shared" si="168"/>
        <v>45358.041666666664</v>
      </c>
      <c r="C1587" t="s">
        <v>3685</v>
      </c>
      <c r="D1587" t="s">
        <v>84</v>
      </c>
      <c r="E1587" t="str">
        <f>PROPER(TRIM(CLEAN(Sales_Table[[#This Row],[Region]])))</f>
        <v>South</v>
      </c>
      <c r="F1587" t="s">
        <v>28</v>
      </c>
      <c r="G1587" t="str">
        <f t="shared" si="169"/>
        <v>Clothing</v>
      </c>
      <c r="H1587" t="str">
        <f>PROPER(TRIM(CLEAN(Sales_Table[[#This Row],[Product Name]])))</f>
        <v>Washing Machine</v>
      </c>
      <c r="I1587" t="s">
        <v>79</v>
      </c>
      <c r="J1587" t="str">
        <f t="shared" si="170"/>
        <v>CUST0383</v>
      </c>
      <c r="K1587" t="s">
        <v>590</v>
      </c>
      <c r="L1587" t="str">
        <f>PROPER(TRIM(CLEAN(Sales_Table[[#This Row],[Salesperson]])))</f>
        <v>Anita</v>
      </c>
      <c r="M1587" t="s">
        <v>64</v>
      </c>
      <c r="N1587" t="str">
        <f t="shared" si="171"/>
        <v>Debit Card</v>
      </c>
      <c r="O1587" t="s">
        <v>41</v>
      </c>
      <c r="P1587">
        <f t="shared" si="172"/>
        <v>3</v>
      </c>
      <c r="Q1587" t="s">
        <v>66</v>
      </c>
      <c r="R1587">
        <f t="shared" si="173"/>
        <v>1363</v>
      </c>
      <c r="S1587" t="s">
        <v>3686</v>
      </c>
      <c r="T1587">
        <f t="shared" si="174"/>
        <v>4089</v>
      </c>
      <c r="U1587">
        <f>YEAR(Sales_Table[[#This Row],[Date_clean]])</f>
        <v>2024</v>
      </c>
      <c r="V1587" t="str">
        <f>TEXT(Sales_Table[[#This Row],[Date_clean]],"mmmm")</f>
        <v>March</v>
      </c>
      <c r="W1587">
        <f>WEEKNUM(Sales_Table[[#This Row],[Date_clean]],2)</f>
        <v>10</v>
      </c>
      <c r="X1587" t="str" cm="1">
        <f t="array" ref="X1587">_xlfn.IFS(Sales_Table[[#This Row],[Revenue]]&gt;=50000,"High",Sales_Table[[#This Row],[Revenue]]&gt;=20000,"Medium",Sales_Table[[#This Row],[Revenue]]&lt;20000,"Low")</f>
        <v>Low</v>
      </c>
      <c r="Y1587" t="str">
        <f>IF(Sales_Table[[#This Row],[Payment Method_clean]]="cash","Offline","Online")</f>
        <v>Online</v>
      </c>
      <c r="Z1587">
        <f>IFERROR(Sales_Table[[#This Row],[Revenue]],0)</f>
        <v>4089</v>
      </c>
    </row>
    <row r="1588" spans="1:26" x14ac:dyDescent="0.3">
      <c r="A1588">
        <v>1587</v>
      </c>
      <c r="B1588" s="2">
        <f t="shared" si="168"/>
        <v>45358.083333333336</v>
      </c>
      <c r="C1588" t="s">
        <v>3687</v>
      </c>
      <c r="D1588" t="s">
        <v>45</v>
      </c>
      <c r="E1588" t="str">
        <f>PROPER(TRIM(CLEAN(Sales_Table[[#This Row],[Region]])))</f>
        <v>North</v>
      </c>
      <c r="F1588" t="s">
        <v>78</v>
      </c>
      <c r="G1588" t="str">
        <f t="shared" si="169"/>
        <v>Grocery</v>
      </c>
      <c r="H1588" t="str">
        <f>PROPER(TRIM(CLEAN(Sales_Table[[#This Row],[Product Name]])))</f>
        <v>Led Tv 42Inch</v>
      </c>
      <c r="I1588" t="s">
        <v>58</v>
      </c>
      <c r="J1588" t="str">
        <f t="shared" si="170"/>
        <v>CUST0134</v>
      </c>
      <c r="K1588" t="s">
        <v>3688</v>
      </c>
      <c r="L1588" t="str">
        <f>PROPER(TRIM(CLEAN(Sales_Table[[#This Row],[Salesperson]])))</f>
        <v>Rahul</v>
      </c>
      <c r="M1588" t="s">
        <v>31</v>
      </c>
      <c r="N1588" t="str">
        <f t="shared" si="171"/>
        <v>Cash</v>
      </c>
      <c r="O1588" t="s">
        <v>32</v>
      </c>
      <c r="P1588">
        <f t="shared" si="172"/>
        <v>7</v>
      </c>
      <c r="Q1588" t="s">
        <v>49</v>
      </c>
      <c r="R1588">
        <f t="shared" si="173"/>
        <v>4765</v>
      </c>
      <c r="S1588" t="s">
        <v>3689</v>
      </c>
      <c r="T1588">
        <f t="shared" si="174"/>
        <v>33355</v>
      </c>
      <c r="U1588">
        <f>YEAR(Sales_Table[[#This Row],[Date_clean]])</f>
        <v>2024</v>
      </c>
      <c r="V1588" t="str">
        <f>TEXT(Sales_Table[[#This Row],[Date_clean]],"mmmm")</f>
        <v>March</v>
      </c>
      <c r="W1588">
        <f>WEEKNUM(Sales_Table[[#This Row],[Date_clean]],2)</f>
        <v>10</v>
      </c>
      <c r="X1588" t="str" cm="1">
        <f t="array" ref="X1588">_xlfn.IFS(Sales_Table[[#This Row],[Revenue]]&gt;=50000,"High",Sales_Table[[#This Row],[Revenue]]&gt;=20000,"Medium",Sales_Table[[#This Row],[Revenue]]&lt;20000,"Low")</f>
        <v>Medium</v>
      </c>
      <c r="Y1588" t="str">
        <f>IF(Sales_Table[[#This Row],[Payment Method_clean]]="cash","Offline","Online")</f>
        <v>Offline</v>
      </c>
      <c r="Z1588">
        <f>IFERROR(Sales_Table[[#This Row],[Revenue]],0)</f>
        <v>33355</v>
      </c>
    </row>
    <row r="1589" spans="1:26" x14ac:dyDescent="0.3">
      <c r="A1589">
        <v>1588</v>
      </c>
      <c r="B1589" s="2">
        <f t="shared" si="168"/>
        <v>45358.125</v>
      </c>
      <c r="C1589" t="s">
        <v>3690</v>
      </c>
      <c r="D1589" t="s">
        <v>45</v>
      </c>
      <c r="E1589" t="str">
        <f>PROPER(TRIM(CLEAN(Sales_Table[[#This Row],[Region]])))</f>
        <v>North</v>
      </c>
      <c r="F1589" t="s">
        <v>37</v>
      </c>
      <c r="G1589" t="str">
        <f t="shared" si="169"/>
        <v>Home Appliances</v>
      </c>
      <c r="H1589" t="str">
        <f>PROPER(TRIM(CLEAN(Sales_Table[[#This Row],[Product Name]])))</f>
        <v>Led Tv 42Inch</v>
      </c>
      <c r="I1589" t="s">
        <v>58</v>
      </c>
      <c r="J1589" t="str">
        <f t="shared" si="170"/>
        <v>CUST0426</v>
      </c>
      <c r="K1589" t="s">
        <v>2025</v>
      </c>
      <c r="L1589" t="str">
        <f>PROPER(TRIM(CLEAN(Sales_Table[[#This Row],[Salesperson]])))</f>
        <v>Meena</v>
      </c>
      <c r="M1589" t="s">
        <v>40</v>
      </c>
      <c r="N1589" t="str">
        <f t="shared" si="171"/>
        <v>Upi</v>
      </c>
      <c r="O1589" t="s">
        <v>48</v>
      </c>
      <c r="P1589">
        <f t="shared" si="172"/>
        <v>12</v>
      </c>
      <c r="Q1589" t="s">
        <v>33</v>
      </c>
      <c r="R1589">
        <f t="shared" si="173"/>
        <v>2842</v>
      </c>
      <c r="S1589" t="s">
        <v>3691</v>
      </c>
      <c r="T1589">
        <f t="shared" si="174"/>
        <v>34104</v>
      </c>
      <c r="U1589">
        <f>YEAR(Sales_Table[[#This Row],[Date_clean]])</f>
        <v>2024</v>
      </c>
      <c r="V1589" t="str">
        <f>TEXT(Sales_Table[[#This Row],[Date_clean]],"mmmm")</f>
        <v>March</v>
      </c>
      <c r="W1589">
        <f>WEEKNUM(Sales_Table[[#This Row],[Date_clean]],2)</f>
        <v>10</v>
      </c>
      <c r="X1589" t="str" cm="1">
        <f t="array" ref="X1589">_xlfn.IFS(Sales_Table[[#This Row],[Revenue]]&gt;=50000,"High",Sales_Table[[#This Row],[Revenue]]&gt;=20000,"Medium",Sales_Table[[#This Row],[Revenue]]&lt;20000,"Low")</f>
        <v>Medium</v>
      </c>
      <c r="Y1589" t="str">
        <f>IF(Sales_Table[[#This Row],[Payment Method_clean]]="cash","Offline","Online")</f>
        <v>Online</v>
      </c>
      <c r="Z1589">
        <f>IFERROR(Sales_Table[[#This Row],[Revenue]],0)</f>
        <v>34104</v>
      </c>
    </row>
    <row r="1590" spans="1:26" x14ac:dyDescent="0.3">
      <c r="A1590">
        <v>1589</v>
      </c>
      <c r="B1590" s="2">
        <f t="shared" si="168"/>
        <v>45358.166666666664</v>
      </c>
      <c r="C1590" t="s">
        <v>3692</v>
      </c>
      <c r="D1590" t="s">
        <v>27</v>
      </c>
      <c r="E1590" t="str">
        <f>PROPER(TRIM(CLEAN(Sales_Table[[#This Row],[Region]])))</f>
        <v>East</v>
      </c>
      <c r="F1590" t="s">
        <v>78</v>
      </c>
      <c r="G1590" t="str">
        <f t="shared" si="169"/>
        <v>Grocery</v>
      </c>
      <c r="H1590" t="str">
        <f>PROPER(TRIM(CLEAN(Sales_Table[[#This Row],[Product Name]])))</f>
        <v>Mixer Grinder</v>
      </c>
      <c r="I1590" t="s">
        <v>29</v>
      </c>
      <c r="J1590" t="str">
        <f t="shared" si="170"/>
        <v>CUST0025</v>
      </c>
      <c r="K1590" t="s">
        <v>1864</v>
      </c>
      <c r="L1590" t="str">
        <f>PROPER(TRIM(CLEAN(Sales_Table[[#This Row],[Salesperson]])))</f>
        <v>Karthik</v>
      </c>
      <c r="M1590" t="s">
        <v>70</v>
      </c>
      <c r="N1590" t="str">
        <f t="shared" si="171"/>
        <v>Net Banking</v>
      </c>
      <c r="O1590" t="s">
        <v>60</v>
      </c>
      <c r="P1590">
        <f t="shared" si="172"/>
        <v>8</v>
      </c>
      <c r="Q1590" t="s">
        <v>42</v>
      </c>
      <c r="R1590">
        <f t="shared" si="173"/>
        <v>2173</v>
      </c>
      <c r="S1590" t="s">
        <v>3693</v>
      </c>
      <c r="T1590">
        <f t="shared" si="174"/>
        <v>17384</v>
      </c>
      <c r="U1590">
        <f>YEAR(Sales_Table[[#This Row],[Date_clean]])</f>
        <v>2024</v>
      </c>
      <c r="V1590" t="str">
        <f>TEXT(Sales_Table[[#This Row],[Date_clean]],"mmmm")</f>
        <v>March</v>
      </c>
      <c r="W1590">
        <f>WEEKNUM(Sales_Table[[#This Row],[Date_clean]],2)</f>
        <v>10</v>
      </c>
      <c r="X1590" t="str" cm="1">
        <f t="array" ref="X1590">_xlfn.IFS(Sales_Table[[#This Row],[Revenue]]&gt;=50000,"High",Sales_Table[[#This Row],[Revenue]]&gt;=20000,"Medium",Sales_Table[[#This Row],[Revenue]]&lt;20000,"Low")</f>
        <v>Low</v>
      </c>
      <c r="Y1590" t="str">
        <f>IF(Sales_Table[[#This Row],[Payment Method_clean]]="cash","Offline","Online")</f>
        <v>Online</v>
      </c>
      <c r="Z1590">
        <f>IFERROR(Sales_Table[[#This Row],[Revenue]],0)</f>
        <v>17384</v>
      </c>
    </row>
    <row r="1591" spans="1:26" x14ac:dyDescent="0.3">
      <c r="A1591">
        <v>1590</v>
      </c>
      <c r="B1591" s="2">
        <f t="shared" si="168"/>
        <v>45358.208333333336</v>
      </c>
      <c r="C1591" t="s">
        <v>3694</v>
      </c>
      <c r="D1591" t="s">
        <v>36</v>
      </c>
      <c r="E1591" t="str">
        <f>PROPER(TRIM(CLEAN(Sales_Table[[#This Row],[Region]])))</f>
        <v>West</v>
      </c>
      <c r="F1591" t="s">
        <v>37</v>
      </c>
      <c r="G1591" t="str">
        <f t="shared" si="169"/>
        <v>Home Appliances</v>
      </c>
      <c r="H1591" t="str">
        <f>PROPER(TRIM(CLEAN(Sales_Table[[#This Row],[Product Name]])))</f>
        <v>Rice 5Kg</v>
      </c>
      <c r="I1591" t="s">
        <v>73</v>
      </c>
      <c r="J1591" t="str">
        <f t="shared" si="170"/>
        <v>CUST0503</v>
      </c>
      <c r="K1591" t="s">
        <v>1131</v>
      </c>
      <c r="L1591" t="str">
        <f>PROPER(TRIM(CLEAN(Sales_Table[[#This Row],[Salesperson]])))</f>
        <v>Rahul</v>
      </c>
      <c r="M1591" t="s">
        <v>31</v>
      </c>
      <c r="N1591" t="str">
        <f t="shared" si="171"/>
        <v>Debit Card</v>
      </c>
      <c r="O1591" t="s">
        <v>41</v>
      </c>
      <c r="P1591">
        <f t="shared" si="172"/>
        <v>4</v>
      </c>
      <c r="Q1591" t="s">
        <v>113</v>
      </c>
      <c r="R1591">
        <f t="shared" si="173"/>
        <v>3248</v>
      </c>
      <c r="S1591" t="s">
        <v>3695</v>
      </c>
      <c r="T1591">
        <f t="shared" si="174"/>
        <v>12992</v>
      </c>
      <c r="U1591">
        <f>YEAR(Sales_Table[[#This Row],[Date_clean]])</f>
        <v>2024</v>
      </c>
      <c r="V1591" t="str">
        <f>TEXT(Sales_Table[[#This Row],[Date_clean]],"mmmm")</f>
        <v>March</v>
      </c>
      <c r="W1591">
        <f>WEEKNUM(Sales_Table[[#This Row],[Date_clean]],2)</f>
        <v>10</v>
      </c>
      <c r="X1591" t="str" cm="1">
        <f t="array" ref="X1591">_xlfn.IFS(Sales_Table[[#This Row],[Revenue]]&gt;=50000,"High",Sales_Table[[#This Row],[Revenue]]&gt;=20000,"Medium",Sales_Table[[#This Row],[Revenue]]&lt;20000,"Low")</f>
        <v>Low</v>
      </c>
      <c r="Y1591" t="str">
        <f>IF(Sales_Table[[#This Row],[Payment Method_clean]]="cash","Offline","Online")</f>
        <v>Online</v>
      </c>
      <c r="Z1591">
        <f>IFERROR(Sales_Table[[#This Row],[Revenue]],0)</f>
        <v>12992</v>
      </c>
    </row>
    <row r="1592" spans="1:26" x14ac:dyDescent="0.3">
      <c r="A1592">
        <v>1591</v>
      </c>
      <c r="B1592" s="2">
        <f t="shared" si="168"/>
        <v>45358.25</v>
      </c>
      <c r="C1592" t="s">
        <v>3696</v>
      </c>
      <c r="D1592" t="s">
        <v>36</v>
      </c>
      <c r="E1592" t="str">
        <f>PROPER(TRIM(CLEAN(Sales_Table[[#This Row],[Region]])))</f>
        <v>West</v>
      </c>
      <c r="F1592" t="s">
        <v>78</v>
      </c>
      <c r="G1592" t="str">
        <f t="shared" si="169"/>
        <v>Grocery</v>
      </c>
      <c r="H1592" t="str">
        <f>PROPER(TRIM(CLEAN(Sales_Table[[#This Row],[Product Name]])))</f>
        <v>Rice 5Kg</v>
      </c>
      <c r="I1592" t="s">
        <v>73</v>
      </c>
      <c r="J1592" t="str">
        <f t="shared" si="170"/>
        <v>CUST0185</v>
      </c>
      <c r="K1592" t="s">
        <v>1287</v>
      </c>
      <c r="L1592" t="str">
        <f>PROPER(TRIM(CLEAN(Sales_Table[[#This Row],[Salesperson]])))</f>
        <v>Meena</v>
      </c>
      <c r="M1592" t="s">
        <v>40</v>
      </c>
      <c r="N1592" t="str">
        <f t="shared" si="171"/>
        <v>Cash</v>
      </c>
      <c r="O1592" t="s">
        <v>32</v>
      </c>
      <c r="P1592">
        <f t="shared" si="172"/>
        <v>12</v>
      </c>
      <c r="Q1592" t="s">
        <v>33</v>
      </c>
      <c r="R1592">
        <f t="shared" si="173"/>
        <v>1451</v>
      </c>
      <c r="S1592" t="s">
        <v>794</v>
      </c>
      <c r="T1592">
        <f t="shared" si="174"/>
        <v>17412</v>
      </c>
      <c r="U1592">
        <f>YEAR(Sales_Table[[#This Row],[Date_clean]])</f>
        <v>2024</v>
      </c>
      <c r="V1592" t="str">
        <f>TEXT(Sales_Table[[#This Row],[Date_clean]],"mmmm")</f>
        <v>March</v>
      </c>
      <c r="W1592">
        <f>WEEKNUM(Sales_Table[[#This Row],[Date_clean]],2)</f>
        <v>10</v>
      </c>
      <c r="X1592" t="str" cm="1">
        <f t="array" ref="X1592">_xlfn.IFS(Sales_Table[[#This Row],[Revenue]]&gt;=50000,"High",Sales_Table[[#This Row],[Revenue]]&gt;=20000,"Medium",Sales_Table[[#This Row],[Revenue]]&lt;20000,"Low")</f>
        <v>Low</v>
      </c>
      <c r="Y1592" t="str">
        <f>IF(Sales_Table[[#This Row],[Payment Method_clean]]="cash","Offline","Online")</f>
        <v>Offline</v>
      </c>
      <c r="Z1592">
        <f>IFERROR(Sales_Table[[#This Row],[Revenue]],0)</f>
        <v>17412</v>
      </c>
    </row>
    <row r="1593" spans="1:26" x14ac:dyDescent="0.3">
      <c r="A1593">
        <v>1592</v>
      </c>
      <c r="B1593" s="2">
        <f t="shared" si="168"/>
        <v>45358.291666666664</v>
      </c>
      <c r="C1593" t="s">
        <v>3697</v>
      </c>
      <c r="D1593" t="s">
        <v>27</v>
      </c>
      <c r="E1593" t="str">
        <f>PROPER(TRIM(CLEAN(Sales_Table[[#This Row],[Region]])))</f>
        <v>East</v>
      </c>
      <c r="F1593" t="s">
        <v>28</v>
      </c>
      <c r="G1593" t="str">
        <f t="shared" si="169"/>
        <v>Clothing</v>
      </c>
      <c r="H1593" t="str">
        <f>PROPER(TRIM(CLEAN(Sales_Table[[#This Row],[Product Name]])))</f>
        <v>Men T-Shirt</v>
      </c>
      <c r="I1593" t="s">
        <v>38</v>
      </c>
      <c r="J1593" t="str">
        <f t="shared" si="170"/>
        <v>CUST0085</v>
      </c>
      <c r="K1593" t="s">
        <v>3698</v>
      </c>
      <c r="L1593" t="str">
        <f>PROPER(TRIM(CLEAN(Sales_Table[[#This Row],[Salesperson]])))</f>
        <v>Karthik</v>
      </c>
      <c r="M1593" t="s">
        <v>70</v>
      </c>
      <c r="N1593" t="str">
        <f t="shared" si="171"/>
        <v>Cash</v>
      </c>
      <c r="O1593" t="s">
        <v>32</v>
      </c>
      <c r="P1593">
        <f t="shared" si="172"/>
        <v>3</v>
      </c>
      <c r="Q1593" t="s">
        <v>66</v>
      </c>
      <c r="R1593">
        <f t="shared" si="173"/>
        <v>2921</v>
      </c>
      <c r="S1593" t="s">
        <v>3699</v>
      </c>
      <c r="T1593">
        <f t="shared" si="174"/>
        <v>8763</v>
      </c>
      <c r="U1593">
        <f>YEAR(Sales_Table[[#This Row],[Date_clean]])</f>
        <v>2024</v>
      </c>
      <c r="V1593" t="str">
        <f>TEXT(Sales_Table[[#This Row],[Date_clean]],"mmmm")</f>
        <v>March</v>
      </c>
      <c r="W1593">
        <f>WEEKNUM(Sales_Table[[#This Row],[Date_clean]],2)</f>
        <v>10</v>
      </c>
      <c r="X1593" t="str" cm="1">
        <f t="array" ref="X1593">_xlfn.IFS(Sales_Table[[#This Row],[Revenue]]&gt;=50000,"High",Sales_Table[[#This Row],[Revenue]]&gt;=20000,"Medium",Sales_Table[[#This Row],[Revenue]]&lt;20000,"Low")</f>
        <v>Low</v>
      </c>
      <c r="Y1593" t="str">
        <f>IF(Sales_Table[[#This Row],[Payment Method_clean]]="cash","Offline","Online")</f>
        <v>Offline</v>
      </c>
      <c r="Z1593">
        <f>IFERROR(Sales_Table[[#This Row],[Revenue]],0)</f>
        <v>8763</v>
      </c>
    </row>
    <row r="1594" spans="1:26" x14ac:dyDescent="0.3">
      <c r="A1594">
        <v>1593</v>
      </c>
      <c r="B1594" s="2">
        <f t="shared" si="168"/>
        <v>45358.333333333336</v>
      </c>
      <c r="C1594" t="s">
        <v>3700</v>
      </c>
      <c r="D1594" t="s">
        <v>36</v>
      </c>
      <c r="E1594" t="str">
        <f>PROPER(TRIM(CLEAN(Sales_Table[[#This Row],[Region]])))</f>
        <v>West</v>
      </c>
      <c r="F1594" t="s">
        <v>28</v>
      </c>
      <c r="G1594" t="str">
        <f t="shared" si="169"/>
        <v>Clothing</v>
      </c>
      <c r="H1594" t="str">
        <f>PROPER(TRIM(CLEAN(Sales_Table[[#This Row],[Product Name]])))</f>
        <v>Rice 5Kg</v>
      </c>
      <c r="I1594" t="s">
        <v>73</v>
      </c>
      <c r="J1594" t="str">
        <f t="shared" si="170"/>
        <v>CUST0567</v>
      </c>
      <c r="K1594" t="s">
        <v>672</v>
      </c>
      <c r="L1594" t="str">
        <f>PROPER(TRIM(CLEAN(Sales_Table[[#This Row],[Salesperson]])))</f>
        <v>Karthik</v>
      </c>
      <c r="M1594" t="s">
        <v>70</v>
      </c>
      <c r="N1594" t="str">
        <f t="shared" si="171"/>
        <v>Cash</v>
      </c>
      <c r="O1594" t="s">
        <v>32</v>
      </c>
      <c r="P1594">
        <f t="shared" si="172"/>
        <v>1</v>
      </c>
      <c r="Q1594" t="s">
        <v>93</v>
      </c>
      <c r="R1594">
        <f t="shared" si="173"/>
        <v>3927</v>
      </c>
      <c r="S1594" t="s">
        <v>3701</v>
      </c>
      <c r="T1594">
        <f t="shared" si="174"/>
        <v>3927</v>
      </c>
      <c r="U1594">
        <f>YEAR(Sales_Table[[#This Row],[Date_clean]])</f>
        <v>2024</v>
      </c>
      <c r="V1594" t="str">
        <f>TEXT(Sales_Table[[#This Row],[Date_clean]],"mmmm")</f>
        <v>March</v>
      </c>
      <c r="W1594">
        <f>WEEKNUM(Sales_Table[[#This Row],[Date_clean]],2)</f>
        <v>10</v>
      </c>
      <c r="X1594" t="str" cm="1">
        <f t="array" ref="X1594">_xlfn.IFS(Sales_Table[[#This Row],[Revenue]]&gt;=50000,"High",Sales_Table[[#This Row],[Revenue]]&gt;=20000,"Medium",Sales_Table[[#This Row],[Revenue]]&lt;20000,"Low")</f>
        <v>Low</v>
      </c>
      <c r="Y1594" t="str">
        <f>IF(Sales_Table[[#This Row],[Payment Method_clean]]="cash","Offline","Online")</f>
        <v>Offline</v>
      </c>
      <c r="Z1594">
        <f>IFERROR(Sales_Table[[#This Row],[Revenue]],0)</f>
        <v>3927</v>
      </c>
    </row>
    <row r="1595" spans="1:26" x14ac:dyDescent="0.3">
      <c r="A1595">
        <v>1594</v>
      </c>
      <c r="B1595" s="2">
        <f t="shared" si="168"/>
        <v>45358.375</v>
      </c>
      <c r="C1595" t="s">
        <v>3702</v>
      </c>
      <c r="D1595" t="s">
        <v>36</v>
      </c>
      <c r="E1595" t="str">
        <f>PROPER(TRIM(CLEAN(Sales_Table[[#This Row],[Region]])))</f>
        <v>West</v>
      </c>
      <c r="F1595" t="s">
        <v>78</v>
      </c>
      <c r="G1595" t="str">
        <f t="shared" si="169"/>
        <v>Grocery</v>
      </c>
      <c r="H1595" t="str">
        <f>PROPER(TRIM(CLEAN(Sales_Table[[#This Row],[Product Name]])))</f>
        <v>Mixer Grinder</v>
      </c>
      <c r="I1595" t="s">
        <v>29</v>
      </c>
      <c r="J1595" t="str">
        <f t="shared" si="170"/>
        <v>CUST0763</v>
      </c>
      <c r="K1595" t="s">
        <v>934</v>
      </c>
      <c r="L1595" t="str">
        <f>PROPER(TRIM(CLEAN(Sales_Table[[#This Row],[Salesperson]])))</f>
        <v>Anita</v>
      </c>
      <c r="M1595" t="s">
        <v>64</v>
      </c>
      <c r="N1595" t="str">
        <f t="shared" si="171"/>
        <v>Debit Card</v>
      </c>
      <c r="O1595" t="s">
        <v>41</v>
      </c>
      <c r="P1595">
        <f t="shared" si="172"/>
        <v>12</v>
      </c>
      <c r="Q1595" t="s">
        <v>33</v>
      </c>
      <c r="R1595">
        <f t="shared" si="173"/>
        <v>769</v>
      </c>
      <c r="S1595" t="s">
        <v>3703</v>
      </c>
      <c r="T1595">
        <f t="shared" si="174"/>
        <v>9228</v>
      </c>
      <c r="U1595">
        <f>YEAR(Sales_Table[[#This Row],[Date_clean]])</f>
        <v>2024</v>
      </c>
      <c r="V1595" t="str">
        <f>TEXT(Sales_Table[[#This Row],[Date_clean]],"mmmm")</f>
        <v>March</v>
      </c>
      <c r="W1595">
        <f>WEEKNUM(Sales_Table[[#This Row],[Date_clean]],2)</f>
        <v>10</v>
      </c>
      <c r="X1595" t="str" cm="1">
        <f t="array" ref="X1595">_xlfn.IFS(Sales_Table[[#This Row],[Revenue]]&gt;=50000,"High",Sales_Table[[#This Row],[Revenue]]&gt;=20000,"Medium",Sales_Table[[#This Row],[Revenue]]&lt;20000,"Low")</f>
        <v>Low</v>
      </c>
      <c r="Y1595" t="str">
        <f>IF(Sales_Table[[#This Row],[Payment Method_clean]]="cash","Offline","Online")</f>
        <v>Online</v>
      </c>
      <c r="Z1595">
        <f>IFERROR(Sales_Table[[#This Row],[Revenue]],0)</f>
        <v>9228</v>
      </c>
    </row>
    <row r="1596" spans="1:26" x14ac:dyDescent="0.3">
      <c r="A1596">
        <v>1595</v>
      </c>
      <c r="B1596" s="2">
        <f t="shared" si="168"/>
        <v>45358.416666666664</v>
      </c>
      <c r="C1596" t="s">
        <v>3704</v>
      </c>
      <c r="D1596" t="s">
        <v>36</v>
      </c>
      <c r="E1596" t="str">
        <f>PROPER(TRIM(CLEAN(Sales_Table[[#This Row],[Region]])))</f>
        <v>West</v>
      </c>
      <c r="F1596" t="s">
        <v>78</v>
      </c>
      <c r="G1596" t="str">
        <f t="shared" si="169"/>
        <v>Grocery</v>
      </c>
      <c r="H1596" t="str">
        <f>PROPER(TRIM(CLEAN(Sales_Table[[#This Row],[Product Name]])))</f>
        <v>Men T-Shirt</v>
      </c>
      <c r="I1596" t="s">
        <v>38</v>
      </c>
      <c r="J1596" t="str">
        <f t="shared" si="170"/>
        <v>CUST0144</v>
      </c>
      <c r="K1596" t="s">
        <v>831</v>
      </c>
      <c r="L1596" t="str">
        <f>PROPER(TRIM(CLEAN(Sales_Table[[#This Row],[Salesperson]])))</f>
        <v>Rahul</v>
      </c>
      <c r="M1596" t="s">
        <v>31</v>
      </c>
      <c r="N1596" t="str">
        <f t="shared" si="171"/>
        <v>Upi</v>
      </c>
      <c r="O1596" t="s">
        <v>48</v>
      </c>
      <c r="P1596">
        <f t="shared" si="172"/>
        <v>9</v>
      </c>
      <c r="Q1596" t="s">
        <v>130</v>
      </c>
      <c r="R1596">
        <f t="shared" si="173"/>
        <v>4913</v>
      </c>
      <c r="S1596" t="s">
        <v>292</v>
      </c>
      <c r="T1596">
        <f t="shared" si="174"/>
        <v>44217</v>
      </c>
      <c r="U1596">
        <f>YEAR(Sales_Table[[#This Row],[Date_clean]])</f>
        <v>2024</v>
      </c>
      <c r="V1596" t="str">
        <f>TEXT(Sales_Table[[#This Row],[Date_clean]],"mmmm")</f>
        <v>March</v>
      </c>
      <c r="W1596">
        <f>WEEKNUM(Sales_Table[[#This Row],[Date_clean]],2)</f>
        <v>10</v>
      </c>
      <c r="X1596" t="str" cm="1">
        <f t="array" ref="X1596">_xlfn.IFS(Sales_Table[[#This Row],[Revenue]]&gt;=50000,"High",Sales_Table[[#This Row],[Revenue]]&gt;=20000,"Medium",Sales_Table[[#This Row],[Revenue]]&lt;20000,"Low")</f>
        <v>Medium</v>
      </c>
      <c r="Y1596" t="str">
        <f>IF(Sales_Table[[#This Row],[Payment Method_clean]]="cash","Offline","Online")</f>
        <v>Online</v>
      </c>
      <c r="Z1596">
        <f>IFERROR(Sales_Table[[#This Row],[Revenue]],0)</f>
        <v>44217</v>
      </c>
    </row>
    <row r="1597" spans="1:26" x14ac:dyDescent="0.3">
      <c r="A1597">
        <v>1596</v>
      </c>
      <c r="B1597" s="2">
        <f t="shared" si="168"/>
        <v>45358.458333333336</v>
      </c>
      <c r="C1597" t="s">
        <v>3705</v>
      </c>
      <c r="D1597" t="s">
        <v>36</v>
      </c>
      <c r="E1597" t="str">
        <f>PROPER(TRIM(CLEAN(Sales_Table[[#This Row],[Region]])))</f>
        <v>West</v>
      </c>
      <c r="F1597" t="s">
        <v>28</v>
      </c>
      <c r="G1597" t="str">
        <f t="shared" si="169"/>
        <v>Clothing</v>
      </c>
      <c r="H1597" t="str">
        <f>PROPER(TRIM(CLEAN(Sales_Table[[#This Row],[Product Name]])))</f>
        <v>Men T-Shirt</v>
      </c>
      <c r="I1597" t="s">
        <v>38</v>
      </c>
      <c r="J1597" t="str">
        <f t="shared" si="170"/>
        <v>CUST0679</v>
      </c>
      <c r="K1597" t="s">
        <v>1134</v>
      </c>
      <c r="L1597" t="str">
        <f>PROPER(TRIM(CLEAN(Sales_Table[[#This Row],[Salesperson]])))</f>
        <v>Karthik</v>
      </c>
      <c r="M1597" t="s">
        <v>70</v>
      </c>
      <c r="N1597" t="str">
        <f t="shared" si="171"/>
        <v>Cash</v>
      </c>
      <c r="O1597" t="s">
        <v>32</v>
      </c>
      <c r="P1597">
        <f t="shared" si="172"/>
        <v>10</v>
      </c>
      <c r="Q1597" t="s">
        <v>117</v>
      </c>
      <c r="R1597">
        <f t="shared" si="173"/>
        <v>2746</v>
      </c>
      <c r="S1597" t="s">
        <v>3706</v>
      </c>
      <c r="T1597">
        <f t="shared" si="174"/>
        <v>27460</v>
      </c>
      <c r="U1597">
        <f>YEAR(Sales_Table[[#This Row],[Date_clean]])</f>
        <v>2024</v>
      </c>
      <c r="V1597" t="str">
        <f>TEXT(Sales_Table[[#This Row],[Date_clean]],"mmmm")</f>
        <v>March</v>
      </c>
      <c r="W1597">
        <f>WEEKNUM(Sales_Table[[#This Row],[Date_clean]],2)</f>
        <v>10</v>
      </c>
      <c r="X1597" t="str" cm="1">
        <f t="array" ref="X1597">_xlfn.IFS(Sales_Table[[#This Row],[Revenue]]&gt;=50000,"High",Sales_Table[[#This Row],[Revenue]]&gt;=20000,"Medium",Sales_Table[[#This Row],[Revenue]]&lt;20000,"Low")</f>
        <v>Medium</v>
      </c>
      <c r="Y1597" t="str">
        <f>IF(Sales_Table[[#This Row],[Payment Method_clean]]="cash","Offline","Online")</f>
        <v>Offline</v>
      </c>
      <c r="Z1597">
        <f>IFERROR(Sales_Table[[#This Row],[Revenue]],0)</f>
        <v>27460</v>
      </c>
    </row>
    <row r="1598" spans="1:26" x14ac:dyDescent="0.3">
      <c r="A1598">
        <v>1597</v>
      </c>
      <c r="B1598" s="2">
        <f t="shared" si="168"/>
        <v>45358.5</v>
      </c>
      <c r="C1598" t="s">
        <v>3707</v>
      </c>
      <c r="D1598" t="s">
        <v>36</v>
      </c>
      <c r="E1598" t="str">
        <f>PROPER(TRIM(CLEAN(Sales_Table[[#This Row],[Region]])))</f>
        <v>West</v>
      </c>
      <c r="F1598" t="s">
        <v>37</v>
      </c>
      <c r="G1598" t="str">
        <f t="shared" si="169"/>
        <v>Home Appliances</v>
      </c>
      <c r="H1598" t="str">
        <f>PROPER(TRIM(CLEAN(Sales_Table[[#This Row],[Product Name]])))</f>
        <v>Led Tv 42Inch</v>
      </c>
      <c r="I1598" t="s">
        <v>58</v>
      </c>
      <c r="J1598" t="str">
        <f t="shared" si="170"/>
        <v>CUST0412</v>
      </c>
      <c r="K1598" t="s">
        <v>1261</v>
      </c>
      <c r="L1598" t="str">
        <f>PROPER(TRIM(CLEAN(Sales_Table[[#This Row],[Salesperson]])))</f>
        <v>Karthik</v>
      </c>
      <c r="M1598" t="s">
        <v>70</v>
      </c>
      <c r="N1598" t="str">
        <f t="shared" si="171"/>
        <v>Net Banking</v>
      </c>
      <c r="O1598" t="s">
        <v>60</v>
      </c>
      <c r="P1598">
        <f t="shared" si="172"/>
        <v>6</v>
      </c>
      <c r="Q1598" t="s">
        <v>75</v>
      </c>
      <c r="R1598">
        <f t="shared" si="173"/>
        <v>366</v>
      </c>
      <c r="S1598" t="s">
        <v>3708</v>
      </c>
      <c r="T1598">
        <f t="shared" si="174"/>
        <v>2196</v>
      </c>
      <c r="U1598">
        <f>YEAR(Sales_Table[[#This Row],[Date_clean]])</f>
        <v>2024</v>
      </c>
      <c r="V1598" t="str">
        <f>TEXT(Sales_Table[[#This Row],[Date_clean]],"mmmm")</f>
        <v>March</v>
      </c>
      <c r="W1598">
        <f>WEEKNUM(Sales_Table[[#This Row],[Date_clean]],2)</f>
        <v>10</v>
      </c>
      <c r="X1598" t="str" cm="1">
        <f t="array" ref="X1598">_xlfn.IFS(Sales_Table[[#This Row],[Revenue]]&gt;=50000,"High",Sales_Table[[#This Row],[Revenue]]&gt;=20000,"Medium",Sales_Table[[#This Row],[Revenue]]&lt;20000,"Low")</f>
        <v>Low</v>
      </c>
      <c r="Y1598" t="str">
        <f>IF(Sales_Table[[#This Row],[Payment Method_clean]]="cash","Offline","Online")</f>
        <v>Online</v>
      </c>
      <c r="Z1598">
        <f>IFERROR(Sales_Table[[#This Row],[Revenue]],0)</f>
        <v>2196</v>
      </c>
    </row>
    <row r="1599" spans="1:26" x14ac:dyDescent="0.3">
      <c r="A1599">
        <v>1598</v>
      </c>
      <c r="B1599" s="2">
        <f t="shared" si="168"/>
        <v>45358.541666666664</v>
      </c>
      <c r="C1599" t="s">
        <v>3709</v>
      </c>
      <c r="D1599" t="s">
        <v>45</v>
      </c>
      <c r="E1599" t="str">
        <f>PROPER(TRIM(CLEAN(Sales_Table[[#This Row],[Region]])))</f>
        <v>North</v>
      </c>
      <c r="F1599" t="s">
        <v>28</v>
      </c>
      <c r="G1599" t="str">
        <f t="shared" si="169"/>
        <v>Clothing</v>
      </c>
      <c r="H1599" t="str">
        <f>PROPER(TRIM(CLEAN(Sales_Table[[#This Row],[Product Name]])))</f>
        <v>Led Tv 42Inch</v>
      </c>
      <c r="I1599" t="s">
        <v>58</v>
      </c>
      <c r="J1599" t="str">
        <f t="shared" si="170"/>
        <v>CUST0224</v>
      </c>
      <c r="K1599" t="s">
        <v>1202</v>
      </c>
      <c r="L1599" t="str">
        <f>PROPER(TRIM(CLEAN(Sales_Table[[#This Row],[Salesperson]])))</f>
        <v>Meena</v>
      </c>
      <c r="M1599" t="s">
        <v>40</v>
      </c>
      <c r="N1599" t="str">
        <f t="shared" si="171"/>
        <v>Cash</v>
      </c>
      <c r="O1599" t="s">
        <v>32</v>
      </c>
      <c r="P1599">
        <f t="shared" si="172"/>
        <v>6</v>
      </c>
      <c r="Q1599" t="s">
        <v>75</v>
      </c>
      <c r="R1599">
        <f t="shared" si="173"/>
        <v>1538</v>
      </c>
      <c r="S1599" t="s">
        <v>835</v>
      </c>
      <c r="T1599">
        <f t="shared" si="174"/>
        <v>9228</v>
      </c>
      <c r="U1599">
        <f>YEAR(Sales_Table[[#This Row],[Date_clean]])</f>
        <v>2024</v>
      </c>
      <c r="V1599" t="str">
        <f>TEXT(Sales_Table[[#This Row],[Date_clean]],"mmmm")</f>
        <v>March</v>
      </c>
      <c r="W1599">
        <f>WEEKNUM(Sales_Table[[#This Row],[Date_clean]],2)</f>
        <v>10</v>
      </c>
      <c r="X1599" t="str" cm="1">
        <f t="array" ref="X1599">_xlfn.IFS(Sales_Table[[#This Row],[Revenue]]&gt;=50000,"High",Sales_Table[[#This Row],[Revenue]]&gt;=20000,"Medium",Sales_Table[[#This Row],[Revenue]]&lt;20000,"Low")</f>
        <v>Low</v>
      </c>
      <c r="Y1599" t="str">
        <f>IF(Sales_Table[[#This Row],[Payment Method_clean]]="cash","Offline","Online")</f>
        <v>Offline</v>
      </c>
      <c r="Z1599">
        <f>IFERROR(Sales_Table[[#This Row],[Revenue]],0)</f>
        <v>9228</v>
      </c>
    </row>
    <row r="1600" spans="1:26" x14ac:dyDescent="0.3">
      <c r="A1600">
        <v>1599</v>
      </c>
      <c r="B1600" s="2">
        <f t="shared" si="168"/>
        <v>45358.583333333336</v>
      </c>
      <c r="C1600" t="s">
        <v>3710</v>
      </c>
      <c r="D1600" t="s">
        <v>36</v>
      </c>
      <c r="E1600" t="str">
        <f>PROPER(TRIM(CLEAN(Sales_Table[[#This Row],[Region]])))</f>
        <v>West</v>
      </c>
      <c r="F1600" t="s">
        <v>37</v>
      </c>
      <c r="G1600" t="str">
        <f t="shared" si="169"/>
        <v>Home Appliances</v>
      </c>
      <c r="H1600" t="str">
        <f>PROPER(TRIM(CLEAN(Sales_Table[[#This Row],[Product Name]])))</f>
        <v>Rice 5Kg</v>
      </c>
      <c r="I1600" t="s">
        <v>73</v>
      </c>
      <c r="J1600" t="str">
        <f t="shared" si="170"/>
        <v>CUST0220</v>
      </c>
      <c r="K1600" t="s">
        <v>174</v>
      </c>
      <c r="L1600" t="str">
        <f>PROPER(TRIM(CLEAN(Sales_Table[[#This Row],[Salesperson]])))</f>
        <v>Anita</v>
      </c>
      <c r="M1600" t="s">
        <v>64</v>
      </c>
      <c r="N1600" t="str">
        <f t="shared" si="171"/>
        <v>Upi</v>
      </c>
      <c r="O1600" t="s">
        <v>48</v>
      </c>
      <c r="P1600">
        <f t="shared" si="172"/>
        <v>9</v>
      </c>
      <c r="Q1600" t="s">
        <v>130</v>
      </c>
      <c r="R1600">
        <f t="shared" si="173"/>
        <v>2793</v>
      </c>
      <c r="S1600" t="s">
        <v>3711</v>
      </c>
      <c r="T1600">
        <f t="shared" si="174"/>
        <v>25137</v>
      </c>
      <c r="U1600">
        <f>YEAR(Sales_Table[[#This Row],[Date_clean]])</f>
        <v>2024</v>
      </c>
      <c r="V1600" t="str">
        <f>TEXT(Sales_Table[[#This Row],[Date_clean]],"mmmm")</f>
        <v>March</v>
      </c>
      <c r="W1600">
        <f>WEEKNUM(Sales_Table[[#This Row],[Date_clean]],2)</f>
        <v>10</v>
      </c>
      <c r="X1600" t="str" cm="1">
        <f t="array" ref="X1600">_xlfn.IFS(Sales_Table[[#This Row],[Revenue]]&gt;=50000,"High",Sales_Table[[#This Row],[Revenue]]&gt;=20000,"Medium",Sales_Table[[#This Row],[Revenue]]&lt;20000,"Low")</f>
        <v>Medium</v>
      </c>
      <c r="Y1600" t="str">
        <f>IF(Sales_Table[[#This Row],[Payment Method_clean]]="cash","Offline","Online")</f>
        <v>Online</v>
      </c>
      <c r="Z1600">
        <f>IFERROR(Sales_Table[[#This Row],[Revenue]],0)</f>
        <v>25137</v>
      </c>
    </row>
    <row r="1601" spans="1:26" x14ac:dyDescent="0.3">
      <c r="A1601">
        <v>1600</v>
      </c>
      <c r="B1601" s="2">
        <f t="shared" si="168"/>
        <v>45358.625</v>
      </c>
      <c r="C1601" t="s">
        <v>3712</v>
      </c>
      <c r="D1601" t="s">
        <v>45</v>
      </c>
      <c r="E1601" t="str">
        <f>PROPER(TRIM(CLEAN(Sales_Table[[#This Row],[Region]])))</f>
        <v>North</v>
      </c>
      <c r="F1601" t="s">
        <v>78</v>
      </c>
      <c r="G1601" t="str">
        <f t="shared" si="169"/>
        <v>Grocery</v>
      </c>
      <c r="H1601" t="str">
        <f>PROPER(TRIM(CLEAN(Sales_Table[[#This Row],[Product Name]])))</f>
        <v>Men T-Shirt</v>
      </c>
      <c r="I1601" t="s">
        <v>38</v>
      </c>
      <c r="J1601" t="str">
        <f t="shared" si="170"/>
        <v>CUST0179</v>
      </c>
      <c r="K1601" t="s">
        <v>862</v>
      </c>
      <c r="L1601" t="str">
        <f>PROPER(TRIM(CLEAN(Sales_Table[[#This Row],[Salesperson]])))</f>
        <v>Suresh</v>
      </c>
      <c r="M1601" t="s">
        <v>54</v>
      </c>
      <c r="N1601" t="str">
        <f t="shared" si="171"/>
        <v>Debit Card</v>
      </c>
      <c r="O1601" t="s">
        <v>41</v>
      </c>
      <c r="P1601">
        <f t="shared" si="172"/>
        <v>1</v>
      </c>
      <c r="Q1601" t="s">
        <v>93</v>
      </c>
      <c r="R1601">
        <f t="shared" si="173"/>
        <v>1122</v>
      </c>
      <c r="S1601" t="s">
        <v>3713</v>
      </c>
      <c r="T1601">
        <f t="shared" si="174"/>
        <v>1122</v>
      </c>
      <c r="U1601">
        <f>YEAR(Sales_Table[[#This Row],[Date_clean]])</f>
        <v>2024</v>
      </c>
      <c r="V1601" t="str">
        <f>TEXT(Sales_Table[[#This Row],[Date_clean]],"mmmm")</f>
        <v>March</v>
      </c>
      <c r="W1601">
        <f>WEEKNUM(Sales_Table[[#This Row],[Date_clean]],2)</f>
        <v>10</v>
      </c>
      <c r="X1601" t="str" cm="1">
        <f t="array" ref="X1601">_xlfn.IFS(Sales_Table[[#This Row],[Revenue]]&gt;=50000,"High",Sales_Table[[#This Row],[Revenue]]&gt;=20000,"Medium",Sales_Table[[#This Row],[Revenue]]&lt;20000,"Low")</f>
        <v>Low</v>
      </c>
      <c r="Y1601" t="str">
        <f>IF(Sales_Table[[#This Row],[Payment Method_clean]]="cash","Offline","Online")</f>
        <v>Online</v>
      </c>
      <c r="Z1601">
        <f>IFERROR(Sales_Table[[#This Row],[Revenue]],0)</f>
        <v>1122</v>
      </c>
    </row>
    <row r="1602" spans="1:26" x14ac:dyDescent="0.3">
      <c r="A1602">
        <v>1601</v>
      </c>
      <c r="B1602" s="2">
        <f t="shared" si="168"/>
        <v>45358.666666666664</v>
      </c>
      <c r="C1602" t="s">
        <v>3714</v>
      </c>
      <c r="D1602" t="s">
        <v>36</v>
      </c>
      <c r="E1602" t="str">
        <f>PROPER(TRIM(CLEAN(Sales_Table[[#This Row],[Region]])))</f>
        <v>West</v>
      </c>
      <c r="F1602" t="s">
        <v>78</v>
      </c>
      <c r="G1602" t="str">
        <f t="shared" si="169"/>
        <v>Grocery</v>
      </c>
      <c r="H1602" t="str">
        <f>PROPER(TRIM(CLEAN(Sales_Table[[#This Row],[Product Name]])))</f>
        <v>Led Tv 42Inch</v>
      </c>
      <c r="I1602" t="s">
        <v>58</v>
      </c>
      <c r="J1602" t="str">
        <f t="shared" si="170"/>
        <v>CUST0631</v>
      </c>
      <c r="K1602" t="s">
        <v>880</v>
      </c>
      <c r="L1602" t="str">
        <f>PROPER(TRIM(CLEAN(Sales_Table[[#This Row],[Salesperson]])))</f>
        <v>Anita</v>
      </c>
      <c r="M1602" t="s">
        <v>64</v>
      </c>
      <c r="N1602" t="str">
        <f t="shared" si="171"/>
        <v>Cash</v>
      </c>
      <c r="O1602" t="s">
        <v>32</v>
      </c>
      <c r="P1602">
        <f t="shared" si="172"/>
        <v>6</v>
      </c>
      <c r="Q1602" t="s">
        <v>75</v>
      </c>
      <c r="R1602">
        <f t="shared" si="173"/>
        <v>2137</v>
      </c>
      <c r="S1602" t="s">
        <v>3715</v>
      </c>
      <c r="T1602">
        <f t="shared" si="174"/>
        <v>12822</v>
      </c>
      <c r="U1602">
        <f>YEAR(Sales_Table[[#This Row],[Date_clean]])</f>
        <v>2024</v>
      </c>
      <c r="V1602" t="str">
        <f>TEXT(Sales_Table[[#This Row],[Date_clean]],"mmmm")</f>
        <v>March</v>
      </c>
      <c r="W1602">
        <f>WEEKNUM(Sales_Table[[#This Row],[Date_clean]],2)</f>
        <v>10</v>
      </c>
      <c r="X1602" t="str" cm="1">
        <f t="array" ref="X1602">_xlfn.IFS(Sales_Table[[#This Row],[Revenue]]&gt;=50000,"High",Sales_Table[[#This Row],[Revenue]]&gt;=20000,"Medium",Sales_Table[[#This Row],[Revenue]]&lt;20000,"Low")</f>
        <v>Low</v>
      </c>
      <c r="Y1602" t="str">
        <f>IF(Sales_Table[[#This Row],[Payment Method_clean]]="cash","Offline","Online")</f>
        <v>Offline</v>
      </c>
      <c r="Z1602">
        <f>IFERROR(Sales_Table[[#This Row],[Revenue]],0)</f>
        <v>12822</v>
      </c>
    </row>
    <row r="1603" spans="1:26" x14ac:dyDescent="0.3">
      <c r="A1603">
        <v>1602</v>
      </c>
      <c r="B1603" s="2">
        <f t="shared" ref="B1603:B1666" si="175">DATEVALUE(LEFT(C1603,10))+TIMEVALUE(MID(C1603,12,8))</f>
        <v>45358.708333333336</v>
      </c>
      <c r="C1603" t="s">
        <v>3716</v>
      </c>
      <c r="D1603" t="s">
        <v>27</v>
      </c>
      <c r="E1603" t="str">
        <f>PROPER(TRIM(CLEAN(Sales_Table[[#This Row],[Region]])))</f>
        <v>East</v>
      </c>
      <c r="F1603" t="s">
        <v>37</v>
      </c>
      <c r="G1603" t="str">
        <f t="shared" ref="G1603:G1666" si="176">PROPER(TRIM(CLEAN(F1603)))</f>
        <v>Home Appliances</v>
      </c>
      <c r="H1603" t="str">
        <f>PROPER(TRIM(CLEAN(Sales_Table[[#This Row],[Product Name]])))</f>
        <v>Mixer Grinder</v>
      </c>
      <c r="I1603" t="s">
        <v>29</v>
      </c>
      <c r="J1603" t="str">
        <f t="shared" ref="J1603:J1666" si="177">TRIM(K1603)</f>
        <v>CUST0433</v>
      </c>
      <c r="K1603" t="s">
        <v>545</v>
      </c>
      <c r="L1603" t="str">
        <f>PROPER(TRIM(CLEAN(Sales_Table[[#This Row],[Salesperson]])))</f>
        <v>Suresh</v>
      </c>
      <c r="M1603" t="s">
        <v>54</v>
      </c>
      <c r="N1603" t="str">
        <f t="shared" ref="N1603:N1666" si="178">PROPER(TRIM(O1603))</f>
        <v>Cash</v>
      </c>
      <c r="O1603" t="s">
        <v>32</v>
      </c>
      <c r="P1603">
        <f t="shared" ref="P1603:P1666" si="179">VALUE(Q1603)</f>
        <v>12</v>
      </c>
      <c r="Q1603" t="s">
        <v>33</v>
      </c>
      <c r="R1603">
        <f t="shared" ref="R1603:R1666" si="180">VALUE(S1603)</f>
        <v>664</v>
      </c>
      <c r="S1603" t="s">
        <v>3717</v>
      </c>
      <c r="T1603">
        <f t="shared" ref="T1603:T1666" si="181">P1603*R1603</f>
        <v>7968</v>
      </c>
      <c r="U1603">
        <f>YEAR(Sales_Table[[#This Row],[Date_clean]])</f>
        <v>2024</v>
      </c>
      <c r="V1603" t="str">
        <f>TEXT(Sales_Table[[#This Row],[Date_clean]],"mmmm")</f>
        <v>March</v>
      </c>
      <c r="W1603">
        <f>WEEKNUM(Sales_Table[[#This Row],[Date_clean]],2)</f>
        <v>10</v>
      </c>
      <c r="X1603" t="str" cm="1">
        <f t="array" ref="X1603">_xlfn.IFS(Sales_Table[[#This Row],[Revenue]]&gt;=50000,"High",Sales_Table[[#This Row],[Revenue]]&gt;=20000,"Medium",Sales_Table[[#This Row],[Revenue]]&lt;20000,"Low")</f>
        <v>Low</v>
      </c>
      <c r="Y1603" t="str">
        <f>IF(Sales_Table[[#This Row],[Payment Method_clean]]="cash","Offline","Online")</f>
        <v>Offline</v>
      </c>
      <c r="Z1603">
        <f>IFERROR(Sales_Table[[#This Row],[Revenue]],0)</f>
        <v>7968</v>
      </c>
    </row>
    <row r="1604" spans="1:26" x14ac:dyDescent="0.3">
      <c r="A1604">
        <v>1603</v>
      </c>
      <c r="B1604" s="2">
        <f t="shared" si="175"/>
        <v>45358.75</v>
      </c>
      <c r="C1604" t="s">
        <v>3718</v>
      </c>
      <c r="D1604" t="s">
        <v>84</v>
      </c>
      <c r="E1604" t="str">
        <f>PROPER(TRIM(CLEAN(Sales_Table[[#This Row],[Region]])))</f>
        <v>South</v>
      </c>
      <c r="F1604" t="s">
        <v>78</v>
      </c>
      <c r="G1604" t="str">
        <f t="shared" si="176"/>
        <v>Grocery</v>
      </c>
      <c r="H1604" t="str">
        <f>PROPER(TRIM(CLEAN(Sales_Table[[#This Row],[Product Name]])))</f>
        <v>Led Tv 42Inch</v>
      </c>
      <c r="I1604" t="s">
        <v>58</v>
      </c>
      <c r="J1604" t="str">
        <f t="shared" si="177"/>
        <v>CUST0265</v>
      </c>
      <c r="K1604" t="s">
        <v>171</v>
      </c>
      <c r="L1604" t="str">
        <f>PROPER(TRIM(CLEAN(Sales_Table[[#This Row],[Salesperson]])))</f>
        <v>Rahul</v>
      </c>
      <c r="M1604" t="s">
        <v>31</v>
      </c>
      <c r="N1604" t="str">
        <f t="shared" si="178"/>
        <v>Net Banking</v>
      </c>
      <c r="O1604" t="s">
        <v>60</v>
      </c>
      <c r="P1604">
        <f t="shared" si="179"/>
        <v>5</v>
      </c>
      <c r="Q1604" t="s">
        <v>89</v>
      </c>
      <c r="R1604">
        <f t="shared" si="180"/>
        <v>1159</v>
      </c>
      <c r="S1604" t="s">
        <v>2194</v>
      </c>
      <c r="T1604">
        <f t="shared" si="181"/>
        <v>5795</v>
      </c>
      <c r="U1604">
        <f>YEAR(Sales_Table[[#This Row],[Date_clean]])</f>
        <v>2024</v>
      </c>
      <c r="V1604" t="str">
        <f>TEXT(Sales_Table[[#This Row],[Date_clean]],"mmmm")</f>
        <v>March</v>
      </c>
      <c r="W1604">
        <f>WEEKNUM(Sales_Table[[#This Row],[Date_clean]],2)</f>
        <v>10</v>
      </c>
      <c r="X1604" t="str" cm="1">
        <f t="array" ref="X1604">_xlfn.IFS(Sales_Table[[#This Row],[Revenue]]&gt;=50000,"High",Sales_Table[[#This Row],[Revenue]]&gt;=20000,"Medium",Sales_Table[[#This Row],[Revenue]]&lt;20000,"Low")</f>
        <v>Low</v>
      </c>
      <c r="Y1604" t="str">
        <f>IF(Sales_Table[[#This Row],[Payment Method_clean]]="cash","Offline","Online")</f>
        <v>Online</v>
      </c>
      <c r="Z1604">
        <f>IFERROR(Sales_Table[[#This Row],[Revenue]],0)</f>
        <v>5795</v>
      </c>
    </row>
    <row r="1605" spans="1:26" x14ac:dyDescent="0.3">
      <c r="A1605">
        <v>1604</v>
      </c>
      <c r="B1605" s="2">
        <f t="shared" si="175"/>
        <v>45358.791666666664</v>
      </c>
      <c r="C1605" t="s">
        <v>3719</v>
      </c>
      <c r="D1605" t="s">
        <v>45</v>
      </c>
      <c r="E1605" t="str">
        <f>PROPER(TRIM(CLEAN(Sales_Table[[#This Row],[Region]])))</f>
        <v>North</v>
      </c>
      <c r="F1605" t="s">
        <v>37</v>
      </c>
      <c r="G1605" t="str">
        <f t="shared" si="176"/>
        <v>Home Appliances</v>
      </c>
      <c r="H1605" t="str">
        <f>PROPER(TRIM(CLEAN(Sales_Table[[#This Row],[Product Name]])))</f>
        <v>Laptop</v>
      </c>
      <c r="I1605" t="s">
        <v>52</v>
      </c>
      <c r="J1605" t="str">
        <f t="shared" si="177"/>
        <v>CUST0429</v>
      </c>
      <c r="K1605" t="s">
        <v>129</v>
      </c>
      <c r="L1605" t="str">
        <f>PROPER(TRIM(CLEAN(Sales_Table[[#This Row],[Salesperson]])))</f>
        <v>Rahul</v>
      </c>
      <c r="M1605" t="s">
        <v>31</v>
      </c>
      <c r="N1605" t="str">
        <f t="shared" si="178"/>
        <v>Net Banking</v>
      </c>
      <c r="O1605" t="s">
        <v>60</v>
      </c>
      <c r="P1605">
        <f t="shared" si="179"/>
        <v>13</v>
      </c>
      <c r="Q1605" t="s">
        <v>81</v>
      </c>
      <c r="R1605">
        <f t="shared" si="180"/>
        <v>1524</v>
      </c>
      <c r="S1605" t="s">
        <v>3419</v>
      </c>
      <c r="T1605">
        <f t="shared" si="181"/>
        <v>19812</v>
      </c>
      <c r="U1605">
        <f>YEAR(Sales_Table[[#This Row],[Date_clean]])</f>
        <v>2024</v>
      </c>
      <c r="V1605" t="str">
        <f>TEXT(Sales_Table[[#This Row],[Date_clean]],"mmmm")</f>
        <v>March</v>
      </c>
      <c r="W1605">
        <f>WEEKNUM(Sales_Table[[#This Row],[Date_clean]],2)</f>
        <v>10</v>
      </c>
      <c r="X1605" t="str" cm="1">
        <f t="array" ref="X1605">_xlfn.IFS(Sales_Table[[#This Row],[Revenue]]&gt;=50000,"High",Sales_Table[[#This Row],[Revenue]]&gt;=20000,"Medium",Sales_Table[[#This Row],[Revenue]]&lt;20000,"Low")</f>
        <v>Low</v>
      </c>
      <c r="Y1605" t="str">
        <f>IF(Sales_Table[[#This Row],[Payment Method_clean]]="cash","Offline","Online")</f>
        <v>Online</v>
      </c>
      <c r="Z1605">
        <f>IFERROR(Sales_Table[[#This Row],[Revenue]],0)</f>
        <v>19812</v>
      </c>
    </row>
    <row r="1606" spans="1:26" x14ac:dyDescent="0.3">
      <c r="A1606">
        <v>1605</v>
      </c>
      <c r="B1606" s="2">
        <f t="shared" si="175"/>
        <v>45358.833333333336</v>
      </c>
      <c r="C1606" t="s">
        <v>3720</v>
      </c>
      <c r="D1606" t="s">
        <v>36</v>
      </c>
      <c r="E1606" t="str">
        <f>PROPER(TRIM(CLEAN(Sales_Table[[#This Row],[Region]])))</f>
        <v>West</v>
      </c>
      <c r="F1606" t="s">
        <v>46</v>
      </c>
      <c r="G1606" t="str">
        <f t="shared" si="176"/>
        <v>Electronics</v>
      </c>
      <c r="H1606" t="str">
        <f>PROPER(TRIM(CLEAN(Sales_Table[[#This Row],[Product Name]])))</f>
        <v>Laptop</v>
      </c>
      <c r="I1606" t="s">
        <v>52</v>
      </c>
      <c r="J1606" t="str">
        <f t="shared" si="177"/>
        <v>CUST0662</v>
      </c>
      <c r="K1606" t="s">
        <v>3721</v>
      </c>
      <c r="L1606" t="str">
        <f>PROPER(TRIM(CLEAN(Sales_Table[[#This Row],[Salesperson]])))</f>
        <v>Karthik</v>
      </c>
      <c r="M1606" t="s">
        <v>70</v>
      </c>
      <c r="N1606" t="str">
        <f t="shared" si="178"/>
        <v>Cash</v>
      </c>
      <c r="O1606" t="s">
        <v>32</v>
      </c>
      <c r="P1606">
        <f t="shared" si="179"/>
        <v>11</v>
      </c>
      <c r="Q1606" t="s">
        <v>97</v>
      </c>
      <c r="R1606">
        <f t="shared" si="180"/>
        <v>4223</v>
      </c>
      <c r="S1606" t="s">
        <v>3722</v>
      </c>
      <c r="T1606">
        <f t="shared" si="181"/>
        <v>46453</v>
      </c>
      <c r="U1606">
        <f>YEAR(Sales_Table[[#This Row],[Date_clean]])</f>
        <v>2024</v>
      </c>
      <c r="V1606" t="str">
        <f>TEXT(Sales_Table[[#This Row],[Date_clean]],"mmmm")</f>
        <v>March</v>
      </c>
      <c r="W1606">
        <f>WEEKNUM(Sales_Table[[#This Row],[Date_clean]],2)</f>
        <v>10</v>
      </c>
      <c r="X1606" t="str" cm="1">
        <f t="array" ref="X1606">_xlfn.IFS(Sales_Table[[#This Row],[Revenue]]&gt;=50000,"High",Sales_Table[[#This Row],[Revenue]]&gt;=20000,"Medium",Sales_Table[[#This Row],[Revenue]]&lt;20000,"Low")</f>
        <v>Medium</v>
      </c>
      <c r="Y1606" t="str">
        <f>IF(Sales_Table[[#This Row],[Payment Method_clean]]="cash","Offline","Online")</f>
        <v>Offline</v>
      </c>
      <c r="Z1606">
        <f>IFERROR(Sales_Table[[#This Row],[Revenue]],0)</f>
        <v>46453</v>
      </c>
    </row>
    <row r="1607" spans="1:26" x14ac:dyDescent="0.3">
      <c r="A1607">
        <v>1606</v>
      </c>
      <c r="B1607" s="2">
        <f t="shared" si="175"/>
        <v>45358.875</v>
      </c>
      <c r="C1607" t="s">
        <v>3723</v>
      </c>
      <c r="D1607" t="s">
        <v>27</v>
      </c>
      <c r="E1607" t="str">
        <f>PROPER(TRIM(CLEAN(Sales_Table[[#This Row],[Region]])))</f>
        <v>East</v>
      </c>
      <c r="F1607" t="s">
        <v>28</v>
      </c>
      <c r="G1607" t="str">
        <f t="shared" si="176"/>
        <v>Clothing</v>
      </c>
      <c r="H1607" t="str">
        <f>PROPER(TRIM(CLEAN(Sales_Table[[#This Row],[Product Name]])))</f>
        <v>Led Tv 42Inch</v>
      </c>
      <c r="I1607" t="s">
        <v>58</v>
      </c>
      <c r="J1607" t="str">
        <f t="shared" si="177"/>
        <v>CUST0416</v>
      </c>
      <c r="K1607" t="s">
        <v>1571</v>
      </c>
      <c r="L1607" t="str">
        <f>PROPER(TRIM(CLEAN(Sales_Table[[#This Row],[Salesperson]])))</f>
        <v>Rahul</v>
      </c>
      <c r="M1607" t="s">
        <v>31</v>
      </c>
      <c r="N1607" t="str">
        <f t="shared" si="178"/>
        <v>Cash</v>
      </c>
      <c r="O1607" t="s">
        <v>32</v>
      </c>
      <c r="P1607">
        <f t="shared" si="179"/>
        <v>6</v>
      </c>
      <c r="Q1607" t="s">
        <v>75</v>
      </c>
      <c r="R1607">
        <f t="shared" si="180"/>
        <v>319</v>
      </c>
      <c r="S1607" t="s">
        <v>3724</v>
      </c>
      <c r="T1607">
        <f t="shared" si="181"/>
        <v>1914</v>
      </c>
      <c r="U1607">
        <f>YEAR(Sales_Table[[#This Row],[Date_clean]])</f>
        <v>2024</v>
      </c>
      <c r="V1607" t="str">
        <f>TEXT(Sales_Table[[#This Row],[Date_clean]],"mmmm")</f>
        <v>March</v>
      </c>
      <c r="W1607">
        <f>WEEKNUM(Sales_Table[[#This Row],[Date_clean]],2)</f>
        <v>10</v>
      </c>
      <c r="X1607" t="str" cm="1">
        <f t="array" ref="X1607">_xlfn.IFS(Sales_Table[[#This Row],[Revenue]]&gt;=50000,"High",Sales_Table[[#This Row],[Revenue]]&gt;=20000,"Medium",Sales_Table[[#This Row],[Revenue]]&lt;20000,"Low")</f>
        <v>Low</v>
      </c>
      <c r="Y1607" t="str">
        <f>IF(Sales_Table[[#This Row],[Payment Method_clean]]="cash","Offline","Online")</f>
        <v>Offline</v>
      </c>
      <c r="Z1607">
        <f>IFERROR(Sales_Table[[#This Row],[Revenue]],0)</f>
        <v>1914</v>
      </c>
    </row>
    <row r="1608" spans="1:26" x14ac:dyDescent="0.3">
      <c r="A1608">
        <v>1607</v>
      </c>
      <c r="B1608" s="2">
        <f t="shared" si="175"/>
        <v>45358.916666666664</v>
      </c>
      <c r="C1608" t="s">
        <v>3725</v>
      </c>
      <c r="D1608" t="s">
        <v>84</v>
      </c>
      <c r="E1608" t="str">
        <f>PROPER(TRIM(CLEAN(Sales_Table[[#This Row],[Region]])))</f>
        <v>South</v>
      </c>
      <c r="F1608" t="s">
        <v>46</v>
      </c>
      <c r="G1608" t="str">
        <f t="shared" si="176"/>
        <v>Electronics</v>
      </c>
      <c r="H1608" t="str">
        <f>PROPER(TRIM(CLEAN(Sales_Table[[#This Row],[Product Name]])))</f>
        <v>Men T-Shirt</v>
      </c>
      <c r="I1608" t="s">
        <v>38</v>
      </c>
      <c r="J1608" t="str">
        <f t="shared" si="177"/>
        <v>CUST0453</v>
      </c>
      <c r="K1608" t="s">
        <v>1054</v>
      </c>
      <c r="L1608" t="str">
        <f>PROPER(TRIM(CLEAN(Sales_Table[[#This Row],[Salesperson]])))</f>
        <v>Karthik</v>
      </c>
      <c r="M1608" t="s">
        <v>70</v>
      </c>
      <c r="N1608" t="str">
        <f t="shared" si="178"/>
        <v>Net Banking</v>
      </c>
      <c r="O1608" t="s">
        <v>60</v>
      </c>
      <c r="P1608">
        <f t="shared" si="179"/>
        <v>14</v>
      </c>
      <c r="Q1608" t="s">
        <v>55</v>
      </c>
      <c r="R1608">
        <f t="shared" si="180"/>
        <v>505</v>
      </c>
      <c r="S1608" t="s">
        <v>3726</v>
      </c>
      <c r="T1608">
        <f t="shared" si="181"/>
        <v>7070</v>
      </c>
      <c r="U1608">
        <f>YEAR(Sales_Table[[#This Row],[Date_clean]])</f>
        <v>2024</v>
      </c>
      <c r="V1608" t="str">
        <f>TEXT(Sales_Table[[#This Row],[Date_clean]],"mmmm")</f>
        <v>March</v>
      </c>
      <c r="W1608">
        <f>WEEKNUM(Sales_Table[[#This Row],[Date_clean]],2)</f>
        <v>10</v>
      </c>
      <c r="X1608" t="str" cm="1">
        <f t="array" ref="X1608">_xlfn.IFS(Sales_Table[[#This Row],[Revenue]]&gt;=50000,"High",Sales_Table[[#This Row],[Revenue]]&gt;=20000,"Medium",Sales_Table[[#This Row],[Revenue]]&lt;20000,"Low")</f>
        <v>Low</v>
      </c>
      <c r="Y1608" t="str">
        <f>IF(Sales_Table[[#This Row],[Payment Method_clean]]="cash","Offline","Online")</f>
        <v>Online</v>
      </c>
      <c r="Z1608">
        <f>IFERROR(Sales_Table[[#This Row],[Revenue]],0)</f>
        <v>7070</v>
      </c>
    </row>
    <row r="1609" spans="1:26" x14ac:dyDescent="0.3">
      <c r="A1609">
        <v>1608</v>
      </c>
      <c r="B1609" s="2">
        <f t="shared" si="175"/>
        <v>45358.958333333336</v>
      </c>
      <c r="C1609" t="s">
        <v>3727</v>
      </c>
      <c r="D1609" t="s">
        <v>45</v>
      </c>
      <c r="E1609" t="str">
        <f>PROPER(TRIM(CLEAN(Sales_Table[[#This Row],[Region]])))</f>
        <v>North</v>
      </c>
      <c r="F1609" t="s">
        <v>37</v>
      </c>
      <c r="G1609" t="str">
        <f t="shared" si="176"/>
        <v>Home Appliances</v>
      </c>
      <c r="H1609" t="str">
        <f>PROPER(TRIM(CLEAN(Sales_Table[[#This Row],[Product Name]])))</f>
        <v>Men T-Shirt</v>
      </c>
      <c r="I1609" t="s">
        <v>38</v>
      </c>
      <c r="J1609" t="str">
        <f t="shared" si="177"/>
        <v>CUST0727</v>
      </c>
      <c r="K1609" t="s">
        <v>186</v>
      </c>
      <c r="L1609" t="str">
        <f>PROPER(TRIM(CLEAN(Sales_Table[[#This Row],[Salesperson]])))</f>
        <v>Anita</v>
      </c>
      <c r="M1609" t="s">
        <v>64</v>
      </c>
      <c r="N1609" t="str">
        <f t="shared" si="178"/>
        <v>Upi</v>
      </c>
      <c r="O1609" t="s">
        <v>48</v>
      </c>
      <c r="P1609">
        <f t="shared" si="179"/>
        <v>11</v>
      </c>
      <c r="Q1609" t="s">
        <v>97</v>
      </c>
      <c r="R1609">
        <f t="shared" si="180"/>
        <v>1737</v>
      </c>
      <c r="S1609" t="s">
        <v>3728</v>
      </c>
      <c r="T1609">
        <f t="shared" si="181"/>
        <v>19107</v>
      </c>
      <c r="U1609">
        <f>YEAR(Sales_Table[[#This Row],[Date_clean]])</f>
        <v>2024</v>
      </c>
      <c r="V1609" t="str">
        <f>TEXT(Sales_Table[[#This Row],[Date_clean]],"mmmm")</f>
        <v>March</v>
      </c>
      <c r="W1609">
        <f>WEEKNUM(Sales_Table[[#This Row],[Date_clean]],2)</f>
        <v>10</v>
      </c>
      <c r="X1609" t="str" cm="1">
        <f t="array" ref="X1609">_xlfn.IFS(Sales_Table[[#This Row],[Revenue]]&gt;=50000,"High",Sales_Table[[#This Row],[Revenue]]&gt;=20000,"Medium",Sales_Table[[#This Row],[Revenue]]&lt;20000,"Low")</f>
        <v>Low</v>
      </c>
      <c r="Y1609" t="str">
        <f>IF(Sales_Table[[#This Row],[Payment Method_clean]]="cash","Offline","Online")</f>
        <v>Online</v>
      </c>
      <c r="Z1609">
        <f>IFERROR(Sales_Table[[#This Row],[Revenue]],0)</f>
        <v>19107</v>
      </c>
    </row>
    <row r="1610" spans="1:26" x14ac:dyDescent="0.3">
      <c r="A1610">
        <v>1609</v>
      </c>
      <c r="B1610" s="2">
        <f t="shared" si="175"/>
        <v>45359</v>
      </c>
      <c r="C1610" t="s">
        <v>3729</v>
      </c>
      <c r="D1610" t="s">
        <v>84</v>
      </c>
      <c r="E1610" t="str">
        <f>PROPER(TRIM(CLEAN(Sales_Table[[#This Row],[Region]])))</f>
        <v>South</v>
      </c>
      <c r="F1610" t="s">
        <v>28</v>
      </c>
      <c r="G1610" t="str">
        <f t="shared" si="176"/>
        <v>Clothing</v>
      </c>
      <c r="H1610" t="str">
        <f>PROPER(TRIM(CLEAN(Sales_Table[[#This Row],[Product Name]])))</f>
        <v>Washing Machine</v>
      </c>
      <c r="I1610" t="s">
        <v>79</v>
      </c>
      <c r="J1610" t="str">
        <f t="shared" si="177"/>
        <v>CUST0197</v>
      </c>
      <c r="K1610" t="s">
        <v>1936</v>
      </c>
      <c r="L1610" t="str">
        <f>PROPER(TRIM(CLEAN(Sales_Table[[#This Row],[Salesperson]])))</f>
        <v>Rahul</v>
      </c>
      <c r="M1610" t="s">
        <v>31</v>
      </c>
      <c r="N1610" t="str">
        <f t="shared" si="178"/>
        <v>Credit Card</v>
      </c>
      <c r="O1610" t="s">
        <v>65</v>
      </c>
      <c r="P1610">
        <f t="shared" si="179"/>
        <v>8</v>
      </c>
      <c r="Q1610" t="s">
        <v>42</v>
      </c>
      <c r="R1610">
        <f t="shared" si="180"/>
        <v>2418</v>
      </c>
      <c r="S1610" t="s">
        <v>3730</v>
      </c>
      <c r="T1610">
        <f t="shared" si="181"/>
        <v>19344</v>
      </c>
      <c r="U1610">
        <f>YEAR(Sales_Table[[#This Row],[Date_clean]])</f>
        <v>2024</v>
      </c>
      <c r="V1610" t="str">
        <f>TEXT(Sales_Table[[#This Row],[Date_clean]],"mmmm")</f>
        <v>March</v>
      </c>
      <c r="W1610">
        <f>WEEKNUM(Sales_Table[[#This Row],[Date_clean]],2)</f>
        <v>10</v>
      </c>
      <c r="X1610" t="str" cm="1">
        <f t="array" ref="X1610">_xlfn.IFS(Sales_Table[[#This Row],[Revenue]]&gt;=50000,"High",Sales_Table[[#This Row],[Revenue]]&gt;=20000,"Medium",Sales_Table[[#This Row],[Revenue]]&lt;20000,"Low")</f>
        <v>Low</v>
      </c>
      <c r="Y1610" t="str">
        <f>IF(Sales_Table[[#This Row],[Payment Method_clean]]="cash","Offline","Online")</f>
        <v>Online</v>
      </c>
      <c r="Z1610">
        <f>IFERROR(Sales_Table[[#This Row],[Revenue]],0)</f>
        <v>19344</v>
      </c>
    </row>
    <row r="1611" spans="1:26" x14ac:dyDescent="0.3">
      <c r="A1611">
        <v>1610</v>
      </c>
      <c r="B1611" s="2">
        <f t="shared" si="175"/>
        <v>45359.041666666664</v>
      </c>
      <c r="C1611" t="s">
        <v>3731</v>
      </c>
      <c r="D1611" t="s">
        <v>27</v>
      </c>
      <c r="E1611" t="str">
        <f>PROPER(TRIM(CLEAN(Sales_Table[[#This Row],[Region]])))</f>
        <v>East</v>
      </c>
      <c r="F1611" t="s">
        <v>37</v>
      </c>
      <c r="G1611" t="str">
        <f t="shared" si="176"/>
        <v>Home Appliances</v>
      </c>
      <c r="H1611" t="str">
        <f>PROPER(TRIM(CLEAN(Sales_Table[[#This Row],[Product Name]])))</f>
        <v>Laptop</v>
      </c>
      <c r="I1611" t="s">
        <v>52</v>
      </c>
      <c r="J1611" t="str">
        <f t="shared" si="177"/>
        <v>CUST0554</v>
      </c>
      <c r="K1611" t="s">
        <v>2873</v>
      </c>
      <c r="L1611" t="str">
        <f>PROPER(TRIM(CLEAN(Sales_Table[[#This Row],[Salesperson]])))</f>
        <v>Anita</v>
      </c>
      <c r="M1611" t="s">
        <v>64</v>
      </c>
      <c r="N1611" t="str">
        <f t="shared" si="178"/>
        <v>Credit Card</v>
      </c>
      <c r="O1611" t="s">
        <v>65</v>
      </c>
      <c r="P1611">
        <f t="shared" si="179"/>
        <v>5</v>
      </c>
      <c r="Q1611" t="s">
        <v>89</v>
      </c>
      <c r="R1611">
        <f t="shared" si="180"/>
        <v>1859</v>
      </c>
      <c r="S1611" t="s">
        <v>3732</v>
      </c>
      <c r="T1611">
        <f t="shared" si="181"/>
        <v>9295</v>
      </c>
      <c r="U1611">
        <f>YEAR(Sales_Table[[#This Row],[Date_clean]])</f>
        <v>2024</v>
      </c>
      <c r="V1611" t="str">
        <f>TEXT(Sales_Table[[#This Row],[Date_clean]],"mmmm")</f>
        <v>March</v>
      </c>
      <c r="W1611">
        <f>WEEKNUM(Sales_Table[[#This Row],[Date_clean]],2)</f>
        <v>10</v>
      </c>
      <c r="X1611" t="str" cm="1">
        <f t="array" ref="X1611">_xlfn.IFS(Sales_Table[[#This Row],[Revenue]]&gt;=50000,"High",Sales_Table[[#This Row],[Revenue]]&gt;=20000,"Medium",Sales_Table[[#This Row],[Revenue]]&lt;20000,"Low")</f>
        <v>Low</v>
      </c>
      <c r="Y1611" t="str">
        <f>IF(Sales_Table[[#This Row],[Payment Method_clean]]="cash","Offline","Online")</f>
        <v>Online</v>
      </c>
      <c r="Z1611">
        <f>IFERROR(Sales_Table[[#This Row],[Revenue]],0)</f>
        <v>9295</v>
      </c>
    </row>
    <row r="1612" spans="1:26" x14ac:dyDescent="0.3">
      <c r="A1612">
        <v>1611</v>
      </c>
      <c r="B1612" s="2">
        <f t="shared" si="175"/>
        <v>45359.083333333336</v>
      </c>
      <c r="C1612" t="s">
        <v>3733</v>
      </c>
      <c r="D1612" t="s">
        <v>45</v>
      </c>
      <c r="E1612" t="str">
        <f>PROPER(TRIM(CLEAN(Sales_Table[[#This Row],[Region]])))</f>
        <v>North</v>
      </c>
      <c r="F1612" t="s">
        <v>28</v>
      </c>
      <c r="G1612" t="str">
        <f t="shared" si="176"/>
        <v>Clothing</v>
      </c>
      <c r="H1612" t="str">
        <f>PROPER(TRIM(CLEAN(Sales_Table[[#This Row],[Product Name]])))</f>
        <v>Mixer Grinder</v>
      </c>
      <c r="I1612" t="s">
        <v>29</v>
      </c>
      <c r="J1612" t="str">
        <f t="shared" si="177"/>
        <v>CUST0053</v>
      </c>
      <c r="K1612" t="s">
        <v>1255</v>
      </c>
      <c r="L1612" t="str">
        <f>PROPER(TRIM(CLEAN(Sales_Table[[#This Row],[Salesperson]])))</f>
        <v>Anita</v>
      </c>
      <c r="M1612" t="s">
        <v>64</v>
      </c>
      <c r="N1612" t="str">
        <f t="shared" si="178"/>
        <v>Cash</v>
      </c>
      <c r="O1612" t="s">
        <v>32</v>
      </c>
      <c r="P1612">
        <f t="shared" si="179"/>
        <v>2</v>
      </c>
      <c r="Q1612" t="s">
        <v>196</v>
      </c>
      <c r="R1612">
        <f t="shared" si="180"/>
        <v>1774</v>
      </c>
      <c r="S1612" t="s">
        <v>3734</v>
      </c>
      <c r="T1612">
        <f t="shared" si="181"/>
        <v>3548</v>
      </c>
      <c r="U1612">
        <f>YEAR(Sales_Table[[#This Row],[Date_clean]])</f>
        <v>2024</v>
      </c>
      <c r="V1612" t="str">
        <f>TEXT(Sales_Table[[#This Row],[Date_clean]],"mmmm")</f>
        <v>March</v>
      </c>
      <c r="W1612">
        <f>WEEKNUM(Sales_Table[[#This Row],[Date_clean]],2)</f>
        <v>10</v>
      </c>
      <c r="X1612" t="str" cm="1">
        <f t="array" ref="X1612">_xlfn.IFS(Sales_Table[[#This Row],[Revenue]]&gt;=50000,"High",Sales_Table[[#This Row],[Revenue]]&gt;=20000,"Medium",Sales_Table[[#This Row],[Revenue]]&lt;20000,"Low")</f>
        <v>Low</v>
      </c>
      <c r="Y1612" t="str">
        <f>IF(Sales_Table[[#This Row],[Payment Method_clean]]="cash","Offline","Online")</f>
        <v>Offline</v>
      </c>
      <c r="Z1612">
        <f>IFERROR(Sales_Table[[#This Row],[Revenue]],0)</f>
        <v>3548</v>
      </c>
    </row>
    <row r="1613" spans="1:26" x14ac:dyDescent="0.3">
      <c r="A1613">
        <v>1612</v>
      </c>
      <c r="B1613" s="2">
        <f t="shared" si="175"/>
        <v>45359.125</v>
      </c>
      <c r="C1613" t="s">
        <v>3735</v>
      </c>
      <c r="D1613" t="s">
        <v>84</v>
      </c>
      <c r="E1613" t="str">
        <f>PROPER(TRIM(CLEAN(Sales_Table[[#This Row],[Region]])))</f>
        <v>South</v>
      </c>
      <c r="F1613" t="s">
        <v>28</v>
      </c>
      <c r="G1613" t="str">
        <f t="shared" si="176"/>
        <v>Clothing</v>
      </c>
      <c r="H1613" t="str">
        <f>PROPER(TRIM(CLEAN(Sales_Table[[#This Row],[Product Name]])))</f>
        <v>Men T-Shirt</v>
      </c>
      <c r="I1613" t="s">
        <v>38</v>
      </c>
      <c r="J1613" t="str">
        <f t="shared" si="177"/>
        <v>CUST0480</v>
      </c>
      <c r="K1613" t="s">
        <v>133</v>
      </c>
      <c r="L1613" t="str">
        <f>PROPER(TRIM(CLEAN(Sales_Table[[#This Row],[Salesperson]])))</f>
        <v>Rahul</v>
      </c>
      <c r="M1613" t="s">
        <v>31</v>
      </c>
      <c r="N1613" t="str">
        <f t="shared" si="178"/>
        <v>Net Banking</v>
      </c>
      <c r="O1613" t="s">
        <v>60</v>
      </c>
      <c r="P1613">
        <f t="shared" si="179"/>
        <v>12</v>
      </c>
      <c r="Q1613" t="s">
        <v>33</v>
      </c>
      <c r="R1613">
        <f t="shared" si="180"/>
        <v>891</v>
      </c>
      <c r="S1613" t="s">
        <v>2963</v>
      </c>
      <c r="T1613">
        <f t="shared" si="181"/>
        <v>10692</v>
      </c>
      <c r="U1613">
        <f>YEAR(Sales_Table[[#This Row],[Date_clean]])</f>
        <v>2024</v>
      </c>
      <c r="V1613" t="str">
        <f>TEXT(Sales_Table[[#This Row],[Date_clean]],"mmmm")</f>
        <v>March</v>
      </c>
      <c r="W1613">
        <f>WEEKNUM(Sales_Table[[#This Row],[Date_clean]],2)</f>
        <v>10</v>
      </c>
      <c r="X1613" t="str" cm="1">
        <f t="array" ref="X1613">_xlfn.IFS(Sales_Table[[#This Row],[Revenue]]&gt;=50000,"High",Sales_Table[[#This Row],[Revenue]]&gt;=20000,"Medium",Sales_Table[[#This Row],[Revenue]]&lt;20000,"Low")</f>
        <v>Low</v>
      </c>
      <c r="Y1613" t="str">
        <f>IF(Sales_Table[[#This Row],[Payment Method_clean]]="cash","Offline","Online")</f>
        <v>Online</v>
      </c>
      <c r="Z1613">
        <f>IFERROR(Sales_Table[[#This Row],[Revenue]],0)</f>
        <v>10692</v>
      </c>
    </row>
    <row r="1614" spans="1:26" x14ac:dyDescent="0.3">
      <c r="A1614">
        <v>1613</v>
      </c>
      <c r="B1614" s="2">
        <f t="shared" si="175"/>
        <v>45359.166666666664</v>
      </c>
      <c r="C1614" t="s">
        <v>3736</v>
      </c>
      <c r="D1614" t="s">
        <v>36</v>
      </c>
      <c r="E1614" t="str">
        <f>PROPER(TRIM(CLEAN(Sales_Table[[#This Row],[Region]])))</f>
        <v>West</v>
      </c>
      <c r="F1614" t="s">
        <v>28</v>
      </c>
      <c r="G1614" t="str">
        <f t="shared" si="176"/>
        <v>Clothing</v>
      </c>
      <c r="H1614" t="str">
        <f>PROPER(TRIM(CLEAN(Sales_Table[[#This Row],[Product Name]])))</f>
        <v>Rice 5Kg</v>
      </c>
      <c r="I1614" t="s">
        <v>73</v>
      </c>
      <c r="J1614" t="str">
        <f t="shared" si="177"/>
        <v>CUST0443</v>
      </c>
      <c r="K1614" t="s">
        <v>1931</v>
      </c>
      <c r="L1614" t="str">
        <f>PROPER(TRIM(CLEAN(Sales_Table[[#This Row],[Salesperson]])))</f>
        <v>Anita</v>
      </c>
      <c r="M1614" t="s">
        <v>64</v>
      </c>
      <c r="N1614" t="str">
        <f t="shared" si="178"/>
        <v>Debit Card</v>
      </c>
      <c r="O1614" t="s">
        <v>41</v>
      </c>
      <c r="P1614">
        <f t="shared" si="179"/>
        <v>12</v>
      </c>
      <c r="Q1614" t="s">
        <v>33</v>
      </c>
      <c r="R1614">
        <f t="shared" si="180"/>
        <v>3682</v>
      </c>
      <c r="S1614" t="s">
        <v>3737</v>
      </c>
      <c r="T1614">
        <f t="shared" si="181"/>
        <v>44184</v>
      </c>
      <c r="U1614">
        <f>YEAR(Sales_Table[[#This Row],[Date_clean]])</f>
        <v>2024</v>
      </c>
      <c r="V1614" t="str">
        <f>TEXT(Sales_Table[[#This Row],[Date_clean]],"mmmm")</f>
        <v>March</v>
      </c>
      <c r="W1614">
        <f>WEEKNUM(Sales_Table[[#This Row],[Date_clean]],2)</f>
        <v>10</v>
      </c>
      <c r="X1614" t="str" cm="1">
        <f t="array" ref="X1614">_xlfn.IFS(Sales_Table[[#This Row],[Revenue]]&gt;=50000,"High",Sales_Table[[#This Row],[Revenue]]&gt;=20000,"Medium",Sales_Table[[#This Row],[Revenue]]&lt;20000,"Low")</f>
        <v>Medium</v>
      </c>
      <c r="Y1614" t="str">
        <f>IF(Sales_Table[[#This Row],[Payment Method_clean]]="cash","Offline","Online")</f>
        <v>Online</v>
      </c>
      <c r="Z1614">
        <f>IFERROR(Sales_Table[[#This Row],[Revenue]],0)</f>
        <v>44184</v>
      </c>
    </row>
    <row r="1615" spans="1:26" x14ac:dyDescent="0.3">
      <c r="A1615">
        <v>1614</v>
      </c>
      <c r="B1615" s="2">
        <f t="shared" si="175"/>
        <v>45359.208333333336</v>
      </c>
      <c r="C1615" t="s">
        <v>3738</v>
      </c>
      <c r="D1615" t="s">
        <v>45</v>
      </c>
      <c r="E1615" t="str">
        <f>PROPER(TRIM(CLEAN(Sales_Table[[#This Row],[Region]])))</f>
        <v>North</v>
      </c>
      <c r="F1615" t="s">
        <v>28</v>
      </c>
      <c r="G1615" t="str">
        <f t="shared" si="176"/>
        <v>Clothing</v>
      </c>
      <c r="H1615" t="str">
        <f>PROPER(TRIM(CLEAN(Sales_Table[[#This Row],[Product Name]])))</f>
        <v>Laptop</v>
      </c>
      <c r="I1615" t="s">
        <v>52</v>
      </c>
      <c r="J1615" t="str">
        <f t="shared" si="177"/>
        <v>CUST0330</v>
      </c>
      <c r="K1615" t="s">
        <v>3454</v>
      </c>
      <c r="L1615" t="str">
        <f>PROPER(TRIM(CLEAN(Sales_Table[[#This Row],[Salesperson]])))</f>
        <v>Rahul</v>
      </c>
      <c r="M1615" t="s">
        <v>31</v>
      </c>
      <c r="N1615" t="str">
        <f t="shared" si="178"/>
        <v>Debit Card</v>
      </c>
      <c r="O1615" t="s">
        <v>41</v>
      </c>
      <c r="P1615">
        <f t="shared" si="179"/>
        <v>2</v>
      </c>
      <c r="Q1615" t="s">
        <v>196</v>
      </c>
      <c r="R1615">
        <f t="shared" si="180"/>
        <v>1409</v>
      </c>
      <c r="S1615" t="s">
        <v>3739</v>
      </c>
      <c r="T1615">
        <f t="shared" si="181"/>
        <v>2818</v>
      </c>
      <c r="U1615">
        <f>YEAR(Sales_Table[[#This Row],[Date_clean]])</f>
        <v>2024</v>
      </c>
      <c r="V1615" t="str">
        <f>TEXT(Sales_Table[[#This Row],[Date_clean]],"mmmm")</f>
        <v>March</v>
      </c>
      <c r="W1615">
        <f>WEEKNUM(Sales_Table[[#This Row],[Date_clean]],2)</f>
        <v>10</v>
      </c>
      <c r="X1615" t="str" cm="1">
        <f t="array" ref="X1615">_xlfn.IFS(Sales_Table[[#This Row],[Revenue]]&gt;=50000,"High",Sales_Table[[#This Row],[Revenue]]&gt;=20000,"Medium",Sales_Table[[#This Row],[Revenue]]&lt;20000,"Low")</f>
        <v>Low</v>
      </c>
      <c r="Y1615" t="str">
        <f>IF(Sales_Table[[#This Row],[Payment Method_clean]]="cash","Offline","Online")</f>
        <v>Online</v>
      </c>
      <c r="Z1615">
        <f>IFERROR(Sales_Table[[#This Row],[Revenue]],0)</f>
        <v>2818</v>
      </c>
    </row>
    <row r="1616" spans="1:26" x14ac:dyDescent="0.3">
      <c r="A1616">
        <v>1615</v>
      </c>
      <c r="B1616" s="2">
        <f t="shared" si="175"/>
        <v>45359.25</v>
      </c>
      <c r="C1616" t="s">
        <v>3740</v>
      </c>
      <c r="D1616" t="s">
        <v>84</v>
      </c>
      <c r="E1616" t="str">
        <f>PROPER(TRIM(CLEAN(Sales_Table[[#This Row],[Region]])))</f>
        <v>South</v>
      </c>
      <c r="F1616" t="s">
        <v>37</v>
      </c>
      <c r="G1616" t="str">
        <f t="shared" si="176"/>
        <v>Home Appliances</v>
      </c>
      <c r="H1616" t="str">
        <f>PROPER(TRIM(CLEAN(Sales_Table[[#This Row],[Product Name]])))</f>
        <v>Mixer Grinder</v>
      </c>
      <c r="I1616" t="s">
        <v>29</v>
      </c>
      <c r="J1616" t="str">
        <f t="shared" si="177"/>
        <v>CUST0251</v>
      </c>
      <c r="K1616" t="s">
        <v>2404</v>
      </c>
      <c r="L1616" t="str">
        <f>PROPER(TRIM(CLEAN(Sales_Table[[#This Row],[Salesperson]])))</f>
        <v>Rahul</v>
      </c>
      <c r="M1616" t="s">
        <v>31</v>
      </c>
      <c r="N1616" t="str">
        <f t="shared" si="178"/>
        <v>Credit Card</v>
      </c>
      <c r="O1616" t="s">
        <v>65</v>
      </c>
      <c r="P1616">
        <f t="shared" si="179"/>
        <v>10</v>
      </c>
      <c r="Q1616" t="s">
        <v>117</v>
      </c>
      <c r="R1616">
        <f t="shared" si="180"/>
        <v>3933</v>
      </c>
      <c r="S1616" t="s">
        <v>3659</v>
      </c>
      <c r="T1616">
        <f t="shared" si="181"/>
        <v>39330</v>
      </c>
      <c r="U1616">
        <f>YEAR(Sales_Table[[#This Row],[Date_clean]])</f>
        <v>2024</v>
      </c>
      <c r="V1616" t="str">
        <f>TEXT(Sales_Table[[#This Row],[Date_clean]],"mmmm")</f>
        <v>March</v>
      </c>
      <c r="W1616">
        <f>WEEKNUM(Sales_Table[[#This Row],[Date_clean]],2)</f>
        <v>10</v>
      </c>
      <c r="X1616" t="str" cm="1">
        <f t="array" ref="X1616">_xlfn.IFS(Sales_Table[[#This Row],[Revenue]]&gt;=50000,"High",Sales_Table[[#This Row],[Revenue]]&gt;=20000,"Medium",Sales_Table[[#This Row],[Revenue]]&lt;20000,"Low")</f>
        <v>Medium</v>
      </c>
      <c r="Y1616" t="str">
        <f>IF(Sales_Table[[#This Row],[Payment Method_clean]]="cash","Offline","Online")</f>
        <v>Online</v>
      </c>
      <c r="Z1616">
        <f>IFERROR(Sales_Table[[#This Row],[Revenue]],0)</f>
        <v>39330</v>
      </c>
    </row>
    <row r="1617" spans="1:26" x14ac:dyDescent="0.3">
      <c r="A1617">
        <v>1616</v>
      </c>
      <c r="B1617" s="2">
        <f t="shared" si="175"/>
        <v>45359.291666666664</v>
      </c>
      <c r="C1617" t="s">
        <v>3741</v>
      </c>
      <c r="D1617" t="s">
        <v>27</v>
      </c>
      <c r="E1617" t="str">
        <f>PROPER(TRIM(CLEAN(Sales_Table[[#This Row],[Region]])))</f>
        <v>East</v>
      </c>
      <c r="F1617" t="s">
        <v>28</v>
      </c>
      <c r="G1617" t="str">
        <f t="shared" si="176"/>
        <v>Clothing</v>
      </c>
      <c r="H1617" t="str">
        <f>PROPER(TRIM(CLEAN(Sales_Table[[#This Row],[Product Name]])))</f>
        <v>Mixer Grinder</v>
      </c>
      <c r="I1617" t="s">
        <v>29</v>
      </c>
      <c r="J1617" t="str">
        <f t="shared" si="177"/>
        <v>CUST0783</v>
      </c>
      <c r="K1617" t="s">
        <v>950</v>
      </c>
      <c r="L1617" t="str">
        <f>PROPER(TRIM(CLEAN(Sales_Table[[#This Row],[Salesperson]])))</f>
        <v>Rahul</v>
      </c>
      <c r="M1617" t="s">
        <v>31</v>
      </c>
      <c r="N1617" t="str">
        <f t="shared" si="178"/>
        <v>Upi</v>
      </c>
      <c r="O1617" t="s">
        <v>48</v>
      </c>
      <c r="P1617">
        <f t="shared" si="179"/>
        <v>5</v>
      </c>
      <c r="Q1617" t="s">
        <v>89</v>
      </c>
      <c r="R1617">
        <f t="shared" si="180"/>
        <v>4512</v>
      </c>
      <c r="S1617" t="s">
        <v>3742</v>
      </c>
      <c r="T1617">
        <f t="shared" si="181"/>
        <v>22560</v>
      </c>
      <c r="U1617">
        <f>YEAR(Sales_Table[[#This Row],[Date_clean]])</f>
        <v>2024</v>
      </c>
      <c r="V1617" t="str">
        <f>TEXT(Sales_Table[[#This Row],[Date_clean]],"mmmm")</f>
        <v>March</v>
      </c>
      <c r="W1617">
        <f>WEEKNUM(Sales_Table[[#This Row],[Date_clean]],2)</f>
        <v>10</v>
      </c>
      <c r="X1617" t="str" cm="1">
        <f t="array" ref="X1617">_xlfn.IFS(Sales_Table[[#This Row],[Revenue]]&gt;=50000,"High",Sales_Table[[#This Row],[Revenue]]&gt;=20000,"Medium",Sales_Table[[#This Row],[Revenue]]&lt;20000,"Low")</f>
        <v>Medium</v>
      </c>
      <c r="Y1617" t="str">
        <f>IF(Sales_Table[[#This Row],[Payment Method_clean]]="cash","Offline","Online")</f>
        <v>Online</v>
      </c>
      <c r="Z1617">
        <f>IFERROR(Sales_Table[[#This Row],[Revenue]],0)</f>
        <v>22560</v>
      </c>
    </row>
    <row r="1618" spans="1:26" x14ac:dyDescent="0.3">
      <c r="A1618">
        <v>1617</v>
      </c>
      <c r="B1618" s="2">
        <f t="shared" si="175"/>
        <v>45359.333333333336</v>
      </c>
      <c r="C1618" t="s">
        <v>3743</v>
      </c>
      <c r="D1618" t="s">
        <v>27</v>
      </c>
      <c r="E1618" t="str">
        <f>PROPER(TRIM(CLEAN(Sales_Table[[#This Row],[Region]])))</f>
        <v>East</v>
      </c>
      <c r="F1618" t="s">
        <v>28</v>
      </c>
      <c r="G1618" t="str">
        <f t="shared" si="176"/>
        <v>Clothing</v>
      </c>
      <c r="H1618" t="str">
        <f>PROPER(TRIM(CLEAN(Sales_Table[[#This Row],[Product Name]])))</f>
        <v>Men T-Shirt</v>
      </c>
      <c r="I1618" t="s">
        <v>38</v>
      </c>
      <c r="J1618" t="str">
        <f t="shared" si="177"/>
        <v>CUST0123</v>
      </c>
      <c r="K1618" t="s">
        <v>3031</v>
      </c>
      <c r="L1618" t="str">
        <f>PROPER(TRIM(CLEAN(Sales_Table[[#This Row],[Salesperson]])))</f>
        <v>Suresh</v>
      </c>
      <c r="M1618" t="s">
        <v>54</v>
      </c>
      <c r="N1618" t="str">
        <f t="shared" si="178"/>
        <v>Credit Card</v>
      </c>
      <c r="O1618" t="s">
        <v>65</v>
      </c>
      <c r="P1618">
        <f t="shared" si="179"/>
        <v>3</v>
      </c>
      <c r="Q1618" t="s">
        <v>66</v>
      </c>
      <c r="R1618">
        <f t="shared" si="180"/>
        <v>1430</v>
      </c>
      <c r="S1618" t="s">
        <v>3744</v>
      </c>
      <c r="T1618">
        <f t="shared" si="181"/>
        <v>4290</v>
      </c>
      <c r="U1618">
        <f>YEAR(Sales_Table[[#This Row],[Date_clean]])</f>
        <v>2024</v>
      </c>
      <c r="V1618" t="str">
        <f>TEXT(Sales_Table[[#This Row],[Date_clean]],"mmmm")</f>
        <v>March</v>
      </c>
      <c r="W1618">
        <f>WEEKNUM(Sales_Table[[#This Row],[Date_clean]],2)</f>
        <v>10</v>
      </c>
      <c r="X1618" t="str" cm="1">
        <f t="array" ref="X1618">_xlfn.IFS(Sales_Table[[#This Row],[Revenue]]&gt;=50000,"High",Sales_Table[[#This Row],[Revenue]]&gt;=20000,"Medium",Sales_Table[[#This Row],[Revenue]]&lt;20000,"Low")</f>
        <v>Low</v>
      </c>
      <c r="Y1618" t="str">
        <f>IF(Sales_Table[[#This Row],[Payment Method_clean]]="cash","Offline","Online")</f>
        <v>Online</v>
      </c>
      <c r="Z1618">
        <f>IFERROR(Sales_Table[[#This Row],[Revenue]],0)</f>
        <v>4290</v>
      </c>
    </row>
    <row r="1619" spans="1:26" x14ac:dyDescent="0.3">
      <c r="A1619">
        <v>1618</v>
      </c>
      <c r="B1619" s="2">
        <f t="shared" si="175"/>
        <v>45359.375</v>
      </c>
      <c r="C1619" t="s">
        <v>3745</v>
      </c>
      <c r="D1619" t="s">
        <v>45</v>
      </c>
      <c r="E1619" t="str">
        <f>PROPER(TRIM(CLEAN(Sales_Table[[#This Row],[Region]])))</f>
        <v>North</v>
      </c>
      <c r="F1619" t="s">
        <v>46</v>
      </c>
      <c r="G1619" t="str">
        <f t="shared" si="176"/>
        <v>Electronics</v>
      </c>
      <c r="H1619" t="str">
        <f>PROPER(TRIM(CLEAN(Sales_Table[[#This Row],[Product Name]])))</f>
        <v>Mixer Grinder</v>
      </c>
      <c r="I1619" t="s">
        <v>29</v>
      </c>
      <c r="J1619" t="str">
        <f t="shared" si="177"/>
        <v>CUST0387</v>
      </c>
      <c r="K1619" t="s">
        <v>1302</v>
      </c>
      <c r="L1619" t="str">
        <f>PROPER(TRIM(CLEAN(Sales_Table[[#This Row],[Salesperson]])))</f>
        <v>Anita</v>
      </c>
      <c r="M1619" t="s">
        <v>64</v>
      </c>
      <c r="N1619" t="str">
        <f t="shared" si="178"/>
        <v>Cash</v>
      </c>
      <c r="O1619" t="s">
        <v>32</v>
      </c>
      <c r="P1619">
        <f t="shared" si="179"/>
        <v>10</v>
      </c>
      <c r="Q1619" t="s">
        <v>117</v>
      </c>
      <c r="R1619">
        <f t="shared" si="180"/>
        <v>4546</v>
      </c>
      <c r="S1619" t="s">
        <v>3746</v>
      </c>
      <c r="T1619">
        <f t="shared" si="181"/>
        <v>45460</v>
      </c>
      <c r="U1619">
        <f>YEAR(Sales_Table[[#This Row],[Date_clean]])</f>
        <v>2024</v>
      </c>
      <c r="V1619" t="str">
        <f>TEXT(Sales_Table[[#This Row],[Date_clean]],"mmmm")</f>
        <v>March</v>
      </c>
      <c r="W1619">
        <f>WEEKNUM(Sales_Table[[#This Row],[Date_clean]],2)</f>
        <v>10</v>
      </c>
      <c r="X1619" t="str" cm="1">
        <f t="array" ref="X1619">_xlfn.IFS(Sales_Table[[#This Row],[Revenue]]&gt;=50000,"High",Sales_Table[[#This Row],[Revenue]]&gt;=20000,"Medium",Sales_Table[[#This Row],[Revenue]]&lt;20000,"Low")</f>
        <v>Medium</v>
      </c>
      <c r="Y1619" t="str">
        <f>IF(Sales_Table[[#This Row],[Payment Method_clean]]="cash","Offline","Online")</f>
        <v>Offline</v>
      </c>
      <c r="Z1619">
        <f>IFERROR(Sales_Table[[#This Row],[Revenue]],0)</f>
        <v>45460</v>
      </c>
    </row>
    <row r="1620" spans="1:26" x14ac:dyDescent="0.3">
      <c r="A1620">
        <v>1619</v>
      </c>
      <c r="B1620" s="2">
        <f t="shared" si="175"/>
        <v>45359.416666666664</v>
      </c>
      <c r="C1620" t="s">
        <v>3747</v>
      </c>
      <c r="D1620" t="s">
        <v>84</v>
      </c>
      <c r="E1620" t="str">
        <f>PROPER(TRIM(CLEAN(Sales_Table[[#This Row],[Region]])))</f>
        <v>South</v>
      </c>
      <c r="F1620" t="s">
        <v>78</v>
      </c>
      <c r="G1620" t="str">
        <f t="shared" si="176"/>
        <v>Grocery</v>
      </c>
      <c r="H1620" t="str">
        <f>PROPER(TRIM(CLEAN(Sales_Table[[#This Row],[Product Name]])))</f>
        <v>Men T-Shirt</v>
      </c>
      <c r="I1620" t="s">
        <v>38</v>
      </c>
      <c r="J1620" t="str">
        <f t="shared" si="177"/>
        <v>CUST0339</v>
      </c>
      <c r="K1620" t="s">
        <v>578</v>
      </c>
      <c r="L1620" t="str">
        <f>PROPER(TRIM(CLEAN(Sales_Table[[#This Row],[Salesperson]])))</f>
        <v>Meena</v>
      </c>
      <c r="M1620" t="s">
        <v>40</v>
      </c>
      <c r="N1620" t="str">
        <f t="shared" si="178"/>
        <v>Upi</v>
      </c>
      <c r="O1620" t="s">
        <v>48</v>
      </c>
      <c r="P1620">
        <f t="shared" si="179"/>
        <v>3</v>
      </c>
      <c r="Q1620" t="s">
        <v>66</v>
      </c>
      <c r="R1620">
        <f t="shared" si="180"/>
        <v>610</v>
      </c>
      <c r="S1620" t="s">
        <v>3748</v>
      </c>
      <c r="T1620">
        <f t="shared" si="181"/>
        <v>1830</v>
      </c>
      <c r="U1620">
        <f>YEAR(Sales_Table[[#This Row],[Date_clean]])</f>
        <v>2024</v>
      </c>
      <c r="V1620" t="str">
        <f>TEXT(Sales_Table[[#This Row],[Date_clean]],"mmmm")</f>
        <v>March</v>
      </c>
      <c r="W1620">
        <f>WEEKNUM(Sales_Table[[#This Row],[Date_clean]],2)</f>
        <v>10</v>
      </c>
      <c r="X1620" t="str" cm="1">
        <f t="array" ref="X1620">_xlfn.IFS(Sales_Table[[#This Row],[Revenue]]&gt;=50000,"High",Sales_Table[[#This Row],[Revenue]]&gt;=20000,"Medium",Sales_Table[[#This Row],[Revenue]]&lt;20000,"Low")</f>
        <v>Low</v>
      </c>
      <c r="Y1620" t="str">
        <f>IF(Sales_Table[[#This Row],[Payment Method_clean]]="cash","Offline","Online")</f>
        <v>Online</v>
      </c>
      <c r="Z1620">
        <f>IFERROR(Sales_Table[[#This Row],[Revenue]],0)</f>
        <v>1830</v>
      </c>
    </row>
    <row r="1621" spans="1:26" x14ac:dyDescent="0.3">
      <c r="A1621">
        <v>1620</v>
      </c>
      <c r="B1621" s="2">
        <f t="shared" si="175"/>
        <v>45359.458333333336</v>
      </c>
      <c r="C1621" t="s">
        <v>3749</v>
      </c>
      <c r="D1621" t="s">
        <v>45</v>
      </c>
      <c r="E1621" t="str">
        <f>PROPER(TRIM(CLEAN(Sales_Table[[#This Row],[Region]])))</f>
        <v>North</v>
      </c>
      <c r="F1621" t="s">
        <v>78</v>
      </c>
      <c r="G1621" t="str">
        <f t="shared" si="176"/>
        <v>Grocery</v>
      </c>
      <c r="H1621" t="str">
        <f>PROPER(TRIM(CLEAN(Sales_Table[[#This Row],[Product Name]])))</f>
        <v>Led Tv 42Inch</v>
      </c>
      <c r="I1621" t="s">
        <v>58</v>
      </c>
      <c r="J1621" t="str">
        <f t="shared" si="177"/>
        <v>CUST0778</v>
      </c>
      <c r="K1621" t="s">
        <v>2474</v>
      </c>
      <c r="L1621" t="str">
        <f>PROPER(TRIM(CLEAN(Sales_Table[[#This Row],[Salesperson]])))</f>
        <v>Rahul</v>
      </c>
      <c r="M1621" t="s">
        <v>31</v>
      </c>
      <c r="N1621" t="str">
        <f t="shared" si="178"/>
        <v>Debit Card</v>
      </c>
      <c r="O1621" t="s">
        <v>41</v>
      </c>
      <c r="P1621">
        <f t="shared" si="179"/>
        <v>8</v>
      </c>
      <c r="Q1621" t="s">
        <v>42</v>
      </c>
      <c r="R1621">
        <f t="shared" si="180"/>
        <v>2672</v>
      </c>
      <c r="S1621" t="s">
        <v>3750</v>
      </c>
      <c r="T1621">
        <f t="shared" si="181"/>
        <v>21376</v>
      </c>
      <c r="U1621">
        <f>YEAR(Sales_Table[[#This Row],[Date_clean]])</f>
        <v>2024</v>
      </c>
      <c r="V1621" t="str">
        <f>TEXT(Sales_Table[[#This Row],[Date_clean]],"mmmm")</f>
        <v>March</v>
      </c>
      <c r="W1621">
        <f>WEEKNUM(Sales_Table[[#This Row],[Date_clean]],2)</f>
        <v>10</v>
      </c>
      <c r="X1621" t="str" cm="1">
        <f t="array" ref="X1621">_xlfn.IFS(Sales_Table[[#This Row],[Revenue]]&gt;=50000,"High",Sales_Table[[#This Row],[Revenue]]&gt;=20000,"Medium",Sales_Table[[#This Row],[Revenue]]&lt;20000,"Low")</f>
        <v>Medium</v>
      </c>
      <c r="Y1621" t="str">
        <f>IF(Sales_Table[[#This Row],[Payment Method_clean]]="cash","Offline","Online")</f>
        <v>Online</v>
      </c>
      <c r="Z1621">
        <f>IFERROR(Sales_Table[[#This Row],[Revenue]],0)</f>
        <v>21376</v>
      </c>
    </row>
    <row r="1622" spans="1:26" x14ac:dyDescent="0.3">
      <c r="A1622">
        <v>1621</v>
      </c>
      <c r="B1622" s="2">
        <f t="shared" si="175"/>
        <v>45359.5</v>
      </c>
      <c r="C1622" t="s">
        <v>3751</v>
      </c>
      <c r="D1622" t="s">
        <v>45</v>
      </c>
      <c r="E1622" t="str">
        <f>PROPER(TRIM(CLEAN(Sales_Table[[#This Row],[Region]])))</f>
        <v>North</v>
      </c>
      <c r="F1622" t="s">
        <v>46</v>
      </c>
      <c r="G1622" t="str">
        <f t="shared" si="176"/>
        <v>Electronics</v>
      </c>
      <c r="H1622" t="str">
        <f>PROPER(TRIM(CLEAN(Sales_Table[[#This Row],[Product Name]])))</f>
        <v>Laptop</v>
      </c>
      <c r="I1622" t="s">
        <v>52</v>
      </c>
      <c r="J1622" t="str">
        <f t="shared" si="177"/>
        <v>CUST0348</v>
      </c>
      <c r="K1622" t="s">
        <v>80</v>
      </c>
      <c r="L1622" t="str">
        <f>PROPER(TRIM(CLEAN(Sales_Table[[#This Row],[Salesperson]])))</f>
        <v>Anita</v>
      </c>
      <c r="M1622" t="s">
        <v>64</v>
      </c>
      <c r="N1622" t="str">
        <f t="shared" si="178"/>
        <v>Net Banking</v>
      </c>
      <c r="O1622" t="s">
        <v>60</v>
      </c>
      <c r="P1622">
        <f t="shared" si="179"/>
        <v>7</v>
      </c>
      <c r="Q1622" t="s">
        <v>49</v>
      </c>
      <c r="R1622">
        <f t="shared" si="180"/>
        <v>4029</v>
      </c>
      <c r="S1622" t="s">
        <v>3752</v>
      </c>
      <c r="T1622">
        <f t="shared" si="181"/>
        <v>28203</v>
      </c>
      <c r="U1622">
        <f>YEAR(Sales_Table[[#This Row],[Date_clean]])</f>
        <v>2024</v>
      </c>
      <c r="V1622" t="str">
        <f>TEXT(Sales_Table[[#This Row],[Date_clean]],"mmmm")</f>
        <v>March</v>
      </c>
      <c r="W1622">
        <f>WEEKNUM(Sales_Table[[#This Row],[Date_clean]],2)</f>
        <v>10</v>
      </c>
      <c r="X1622" t="str" cm="1">
        <f t="array" ref="X1622">_xlfn.IFS(Sales_Table[[#This Row],[Revenue]]&gt;=50000,"High",Sales_Table[[#This Row],[Revenue]]&gt;=20000,"Medium",Sales_Table[[#This Row],[Revenue]]&lt;20000,"Low")</f>
        <v>Medium</v>
      </c>
      <c r="Y1622" t="str">
        <f>IF(Sales_Table[[#This Row],[Payment Method_clean]]="cash","Offline","Online")</f>
        <v>Online</v>
      </c>
      <c r="Z1622">
        <f>IFERROR(Sales_Table[[#This Row],[Revenue]],0)</f>
        <v>28203</v>
      </c>
    </row>
    <row r="1623" spans="1:26" x14ac:dyDescent="0.3">
      <c r="A1623">
        <v>1622</v>
      </c>
      <c r="B1623" s="2">
        <f t="shared" si="175"/>
        <v>45359.541666666664</v>
      </c>
      <c r="C1623" t="s">
        <v>3753</v>
      </c>
      <c r="D1623" t="s">
        <v>84</v>
      </c>
      <c r="E1623" t="str">
        <f>PROPER(TRIM(CLEAN(Sales_Table[[#This Row],[Region]])))</f>
        <v>South</v>
      </c>
      <c r="F1623" t="s">
        <v>46</v>
      </c>
      <c r="G1623" t="str">
        <f t="shared" si="176"/>
        <v>Electronics</v>
      </c>
      <c r="H1623" t="str">
        <f>PROPER(TRIM(CLEAN(Sales_Table[[#This Row],[Product Name]])))</f>
        <v>Washing Machine</v>
      </c>
      <c r="I1623" t="s">
        <v>79</v>
      </c>
      <c r="J1623" t="str">
        <f t="shared" si="177"/>
        <v>CUST0029</v>
      </c>
      <c r="K1623" t="s">
        <v>813</v>
      </c>
      <c r="L1623" t="str">
        <f>PROPER(TRIM(CLEAN(Sales_Table[[#This Row],[Salesperson]])))</f>
        <v>Karthik</v>
      </c>
      <c r="M1623" t="s">
        <v>70</v>
      </c>
      <c r="N1623" t="str">
        <f t="shared" si="178"/>
        <v>Net Banking</v>
      </c>
      <c r="O1623" t="s">
        <v>60</v>
      </c>
      <c r="P1623">
        <f t="shared" si="179"/>
        <v>1</v>
      </c>
      <c r="Q1623" t="s">
        <v>93</v>
      </c>
      <c r="R1623">
        <f t="shared" si="180"/>
        <v>591</v>
      </c>
      <c r="S1623" t="s">
        <v>3754</v>
      </c>
      <c r="T1623">
        <f t="shared" si="181"/>
        <v>591</v>
      </c>
      <c r="U1623">
        <f>YEAR(Sales_Table[[#This Row],[Date_clean]])</f>
        <v>2024</v>
      </c>
      <c r="V1623" t="str">
        <f>TEXT(Sales_Table[[#This Row],[Date_clean]],"mmmm")</f>
        <v>March</v>
      </c>
      <c r="W1623">
        <f>WEEKNUM(Sales_Table[[#This Row],[Date_clean]],2)</f>
        <v>10</v>
      </c>
      <c r="X1623" t="str" cm="1">
        <f t="array" ref="X1623">_xlfn.IFS(Sales_Table[[#This Row],[Revenue]]&gt;=50000,"High",Sales_Table[[#This Row],[Revenue]]&gt;=20000,"Medium",Sales_Table[[#This Row],[Revenue]]&lt;20000,"Low")</f>
        <v>Low</v>
      </c>
      <c r="Y1623" t="str">
        <f>IF(Sales_Table[[#This Row],[Payment Method_clean]]="cash","Offline","Online")</f>
        <v>Online</v>
      </c>
      <c r="Z1623">
        <f>IFERROR(Sales_Table[[#This Row],[Revenue]],0)</f>
        <v>591</v>
      </c>
    </row>
    <row r="1624" spans="1:26" x14ac:dyDescent="0.3">
      <c r="A1624">
        <v>1623</v>
      </c>
      <c r="B1624" s="2">
        <f t="shared" si="175"/>
        <v>45359.583333333336</v>
      </c>
      <c r="C1624" t="s">
        <v>3755</v>
      </c>
      <c r="D1624" t="s">
        <v>84</v>
      </c>
      <c r="E1624" t="str">
        <f>PROPER(TRIM(CLEAN(Sales_Table[[#This Row],[Region]])))</f>
        <v>South</v>
      </c>
      <c r="F1624" t="s">
        <v>37</v>
      </c>
      <c r="G1624" t="str">
        <f t="shared" si="176"/>
        <v>Home Appliances</v>
      </c>
      <c r="H1624" t="str">
        <f>PROPER(TRIM(CLEAN(Sales_Table[[#This Row],[Product Name]])))</f>
        <v>Led Tv 42Inch</v>
      </c>
      <c r="I1624" t="s">
        <v>58</v>
      </c>
      <c r="J1624" t="str">
        <f t="shared" si="177"/>
        <v>CUST0035</v>
      </c>
      <c r="K1624" t="s">
        <v>3756</v>
      </c>
      <c r="L1624" t="str">
        <f>PROPER(TRIM(CLEAN(Sales_Table[[#This Row],[Salesperson]])))</f>
        <v>Rahul</v>
      </c>
      <c r="M1624" t="s">
        <v>31</v>
      </c>
      <c r="N1624" t="str">
        <f t="shared" si="178"/>
        <v>Cash</v>
      </c>
      <c r="O1624" t="s">
        <v>32</v>
      </c>
      <c r="P1624">
        <f t="shared" si="179"/>
        <v>12</v>
      </c>
      <c r="Q1624" t="s">
        <v>33</v>
      </c>
      <c r="R1624">
        <f t="shared" si="180"/>
        <v>1717</v>
      </c>
      <c r="S1624" t="s">
        <v>3757</v>
      </c>
      <c r="T1624">
        <f t="shared" si="181"/>
        <v>20604</v>
      </c>
      <c r="U1624">
        <f>YEAR(Sales_Table[[#This Row],[Date_clean]])</f>
        <v>2024</v>
      </c>
      <c r="V1624" t="str">
        <f>TEXT(Sales_Table[[#This Row],[Date_clean]],"mmmm")</f>
        <v>March</v>
      </c>
      <c r="W1624">
        <f>WEEKNUM(Sales_Table[[#This Row],[Date_clean]],2)</f>
        <v>10</v>
      </c>
      <c r="X1624" t="str" cm="1">
        <f t="array" ref="X1624">_xlfn.IFS(Sales_Table[[#This Row],[Revenue]]&gt;=50000,"High",Sales_Table[[#This Row],[Revenue]]&gt;=20000,"Medium",Sales_Table[[#This Row],[Revenue]]&lt;20000,"Low")</f>
        <v>Medium</v>
      </c>
      <c r="Y1624" t="str">
        <f>IF(Sales_Table[[#This Row],[Payment Method_clean]]="cash","Offline","Online")</f>
        <v>Offline</v>
      </c>
      <c r="Z1624">
        <f>IFERROR(Sales_Table[[#This Row],[Revenue]],0)</f>
        <v>20604</v>
      </c>
    </row>
    <row r="1625" spans="1:26" x14ac:dyDescent="0.3">
      <c r="A1625">
        <v>1624</v>
      </c>
      <c r="B1625" s="2">
        <f t="shared" si="175"/>
        <v>45359.625</v>
      </c>
      <c r="C1625" t="s">
        <v>3758</v>
      </c>
      <c r="D1625" t="s">
        <v>36</v>
      </c>
      <c r="E1625" t="str">
        <f>PROPER(TRIM(CLEAN(Sales_Table[[#This Row],[Region]])))</f>
        <v>West</v>
      </c>
      <c r="F1625" t="s">
        <v>37</v>
      </c>
      <c r="G1625" t="str">
        <f t="shared" si="176"/>
        <v>Home Appliances</v>
      </c>
      <c r="H1625" t="str">
        <f>PROPER(TRIM(CLEAN(Sales_Table[[#This Row],[Product Name]])))</f>
        <v>Laptop</v>
      </c>
      <c r="I1625" t="s">
        <v>52</v>
      </c>
      <c r="J1625" t="str">
        <f t="shared" si="177"/>
        <v>CUST0518</v>
      </c>
      <c r="K1625" t="s">
        <v>3759</v>
      </c>
      <c r="L1625" t="str">
        <f>PROPER(TRIM(CLEAN(Sales_Table[[#This Row],[Salesperson]])))</f>
        <v>Rahul</v>
      </c>
      <c r="M1625" t="s">
        <v>31</v>
      </c>
      <c r="N1625" t="str">
        <f t="shared" si="178"/>
        <v>Credit Card</v>
      </c>
      <c r="O1625" t="s">
        <v>65</v>
      </c>
      <c r="P1625">
        <f t="shared" si="179"/>
        <v>13</v>
      </c>
      <c r="Q1625" t="s">
        <v>81</v>
      </c>
      <c r="R1625">
        <f t="shared" si="180"/>
        <v>2156</v>
      </c>
      <c r="S1625" t="s">
        <v>2453</v>
      </c>
      <c r="T1625">
        <f t="shared" si="181"/>
        <v>28028</v>
      </c>
      <c r="U1625">
        <f>YEAR(Sales_Table[[#This Row],[Date_clean]])</f>
        <v>2024</v>
      </c>
      <c r="V1625" t="str">
        <f>TEXT(Sales_Table[[#This Row],[Date_clean]],"mmmm")</f>
        <v>March</v>
      </c>
      <c r="W1625">
        <f>WEEKNUM(Sales_Table[[#This Row],[Date_clean]],2)</f>
        <v>10</v>
      </c>
      <c r="X1625" t="str" cm="1">
        <f t="array" ref="X1625">_xlfn.IFS(Sales_Table[[#This Row],[Revenue]]&gt;=50000,"High",Sales_Table[[#This Row],[Revenue]]&gt;=20000,"Medium",Sales_Table[[#This Row],[Revenue]]&lt;20000,"Low")</f>
        <v>Medium</v>
      </c>
      <c r="Y1625" t="str">
        <f>IF(Sales_Table[[#This Row],[Payment Method_clean]]="cash","Offline","Online")</f>
        <v>Online</v>
      </c>
      <c r="Z1625">
        <f>IFERROR(Sales_Table[[#This Row],[Revenue]],0)</f>
        <v>28028</v>
      </c>
    </row>
    <row r="1626" spans="1:26" x14ac:dyDescent="0.3">
      <c r="A1626">
        <v>1625</v>
      </c>
      <c r="B1626" s="2">
        <f t="shared" si="175"/>
        <v>45359.666666666664</v>
      </c>
      <c r="C1626" t="s">
        <v>3760</v>
      </c>
      <c r="D1626" t="s">
        <v>84</v>
      </c>
      <c r="E1626" t="str">
        <f>PROPER(TRIM(CLEAN(Sales_Table[[#This Row],[Region]])))</f>
        <v>South</v>
      </c>
      <c r="F1626" t="s">
        <v>37</v>
      </c>
      <c r="G1626" t="str">
        <f t="shared" si="176"/>
        <v>Home Appliances</v>
      </c>
      <c r="H1626" t="str">
        <f>PROPER(TRIM(CLEAN(Sales_Table[[#This Row],[Product Name]])))</f>
        <v>Men T-Shirt</v>
      </c>
      <c r="I1626" t="s">
        <v>38</v>
      </c>
      <c r="J1626" t="str">
        <f t="shared" si="177"/>
        <v>CUST0396</v>
      </c>
      <c r="K1626" t="s">
        <v>282</v>
      </c>
      <c r="L1626" t="str">
        <f>PROPER(TRIM(CLEAN(Sales_Table[[#This Row],[Salesperson]])))</f>
        <v>Meena</v>
      </c>
      <c r="M1626" t="s">
        <v>40</v>
      </c>
      <c r="N1626" t="str">
        <f t="shared" si="178"/>
        <v>Cash</v>
      </c>
      <c r="O1626" t="s">
        <v>32</v>
      </c>
      <c r="P1626">
        <f t="shared" si="179"/>
        <v>12</v>
      </c>
      <c r="Q1626" t="s">
        <v>33</v>
      </c>
      <c r="R1626">
        <f t="shared" si="180"/>
        <v>1620</v>
      </c>
      <c r="S1626" t="s">
        <v>3761</v>
      </c>
      <c r="T1626">
        <f t="shared" si="181"/>
        <v>19440</v>
      </c>
      <c r="U1626">
        <f>YEAR(Sales_Table[[#This Row],[Date_clean]])</f>
        <v>2024</v>
      </c>
      <c r="V1626" t="str">
        <f>TEXT(Sales_Table[[#This Row],[Date_clean]],"mmmm")</f>
        <v>March</v>
      </c>
      <c r="W1626">
        <f>WEEKNUM(Sales_Table[[#This Row],[Date_clean]],2)</f>
        <v>10</v>
      </c>
      <c r="X1626" t="str" cm="1">
        <f t="array" ref="X1626">_xlfn.IFS(Sales_Table[[#This Row],[Revenue]]&gt;=50000,"High",Sales_Table[[#This Row],[Revenue]]&gt;=20000,"Medium",Sales_Table[[#This Row],[Revenue]]&lt;20000,"Low")</f>
        <v>Low</v>
      </c>
      <c r="Y1626" t="str">
        <f>IF(Sales_Table[[#This Row],[Payment Method_clean]]="cash","Offline","Online")</f>
        <v>Offline</v>
      </c>
      <c r="Z1626">
        <f>IFERROR(Sales_Table[[#This Row],[Revenue]],0)</f>
        <v>19440</v>
      </c>
    </row>
    <row r="1627" spans="1:26" x14ac:dyDescent="0.3">
      <c r="A1627">
        <v>1626</v>
      </c>
      <c r="B1627" s="2">
        <f t="shared" si="175"/>
        <v>45359.708333333336</v>
      </c>
      <c r="C1627" t="s">
        <v>3762</v>
      </c>
      <c r="D1627" t="s">
        <v>27</v>
      </c>
      <c r="E1627" t="str">
        <f>PROPER(TRIM(CLEAN(Sales_Table[[#This Row],[Region]])))</f>
        <v>East</v>
      </c>
      <c r="F1627" t="s">
        <v>46</v>
      </c>
      <c r="G1627" t="str">
        <f t="shared" si="176"/>
        <v>Electronics</v>
      </c>
      <c r="H1627" t="str">
        <f>PROPER(TRIM(CLEAN(Sales_Table[[#This Row],[Product Name]])))</f>
        <v>Laptop</v>
      </c>
      <c r="I1627" t="s">
        <v>52</v>
      </c>
      <c r="J1627" t="str">
        <f t="shared" si="177"/>
        <v>CUST0623</v>
      </c>
      <c r="K1627" t="s">
        <v>3763</v>
      </c>
      <c r="L1627" t="str">
        <f>PROPER(TRIM(CLEAN(Sales_Table[[#This Row],[Salesperson]])))</f>
        <v>Suresh</v>
      </c>
      <c r="M1627" t="s">
        <v>54</v>
      </c>
      <c r="N1627" t="str">
        <f t="shared" si="178"/>
        <v>Net Banking</v>
      </c>
      <c r="O1627" t="s">
        <v>60</v>
      </c>
      <c r="P1627">
        <f t="shared" si="179"/>
        <v>5</v>
      </c>
      <c r="Q1627" t="s">
        <v>89</v>
      </c>
      <c r="R1627">
        <f t="shared" si="180"/>
        <v>1683</v>
      </c>
      <c r="S1627" t="s">
        <v>3764</v>
      </c>
      <c r="T1627">
        <f t="shared" si="181"/>
        <v>8415</v>
      </c>
      <c r="U1627">
        <f>YEAR(Sales_Table[[#This Row],[Date_clean]])</f>
        <v>2024</v>
      </c>
      <c r="V1627" t="str">
        <f>TEXT(Sales_Table[[#This Row],[Date_clean]],"mmmm")</f>
        <v>March</v>
      </c>
      <c r="W1627">
        <f>WEEKNUM(Sales_Table[[#This Row],[Date_clean]],2)</f>
        <v>10</v>
      </c>
      <c r="X1627" t="str" cm="1">
        <f t="array" ref="X1627">_xlfn.IFS(Sales_Table[[#This Row],[Revenue]]&gt;=50000,"High",Sales_Table[[#This Row],[Revenue]]&gt;=20000,"Medium",Sales_Table[[#This Row],[Revenue]]&lt;20000,"Low")</f>
        <v>Low</v>
      </c>
      <c r="Y1627" t="str">
        <f>IF(Sales_Table[[#This Row],[Payment Method_clean]]="cash","Offline","Online")</f>
        <v>Online</v>
      </c>
      <c r="Z1627">
        <f>IFERROR(Sales_Table[[#This Row],[Revenue]],0)</f>
        <v>8415</v>
      </c>
    </row>
    <row r="1628" spans="1:26" x14ac:dyDescent="0.3">
      <c r="A1628">
        <v>1627</v>
      </c>
      <c r="B1628" s="2">
        <f t="shared" si="175"/>
        <v>45359.75</v>
      </c>
      <c r="C1628" t="s">
        <v>3765</v>
      </c>
      <c r="D1628" t="s">
        <v>45</v>
      </c>
      <c r="E1628" t="str">
        <f>PROPER(TRIM(CLEAN(Sales_Table[[#This Row],[Region]])))</f>
        <v>North</v>
      </c>
      <c r="F1628" t="s">
        <v>46</v>
      </c>
      <c r="G1628" t="str">
        <f t="shared" si="176"/>
        <v>Electronics</v>
      </c>
      <c r="H1628" t="str">
        <f>PROPER(TRIM(CLEAN(Sales_Table[[#This Row],[Product Name]])))</f>
        <v>Men T-Shirt</v>
      </c>
      <c r="I1628" t="s">
        <v>38</v>
      </c>
      <c r="J1628" t="str">
        <f t="shared" si="177"/>
        <v>CUST0294</v>
      </c>
      <c r="K1628" t="s">
        <v>1853</v>
      </c>
      <c r="L1628" t="str">
        <f>PROPER(TRIM(CLEAN(Sales_Table[[#This Row],[Salesperson]])))</f>
        <v>Suresh</v>
      </c>
      <c r="M1628" t="s">
        <v>54</v>
      </c>
      <c r="N1628" t="str">
        <f t="shared" si="178"/>
        <v>Debit Card</v>
      </c>
      <c r="O1628" t="s">
        <v>41</v>
      </c>
      <c r="P1628">
        <f t="shared" si="179"/>
        <v>9</v>
      </c>
      <c r="Q1628" t="s">
        <v>130</v>
      </c>
      <c r="R1628">
        <f t="shared" si="180"/>
        <v>1675</v>
      </c>
      <c r="S1628" t="s">
        <v>3766</v>
      </c>
      <c r="T1628">
        <f t="shared" si="181"/>
        <v>15075</v>
      </c>
      <c r="U1628">
        <f>YEAR(Sales_Table[[#This Row],[Date_clean]])</f>
        <v>2024</v>
      </c>
      <c r="V1628" t="str">
        <f>TEXT(Sales_Table[[#This Row],[Date_clean]],"mmmm")</f>
        <v>March</v>
      </c>
      <c r="W1628">
        <f>WEEKNUM(Sales_Table[[#This Row],[Date_clean]],2)</f>
        <v>10</v>
      </c>
      <c r="X1628" t="str" cm="1">
        <f t="array" ref="X1628">_xlfn.IFS(Sales_Table[[#This Row],[Revenue]]&gt;=50000,"High",Sales_Table[[#This Row],[Revenue]]&gt;=20000,"Medium",Sales_Table[[#This Row],[Revenue]]&lt;20000,"Low")</f>
        <v>Low</v>
      </c>
      <c r="Y1628" t="str">
        <f>IF(Sales_Table[[#This Row],[Payment Method_clean]]="cash","Offline","Online")</f>
        <v>Online</v>
      </c>
      <c r="Z1628">
        <f>IFERROR(Sales_Table[[#This Row],[Revenue]],0)</f>
        <v>15075</v>
      </c>
    </row>
    <row r="1629" spans="1:26" x14ac:dyDescent="0.3">
      <c r="A1629">
        <v>1628</v>
      </c>
      <c r="B1629" s="2">
        <f t="shared" si="175"/>
        <v>45359.791666666664</v>
      </c>
      <c r="C1629" t="s">
        <v>3767</v>
      </c>
      <c r="D1629" t="s">
        <v>45</v>
      </c>
      <c r="E1629" t="str">
        <f>PROPER(TRIM(CLEAN(Sales_Table[[#This Row],[Region]])))</f>
        <v>North</v>
      </c>
      <c r="F1629" t="s">
        <v>28</v>
      </c>
      <c r="G1629" t="str">
        <f t="shared" si="176"/>
        <v>Clothing</v>
      </c>
      <c r="H1629" t="str">
        <f>PROPER(TRIM(CLEAN(Sales_Table[[#This Row],[Product Name]])))</f>
        <v>Led Tv 42Inch</v>
      </c>
      <c r="I1629" t="s">
        <v>58</v>
      </c>
      <c r="J1629" t="str">
        <f t="shared" si="177"/>
        <v>CUST0589</v>
      </c>
      <c r="K1629" t="s">
        <v>1214</v>
      </c>
      <c r="L1629" t="str">
        <f>PROPER(TRIM(CLEAN(Sales_Table[[#This Row],[Salesperson]])))</f>
        <v>Rahul</v>
      </c>
      <c r="M1629" t="s">
        <v>31</v>
      </c>
      <c r="N1629" t="str">
        <f t="shared" si="178"/>
        <v>Net Banking</v>
      </c>
      <c r="O1629" t="s">
        <v>60</v>
      </c>
      <c r="P1629">
        <f t="shared" si="179"/>
        <v>4</v>
      </c>
      <c r="Q1629" t="s">
        <v>113</v>
      </c>
      <c r="R1629">
        <f t="shared" si="180"/>
        <v>4046</v>
      </c>
      <c r="S1629" t="s">
        <v>3768</v>
      </c>
      <c r="T1629">
        <f t="shared" si="181"/>
        <v>16184</v>
      </c>
      <c r="U1629">
        <f>YEAR(Sales_Table[[#This Row],[Date_clean]])</f>
        <v>2024</v>
      </c>
      <c r="V1629" t="str">
        <f>TEXT(Sales_Table[[#This Row],[Date_clean]],"mmmm")</f>
        <v>March</v>
      </c>
      <c r="W1629">
        <f>WEEKNUM(Sales_Table[[#This Row],[Date_clean]],2)</f>
        <v>10</v>
      </c>
      <c r="X1629" t="str" cm="1">
        <f t="array" ref="X1629">_xlfn.IFS(Sales_Table[[#This Row],[Revenue]]&gt;=50000,"High",Sales_Table[[#This Row],[Revenue]]&gt;=20000,"Medium",Sales_Table[[#This Row],[Revenue]]&lt;20000,"Low")</f>
        <v>Low</v>
      </c>
      <c r="Y1629" t="str">
        <f>IF(Sales_Table[[#This Row],[Payment Method_clean]]="cash","Offline","Online")</f>
        <v>Online</v>
      </c>
      <c r="Z1629">
        <f>IFERROR(Sales_Table[[#This Row],[Revenue]],0)</f>
        <v>16184</v>
      </c>
    </row>
    <row r="1630" spans="1:26" x14ac:dyDescent="0.3">
      <c r="A1630">
        <v>1629</v>
      </c>
      <c r="B1630" s="2">
        <f t="shared" si="175"/>
        <v>45359.833333333336</v>
      </c>
      <c r="C1630" t="s">
        <v>3769</v>
      </c>
      <c r="D1630" t="s">
        <v>27</v>
      </c>
      <c r="E1630" t="str">
        <f>PROPER(TRIM(CLEAN(Sales_Table[[#This Row],[Region]])))</f>
        <v>East</v>
      </c>
      <c r="F1630" t="s">
        <v>37</v>
      </c>
      <c r="G1630" t="str">
        <f t="shared" si="176"/>
        <v>Home Appliances</v>
      </c>
      <c r="H1630" t="str">
        <f>PROPER(TRIM(CLEAN(Sales_Table[[#This Row],[Product Name]])))</f>
        <v>Rice 5Kg</v>
      </c>
      <c r="I1630" t="s">
        <v>73</v>
      </c>
      <c r="J1630" t="str">
        <f t="shared" si="177"/>
        <v>CUST0349</v>
      </c>
      <c r="K1630" t="s">
        <v>1317</v>
      </c>
      <c r="L1630" t="str">
        <f>PROPER(TRIM(CLEAN(Sales_Table[[#This Row],[Salesperson]])))</f>
        <v>Anita</v>
      </c>
      <c r="M1630" t="s">
        <v>64</v>
      </c>
      <c r="N1630" t="str">
        <f t="shared" si="178"/>
        <v>Upi</v>
      </c>
      <c r="O1630" t="s">
        <v>48</v>
      </c>
      <c r="P1630">
        <f t="shared" si="179"/>
        <v>1</v>
      </c>
      <c r="Q1630" t="s">
        <v>93</v>
      </c>
      <c r="R1630">
        <f t="shared" si="180"/>
        <v>1861</v>
      </c>
      <c r="S1630" t="s">
        <v>3770</v>
      </c>
      <c r="T1630">
        <f t="shared" si="181"/>
        <v>1861</v>
      </c>
      <c r="U1630">
        <f>YEAR(Sales_Table[[#This Row],[Date_clean]])</f>
        <v>2024</v>
      </c>
      <c r="V1630" t="str">
        <f>TEXT(Sales_Table[[#This Row],[Date_clean]],"mmmm")</f>
        <v>March</v>
      </c>
      <c r="W1630">
        <f>WEEKNUM(Sales_Table[[#This Row],[Date_clean]],2)</f>
        <v>10</v>
      </c>
      <c r="X1630" t="str" cm="1">
        <f t="array" ref="X1630">_xlfn.IFS(Sales_Table[[#This Row],[Revenue]]&gt;=50000,"High",Sales_Table[[#This Row],[Revenue]]&gt;=20000,"Medium",Sales_Table[[#This Row],[Revenue]]&lt;20000,"Low")</f>
        <v>Low</v>
      </c>
      <c r="Y1630" t="str">
        <f>IF(Sales_Table[[#This Row],[Payment Method_clean]]="cash","Offline","Online")</f>
        <v>Online</v>
      </c>
      <c r="Z1630">
        <f>IFERROR(Sales_Table[[#This Row],[Revenue]],0)</f>
        <v>1861</v>
      </c>
    </row>
    <row r="1631" spans="1:26" x14ac:dyDescent="0.3">
      <c r="A1631">
        <v>1630</v>
      </c>
      <c r="B1631" s="2">
        <f t="shared" si="175"/>
        <v>45359.875</v>
      </c>
      <c r="C1631" t="s">
        <v>3771</v>
      </c>
      <c r="D1631" t="s">
        <v>84</v>
      </c>
      <c r="E1631" t="str">
        <f>PROPER(TRIM(CLEAN(Sales_Table[[#This Row],[Region]])))</f>
        <v>South</v>
      </c>
      <c r="F1631" t="s">
        <v>37</v>
      </c>
      <c r="G1631" t="str">
        <f t="shared" si="176"/>
        <v>Home Appliances</v>
      </c>
      <c r="H1631" t="str">
        <f>PROPER(TRIM(CLEAN(Sales_Table[[#This Row],[Product Name]])))</f>
        <v>Rice 5Kg</v>
      </c>
      <c r="I1631" t="s">
        <v>73</v>
      </c>
      <c r="J1631" t="str">
        <f t="shared" si="177"/>
        <v>CUST0147</v>
      </c>
      <c r="K1631" t="s">
        <v>1629</v>
      </c>
      <c r="L1631" t="str">
        <f>PROPER(TRIM(CLEAN(Sales_Table[[#This Row],[Salesperson]])))</f>
        <v>Karthik</v>
      </c>
      <c r="M1631" t="s">
        <v>70</v>
      </c>
      <c r="N1631" t="str">
        <f t="shared" si="178"/>
        <v>Net Banking</v>
      </c>
      <c r="O1631" t="s">
        <v>60</v>
      </c>
      <c r="P1631">
        <f t="shared" si="179"/>
        <v>8</v>
      </c>
      <c r="Q1631" t="s">
        <v>42</v>
      </c>
      <c r="R1631">
        <f t="shared" si="180"/>
        <v>2091</v>
      </c>
      <c r="S1631" t="s">
        <v>3772</v>
      </c>
      <c r="T1631">
        <f t="shared" si="181"/>
        <v>16728</v>
      </c>
      <c r="U1631">
        <f>YEAR(Sales_Table[[#This Row],[Date_clean]])</f>
        <v>2024</v>
      </c>
      <c r="V1631" t="str">
        <f>TEXT(Sales_Table[[#This Row],[Date_clean]],"mmmm")</f>
        <v>March</v>
      </c>
      <c r="W1631">
        <f>WEEKNUM(Sales_Table[[#This Row],[Date_clean]],2)</f>
        <v>10</v>
      </c>
      <c r="X1631" t="str" cm="1">
        <f t="array" ref="X1631">_xlfn.IFS(Sales_Table[[#This Row],[Revenue]]&gt;=50000,"High",Sales_Table[[#This Row],[Revenue]]&gt;=20000,"Medium",Sales_Table[[#This Row],[Revenue]]&lt;20000,"Low")</f>
        <v>Low</v>
      </c>
      <c r="Y1631" t="str">
        <f>IF(Sales_Table[[#This Row],[Payment Method_clean]]="cash","Offline","Online")</f>
        <v>Online</v>
      </c>
      <c r="Z1631">
        <f>IFERROR(Sales_Table[[#This Row],[Revenue]],0)</f>
        <v>16728</v>
      </c>
    </row>
    <row r="1632" spans="1:26" x14ac:dyDescent="0.3">
      <c r="A1632">
        <v>1631</v>
      </c>
      <c r="B1632" s="2">
        <f t="shared" si="175"/>
        <v>45359.916666666664</v>
      </c>
      <c r="C1632" t="s">
        <v>3773</v>
      </c>
      <c r="D1632" t="s">
        <v>27</v>
      </c>
      <c r="E1632" t="str">
        <f>PROPER(TRIM(CLEAN(Sales_Table[[#This Row],[Region]])))</f>
        <v>East</v>
      </c>
      <c r="F1632" t="s">
        <v>37</v>
      </c>
      <c r="G1632" t="str">
        <f t="shared" si="176"/>
        <v>Home Appliances</v>
      </c>
      <c r="H1632" t="str">
        <f>PROPER(TRIM(CLEAN(Sales_Table[[#This Row],[Product Name]])))</f>
        <v>Laptop</v>
      </c>
      <c r="I1632" t="s">
        <v>52</v>
      </c>
      <c r="J1632" t="str">
        <f t="shared" si="177"/>
        <v>CUST0067</v>
      </c>
      <c r="K1632" t="s">
        <v>3774</v>
      </c>
      <c r="L1632" t="str">
        <f>PROPER(TRIM(CLEAN(Sales_Table[[#This Row],[Salesperson]])))</f>
        <v>Karthik</v>
      </c>
      <c r="M1632" t="s">
        <v>70</v>
      </c>
      <c r="N1632" t="str">
        <f t="shared" si="178"/>
        <v>Net Banking</v>
      </c>
      <c r="O1632" t="s">
        <v>60</v>
      </c>
      <c r="P1632">
        <f t="shared" si="179"/>
        <v>5</v>
      </c>
      <c r="Q1632" t="s">
        <v>89</v>
      </c>
      <c r="R1632">
        <f t="shared" si="180"/>
        <v>3279</v>
      </c>
      <c r="S1632" t="s">
        <v>3775</v>
      </c>
      <c r="T1632">
        <f t="shared" si="181"/>
        <v>16395</v>
      </c>
      <c r="U1632">
        <f>YEAR(Sales_Table[[#This Row],[Date_clean]])</f>
        <v>2024</v>
      </c>
      <c r="V1632" t="str">
        <f>TEXT(Sales_Table[[#This Row],[Date_clean]],"mmmm")</f>
        <v>March</v>
      </c>
      <c r="W1632">
        <f>WEEKNUM(Sales_Table[[#This Row],[Date_clean]],2)</f>
        <v>10</v>
      </c>
      <c r="X1632" t="str" cm="1">
        <f t="array" ref="X1632">_xlfn.IFS(Sales_Table[[#This Row],[Revenue]]&gt;=50000,"High",Sales_Table[[#This Row],[Revenue]]&gt;=20000,"Medium",Sales_Table[[#This Row],[Revenue]]&lt;20000,"Low")</f>
        <v>Low</v>
      </c>
      <c r="Y1632" t="str">
        <f>IF(Sales_Table[[#This Row],[Payment Method_clean]]="cash","Offline","Online")</f>
        <v>Online</v>
      </c>
      <c r="Z1632">
        <f>IFERROR(Sales_Table[[#This Row],[Revenue]],0)</f>
        <v>16395</v>
      </c>
    </row>
    <row r="1633" spans="1:26" x14ac:dyDescent="0.3">
      <c r="A1633">
        <v>1632</v>
      </c>
      <c r="B1633" s="2">
        <f t="shared" si="175"/>
        <v>45359.958333333336</v>
      </c>
      <c r="C1633" t="s">
        <v>3776</v>
      </c>
      <c r="D1633" t="s">
        <v>27</v>
      </c>
      <c r="E1633" t="str">
        <f>PROPER(TRIM(CLEAN(Sales_Table[[#This Row],[Region]])))</f>
        <v>East</v>
      </c>
      <c r="F1633" t="s">
        <v>78</v>
      </c>
      <c r="G1633" t="str">
        <f t="shared" si="176"/>
        <v>Grocery</v>
      </c>
      <c r="H1633" t="str">
        <f>PROPER(TRIM(CLEAN(Sales_Table[[#This Row],[Product Name]])))</f>
        <v>Rice 5Kg</v>
      </c>
      <c r="I1633" t="s">
        <v>73</v>
      </c>
      <c r="J1633" t="str">
        <f t="shared" si="177"/>
        <v>CUST0520</v>
      </c>
      <c r="K1633" t="s">
        <v>228</v>
      </c>
      <c r="L1633" t="str">
        <f>PROPER(TRIM(CLEAN(Sales_Table[[#This Row],[Salesperson]])))</f>
        <v>Anita</v>
      </c>
      <c r="M1633" t="s">
        <v>64</v>
      </c>
      <c r="N1633" t="str">
        <f t="shared" si="178"/>
        <v>Upi</v>
      </c>
      <c r="O1633" t="s">
        <v>48</v>
      </c>
      <c r="P1633">
        <f t="shared" si="179"/>
        <v>2</v>
      </c>
      <c r="Q1633" t="s">
        <v>196</v>
      </c>
      <c r="R1633">
        <f t="shared" si="180"/>
        <v>3426</v>
      </c>
      <c r="S1633" t="s">
        <v>3777</v>
      </c>
      <c r="T1633">
        <f t="shared" si="181"/>
        <v>6852</v>
      </c>
      <c r="U1633">
        <f>YEAR(Sales_Table[[#This Row],[Date_clean]])</f>
        <v>2024</v>
      </c>
      <c r="V1633" t="str">
        <f>TEXT(Sales_Table[[#This Row],[Date_clean]],"mmmm")</f>
        <v>March</v>
      </c>
      <c r="W1633">
        <f>WEEKNUM(Sales_Table[[#This Row],[Date_clean]],2)</f>
        <v>10</v>
      </c>
      <c r="X1633" t="str" cm="1">
        <f t="array" ref="X1633">_xlfn.IFS(Sales_Table[[#This Row],[Revenue]]&gt;=50000,"High",Sales_Table[[#This Row],[Revenue]]&gt;=20000,"Medium",Sales_Table[[#This Row],[Revenue]]&lt;20000,"Low")</f>
        <v>Low</v>
      </c>
      <c r="Y1633" t="str">
        <f>IF(Sales_Table[[#This Row],[Payment Method_clean]]="cash","Offline","Online")</f>
        <v>Online</v>
      </c>
      <c r="Z1633">
        <f>IFERROR(Sales_Table[[#This Row],[Revenue]],0)</f>
        <v>6852</v>
      </c>
    </row>
    <row r="1634" spans="1:26" x14ac:dyDescent="0.3">
      <c r="A1634">
        <v>1633</v>
      </c>
      <c r="B1634" s="2">
        <f t="shared" si="175"/>
        <v>45360</v>
      </c>
      <c r="C1634" t="s">
        <v>3778</v>
      </c>
      <c r="D1634" t="s">
        <v>36</v>
      </c>
      <c r="E1634" t="str">
        <f>PROPER(TRIM(CLEAN(Sales_Table[[#This Row],[Region]])))</f>
        <v>West</v>
      </c>
      <c r="F1634" t="s">
        <v>28</v>
      </c>
      <c r="G1634" t="str">
        <f t="shared" si="176"/>
        <v>Clothing</v>
      </c>
      <c r="H1634" t="str">
        <f>PROPER(TRIM(CLEAN(Sales_Table[[#This Row],[Product Name]])))</f>
        <v>Men T-Shirt</v>
      </c>
      <c r="I1634" t="s">
        <v>38</v>
      </c>
      <c r="J1634" t="str">
        <f t="shared" si="177"/>
        <v>CUST0122</v>
      </c>
      <c r="K1634" t="s">
        <v>2171</v>
      </c>
      <c r="L1634" t="str">
        <f>PROPER(TRIM(CLEAN(Sales_Table[[#This Row],[Salesperson]])))</f>
        <v>Rahul</v>
      </c>
      <c r="M1634" t="s">
        <v>31</v>
      </c>
      <c r="N1634" t="str">
        <f t="shared" si="178"/>
        <v>Credit Card</v>
      </c>
      <c r="O1634" t="s">
        <v>65</v>
      </c>
      <c r="P1634">
        <f t="shared" si="179"/>
        <v>12</v>
      </c>
      <c r="Q1634" t="s">
        <v>33</v>
      </c>
      <c r="R1634">
        <f t="shared" si="180"/>
        <v>1146</v>
      </c>
      <c r="S1634" t="s">
        <v>3779</v>
      </c>
      <c r="T1634">
        <f t="shared" si="181"/>
        <v>13752</v>
      </c>
      <c r="U1634">
        <f>YEAR(Sales_Table[[#This Row],[Date_clean]])</f>
        <v>2024</v>
      </c>
      <c r="V1634" t="str">
        <f>TEXT(Sales_Table[[#This Row],[Date_clean]],"mmmm")</f>
        <v>March</v>
      </c>
      <c r="W1634">
        <f>WEEKNUM(Sales_Table[[#This Row],[Date_clean]],2)</f>
        <v>10</v>
      </c>
      <c r="X1634" t="str" cm="1">
        <f t="array" ref="X1634">_xlfn.IFS(Sales_Table[[#This Row],[Revenue]]&gt;=50000,"High",Sales_Table[[#This Row],[Revenue]]&gt;=20000,"Medium",Sales_Table[[#This Row],[Revenue]]&lt;20000,"Low")</f>
        <v>Low</v>
      </c>
      <c r="Y1634" t="str">
        <f>IF(Sales_Table[[#This Row],[Payment Method_clean]]="cash","Offline","Online")</f>
        <v>Online</v>
      </c>
      <c r="Z1634">
        <f>IFERROR(Sales_Table[[#This Row],[Revenue]],0)</f>
        <v>13752</v>
      </c>
    </row>
    <row r="1635" spans="1:26" x14ac:dyDescent="0.3">
      <c r="A1635">
        <v>1634</v>
      </c>
      <c r="B1635" s="2">
        <f t="shared" si="175"/>
        <v>45360.041666666664</v>
      </c>
      <c r="C1635" t="s">
        <v>3780</v>
      </c>
      <c r="D1635" t="s">
        <v>27</v>
      </c>
      <c r="E1635" t="str">
        <f>PROPER(TRIM(CLEAN(Sales_Table[[#This Row],[Region]])))</f>
        <v>East</v>
      </c>
      <c r="F1635" t="s">
        <v>37</v>
      </c>
      <c r="G1635" t="str">
        <f t="shared" si="176"/>
        <v>Home Appliances</v>
      </c>
      <c r="H1635" t="str">
        <f>PROPER(TRIM(CLEAN(Sales_Table[[#This Row],[Product Name]])))</f>
        <v>Mixer Grinder</v>
      </c>
      <c r="I1635" t="s">
        <v>29</v>
      </c>
      <c r="J1635" t="str">
        <f t="shared" si="177"/>
        <v>CUST0340</v>
      </c>
      <c r="K1635" t="s">
        <v>362</v>
      </c>
      <c r="L1635" t="str">
        <f>PROPER(TRIM(CLEAN(Sales_Table[[#This Row],[Salesperson]])))</f>
        <v>Karthik</v>
      </c>
      <c r="M1635" t="s">
        <v>70</v>
      </c>
      <c r="N1635" t="str">
        <f t="shared" si="178"/>
        <v>Net Banking</v>
      </c>
      <c r="O1635" t="s">
        <v>60</v>
      </c>
      <c r="P1635">
        <f t="shared" si="179"/>
        <v>1</v>
      </c>
      <c r="Q1635" t="s">
        <v>93</v>
      </c>
      <c r="R1635">
        <f t="shared" si="180"/>
        <v>2992</v>
      </c>
      <c r="S1635" t="s">
        <v>3781</v>
      </c>
      <c r="T1635">
        <f t="shared" si="181"/>
        <v>2992</v>
      </c>
      <c r="U1635">
        <f>YEAR(Sales_Table[[#This Row],[Date_clean]])</f>
        <v>2024</v>
      </c>
      <c r="V1635" t="str">
        <f>TEXT(Sales_Table[[#This Row],[Date_clean]],"mmmm")</f>
        <v>March</v>
      </c>
      <c r="W1635">
        <f>WEEKNUM(Sales_Table[[#This Row],[Date_clean]],2)</f>
        <v>10</v>
      </c>
      <c r="X1635" t="str" cm="1">
        <f t="array" ref="X1635">_xlfn.IFS(Sales_Table[[#This Row],[Revenue]]&gt;=50000,"High",Sales_Table[[#This Row],[Revenue]]&gt;=20000,"Medium",Sales_Table[[#This Row],[Revenue]]&lt;20000,"Low")</f>
        <v>Low</v>
      </c>
      <c r="Y1635" t="str">
        <f>IF(Sales_Table[[#This Row],[Payment Method_clean]]="cash","Offline","Online")</f>
        <v>Online</v>
      </c>
      <c r="Z1635">
        <f>IFERROR(Sales_Table[[#This Row],[Revenue]],0)</f>
        <v>2992</v>
      </c>
    </row>
    <row r="1636" spans="1:26" x14ac:dyDescent="0.3">
      <c r="A1636">
        <v>1635</v>
      </c>
      <c r="B1636" s="2">
        <f t="shared" si="175"/>
        <v>45360.083333333336</v>
      </c>
      <c r="C1636" t="s">
        <v>3782</v>
      </c>
      <c r="D1636" t="s">
        <v>45</v>
      </c>
      <c r="E1636" t="str">
        <f>PROPER(TRIM(CLEAN(Sales_Table[[#This Row],[Region]])))</f>
        <v>North</v>
      </c>
      <c r="F1636" t="s">
        <v>37</v>
      </c>
      <c r="G1636" t="str">
        <f t="shared" si="176"/>
        <v>Home Appliances</v>
      </c>
      <c r="H1636" t="str">
        <f>PROPER(TRIM(CLEAN(Sales_Table[[#This Row],[Product Name]])))</f>
        <v>Men T-Shirt</v>
      </c>
      <c r="I1636" t="s">
        <v>38</v>
      </c>
      <c r="J1636" t="str">
        <f t="shared" si="177"/>
        <v>CUST0175</v>
      </c>
      <c r="K1636" t="s">
        <v>2416</v>
      </c>
      <c r="L1636" t="str">
        <f>PROPER(TRIM(CLEAN(Sales_Table[[#This Row],[Salesperson]])))</f>
        <v>Suresh</v>
      </c>
      <c r="M1636" t="s">
        <v>54</v>
      </c>
      <c r="N1636" t="str">
        <f t="shared" si="178"/>
        <v>Cash</v>
      </c>
      <c r="O1636" t="s">
        <v>32</v>
      </c>
      <c r="P1636">
        <f t="shared" si="179"/>
        <v>14</v>
      </c>
      <c r="Q1636" t="s">
        <v>55</v>
      </c>
      <c r="R1636">
        <f t="shared" si="180"/>
        <v>2713</v>
      </c>
      <c r="S1636" t="s">
        <v>3783</v>
      </c>
      <c r="T1636">
        <f t="shared" si="181"/>
        <v>37982</v>
      </c>
      <c r="U1636">
        <f>YEAR(Sales_Table[[#This Row],[Date_clean]])</f>
        <v>2024</v>
      </c>
      <c r="V1636" t="str">
        <f>TEXT(Sales_Table[[#This Row],[Date_clean]],"mmmm")</f>
        <v>March</v>
      </c>
      <c r="W1636">
        <f>WEEKNUM(Sales_Table[[#This Row],[Date_clean]],2)</f>
        <v>10</v>
      </c>
      <c r="X1636" t="str" cm="1">
        <f t="array" ref="X1636">_xlfn.IFS(Sales_Table[[#This Row],[Revenue]]&gt;=50000,"High",Sales_Table[[#This Row],[Revenue]]&gt;=20000,"Medium",Sales_Table[[#This Row],[Revenue]]&lt;20000,"Low")</f>
        <v>Medium</v>
      </c>
      <c r="Y1636" t="str">
        <f>IF(Sales_Table[[#This Row],[Payment Method_clean]]="cash","Offline","Online")</f>
        <v>Offline</v>
      </c>
      <c r="Z1636">
        <f>IFERROR(Sales_Table[[#This Row],[Revenue]],0)</f>
        <v>37982</v>
      </c>
    </row>
    <row r="1637" spans="1:26" x14ac:dyDescent="0.3">
      <c r="A1637">
        <v>1636</v>
      </c>
      <c r="B1637" s="2">
        <f t="shared" si="175"/>
        <v>45360.125</v>
      </c>
      <c r="C1637" t="s">
        <v>3784</v>
      </c>
      <c r="D1637" t="s">
        <v>27</v>
      </c>
      <c r="E1637" t="str">
        <f>PROPER(TRIM(CLEAN(Sales_Table[[#This Row],[Region]])))</f>
        <v>East</v>
      </c>
      <c r="F1637" t="s">
        <v>37</v>
      </c>
      <c r="G1637" t="str">
        <f t="shared" si="176"/>
        <v>Home Appliances</v>
      </c>
      <c r="H1637" t="str">
        <f>PROPER(TRIM(CLEAN(Sales_Table[[#This Row],[Product Name]])))</f>
        <v>Mixer Grinder</v>
      </c>
      <c r="I1637" t="s">
        <v>29</v>
      </c>
      <c r="J1637" t="str">
        <f t="shared" si="177"/>
        <v>CUST0691</v>
      </c>
      <c r="K1637" t="s">
        <v>3785</v>
      </c>
      <c r="L1637" t="str">
        <f>PROPER(TRIM(CLEAN(Sales_Table[[#This Row],[Salesperson]])))</f>
        <v>Anita</v>
      </c>
      <c r="M1637" t="s">
        <v>64</v>
      </c>
      <c r="N1637" t="str">
        <f t="shared" si="178"/>
        <v>Net Banking</v>
      </c>
      <c r="O1637" t="s">
        <v>60</v>
      </c>
      <c r="P1637">
        <f t="shared" si="179"/>
        <v>12</v>
      </c>
      <c r="Q1637" t="s">
        <v>33</v>
      </c>
      <c r="R1637">
        <f t="shared" si="180"/>
        <v>3992</v>
      </c>
      <c r="S1637" t="s">
        <v>3786</v>
      </c>
      <c r="T1637">
        <f t="shared" si="181"/>
        <v>47904</v>
      </c>
      <c r="U1637">
        <f>YEAR(Sales_Table[[#This Row],[Date_clean]])</f>
        <v>2024</v>
      </c>
      <c r="V1637" t="str">
        <f>TEXT(Sales_Table[[#This Row],[Date_clean]],"mmmm")</f>
        <v>March</v>
      </c>
      <c r="W1637">
        <f>WEEKNUM(Sales_Table[[#This Row],[Date_clean]],2)</f>
        <v>10</v>
      </c>
      <c r="X1637" t="str" cm="1">
        <f t="array" ref="X1637">_xlfn.IFS(Sales_Table[[#This Row],[Revenue]]&gt;=50000,"High",Sales_Table[[#This Row],[Revenue]]&gt;=20000,"Medium",Sales_Table[[#This Row],[Revenue]]&lt;20000,"Low")</f>
        <v>Medium</v>
      </c>
      <c r="Y1637" t="str">
        <f>IF(Sales_Table[[#This Row],[Payment Method_clean]]="cash","Offline","Online")</f>
        <v>Online</v>
      </c>
      <c r="Z1637">
        <f>IFERROR(Sales_Table[[#This Row],[Revenue]],0)</f>
        <v>47904</v>
      </c>
    </row>
    <row r="1638" spans="1:26" x14ac:dyDescent="0.3">
      <c r="A1638">
        <v>1637</v>
      </c>
      <c r="B1638" s="2">
        <f t="shared" si="175"/>
        <v>45360.166666666664</v>
      </c>
      <c r="C1638" t="s">
        <v>3787</v>
      </c>
      <c r="D1638" t="s">
        <v>45</v>
      </c>
      <c r="E1638" t="str">
        <f>PROPER(TRIM(CLEAN(Sales_Table[[#This Row],[Region]])))</f>
        <v>North</v>
      </c>
      <c r="F1638" t="s">
        <v>78</v>
      </c>
      <c r="G1638" t="str">
        <f t="shared" si="176"/>
        <v>Grocery</v>
      </c>
      <c r="H1638" t="str">
        <f>PROPER(TRIM(CLEAN(Sales_Table[[#This Row],[Product Name]])))</f>
        <v>Led Tv 42Inch</v>
      </c>
      <c r="I1638" t="s">
        <v>58</v>
      </c>
      <c r="J1638" t="str">
        <f t="shared" si="177"/>
        <v>CUST0597</v>
      </c>
      <c r="K1638" t="s">
        <v>2483</v>
      </c>
      <c r="L1638" t="str">
        <f>PROPER(TRIM(CLEAN(Sales_Table[[#This Row],[Salesperson]])))</f>
        <v>Meena</v>
      </c>
      <c r="M1638" t="s">
        <v>40</v>
      </c>
      <c r="N1638" t="str">
        <f t="shared" si="178"/>
        <v>Cash</v>
      </c>
      <c r="O1638" t="s">
        <v>32</v>
      </c>
      <c r="P1638">
        <f t="shared" si="179"/>
        <v>12</v>
      </c>
      <c r="Q1638" t="s">
        <v>33</v>
      </c>
      <c r="R1638">
        <f t="shared" si="180"/>
        <v>4244</v>
      </c>
      <c r="S1638" t="s">
        <v>3788</v>
      </c>
      <c r="T1638">
        <f t="shared" si="181"/>
        <v>50928</v>
      </c>
      <c r="U1638">
        <f>YEAR(Sales_Table[[#This Row],[Date_clean]])</f>
        <v>2024</v>
      </c>
      <c r="V1638" t="str">
        <f>TEXT(Sales_Table[[#This Row],[Date_clean]],"mmmm")</f>
        <v>March</v>
      </c>
      <c r="W1638">
        <f>WEEKNUM(Sales_Table[[#This Row],[Date_clean]],2)</f>
        <v>10</v>
      </c>
      <c r="X1638" t="str" cm="1">
        <f t="array" ref="X1638">_xlfn.IFS(Sales_Table[[#This Row],[Revenue]]&gt;=50000,"High",Sales_Table[[#This Row],[Revenue]]&gt;=20000,"Medium",Sales_Table[[#This Row],[Revenue]]&lt;20000,"Low")</f>
        <v>High</v>
      </c>
      <c r="Y1638" t="str">
        <f>IF(Sales_Table[[#This Row],[Payment Method_clean]]="cash","Offline","Online")</f>
        <v>Offline</v>
      </c>
      <c r="Z1638">
        <f>IFERROR(Sales_Table[[#This Row],[Revenue]],0)</f>
        <v>50928</v>
      </c>
    </row>
    <row r="1639" spans="1:26" x14ac:dyDescent="0.3">
      <c r="A1639">
        <v>1638</v>
      </c>
      <c r="B1639" s="2">
        <f t="shared" si="175"/>
        <v>45360.208333333336</v>
      </c>
      <c r="C1639" t="s">
        <v>3789</v>
      </c>
      <c r="D1639" t="s">
        <v>45</v>
      </c>
      <c r="E1639" t="str">
        <f>PROPER(TRIM(CLEAN(Sales_Table[[#This Row],[Region]])))</f>
        <v>North</v>
      </c>
      <c r="F1639" t="s">
        <v>78</v>
      </c>
      <c r="G1639" t="str">
        <f t="shared" si="176"/>
        <v>Grocery</v>
      </c>
      <c r="H1639" t="str">
        <f>PROPER(TRIM(CLEAN(Sales_Table[[#This Row],[Product Name]])))</f>
        <v>Washing Machine</v>
      </c>
      <c r="I1639" t="s">
        <v>79</v>
      </c>
      <c r="J1639" t="str">
        <f t="shared" si="177"/>
        <v>CUST0451</v>
      </c>
      <c r="K1639" t="s">
        <v>493</v>
      </c>
      <c r="L1639" t="str">
        <f>PROPER(TRIM(CLEAN(Sales_Table[[#This Row],[Salesperson]])))</f>
        <v>Rahul</v>
      </c>
      <c r="M1639" t="s">
        <v>31</v>
      </c>
      <c r="N1639" t="str">
        <f t="shared" si="178"/>
        <v>Upi</v>
      </c>
      <c r="O1639" t="s">
        <v>48</v>
      </c>
      <c r="P1639">
        <f t="shared" si="179"/>
        <v>12</v>
      </c>
      <c r="Q1639" t="s">
        <v>33</v>
      </c>
      <c r="R1639">
        <f t="shared" si="180"/>
        <v>561</v>
      </c>
      <c r="S1639" t="s">
        <v>433</v>
      </c>
      <c r="T1639">
        <f t="shared" si="181"/>
        <v>6732</v>
      </c>
      <c r="U1639">
        <f>YEAR(Sales_Table[[#This Row],[Date_clean]])</f>
        <v>2024</v>
      </c>
      <c r="V1639" t="str">
        <f>TEXT(Sales_Table[[#This Row],[Date_clean]],"mmmm")</f>
        <v>March</v>
      </c>
      <c r="W1639">
        <f>WEEKNUM(Sales_Table[[#This Row],[Date_clean]],2)</f>
        <v>10</v>
      </c>
      <c r="X1639" t="str" cm="1">
        <f t="array" ref="X1639">_xlfn.IFS(Sales_Table[[#This Row],[Revenue]]&gt;=50000,"High",Sales_Table[[#This Row],[Revenue]]&gt;=20000,"Medium",Sales_Table[[#This Row],[Revenue]]&lt;20000,"Low")</f>
        <v>Low</v>
      </c>
      <c r="Y1639" t="str">
        <f>IF(Sales_Table[[#This Row],[Payment Method_clean]]="cash","Offline","Online")</f>
        <v>Online</v>
      </c>
      <c r="Z1639">
        <f>IFERROR(Sales_Table[[#This Row],[Revenue]],0)</f>
        <v>6732</v>
      </c>
    </row>
    <row r="1640" spans="1:26" x14ac:dyDescent="0.3">
      <c r="A1640">
        <v>1639</v>
      </c>
      <c r="B1640" s="2">
        <f t="shared" si="175"/>
        <v>45360.25</v>
      </c>
      <c r="C1640" t="s">
        <v>3790</v>
      </c>
      <c r="D1640" t="s">
        <v>45</v>
      </c>
      <c r="E1640" t="str">
        <f>PROPER(TRIM(CLEAN(Sales_Table[[#This Row],[Region]])))</f>
        <v>North</v>
      </c>
      <c r="F1640" t="s">
        <v>46</v>
      </c>
      <c r="G1640" t="str">
        <f t="shared" si="176"/>
        <v>Electronics</v>
      </c>
      <c r="H1640" t="str">
        <f>PROPER(TRIM(CLEAN(Sales_Table[[#This Row],[Product Name]])))</f>
        <v>Mixer Grinder</v>
      </c>
      <c r="I1640" t="s">
        <v>29</v>
      </c>
      <c r="J1640" t="str">
        <f t="shared" si="177"/>
        <v>CUST0557</v>
      </c>
      <c r="K1640" t="s">
        <v>1357</v>
      </c>
      <c r="L1640" t="str">
        <f>PROPER(TRIM(CLEAN(Sales_Table[[#This Row],[Salesperson]])))</f>
        <v>Anita</v>
      </c>
      <c r="M1640" t="s">
        <v>64</v>
      </c>
      <c r="N1640" t="str">
        <f t="shared" si="178"/>
        <v>Net Banking</v>
      </c>
      <c r="O1640" t="s">
        <v>60</v>
      </c>
      <c r="P1640">
        <f t="shared" si="179"/>
        <v>3</v>
      </c>
      <c r="Q1640" t="s">
        <v>66</v>
      </c>
      <c r="R1640">
        <f t="shared" si="180"/>
        <v>4531</v>
      </c>
      <c r="S1640" t="s">
        <v>3791</v>
      </c>
      <c r="T1640">
        <f t="shared" si="181"/>
        <v>13593</v>
      </c>
      <c r="U1640">
        <f>YEAR(Sales_Table[[#This Row],[Date_clean]])</f>
        <v>2024</v>
      </c>
      <c r="V1640" t="str">
        <f>TEXT(Sales_Table[[#This Row],[Date_clean]],"mmmm")</f>
        <v>March</v>
      </c>
      <c r="W1640">
        <f>WEEKNUM(Sales_Table[[#This Row],[Date_clean]],2)</f>
        <v>10</v>
      </c>
      <c r="X1640" t="str" cm="1">
        <f t="array" ref="X1640">_xlfn.IFS(Sales_Table[[#This Row],[Revenue]]&gt;=50000,"High",Sales_Table[[#This Row],[Revenue]]&gt;=20000,"Medium",Sales_Table[[#This Row],[Revenue]]&lt;20000,"Low")</f>
        <v>Low</v>
      </c>
      <c r="Y1640" t="str">
        <f>IF(Sales_Table[[#This Row],[Payment Method_clean]]="cash","Offline","Online")</f>
        <v>Online</v>
      </c>
      <c r="Z1640">
        <f>IFERROR(Sales_Table[[#This Row],[Revenue]],0)</f>
        <v>13593</v>
      </c>
    </row>
    <row r="1641" spans="1:26" x14ac:dyDescent="0.3">
      <c r="A1641">
        <v>1640</v>
      </c>
      <c r="B1641" s="2">
        <f t="shared" si="175"/>
        <v>45360.291666666664</v>
      </c>
      <c r="C1641" t="s">
        <v>3792</v>
      </c>
      <c r="D1641" t="s">
        <v>84</v>
      </c>
      <c r="E1641" t="str">
        <f>PROPER(TRIM(CLEAN(Sales_Table[[#This Row],[Region]])))</f>
        <v>South</v>
      </c>
      <c r="F1641" t="s">
        <v>28</v>
      </c>
      <c r="G1641" t="str">
        <f t="shared" si="176"/>
        <v>Clothing</v>
      </c>
      <c r="H1641" t="str">
        <f>PROPER(TRIM(CLEAN(Sales_Table[[#This Row],[Product Name]])))</f>
        <v>Rice 5Kg</v>
      </c>
      <c r="I1641" t="s">
        <v>73</v>
      </c>
      <c r="J1641" t="str">
        <f t="shared" si="177"/>
        <v>CUST0136</v>
      </c>
      <c r="K1641" t="s">
        <v>112</v>
      </c>
      <c r="L1641" t="str">
        <f>PROPER(TRIM(CLEAN(Sales_Table[[#This Row],[Salesperson]])))</f>
        <v>Karthik</v>
      </c>
      <c r="M1641" t="s">
        <v>70</v>
      </c>
      <c r="N1641" t="str">
        <f t="shared" si="178"/>
        <v>Upi</v>
      </c>
      <c r="O1641" t="s">
        <v>48</v>
      </c>
      <c r="P1641">
        <f t="shared" si="179"/>
        <v>9</v>
      </c>
      <c r="Q1641" t="s">
        <v>130</v>
      </c>
      <c r="R1641">
        <f t="shared" si="180"/>
        <v>1481</v>
      </c>
      <c r="S1641" t="s">
        <v>1550</v>
      </c>
      <c r="T1641">
        <f t="shared" si="181"/>
        <v>13329</v>
      </c>
      <c r="U1641">
        <f>YEAR(Sales_Table[[#This Row],[Date_clean]])</f>
        <v>2024</v>
      </c>
      <c r="V1641" t="str">
        <f>TEXT(Sales_Table[[#This Row],[Date_clean]],"mmmm")</f>
        <v>March</v>
      </c>
      <c r="W1641">
        <f>WEEKNUM(Sales_Table[[#This Row],[Date_clean]],2)</f>
        <v>10</v>
      </c>
      <c r="X1641" t="str" cm="1">
        <f t="array" ref="X1641">_xlfn.IFS(Sales_Table[[#This Row],[Revenue]]&gt;=50000,"High",Sales_Table[[#This Row],[Revenue]]&gt;=20000,"Medium",Sales_Table[[#This Row],[Revenue]]&lt;20000,"Low")</f>
        <v>Low</v>
      </c>
      <c r="Y1641" t="str">
        <f>IF(Sales_Table[[#This Row],[Payment Method_clean]]="cash","Offline","Online")</f>
        <v>Online</v>
      </c>
      <c r="Z1641">
        <f>IFERROR(Sales_Table[[#This Row],[Revenue]],0)</f>
        <v>13329</v>
      </c>
    </row>
    <row r="1642" spans="1:26" x14ac:dyDescent="0.3">
      <c r="A1642">
        <v>1641</v>
      </c>
      <c r="B1642" s="2">
        <f t="shared" si="175"/>
        <v>45360.333333333336</v>
      </c>
      <c r="C1642" t="s">
        <v>3793</v>
      </c>
      <c r="D1642" t="s">
        <v>36</v>
      </c>
      <c r="E1642" t="str">
        <f>PROPER(TRIM(CLEAN(Sales_Table[[#This Row],[Region]])))</f>
        <v>West</v>
      </c>
      <c r="F1642" t="s">
        <v>46</v>
      </c>
      <c r="G1642" t="str">
        <f t="shared" si="176"/>
        <v>Electronics</v>
      </c>
      <c r="H1642" t="str">
        <f>PROPER(TRIM(CLEAN(Sales_Table[[#This Row],[Product Name]])))</f>
        <v>Men T-Shirt</v>
      </c>
      <c r="I1642" t="s">
        <v>38</v>
      </c>
      <c r="J1642" t="str">
        <f t="shared" si="177"/>
        <v>CUST0016</v>
      </c>
      <c r="K1642" t="s">
        <v>2764</v>
      </c>
      <c r="L1642" t="str">
        <f>PROPER(TRIM(CLEAN(Sales_Table[[#This Row],[Salesperson]])))</f>
        <v>Rahul</v>
      </c>
      <c r="M1642" t="s">
        <v>31</v>
      </c>
      <c r="N1642" t="str">
        <f t="shared" si="178"/>
        <v>Upi</v>
      </c>
      <c r="O1642" t="s">
        <v>48</v>
      </c>
      <c r="P1642">
        <f t="shared" si="179"/>
        <v>1</v>
      </c>
      <c r="Q1642" t="s">
        <v>93</v>
      </c>
      <c r="R1642">
        <f t="shared" si="180"/>
        <v>1245</v>
      </c>
      <c r="S1642" t="s">
        <v>3794</v>
      </c>
      <c r="T1642">
        <f t="shared" si="181"/>
        <v>1245</v>
      </c>
      <c r="U1642">
        <f>YEAR(Sales_Table[[#This Row],[Date_clean]])</f>
        <v>2024</v>
      </c>
      <c r="V1642" t="str">
        <f>TEXT(Sales_Table[[#This Row],[Date_clean]],"mmmm")</f>
        <v>March</v>
      </c>
      <c r="W1642">
        <f>WEEKNUM(Sales_Table[[#This Row],[Date_clean]],2)</f>
        <v>10</v>
      </c>
      <c r="X1642" t="str" cm="1">
        <f t="array" ref="X1642">_xlfn.IFS(Sales_Table[[#This Row],[Revenue]]&gt;=50000,"High",Sales_Table[[#This Row],[Revenue]]&gt;=20000,"Medium",Sales_Table[[#This Row],[Revenue]]&lt;20000,"Low")</f>
        <v>Low</v>
      </c>
      <c r="Y1642" t="str">
        <f>IF(Sales_Table[[#This Row],[Payment Method_clean]]="cash","Offline","Online")</f>
        <v>Online</v>
      </c>
      <c r="Z1642">
        <f>IFERROR(Sales_Table[[#This Row],[Revenue]],0)</f>
        <v>1245</v>
      </c>
    </row>
    <row r="1643" spans="1:26" x14ac:dyDescent="0.3">
      <c r="A1643">
        <v>1642</v>
      </c>
      <c r="B1643" s="2">
        <f t="shared" si="175"/>
        <v>45360.375</v>
      </c>
      <c r="C1643" t="s">
        <v>3795</v>
      </c>
      <c r="D1643" t="s">
        <v>45</v>
      </c>
      <c r="E1643" t="str">
        <f>PROPER(TRIM(CLEAN(Sales_Table[[#This Row],[Region]])))</f>
        <v>North</v>
      </c>
      <c r="F1643" t="s">
        <v>28</v>
      </c>
      <c r="G1643" t="str">
        <f t="shared" si="176"/>
        <v>Clothing</v>
      </c>
      <c r="H1643" t="str">
        <f>PROPER(TRIM(CLEAN(Sales_Table[[#This Row],[Product Name]])))</f>
        <v>Led Tv 42Inch</v>
      </c>
      <c r="I1643" t="s">
        <v>58</v>
      </c>
      <c r="J1643" t="str">
        <f t="shared" si="177"/>
        <v>CUST0333</v>
      </c>
      <c r="K1643" t="s">
        <v>2543</v>
      </c>
      <c r="L1643" t="str">
        <f>PROPER(TRIM(CLEAN(Sales_Table[[#This Row],[Salesperson]])))</f>
        <v>Suresh</v>
      </c>
      <c r="M1643" t="s">
        <v>54</v>
      </c>
      <c r="N1643" t="str">
        <f t="shared" si="178"/>
        <v>Credit Card</v>
      </c>
      <c r="O1643" t="s">
        <v>65</v>
      </c>
      <c r="P1643">
        <f t="shared" si="179"/>
        <v>4</v>
      </c>
      <c r="Q1643" t="s">
        <v>113</v>
      </c>
      <c r="R1643">
        <f t="shared" si="180"/>
        <v>3615</v>
      </c>
      <c r="S1643" t="s">
        <v>3096</v>
      </c>
      <c r="T1643">
        <f t="shared" si="181"/>
        <v>14460</v>
      </c>
      <c r="U1643">
        <f>YEAR(Sales_Table[[#This Row],[Date_clean]])</f>
        <v>2024</v>
      </c>
      <c r="V1643" t="str">
        <f>TEXT(Sales_Table[[#This Row],[Date_clean]],"mmmm")</f>
        <v>March</v>
      </c>
      <c r="W1643">
        <f>WEEKNUM(Sales_Table[[#This Row],[Date_clean]],2)</f>
        <v>10</v>
      </c>
      <c r="X1643" t="str" cm="1">
        <f t="array" ref="X1643">_xlfn.IFS(Sales_Table[[#This Row],[Revenue]]&gt;=50000,"High",Sales_Table[[#This Row],[Revenue]]&gt;=20000,"Medium",Sales_Table[[#This Row],[Revenue]]&lt;20000,"Low")</f>
        <v>Low</v>
      </c>
      <c r="Y1643" t="str">
        <f>IF(Sales_Table[[#This Row],[Payment Method_clean]]="cash","Offline","Online")</f>
        <v>Online</v>
      </c>
      <c r="Z1643">
        <f>IFERROR(Sales_Table[[#This Row],[Revenue]],0)</f>
        <v>14460</v>
      </c>
    </row>
    <row r="1644" spans="1:26" x14ac:dyDescent="0.3">
      <c r="A1644">
        <v>1643</v>
      </c>
      <c r="B1644" s="2">
        <f t="shared" si="175"/>
        <v>45360.416666666664</v>
      </c>
      <c r="C1644" t="s">
        <v>3796</v>
      </c>
      <c r="D1644" t="s">
        <v>45</v>
      </c>
      <c r="E1644" t="str">
        <f>PROPER(TRIM(CLEAN(Sales_Table[[#This Row],[Region]])))</f>
        <v>North</v>
      </c>
      <c r="F1644" t="s">
        <v>78</v>
      </c>
      <c r="G1644" t="str">
        <f t="shared" si="176"/>
        <v>Grocery</v>
      </c>
      <c r="H1644" t="str">
        <f>PROPER(TRIM(CLEAN(Sales_Table[[#This Row],[Product Name]])))</f>
        <v>Rice 5Kg</v>
      </c>
      <c r="I1644" t="s">
        <v>73</v>
      </c>
      <c r="J1644" t="str">
        <f t="shared" si="177"/>
        <v>CUST0195</v>
      </c>
      <c r="K1644" t="s">
        <v>314</v>
      </c>
      <c r="L1644" t="str">
        <f>PROPER(TRIM(CLEAN(Sales_Table[[#This Row],[Salesperson]])))</f>
        <v>Rahul</v>
      </c>
      <c r="M1644" t="s">
        <v>31</v>
      </c>
      <c r="N1644" t="str">
        <f t="shared" si="178"/>
        <v>Net Banking</v>
      </c>
      <c r="O1644" t="s">
        <v>60</v>
      </c>
      <c r="P1644">
        <f t="shared" si="179"/>
        <v>8</v>
      </c>
      <c r="Q1644" t="s">
        <v>42</v>
      </c>
      <c r="R1644">
        <f t="shared" si="180"/>
        <v>4554</v>
      </c>
      <c r="S1644" t="s">
        <v>3797</v>
      </c>
      <c r="T1644">
        <f t="shared" si="181"/>
        <v>36432</v>
      </c>
      <c r="U1644">
        <f>YEAR(Sales_Table[[#This Row],[Date_clean]])</f>
        <v>2024</v>
      </c>
      <c r="V1644" t="str">
        <f>TEXT(Sales_Table[[#This Row],[Date_clean]],"mmmm")</f>
        <v>March</v>
      </c>
      <c r="W1644">
        <f>WEEKNUM(Sales_Table[[#This Row],[Date_clean]],2)</f>
        <v>10</v>
      </c>
      <c r="X1644" t="str" cm="1">
        <f t="array" ref="X1644">_xlfn.IFS(Sales_Table[[#This Row],[Revenue]]&gt;=50000,"High",Sales_Table[[#This Row],[Revenue]]&gt;=20000,"Medium",Sales_Table[[#This Row],[Revenue]]&lt;20000,"Low")</f>
        <v>Medium</v>
      </c>
      <c r="Y1644" t="str">
        <f>IF(Sales_Table[[#This Row],[Payment Method_clean]]="cash","Offline","Online")</f>
        <v>Online</v>
      </c>
      <c r="Z1644">
        <f>IFERROR(Sales_Table[[#This Row],[Revenue]],0)</f>
        <v>36432</v>
      </c>
    </row>
    <row r="1645" spans="1:26" x14ac:dyDescent="0.3">
      <c r="A1645">
        <v>1644</v>
      </c>
      <c r="B1645" s="2">
        <f t="shared" si="175"/>
        <v>45360.458333333336</v>
      </c>
      <c r="C1645" t="s">
        <v>3798</v>
      </c>
      <c r="D1645" t="s">
        <v>84</v>
      </c>
      <c r="E1645" t="str">
        <f>PROPER(TRIM(CLEAN(Sales_Table[[#This Row],[Region]])))</f>
        <v>South</v>
      </c>
      <c r="F1645" t="s">
        <v>37</v>
      </c>
      <c r="G1645" t="str">
        <f t="shared" si="176"/>
        <v>Home Appliances</v>
      </c>
      <c r="H1645" t="str">
        <f>PROPER(TRIM(CLEAN(Sales_Table[[#This Row],[Product Name]])))</f>
        <v>Led Tv 42Inch</v>
      </c>
      <c r="I1645" t="s">
        <v>58</v>
      </c>
      <c r="J1645" t="str">
        <f t="shared" si="177"/>
        <v>CUST0496</v>
      </c>
      <c r="K1645" t="s">
        <v>2063</v>
      </c>
      <c r="L1645" t="str">
        <f>PROPER(TRIM(CLEAN(Sales_Table[[#This Row],[Salesperson]])))</f>
        <v>Rahul</v>
      </c>
      <c r="M1645" t="s">
        <v>31</v>
      </c>
      <c r="N1645" t="str">
        <f t="shared" si="178"/>
        <v>Cash</v>
      </c>
      <c r="O1645" t="s">
        <v>32</v>
      </c>
      <c r="P1645">
        <f t="shared" si="179"/>
        <v>8</v>
      </c>
      <c r="Q1645" t="s">
        <v>42</v>
      </c>
      <c r="R1645">
        <f t="shared" si="180"/>
        <v>292</v>
      </c>
      <c r="S1645" t="s">
        <v>3799</v>
      </c>
      <c r="T1645">
        <f t="shared" si="181"/>
        <v>2336</v>
      </c>
      <c r="U1645">
        <f>YEAR(Sales_Table[[#This Row],[Date_clean]])</f>
        <v>2024</v>
      </c>
      <c r="V1645" t="str">
        <f>TEXT(Sales_Table[[#This Row],[Date_clean]],"mmmm")</f>
        <v>March</v>
      </c>
      <c r="W1645">
        <f>WEEKNUM(Sales_Table[[#This Row],[Date_clean]],2)</f>
        <v>10</v>
      </c>
      <c r="X1645" t="str" cm="1">
        <f t="array" ref="X1645">_xlfn.IFS(Sales_Table[[#This Row],[Revenue]]&gt;=50000,"High",Sales_Table[[#This Row],[Revenue]]&gt;=20000,"Medium",Sales_Table[[#This Row],[Revenue]]&lt;20000,"Low")</f>
        <v>Low</v>
      </c>
      <c r="Y1645" t="str">
        <f>IF(Sales_Table[[#This Row],[Payment Method_clean]]="cash","Offline","Online")</f>
        <v>Offline</v>
      </c>
      <c r="Z1645">
        <f>IFERROR(Sales_Table[[#This Row],[Revenue]],0)</f>
        <v>2336</v>
      </c>
    </row>
    <row r="1646" spans="1:26" x14ac:dyDescent="0.3">
      <c r="A1646">
        <v>1645</v>
      </c>
      <c r="B1646" s="2">
        <f t="shared" si="175"/>
        <v>45360.5</v>
      </c>
      <c r="C1646" t="s">
        <v>3800</v>
      </c>
      <c r="D1646" t="s">
        <v>45</v>
      </c>
      <c r="E1646" t="str">
        <f>PROPER(TRIM(CLEAN(Sales_Table[[#This Row],[Region]])))</f>
        <v>North</v>
      </c>
      <c r="F1646" t="s">
        <v>46</v>
      </c>
      <c r="G1646" t="str">
        <f t="shared" si="176"/>
        <v>Electronics</v>
      </c>
      <c r="H1646" t="str">
        <f>PROPER(TRIM(CLEAN(Sales_Table[[#This Row],[Product Name]])))</f>
        <v>Washing Machine</v>
      </c>
      <c r="I1646" t="s">
        <v>79</v>
      </c>
      <c r="J1646" t="str">
        <f t="shared" si="177"/>
        <v>CUST0009</v>
      </c>
      <c r="K1646" t="s">
        <v>2697</v>
      </c>
      <c r="L1646" t="str">
        <f>PROPER(TRIM(CLEAN(Sales_Table[[#This Row],[Salesperson]])))</f>
        <v>Suresh</v>
      </c>
      <c r="M1646" t="s">
        <v>54</v>
      </c>
      <c r="N1646" t="str">
        <f t="shared" si="178"/>
        <v>Cash</v>
      </c>
      <c r="O1646" t="s">
        <v>32</v>
      </c>
      <c r="P1646">
        <f t="shared" si="179"/>
        <v>10</v>
      </c>
      <c r="Q1646" t="s">
        <v>117</v>
      </c>
      <c r="R1646">
        <f t="shared" si="180"/>
        <v>3634</v>
      </c>
      <c r="S1646" t="s">
        <v>3801</v>
      </c>
      <c r="T1646">
        <f t="shared" si="181"/>
        <v>36340</v>
      </c>
      <c r="U1646">
        <f>YEAR(Sales_Table[[#This Row],[Date_clean]])</f>
        <v>2024</v>
      </c>
      <c r="V1646" t="str">
        <f>TEXT(Sales_Table[[#This Row],[Date_clean]],"mmmm")</f>
        <v>March</v>
      </c>
      <c r="W1646">
        <f>WEEKNUM(Sales_Table[[#This Row],[Date_clean]],2)</f>
        <v>10</v>
      </c>
      <c r="X1646" t="str" cm="1">
        <f t="array" ref="X1646">_xlfn.IFS(Sales_Table[[#This Row],[Revenue]]&gt;=50000,"High",Sales_Table[[#This Row],[Revenue]]&gt;=20000,"Medium",Sales_Table[[#This Row],[Revenue]]&lt;20000,"Low")</f>
        <v>Medium</v>
      </c>
      <c r="Y1646" t="str">
        <f>IF(Sales_Table[[#This Row],[Payment Method_clean]]="cash","Offline","Online")</f>
        <v>Offline</v>
      </c>
      <c r="Z1646">
        <f>IFERROR(Sales_Table[[#This Row],[Revenue]],0)</f>
        <v>36340</v>
      </c>
    </row>
    <row r="1647" spans="1:26" x14ac:dyDescent="0.3">
      <c r="A1647">
        <v>1646</v>
      </c>
      <c r="B1647" s="2">
        <f t="shared" si="175"/>
        <v>45360.541666666664</v>
      </c>
      <c r="C1647" t="s">
        <v>3802</v>
      </c>
      <c r="D1647" t="s">
        <v>27</v>
      </c>
      <c r="E1647" t="str">
        <f>PROPER(TRIM(CLEAN(Sales_Table[[#This Row],[Region]])))</f>
        <v>East</v>
      </c>
      <c r="F1647" t="s">
        <v>37</v>
      </c>
      <c r="G1647" t="str">
        <f t="shared" si="176"/>
        <v>Home Appliances</v>
      </c>
      <c r="H1647" t="str">
        <f>PROPER(TRIM(CLEAN(Sales_Table[[#This Row],[Product Name]])))</f>
        <v>Men T-Shirt</v>
      </c>
      <c r="I1647" t="s">
        <v>38</v>
      </c>
      <c r="J1647" t="str">
        <f t="shared" si="177"/>
        <v>CUST0334</v>
      </c>
      <c r="K1647" t="s">
        <v>2463</v>
      </c>
      <c r="L1647" t="str">
        <f>PROPER(TRIM(CLEAN(Sales_Table[[#This Row],[Salesperson]])))</f>
        <v>Suresh</v>
      </c>
      <c r="M1647" t="s">
        <v>54</v>
      </c>
      <c r="N1647" t="str">
        <f t="shared" si="178"/>
        <v>Net Banking</v>
      </c>
      <c r="O1647" t="s">
        <v>60</v>
      </c>
      <c r="P1647">
        <f t="shared" si="179"/>
        <v>12</v>
      </c>
      <c r="Q1647" t="s">
        <v>33</v>
      </c>
      <c r="R1647">
        <f t="shared" si="180"/>
        <v>855</v>
      </c>
      <c r="S1647" t="s">
        <v>3803</v>
      </c>
      <c r="T1647">
        <f t="shared" si="181"/>
        <v>10260</v>
      </c>
      <c r="U1647">
        <f>YEAR(Sales_Table[[#This Row],[Date_clean]])</f>
        <v>2024</v>
      </c>
      <c r="V1647" t="str">
        <f>TEXT(Sales_Table[[#This Row],[Date_clean]],"mmmm")</f>
        <v>March</v>
      </c>
      <c r="W1647">
        <f>WEEKNUM(Sales_Table[[#This Row],[Date_clean]],2)</f>
        <v>10</v>
      </c>
      <c r="X1647" t="str" cm="1">
        <f t="array" ref="X1647">_xlfn.IFS(Sales_Table[[#This Row],[Revenue]]&gt;=50000,"High",Sales_Table[[#This Row],[Revenue]]&gt;=20000,"Medium",Sales_Table[[#This Row],[Revenue]]&lt;20000,"Low")</f>
        <v>Low</v>
      </c>
      <c r="Y1647" t="str">
        <f>IF(Sales_Table[[#This Row],[Payment Method_clean]]="cash","Offline","Online")</f>
        <v>Online</v>
      </c>
      <c r="Z1647">
        <f>IFERROR(Sales_Table[[#This Row],[Revenue]],0)</f>
        <v>10260</v>
      </c>
    </row>
    <row r="1648" spans="1:26" x14ac:dyDescent="0.3">
      <c r="A1648">
        <v>1647</v>
      </c>
      <c r="B1648" s="2">
        <f t="shared" si="175"/>
        <v>45360.583333333336</v>
      </c>
      <c r="C1648" t="s">
        <v>3804</v>
      </c>
      <c r="D1648" t="s">
        <v>27</v>
      </c>
      <c r="E1648" t="str">
        <f>PROPER(TRIM(CLEAN(Sales_Table[[#This Row],[Region]])))</f>
        <v>East</v>
      </c>
      <c r="F1648" t="s">
        <v>46</v>
      </c>
      <c r="G1648" t="str">
        <f t="shared" si="176"/>
        <v>Electronics</v>
      </c>
      <c r="H1648" t="str">
        <f>PROPER(TRIM(CLEAN(Sales_Table[[#This Row],[Product Name]])))</f>
        <v>Laptop</v>
      </c>
      <c r="I1648" t="s">
        <v>52</v>
      </c>
      <c r="J1648" t="str">
        <f t="shared" si="177"/>
        <v>CUST0333</v>
      </c>
      <c r="K1648" t="s">
        <v>2543</v>
      </c>
      <c r="L1648" t="str">
        <f>PROPER(TRIM(CLEAN(Sales_Table[[#This Row],[Salesperson]])))</f>
        <v>Rahul</v>
      </c>
      <c r="M1648" t="s">
        <v>31</v>
      </c>
      <c r="N1648" t="str">
        <f t="shared" si="178"/>
        <v>Credit Card</v>
      </c>
      <c r="O1648" t="s">
        <v>65</v>
      </c>
      <c r="P1648">
        <f t="shared" si="179"/>
        <v>11</v>
      </c>
      <c r="Q1648" t="s">
        <v>97</v>
      </c>
      <c r="R1648">
        <f t="shared" si="180"/>
        <v>1784</v>
      </c>
      <c r="S1648" t="s">
        <v>3805</v>
      </c>
      <c r="T1648">
        <f t="shared" si="181"/>
        <v>19624</v>
      </c>
      <c r="U1648">
        <f>YEAR(Sales_Table[[#This Row],[Date_clean]])</f>
        <v>2024</v>
      </c>
      <c r="V1648" t="str">
        <f>TEXT(Sales_Table[[#This Row],[Date_clean]],"mmmm")</f>
        <v>March</v>
      </c>
      <c r="W1648">
        <f>WEEKNUM(Sales_Table[[#This Row],[Date_clean]],2)</f>
        <v>10</v>
      </c>
      <c r="X1648" t="str" cm="1">
        <f t="array" ref="X1648">_xlfn.IFS(Sales_Table[[#This Row],[Revenue]]&gt;=50000,"High",Sales_Table[[#This Row],[Revenue]]&gt;=20000,"Medium",Sales_Table[[#This Row],[Revenue]]&lt;20000,"Low")</f>
        <v>Low</v>
      </c>
      <c r="Y1648" t="str">
        <f>IF(Sales_Table[[#This Row],[Payment Method_clean]]="cash","Offline","Online")</f>
        <v>Online</v>
      </c>
      <c r="Z1648">
        <f>IFERROR(Sales_Table[[#This Row],[Revenue]],0)</f>
        <v>19624</v>
      </c>
    </row>
    <row r="1649" spans="1:26" x14ac:dyDescent="0.3">
      <c r="A1649">
        <v>1648</v>
      </c>
      <c r="B1649" s="2">
        <f t="shared" si="175"/>
        <v>45360.625</v>
      </c>
      <c r="C1649" t="s">
        <v>3806</v>
      </c>
      <c r="D1649" t="s">
        <v>36</v>
      </c>
      <c r="E1649" t="str">
        <f>PROPER(TRIM(CLEAN(Sales_Table[[#This Row],[Region]])))</f>
        <v>West</v>
      </c>
      <c r="F1649" t="s">
        <v>78</v>
      </c>
      <c r="G1649" t="str">
        <f t="shared" si="176"/>
        <v>Grocery</v>
      </c>
      <c r="H1649" t="str">
        <f>PROPER(TRIM(CLEAN(Sales_Table[[#This Row],[Product Name]])))</f>
        <v>Men T-Shirt</v>
      </c>
      <c r="I1649" t="s">
        <v>38</v>
      </c>
      <c r="J1649" t="str">
        <f t="shared" si="177"/>
        <v>CUST0327</v>
      </c>
      <c r="K1649" t="s">
        <v>1177</v>
      </c>
      <c r="L1649" t="str">
        <f>PROPER(TRIM(CLEAN(Sales_Table[[#This Row],[Salesperson]])))</f>
        <v>Suresh</v>
      </c>
      <c r="M1649" t="s">
        <v>54</v>
      </c>
      <c r="N1649" t="str">
        <f t="shared" si="178"/>
        <v>Credit Card</v>
      </c>
      <c r="O1649" t="s">
        <v>65</v>
      </c>
      <c r="P1649">
        <f t="shared" si="179"/>
        <v>13</v>
      </c>
      <c r="Q1649" t="s">
        <v>81</v>
      </c>
      <c r="R1649">
        <f t="shared" si="180"/>
        <v>2625</v>
      </c>
      <c r="S1649" t="s">
        <v>3807</v>
      </c>
      <c r="T1649">
        <f t="shared" si="181"/>
        <v>34125</v>
      </c>
      <c r="U1649">
        <f>YEAR(Sales_Table[[#This Row],[Date_clean]])</f>
        <v>2024</v>
      </c>
      <c r="V1649" t="str">
        <f>TEXT(Sales_Table[[#This Row],[Date_clean]],"mmmm")</f>
        <v>March</v>
      </c>
      <c r="W1649">
        <f>WEEKNUM(Sales_Table[[#This Row],[Date_clean]],2)</f>
        <v>10</v>
      </c>
      <c r="X1649" t="str" cm="1">
        <f t="array" ref="X1649">_xlfn.IFS(Sales_Table[[#This Row],[Revenue]]&gt;=50000,"High",Sales_Table[[#This Row],[Revenue]]&gt;=20000,"Medium",Sales_Table[[#This Row],[Revenue]]&lt;20000,"Low")</f>
        <v>Medium</v>
      </c>
      <c r="Y1649" t="str">
        <f>IF(Sales_Table[[#This Row],[Payment Method_clean]]="cash","Offline","Online")</f>
        <v>Online</v>
      </c>
      <c r="Z1649">
        <f>IFERROR(Sales_Table[[#This Row],[Revenue]],0)</f>
        <v>34125</v>
      </c>
    </row>
    <row r="1650" spans="1:26" x14ac:dyDescent="0.3">
      <c r="A1650">
        <v>1649</v>
      </c>
      <c r="B1650" s="2">
        <f t="shared" si="175"/>
        <v>45360.666666666664</v>
      </c>
      <c r="C1650" t="s">
        <v>3808</v>
      </c>
      <c r="D1650" t="s">
        <v>45</v>
      </c>
      <c r="E1650" t="str">
        <f>PROPER(TRIM(CLEAN(Sales_Table[[#This Row],[Region]])))</f>
        <v>North</v>
      </c>
      <c r="F1650" t="s">
        <v>78</v>
      </c>
      <c r="G1650" t="str">
        <f t="shared" si="176"/>
        <v>Grocery</v>
      </c>
      <c r="H1650" t="str">
        <f>PROPER(TRIM(CLEAN(Sales_Table[[#This Row],[Product Name]])))</f>
        <v>Washing Machine</v>
      </c>
      <c r="I1650" t="s">
        <v>79</v>
      </c>
      <c r="J1650" t="str">
        <f t="shared" si="177"/>
        <v>CUST0015</v>
      </c>
      <c r="K1650" t="s">
        <v>3809</v>
      </c>
      <c r="L1650" t="str">
        <f>PROPER(TRIM(CLEAN(Sales_Table[[#This Row],[Salesperson]])))</f>
        <v>Anita</v>
      </c>
      <c r="M1650" t="s">
        <v>64</v>
      </c>
      <c r="N1650" t="str">
        <f t="shared" si="178"/>
        <v>Credit Card</v>
      </c>
      <c r="O1650" t="s">
        <v>65</v>
      </c>
      <c r="P1650">
        <f t="shared" si="179"/>
        <v>11</v>
      </c>
      <c r="Q1650" t="s">
        <v>97</v>
      </c>
      <c r="R1650">
        <f t="shared" si="180"/>
        <v>927</v>
      </c>
      <c r="S1650" t="s">
        <v>3810</v>
      </c>
      <c r="T1650">
        <f t="shared" si="181"/>
        <v>10197</v>
      </c>
      <c r="U1650">
        <f>YEAR(Sales_Table[[#This Row],[Date_clean]])</f>
        <v>2024</v>
      </c>
      <c r="V1650" t="str">
        <f>TEXT(Sales_Table[[#This Row],[Date_clean]],"mmmm")</f>
        <v>March</v>
      </c>
      <c r="W1650">
        <f>WEEKNUM(Sales_Table[[#This Row],[Date_clean]],2)</f>
        <v>10</v>
      </c>
      <c r="X1650" t="str" cm="1">
        <f t="array" ref="X1650">_xlfn.IFS(Sales_Table[[#This Row],[Revenue]]&gt;=50000,"High",Sales_Table[[#This Row],[Revenue]]&gt;=20000,"Medium",Sales_Table[[#This Row],[Revenue]]&lt;20000,"Low")</f>
        <v>Low</v>
      </c>
      <c r="Y1650" t="str">
        <f>IF(Sales_Table[[#This Row],[Payment Method_clean]]="cash","Offline","Online")</f>
        <v>Online</v>
      </c>
      <c r="Z1650">
        <f>IFERROR(Sales_Table[[#This Row],[Revenue]],0)</f>
        <v>10197</v>
      </c>
    </row>
    <row r="1651" spans="1:26" x14ac:dyDescent="0.3">
      <c r="A1651">
        <v>1650</v>
      </c>
      <c r="B1651" s="2">
        <f t="shared" si="175"/>
        <v>45360.708333333336</v>
      </c>
      <c r="C1651" t="s">
        <v>3811</v>
      </c>
      <c r="D1651" t="s">
        <v>84</v>
      </c>
      <c r="E1651" t="str">
        <f>PROPER(TRIM(CLEAN(Sales_Table[[#This Row],[Region]])))</f>
        <v>South</v>
      </c>
      <c r="F1651" t="s">
        <v>78</v>
      </c>
      <c r="G1651" t="str">
        <f t="shared" si="176"/>
        <v>Grocery</v>
      </c>
      <c r="H1651" t="str">
        <f>PROPER(TRIM(CLEAN(Sales_Table[[#This Row],[Product Name]])))</f>
        <v>Men T-Shirt</v>
      </c>
      <c r="I1651" t="s">
        <v>38</v>
      </c>
      <c r="J1651" t="str">
        <f t="shared" si="177"/>
        <v>CUST0614</v>
      </c>
      <c r="K1651" t="s">
        <v>1593</v>
      </c>
      <c r="L1651" t="str">
        <f>PROPER(TRIM(CLEAN(Sales_Table[[#This Row],[Salesperson]])))</f>
        <v>Suresh</v>
      </c>
      <c r="M1651" t="s">
        <v>54</v>
      </c>
      <c r="N1651" t="str">
        <f t="shared" si="178"/>
        <v>Cash</v>
      </c>
      <c r="O1651" t="s">
        <v>32</v>
      </c>
      <c r="P1651">
        <f t="shared" si="179"/>
        <v>8</v>
      </c>
      <c r="Q1651" t="s">
        <v>42</v>
      </c>
      <c r="R1651">
        <f t="shared" si="180"/>
        <v>989</v>
      </c>
      <c r="S1651" t="s">
        <v>3812</v>
      </c>
      <c r="T1651">
        <f t="shared" si="181"/>
        <v>7912</v>
      </c>
      <c r="U1651">
        <f>YEAR(Sales_Table[[#This Row],[Date_clean]])</f>
        <v>2024</v>
      </c>
      <c r="V1651" t="str">
        <f>TEXT(Sales_Table[[#This Row],[Date_clean]],"mmmm")</f>
        <v>March</v>
      </c>
      <c r="W1651">
        <f>WEEKNUM(Sales_Table[[#This Row],[Date_clean]],2)</f>
        <v>10</v>
      </c>
      <c r="X1651" t="str" cm="1">
        <f t="array" ref="X1651">_xlfn.IFS(Sales_Table[[#This Row],[Revenue]]&gt;=50000,"High",Sales_Table[[#This Row],[Revenue]]&gt;=20000,"Medium",Sales_Table[[#This Row],[Revenue]]&lt;20000,"Low")</f>
        <v>Low</v>
      </c>
      <c r="Y1651" t="str">
        <f>IF(Sales_Table[[#This Row],[Payment Method_clean]]="cash","Offline","Online")</f>
        <v>Offline</v>
      </c>
      <c r="Z1651">
        <f>IFERROR(Sales_Table[[#This Row],[Revenue]],0)</f>
        <v>7912</v>
      </c>
    </row>
    <row r="1652" spans="1:26" x14ac:dyDescent="0.3">
      <c r="A1652">
        <v>1651</v>
      </c>
      <c r="B1652" s="2">
        <f t="shared" si="175"/>
        <v>45360.75</v>
      </c>
      <c r="C1652" t="s">
        <v>3813</v>
      </c>
      <c r="D1652" t="s">
        <v>27</v>
      </c>
      <c r="E1652" t="str">
        <f>PROPER(TRIM(CLEAN(Sales_Table[[#This Row],[Region]])))</f>
        <v>East</v>
      </c>
      <c r="F1652" t="s">
        <v>46</v>
      </c>
      <c r="G1652" t="str">
        <f t="shared" si="176"/>
        <v>Electronics</v>
      </c>
      <c r="H1652" t="str">
        <f>PROPER(TRIM(CLEAN(Sales_Table[[#This Row],[Product Name]])))</f>
        <v>Laptop</v>
      </c>
      <c r="I1652" t="s">
        <v>52</v>
      </c>
      <c r="J1652" t="str">
        <f t="shared" si="177"/>
        <v>CUST0226</v>
      </c>
      <c r="K1652" t="s">
        <v>1106</v>
      </c>
      <c r="L1652" t="str">
        <f>PROPER(TRIM(CLEAN(Sales_Table[[#This Row],[Salesperson]])))</f>
        <v>Suresh</v>
      </c>
      <c r="M1652" t="s">
        <v>54</v>
      </c>
      <c r="N1652" t="str">
        <f t="shared" si="178"/>
        <v>Upi</v>
      </c>
      <c r="O1652" t="s">
        <v>48</v>
      </c>
      <c r="P1652">
        <f t="shared" si="179"/>
        <v>10</v>
      </c>
      <c r="Q1652" t="s">
        <v>117</v>
      </c>
      <c r="R1652">
        <f t="shared" si="180"/>
        <v>4848</v>
      </c>
      <c r="S1652" t="s">
        <v>3814</v>
      </c>
      <c r="T1652">
        <f t="shared" si="181"/>
        <v>48480</v>
      </c>
      <c r="U1652">
        <f>YEAR(Sales_Table[[#This Row],[Date_clean]])</f>
        <v>2024</v>
      </c>
      <c r="V1652" t="str">
        <f>TEXT(Sales_Table[[#This Row],[Date_clean]],"mmmm")</f>
        <v>March</v>
      </c>
      <c r="W1652">
        <f>WEEKNUM(Sales_Table[[#This Row],[Date_clean]],2)</f>
        <v>10</v>
      </c>
      <c r="X1652" t="str" cm="1">
        <f t="array" ref="X1652">_xlfn.IFS(Sales_Table[[#This Row],[Revenue]]&gt;=50000,"High",Sales_Table[[#This Row],[Revenue]]&gt;=20000,"Medium",Sales_Table[[#This Row],[Revenue]]&lt;20000,"Low")</f>
        <v>Medium</v>
      </c>
      <c r="Y1652" t="str">
        <f>IF(Sales_Table[[#This Row],[Payment Method_clean]]="cash","Offline","Online")</f>
        <v>Online</v>
      </c>
      <c r="Z1652">
        <f>IFERROR(Sales_Table[[#This Row],[Revenue]],0)</f>
        <v>48480</v>
      </c>
    </row>
    <row r="1653" spans="1:26" x14ac:dyDescent="0.3">
      <c r="A1653">
        <v>1652</v>
      </c>
      <c r="B1653" s="2">
        <f t="shared" si="175"/>
        <v>45360.791666666664</v>
      </c>
      <c r="C1653" t="s">
        <v>3815</v>
      </c>
      <c r="D1653" t="s">
        <v>84</v>
      </c>
      <c r="E1653" t="str">
        <f>PROPER(TRIM(CLEAN(Sales_Table[[#This Row],[Region]])))</f>
        <v>South</v>
      </c>
      <c r="F1653" t="s">
        <v>28</v>
      </c>
      <c r="G1653" t="str">
        <f t="shared" si="176"/>
        <v>Clothing</v>
      </c>
      <c r="H1653" t="str">
        <f>PROPER(TRIM(CLEAN(Sales_Table[[#This Row],[Product Name]])))</f>
        <v>Mixer Grinder</v>
      </c>
      <c r="I1653" t="s">
        <v>29</v>
      </c>
      <c r="J1653" t="str">
        <f t="shared" si="177"/>
        <v>CUST0425</v>
      </c>
      <c r="K1653" t="s">
        <v>695</v>
      </c>
      <c r="L1653" t="str">
        <f>PROPER(TRIM(CLEAN(Sales_Table[[#This Row],[Salesperson]])))</f>
        <v>Rahul</v>
      </c>
      <c r="M1653" t="s">
        <v>31</v>
      </c>
      <c r="N1653" t="str">
        <f t="shared" si="178"/>
        <v>Credit Card</v>
      </c>
      <c r="O1653" t="s">
        <v>65</v>
      </c>
      <c r="P1653">
        <f t="shared" si="179"/>
        <v>8</v>
      </c>
      <c r="Q1653" t="s">
        <v>42</v>
      </c>
      <c r="R1653">
        <f t="shared" si="180"/>
        <v>2555</v>
      </c>
      <c r="S1653" t="s">
        <v>3816</v>
      </c>
      <c r="T1653">
        <f t="shared" si="181"/>
        <v>20440</v>
      </c>
      <c r="U1653">
        <f>YEAR(Sales_Table[[#This Row],[Date_clean]])</f>
        <v>2024</v>
      </c>
      <c r="V1653" t="str">
        <f>TEXT(Sales_Table[[#This Row],[Date_clean]],"mmmm")</f>
        <v>March</v>
      </c>
      <c r="W1653">
        <f>WEEKNUM(Sales_Table[[#This Row],[Date_clean]],2)</f>
        <v>10</v>
      </c>
      <c r="X1653" t="str" cm="1">
        <f t="array" ref="X1653">_xlfn.IFS(Sales_Table[[#This Row],[Revenue]]&gt;=50000,"High",Sales_Table[[#This Row],[Revenue]]&gt;=20000,"Medium",Sales_Table[[#This Row],[Revenue]]&lt;20000,"Low")</f>
        <v>Medium</v>
      </c>
      <c r="Y1653" t="str">
        <f>IF(Sales_Table[[#This Row],[Payment Method_clean]]="cash","Offline","Online")</f>
        <v>Online</v>
      </c>
      <c r="Z1653">
        <f>IFERROR(Sales_Table[[#This Row],[Revenue]],0)</f>
        <v>20440</v>
      </c>
    </row>
    <row r="1654" spans="1:26" x14ac:dyDescent="0.3">
      <c r="A1654">
        <v>1653</v>
      </c>
      <c r="B1654" s="2">
        <f t="shared" si="175"/>
        <v>45360.833333333336</v>
      </c>
      <c r="C1654" t="s">
        <v>3817</v>
      </c>
      <c r="D1654" t="s">
        <v>84</v>
      </c>
      <c r="E1654" t="str">
        <f>PROPER(TRIM(CLEAN(Sales_Table[[#This Row],[Region]])))</f>
        <v>South</v>
      </c>
      <c r="F1654" t="s">
        <v>46</v>
      </c>
      <c r="G1654" t="str">
        <f t="shared" si="176"/>
        <v>Electronics</v>
      </c>
      <c r="H1654" t="str">
        <f>PROPER(TRIM(CLEAN(Sales_Table[[#This Row],[Product Name]])))</f>
        <v>Led Tv 42Inch</v>
      </c>
      <c r="I1654" t="s">
        <v>58</v>
      </c>
      <c r="J1654" t="str">
        <f t="shared" si="177"/>
        <v>CUST0790</v>
      </c>
      <c r="K1654" t="s">
        <v>344</v>
      </c>
      <c r="L1654" t="str">
        <f>PROPER(TRIM(CLEAN(Sales_Table[[#This Row],[Salesperson]])))</f>
        <v>Anita</v>
      </c>
      <c r="M1654" t="s">
        <v>64</v>
      </c>
      <c r="N1654" t="str">
        <f t="shared" si="178"/>
        <v>Cash</v>
      </c>
      <c r="O1654" t="s">
        <v>32</v>
      </c>
      <c r="P1654">
        <f t="shared" si="179"/>
        <v>4</v>
      </c>
      <c r="Q1654" t="s">
        <v>113</v>
      </c>
      <c r="R1654">
        <f t="shared" si="180"/>
        <v>2433</v>
      </c>
      <c r="S1654" t="s">
        <v>3818</v>
      </c>
      <c r="T1654">
        <f t="shared" si="181"/>
        <v>9732</v>
      </c>
      <c r="U1654">
        <f>YEAR(Sales_Table[[#This Row],[Date_clean]])</f>
        <v>2024</v>
      </c>
      <c r="V1654" t="str">
        <f>TEXT(Sales_Table[[#This Row],[Date_clean]],"mmmm")</f>
        <v>March</v>
      </c>
      <c r="W1654">
        <f>WEEKNUM(Sales_Table[[#This Row],[Date_clean]],2)</f>
        <v>10</v>
      </c>
      <c r="X1654" t="str" cm="1">
        <f t="array" ref="X1654">_xlfn.IFS(Sales_Table[[#This Row],[Revenue]]&gt;=50000,"High",Sales_Table[[#This Row],[Revenue]]&gt;=20000,"Medium",Sales_Table[[#This Row],[Revenue]]&lt;20000,"Low")</f>
        <v>Low</v>
      </c>
      <c r="Y1654" t="str">
        <f>IF(Sales_Table[[#This Row],[Payment Method_clean]]="cash","Offline","Online")</f>
        <v>Offline</v>
      </c>
      <c r="Z1654">
        <f>IFERROR(Sales_Table[[#This Row],[Revenue]],0)</f>
        <v>9732</v>
      </c>
    </row>
    <row r="1655" spans="1:26" x14ac:dyDescent="0.3">
      <c r="A1655">
        <v>1654</v>
      </c>
      <c r="B1655" s="2">
        <f t="shared" si="175"/>
        <v>45360.875</v>
      </c>
      <c r="C1655" t="s">
        <v>3819</v>
      </c>
      <c r="D1655" t="s">
        <v>27</v>
      </c>
      <c r="E1655" t="str">
        <f>PROPER(TRIM(CLEAN(Sales_Table[[#This Row],[Region]])))</f>
        <v>East</v>
      </c>
      <c r="F1655" t="s">
        <v>28</v>
      </c>
      <c r="G1655" t="str">
        <f t="shared" si="176"/>
        <v>Clothing</v>
      </c>
      <c r="H1655" t="str">
        <f>PROPER(TRIM(CLEAN(Sales_Table[[#This Row],[Product Name]])))</f>
        <v>Laptop</v>
      </c>
      <c r="I1655" t="s">
        <v>52</v>
      </c>
      <c r="J1655" t="str">
        <f t="shared" si="177"/>
        <v>CUST0408</v>
      </c>
      <c r="K1655" t="s">
        <v>2946</v>
      </c>
      <c r="L1655" t="str">
        <f>PROPER(TRIM(CLEAN(Sales_Table[[#This Row],[Salesperson]])))</f>
        <v>Meena</v>
      </c>
      <c r="M1655" t="s">
        <v>40</v>
      </c>
      <c r="N1655" t="str">
        <f t="shared" si="178"/>
        <v>Cash</v>
      </c>
      <c r="O1655" t="s">
        <v>32</v>
      </c>
      <c r="P1655">
        <f t="shared" si="179"/>
        <v>8</v>
      </c>
      <c r="Q1655" t="s">
        <v>42</v>
      </c>
      <c r="R1655">
        <f t="shared" si="180"/>
        <v>210</v>
      </c>
      <c r="S1655" t="s">
        <v>1047</v>
      </c>
      <c r="T1655">
        <f t="shared" si="181"/>
        <v>1680</v>
      </c>
      <c r="U1655">
        <f>YEAR(Sales_Table[[#This Row],[Date_clean]])</f>
        <v>2024</v>
      </c>
      <c r="V1655" t="str">
        <f>TEXT(Sales_Table[[#This Row],[Date_clean]],"mmmm")</f>
        <v>March</v>
      </c>
      <c r="W1655">
        <f>WEEKNUM(Sales_Table[[#This Row],[Date_clean]],2)</f>
        <v>10</v>
      </c>
      <c r="X1655" t="str" cm="1">
        <f t="array" ref="X1655">_xlfn.IFS(Sales_Table[[#This Row],[Revenue]]&gt;=50000,"High",Sales_Table[[#This Row],[Revenue]]&gt;=20000,"Medium",Sales_Table[[#This Row],[Revenue]]&lt;20000,"Low")</f>
        <v>Low</v>
      </c>
      <c r="Y1655" t="str">
        <f>IF(Sales_Table[[#This Row],[Payment Method_clean]]="cash","Offline","Online")</f>
        <v>Offline</v>
      </c>
      <c r="Z1655">
        <f>IFERROR(Sales_Table[[#This Row],[Revenue]],0)</f>
        <v>1680</v>
      </c>
    </row>
    <row r="1656" spans="1:26" x14ac:dyDescent="0.3">
      <c r="A1656">
        <v>1655</v>
      </c>
      <c r="B1656" s="2">
        <f t="shared" si="175"/>
        <v>45360.916666666664</v>
      </c>
      <c r="C1656" t="s">
        <v>3820</v>
      </c>
      <c r="D1656" t="s">
        <v>84</v>
      </c>
      <c r="E1656" t="str">
        <f>PROPER(TRIM(CLEAN(Sales_Table[[#This Row],[Region]])))</f>
        <v>South</v>
      </c>
      <c r="F1656" t="s">
        <v>46</v>
      </c>
      <c r="G1656" t="str">
        <f t="shared" si="176"/>
        <v>Electronics</v>
      </c>
      <c r="H1656" t="str">
        <f>PROPER(TRIM(CLEAN(Sales_Table[[#This Row],[Product Name]])))</f>
        <v>Rice 5Kg</v>
      </c>
      <c r="I1656" t="s">
        <v>73</v>
      </c>
      <c r="J1656" t="str">
        <f t="shared" si="177"/>
        <v>CUST0113</v>
      </c>
      <c r="K1656" t="s">
        <v>646</v>
      </c>
      <c r="L1656" t="str">
        <f>PROPER(TRIM(CLEAN(Sales_Table[[#This Row],[Salesperson]])))</f>
        <v>Meena</v>
      </c>
      <c r="M1656" t="s">
        <v>40</v>
      </c>
      <c r="N1656" t="str">
        <f t="shared" si="178"/>
        <v>Upi</v>
      </c>
      <c r="O1656" t="s">
        <v>48</v>
      </c>
      <c r="P1656">
        <f t="shared" si="179"/>
        <v>9</v>
      </c>
      <c r="Q1656" t="s">
        <v>130</v>
      </c>
      <c r="R1656">
        <f t="shared" si="180"/>
        <v>4815</v>
      </c>
      <c r="S1656" t="s">
        <v>3821</v>
      </c>
      <c r="T1656">
        <f t="shared" si="181"/>
        <v>43335</v>
      </c>
      <c r="U1656">
        <f>YEAR(Sales_Table[[#This Row],[Date_clean]])</f>
        <v>2024</v>
      </c>
      <c r="V1656" t="str">
        <f>TEXT(Sales_Table[[#This Row],[Date_clean]],"mmmm")</f>
        <v>March</v>
      </c>
      <c r="W1656">
        <f>WEEKNUM(Sales_Table[[#This Row],[Date_clean]],2)</f>
        <v>10</v>
      </c>
      <c r="X1656" t="str" cm="1">
        <f t="array" ref="X1656">_xlfn.IFS(Sales_Table[[#This Row],[Revenue]]&gt;=50000,"High",Sales_Table[[#This Row],[Revenue]]&gt;=20000,"Medium",Sales_Table[[#This Row],[Revenue]]&lt;20000,"Low")</f>
        <v>Medium</v>
      </c>
      <c r="Y1656" t="str">
        <f>IF(Sales_Table[[#This Row],[Payment Method_clean]]="cash","Offline","Online")</f>
        <v>Online</v>
      </c>
      <c r="Z1656">
        <f>IFERROR(Sales_Table[[#This Row],[Revenue]],0)</f>
        <v>43335</v>
      </c>
    </row>
    <row r="1657" spans="1:26" x14ac:dyDescent="0.3">
      <c r="A1657">
        <v>1656</v>
      </c>
      <c r="B1657" s="2">
        <f t="shared" si="175"/>
        <v>45360.958333333336</v>
      </c>
      <c r="C1657" t="s">
        <v>3822</v>
      </c>
      <c r="D1657" t="s">
        <v>27</v>
      </c>
      <c r="E1657" t="str">
        <f>PROPER(TRIM(CLEAN(Sales_Table[[#This Row],[Region]])))</f>
        <v>East</v>
      </c>
      <c r="F1657" t="s">
        <v>46</v>
      </c>
      <c r="G1657" t="str">
        <f t="shared" si="176"/>
        <v>Electronics</v>
      </c>
      <c r="H1657" t="str">
        <f>PROPER(TRIM(CLEAN(Sales_Table[[#This Row],[Product Name]])))</f>
        <v>Washing Machine</v>
      </c>
      <c r="I1657" t="s">
        <v>79</v>
      </c>
      <c r="J1657" t="str">
        <f t="shared" si="177"/>
        <v>CUST0428</v>
      </c>
      <c r="K1657" t="s">
        <v>1166</v>
      </c>
      <c r="L1657" t="str">
        <f>PROPER(TRIM(CLEAN(Sales_Table[[#This Row],[Salesperson]])))</f>
        <v>Karthik</v>
      </c>
      <c r="M1657" t="s">
        <v>70</v>
      </c>
      <c r="N1657" t="str">
        <f t="shared" si="178"/>
        <v>Net Banking</v>
      </c>
      <c r="O1657" t="s">
        <v>60</v>
      </c>
      <c r="P1657">
        <f t="shared" si="179"/>
        <v>7</v>
      </c>
      <c r="Q1657" t="s">
        <v>49</v>
      </c>
      <c r="R1657">
        <f t="shared" si="180"/>
        <v>892</v>
      </c>
      <c r="S1657" t="s">
        <v>3823</v>
      </c>
      <c r="T1657">
        <f t="shared" si="181"/>
        <v>6244</v>
      </c>
      <c r="U1657">
        <f>YEAR(Sales_Table[[#This Row],[Date_clean]])</f>
        <v>2024</v>
      </c>
      <c r="V1657" t="str">
        <f>TEXT(Sales_Table[[#This Row],[Date_clean]],"mmmm")</f>
        <v>March</v>
      </c>
      <c r="W1657">
        <f>WEEKNUM(Sales_Table[[#This Row],[Date_clean]],2)</f>
        <v>10</v>
      </c>
      <c r="X1657" t="str" cm="1">
        <f t="array" ref="X1657">_xlfn.IFS(Sales_Table[[#This Row],[Revenue]]&gt;=50000,"High",Sales_Table[[#This Row],[Revenue]]&gt;=20000,"Medium",Sales_Table[[#This Row],[Revenue]]&lt;20000,"Low")</f>
        <v>Low</v>
      </c>
      <c r="Y1657" t="str">
        <f>IF(Sales_Table[[#This Row],[Payment Method_clean]]="cash","Offline","Online")</f>
        <v>Online</v>
      </c>
      <c r="Z1657">
        <f>IFERROR(Sales_Table[[#This Row],[Revenue]],0)</f>
        <v>6244</v>
      </c>
    </row>
    <row r="1658" spans="1:26" x14ac:dyDescent="0.3">
      <c r="A1658">
        <v>1657</v>
      </c>
      <c r="B1658" s="2">
        <f t="shared" si="175"/>
        <v>45361</v>
      </c>
      <c r="C1658" t="s">
        <v>3824</v>
      </c>
      <c r="D1658" t="s">
        <v>84</v>
      </c>
      <c r="E1658" t="str">
        <f>PROPER(TRIM(CLEAN(Sales_Table[[#This Row],[Region]])))</f>
        <v>South</v>
      </c>
      <c r="F1658" t="s">
        <v>78</v>
      </c>
      <c r="G1658" t="str">
        <f t="shared" si="176"/>
        <v>Grocery</v>
      </c>
      <c r="H1658" t="str">
        <f>PROPER(TRIM(CLEAN(Sales_Table[[#This Row],[Product Name]])))</f>
        <v>Mixer Grinder</v>
      </c>
      <c r="I1658" t="s">
        <v>29</v>
      </c>
      <c r="J1658" t="str">
        <f t="shared" si="177"/>
        <v>CUST0001</v>
      </c>
      <c r="K1658" t="s">
        <v>1512</v>
      </c>
      <c r="L1658" t="str">
        <f>PROPER(TRIM(CLEAN(Sales_Table[[#This Row],[Salesperson]])))</f>
        <v>Suresh</v>
      </c>
      <c r="M1658" t="s">
        <v>54</v>
      </c>
      <c r="N1658" t="str">
        <f t="shared" si="178"/>
        <v>Net Banking</v>
      </c>
      <c r="O1658" t="s">
        <v>60</v>
      </c>
      <c r="P1658">
        <f t="shared" si="179"/>
        <v>14</v>
      </c>
      <c r="Q1658" t="s">
        <v>55</v>
      </c>
      <c r="R1658">
        <f t="shared" si="180"/>
        <v>4783</v>
      </c>
      <c r="S1658" t="s">
        <v>3825</v>
      </c>
      <c r="T1658">
        <f t="shared" si="181"/>
        <v>66962</v>
      </c>
      <c r="U1658">
        <f>YEAR(Sales_Table[[#This Row],[Date_clean]])</f>
        <v>2024</v>
      </c>
      <c r="V1658" t="str">
        <f>TEXT(Sales_Table[[#This Row],[Date_clean]],"mmmm")</f>
        <v>March</v>
      </c>
      <c r="W1658">
        <f>WEEKNUM(Sales_Table[[#This Row],[Date_clean]],2)</f>
        <v>10</v>
      </c>
      <c r="X1658" t="str" cm="1">
        <f t="array" ref="X1658">_xlfn.IFS(Sales_Table[[#This Row],[Revenue]]&gt;=50000,"High",Sales_Table[[#This Row],[Revenue]]&gt;=20000,"Medium",Sales_Table[[#This Row],[Revenue]]&lt;20000,"Low")</f>
        <v>High</v>
      </c>
      <c r="Y1658" t="str">
        <f>IF(Sales_Table[[#This Row],[Payment Method_clean]]="cash","Offline","Online")</f>
        <v>Online</v>
      </c>
      <c r="Z1658">
        <f>IFERROR(Sales_Table[[#This Row],[Revenue]],0)</f>
        <v>66962</v>
      </c>
    </row>
    <row r="1659" spans="1:26" x14ac:dyDescent="0.3">
      <c r="A1659">
        <v>1658</v>
      </c>
      <c r="B1659" s="2">
        <f t="shared" si="175"/>
        <v>45361.041666666664</v>
      </c>
      <c r="C1659" t="s">
        <v>3826</v>
      </c>
      <c r="D1659" t="s">
        <v>27</v>
      </c>
      <c r="E1659" t="str">
        <f>PROPER(TRIM(CLEAN(Sales_Table[[#This Row],[Region]])))</f>
        <v>East</v>
      </c>
      <c r="F1659" t="s">
        <v>37</v>
      </c>
      <c r="G1659" t="str">
        <f t="shared" si="176"/>
        <v>Home Appliances</v>
      </c>
      <c r="H1659" t="str">
        <f>PROPER(TRIM(CLEAN(Sales_Table[[#This Row],[Product Name]])))</f>
        <v>Rice 5Kg</v>
      </c>
      <c r="I1659" t="s">
        <v>73</v>
      </c>
      <c r="J1659" t="str">
        <f t="shared" si="177"/>
        <v>CUST0266</v>
      </c>
      <c r="K1659" t="s">
        <v>1062</v>
      </c>
      <c r="L1659" t="str">
        <f>PROPER(TRIM(CLEAN(Sales_Table[[#This Row],[Salesperson]])))</f>
        <v>Suresh</v>
      </c>
      <c r="M1659" t="s">
        <v>54</v>
      </c>
      <c r="N1659" t="str">
        <f t="shared" si="178"/>
        <v>Credit Card</v>
      </c>
      <c r="O1659" t="s">
        <v>65</v>
      </c>
      <c r="P1659">
        <f t="shared" si="179"/>
        <v>12</v>
      </c>
      <c r="Q1659" t="s">
        <v>33</v>
      </c>
      <c r="R1659">
        <f t="shared" si="180"/>
        <v>2743</v>
      </c>
      <c r="S1659" t="s">
        <v>3827</v>
      </c>
      <c r="T1659">
        <f t="shared" si="181"/>
        <v>32916</v>
      </c>
      <c r="U1659">
        <f>YEAR(Sales_Table[[#This Row],[Date_clean]])</f>
        <v>2024</v>
      </c>
      <c r="V1659" t="str">
        <f>TEXT(Sales_Table[[#This Row],[Date_clean]],"mmmm")</f>
        <v>March</v>
      </c>
      <c r="W1659">
        <f>WEEKNUM(Sales_Table[[#This Row],[Date_clean]],2)</f>
        <v>10</v>
      </c>
      <c r="X1659" t="str" cm="1">
        <f t="array" ref="X1659">_xlfn.IFS(Sales_Table[[#This Row],[Revenue]]&gt;=50000,"High",Sales_Table[[#This Row],[Revenue]]&gt;=20000,"Medium",Sales_Table[[#This Row],[Revenue]]&lt;20000,"Low")</f>
        <v>Medium</v>
      </c>
      <c r="Y1659" t="str">
        <f>IF(Sales_Table[[#This Row],[Payment Method_clean]]="cash","Offline","Online")</f>
        <v>Online</v>
      </c>
      <c r="Z1659">
        <f>IFERROR(Sales_Table[[#This Row],[Revenue]],0)</f>
        <v>32916</v>
      </c>
    </row>
    <row r="1660" spans="1:26" x14ac:dyDescent="0.3">
      <c r="A1660">
        <v>1659</v>
      </c>
      <c r="B1660" s="2">
        <f t="shared" si="175"/>
        <v>45361.083333333336</v>
      </c>
      <c r="C1660" t="s">
        <v>3828</v>
      </c>
      <c r="D1660" t="s">
        <v>45</v>
      </c>
      <c r="E1660" t="str">
        <f>PROPER(TRIM(CLEAN(Sales_Table[[#This Row],[Region]])))</f>
        <v>North</v>
      </c>
      <c r="F1660" t="s">
        <v>37</v>
      </c>
      <c r="G1660" t="str">
        <f t="shared" si="176"/>
        <v>Home Appliances</v>
      </c>
      <c r="H1660" t="str">
        <f>PROPER(TRIM(CLEAN(Sales_Table[[#This Row],[Product Name]])))</f>
        <v>Rice 5Kg</v>
      </c>
      <c r="I1660" t="s">
        <v>73</v>
      </c>
      <c r="J1660" t="str">
        <f t="shared" si="177"/>
        <v>CUST0491</v>
      </c>
      <c r="K1660" t="s">
        <v>2157</v>
      </c>
      <c r="L1660" t="str">
        <f>PROPER(TRIM(CLEAN(Sales_Table[[#This Row],[Salesperson]])))</f>
        <v>Anita</v>
      </c>
      <c r="M1660" t="s">
        <v>64</v>
      </c>
      <c r="N1660" t="str">
        <f t="shared" si="178"/>
        <v>Credit Card</v>
      </c>
      <c r="O1660" t="s">
        <v>65</v>
      </c>
      <c r="P1660">
        <f t="shared" si="179"/>
        <v>2</v>
      </c>
      <c r="Q1660" t="s">
        <v>196</v>
      </c>
      <c r="R1660">
        <f t="shared" si="180"/>
        <v>3514</v>
      </c>
      <c r="S1660" t="s">
        <v>1734</v>
      </c>
      <c r="T1660">
        <f t="shared" si="181"/>
        <v>7028</v>
      </c>
      <c r="U1660">
        <f>YEAR(Sales_Table[[#This Row],[Date_clean]])</f>
        <v>2024</v>
      </c>
      <c r="V1660" t="str">
        <f>TEXT(Sales_Table[[#This Row],[Date_clean]],"mmmm")</f>
        <v>March</v>
      </c>
      <c r="W1660">
        <f>WEEKNUM(Sales_Table[[#This Row],[Date_clean]],2)</f>
        <v>10</v>
      </c>
      <c r="X1660" t="str" cm="1">
        <f t="array" ref="X1660">_xlfn.IFS(Sales_Table[[#This Row],[Revenue]]&gt;=50000,"High",Sales_Table[[#This Row],[Revenue]]&gt;=20000,"Medium",Sales_Table[[#This Row],[Revenue]]&lt;20000,"Low")</f>
        <v>Low</v>
      </c>
      <c r="Y1660" t="str">
        <f>IF(Sales_Table[[#This Row],[Payment Method_clean]]="cash","Offline","Online")</f>
        <v>Online</v>
      </c>
      <c r="Z1660">
        <f>IFERROR(Sales_Table[[#This Row],[Revenue]],0)</f>
        <v>7028</v>
      </c>
    </row>
    <row r="1661" spans="1:26" x14ac:dyDescent="0.3">
      <c r="A1661">
        <v>1660</v>
      </c>
      <c r="B1661" s="2">
        <f t="shared" si="175"/>
        <v>45361.125</v>
      </c>
      <c r="C1661" t="s">
        <v>3829</v>
      </c>
      <c r="D1661" t="s">
        <v>36</v>
      </c>
      <c r="E1661" t="str">
        <f>PROPER(TRIM(CLEAN(Sales_Table[[#This Row],[Region]])))</f>
        <v>West</v>
      </c>
      <c r="F1661" t="s">
        <v>28</v>
      </c>
      <c r="G1661" t="str">
        <f t="shared" si="176"/>
        <v>Clothing</v>
      </c>
      <c r="H1661" t="str">
        <f>PROPER(TRIM(CLEAN(Sales_Table[[#This Row],[Product Name]])))</f>
        <v>Washing Machine</v>
      </c>
      <c r="I1661" t="s">
        <v>79</v>
      </c>
      <c r="J1661" t="str">
        <f t="shared" si="177"/>
        <v>CUST0208</v>
      </c>
      <c r="K1661" t="s">
        <v>566</v>
      </c>
      <c r="L1661" t="str">
        <f>PROPER(TRIM(CLEAN(Sales_Table[[#This Row],[Salesperson]])))</f>
        <v>Meena</v>
      </c>
      <c r="M1661" t="s">
        <v>40</v>
      </c>
      <c r="N1661" t="str">
        <f t="shared" si="178"/>
        <v>Upi</v>
      </c>
      <c r="O1661" t="s">
        <v>48</v>
      </c>
      <c r="P1661">
        <f t="shared" si="179"/>
        <v>9</v>
      </c>
      <c r="Q1661" t="s">
        <v>130</v>
      </c>
      <c r="R1661">
        <f t="shared" si="180"/>
        <v>1409</v>
      </c>
      <c r="S1661" t="s">
        <v>3739</v>
      </c>
      <c r="T1661">
        <f t="shared" si="181"/>
        <v>12681</v>
      </c>
      <c r="U1661">
        <f>YEAR(Sales_Table[[#This Row],[Date_clean]])</f>
        <v>2024</v>
      </c>
      <c r="V1661" t="str">
        <f>TEXT(Sales_Table[[#This Row],[Date_clean]],"mmmm")</f>
        <v>March</v>
      </c>
      <c r="W1661">
        <f>WEEKNUM(Sales_Table[[#This Row],[Date_clean]],2)</f>
        <v>10</v>
      </c>
      <c r="X1661" t="str" cm="1">
        <f t="array" ref="X1661">_xlfn.IFS(Sales_Table[[#This Row],[Revenue]]&gt;=50000,"High",Sales_Table[[#This Row],[Revenue]]&gt;=20000,"Medium",Sales_Table[[#This Row],[Revenue]]&lt;20000,"Low")</f>
        <v>Low</v>
      </c>
      <c r="Y1661" t="str">
        <f>IF(Sales_Table[[#This Row],[Payment Method_clean]]="cash","Offline","Online")</f>
        <v>Online</v>
      </c>
      <c r="Z1661">
        <f>IFERROR(Sales_Table[[#This Row],[Revenue]],0)</f>
        <v>12681</v>
      </c>
    </row>
    <row r="1662" spans="1:26" x14ac:dyDescent="0.3">
      <c r="A1662">
        <v>1661</v>
      </c>
      <c r="B1662" s="2">
        <f t="shared" si="175"/>
        <v>45361.166666666664</v>
      </c>
      <c r="C1662" t="s">
        <v>3830</v>
      </c>
      <c r="D1662" t="s">
        <v>27</v>
      </c>
      <c r="E1662" t="str">
        <f>PROPER(TRIM(CLEAN(Sales_Table[[#This Row],[Region]])))</f>
        <v>East</v>
      </c>
      <c r="F1662" t="s">
        <v>37</v>
      </c>
      <c r="G1662" t="str">
        <f t="shared" si="176"/>
        <v>Home Appliances</v>
      </c>
      <c r="H1662" t="str">
        <f>PROPER(TRIM(CLEAN(Sales_Table[[#This Row],[Product Name]])))</f>
        <v>Mixer Grinder</v>
      </c>
      <c r="I1662" t="s">
        <v>29</v>
      </c>
      <c r="J1662" t="str">
        <f t="shared" si="177"/>
        <v>CUST0622</v>
      </c>
      <c r="K1662" t="s">
        <v>338</v>
      </c>
      <c r="L1662" t="str">
        <f>PROPER(TRIM(CLEAN(Sales_Table[[#This Row],[Salesperson]])))</f>
        <v>Karthik</v>
      </c>
      <c r="M1662" t="s">
        <v>70</v>
      </c>
      <c r="N1662" t="str">
        <f t="shared" si="178"/>
        <v>Credit Card</v>
      </c>
      <c r="O1662" t="s">
        <v>65</v>
      </c>
      <c r="P1662">
        <f t="shared" si="179"/>
        <v>11</v>
      </c>
      <c r="Q1662" t="s">
        <v>97</v>
      </c>
      <c r="R1662">
        <f t="shared" si="180"/>
        <v>396</v>
      </c>
      <c r="S1662" t="s">
        <v>3831</v>
      </c>
      <c r="T1662">
        <f t="shared" si="181"/>
        <v>4356</v>
      </c>
      <c r="U1662">
        <f>YEAR(Sales_Table[[#This Row],[Date_clean]])</f>
        <v>2024</v>
      </c>
      <c r="V1662" t="str">
        <f>TEXT(Sales_Table[[#This Row],[Date_clean]],"mmmm")</f>
        <v>March</v>
      </c>
      <c r="W1662">
        <f>WEEKNUM(Sales_Table[[#This Row],[Date_clean]],2)</f>
        <v>10</v>
      </c>
      <c r="X1662" t="str" cm="1">
        <f t="array" ref="X1662">_xlfn.IFS(Sales_Table[[#This Row],[Revenue]]&gt;=50000,"High",Sales_Table[[#This Row],[Revenue]]&gt;=20000,"Medium",Sales_Table[[#This Row],[Revenue]]&lt;20000,"Low")</f>
        <v>Low</v>
      </c>
      <c r="Y1662" t="str">
        <f>IF(Sales_Table[[#This Row],[Payment Method_clean]]="cash","Offline","Online")</f>
        <v>Online</v>
      </c>
      <c r="Z1662">
        <f>IFERROR(Sales_Table[[#This Row],[Revenue]],0)</f>
        <v>4356</v>
      </c>
    </row>
    <row r="1663" spans="1:26" x14ac:dyDescent="0.3">
      <c r="A1663">
        <v>1662</v>
      </c>
      <c r="B1663" s="2">
        <f t="shared" si="175"/>
        <v>45361.208333333336</v>
      </c>
      <c r="C1663" t="s">
        <v>3832</v>
      </c>
      <c r="D1663" t="s">
        <v>27</v>
      </c>
      <c r="E1663" t="str">
        <f>PROPER(TRIM(CLEAN(Sales_Table[[#This Row],[Region]])))</f>
        <v>East</v>
      </c>
      <c r="F1663" t="s">
        <v>46</v>
      </c>
      <c r="G1663" t="str">
        <f t="shared" si="176"/>
        <v>Electronics</v>
      </c>
      <c r="H1663" t="str">
        <f>PROPER(TRIM(CLEAN(Sales_Table[[#This Row],[Product Name]])))</f>
        <v>Rice 5Kg</v>
      </c>
      <c r="I1663" t="s">
        <v>73</v>
      </c>
      <c r="J1663" t="str">
        <f t="shared" si="177"/>
        <v>CUST0712</v>
      </c>
      <c r="K1663" t="s">
        <v>1280</v>
      </c>
      <c r="L1663" t="str">
        <f>PROPER(TRIM(CLEAN(Sales_Table[[#This Row],[Salesperson]])))</f>
        <v>Anita</v>
      </c>
      <c r="M1663" t="s">
        <v>64</v>
      </c>
      <c r="N1663" t="str">
        <f t="shared" si="178"/>
        <v>Upi</v>
      </c>
      <c r="O1663" t="s">
        <v>48</v>
      </c>
      <c r="P1663">
        <f t="shared" si="179"/>
        <v>8</v>
      </c>
      <c r="Q1663" t="s">
        <v>42</v>
      </c>
      <c r="R1663">
        <f t="shared" si="180"/>
        <v>1729</v>
      </c>
      <c r="S1663" t="s">
        <v>3833</v>
      </c>
      <c r="T1663">
        <f t="shared" si="181"/>
        <v>13832</v>
      </c>
      <c r="U1663">
        <f>YEAR(Sales_Table[[#This Row],[Date_clean]])</f>
        <v>2024</v>
      </c>
      <c r="V1663" t="str">
        <f>TEXT(Sales_Table[[#This Row],[Date_clean]],"mmmm")</f>
        <v>March</v>
      </c>
      <c r="W1663">
        <f>WEEKNUM(Sales_Table[[#This Row],[Date_clean]],2)</f>
        <v>10</v>
      </c>
      <c r="X1663" t="str" cm="1">
        <f t="array" ref="X1663">_xlfn.IFS(Sales_Table[[#This Row],[Revenue]]&gt;=50000,"High",Sales_Table[[#This Row],[Revenue]]&gt;=20000,"Medium",Sales_Table[[#This Row],[Revenue]]&lt;20000,"Low")</f>
        <v>Low</v>
      </c>
      <c r="Y1663" t="str">
        <f>IF(Sales_Table[[#This Row],[Payment Method_clean]]="cash","Offline","Online")</f>
        <v>Online</v>
      </c>
      <c r="Z1663">
        <f>IFERROR(Sales_Table[[#This Row],[Revenue]],0)</f>
        <v>13832</v>
      </c>
    </row>
    <row r="1664" spans="1:26" x14ac:dyDescent="0.3">
      <c r="A1664">
        <v>1663</v>
      </c>
      <c r="B1664" s="2">
        <f t="shared" si="175"/>
        <v>45361.25</v>
      </c>
      <c r="C1664" t="s">
        <v>3834</v>
      </c>
      <c r="D1664" t="s">
        <v>36</v>
      </c>
      <c r="E1664" t="str">
        <f>PROPER(TRIM(CLEAN(Sales_Table[[#This Row],[Region]])))</f>
        <v>West</v>
      </c>
      <c r="F1664" t="s">
        <v>46</v>
      </c>
      <c r="G1664" t="str">
        <f t="shared" si="176"/>
        <v>Electronics</v>
      </c>
      <c r="H1664" t="str">
        <f>PROPER(TRIM(CLEAN(Sales_Table[[#This Row],[Product Name]])))</f>
        <v>Rice 5Kg</v>
      </c>
      <c r="I1664" t="s">
        <v>73</v>
      </c>
      <c r="J1664" t="str">
        <f t="shared" si="177"/>
        <v>CUST0369</v>
      </c>
      <c r="K1664" t="s">
        <v>300</v>
      </c>
      <c r="L1664" t="str">
        <f>PROPER(TRIM(CLEAN(Sales_Table[[#This Row],[Salesperson]])))</f>
        <v>Suresh</v>
      </c>
      <c r="M1664" t="s">
        <v>54</v>
      </c>
      <c r="N1664" t="str">
        <f t="shared" si="178"/>
        <v>Cash</v>
      </c>
      <c r="O1664" t="s">
        <v>32</v>
      </c>
      <c r="P1664">
        <f t="shared" si="179"/>
        <v>13</v>
      </c>
      <c r="Q1664" t="s">
        <v>81</v>
      </c>
      <c r="R1664">
        <f t="shared" si="180"/>
        <v>668</v>
      </c>
      <c r="S1664" t="s">
        <v>3835</v>
      </c>
      <c r="T1664">
        <f t="shared" si="181"/>
        <v>8684</v>
      </c>
      <c r="U1664">
        <f>YEAR(Sales_Table[[#This Row],[Date_clean]])</f>
        <v>2024</v>
      </c>
      <c r="V1664" t="str">
        <f>TEXT(Sales_Table[[#This Row],[Date_clean]],"mmmm")</f>
        <v>March</v>
      </c>
      <c r="W1664">
        <f>WEEKNUM(Sales_Table[[#This Row],[Date_clean]],2)</f>
        <v>10</v>
      </c>
      <c r="X1664" t="str" cm="1">
        <f t="array" ref="X1664">_xlfn.IFS(Sales_Table[[#This Row],[Revenue]]&gt;=50000,"High",Sales_Table[[#This Row],[Revenue]]&gt;=20000,"Medium",Sales_Table[[#This Row],[Revenue]]&lt;20000,"Low")</f>
        <v>Low</v>
      </c>
      <c r="Y1664" t="str">
        <f>IF(Sales_Table[[#This Row],[Payment Method_clean]]="cash","Offline","Online")</f>
        <v>Offline</v>
      </c>
      <c r="Z1664">
        <f>IFERROR(Sales_Table[[#This Row],[Revenue]],0)</f>
        <v>8684</v>
      </c>
    </row>
    <row r="1665" spans="1:26" x14ac:dyDescent="0.3">
      <c r="A1665">
        <v>1664</v>
      </c>
      <c r="B1665" s="2">
        <f t="shared" si="175"/>
        <v>45361.291666666664</v>
      </c>
      <c r="C1665" t="s">
        <v>3836</v>
      </c>
      <c r="D1665" t="s">
        <v>27</v>
      </c>
      <c r="E1665" t="str">
        <f>PROPER(TRIM(CLEAN(Sales_Table[[#This Row],[Region]])))</f>
        <v>East</v>
      </c>
      <c r="F1665" t="s">
        <v>78</v>
      </c>
      <c r="G1665" t="str">
        <f t="shared" si="176"/>
        <v>Grocery</v>
      </c>
      <c r="H1665" t="str">
        <f>PROPER(TRIM(CLEAN(Sales_Table[[#This Row],[Product Name]])))</f>
        <v>Mixer Grinder</v>
      </c>
      <c r="I1665" t="s">
        <v>29</v>
      </c>
      <c r="J1665" t="str">
        <f t="shared" si="177"/>
        <v>CUST0306</v>
      </c>
      <c r="K1665" t="s">
        <v>2788</v>
      </c>
      <c r="L1665" t="str">
        <f>PROPER(TRIM(CLEAN(Sales_Table[[#This Row],[Salesperson]])))</f>
        <v>Meena</v>
      </c>
      <c r="M1665" t="s">
        <v>40</v>
      </c>
      <c r="N1665" t="str">
        <f t="shared" si="178"/>
        <v>Credit Card</v>
      </c>
      <c r="O1665" t="s">
        <v>65</v>
      </c>
      <c r="P1665">
        <f t="shared" si="179"/>
        <v>5</v>
      </c>
      <c r="Q1665" t="s">
        <v>89</v>
      </c>
      <c r="R1665">
        <f t="shared" si="180"/>
        <v>4805</v>
      </c>
      <c r="S1665" t="s">
        <v>3837</v>
      </c>
      <c r="T1665">
        <f t="shared" si="181"/>
        <v>24025</v>
      </c>
      <c r="U1665">
        <f>YEAR(Sales_Table[[#This Row],[Date_clean]])</f>
        <v>2024</v>
      </c>
      <c r="V1665" t="str">
        <f>TEXT(Sales_Table[[#This Row],[Date_clean]],"mmmm")</f>
        <v>March</v>
      </c>
      <c r="W1665">
        <f>WEEKNUM(Sales_Table[[#This Row],[Date_clean]],2)</f>
        <v>10</v>
      </c>
      <c r="X1665" t="str" cm="1">
        <f t="array" ref="X1665">_xlfn.IFS(Sales_Table[[#This Row],[Revenue]]&gt;=50000,"High",Sales_Table[[#This Row],[Revenue]]&gt;=20000,"Medium",Sales_Table[[#This Row],[Revenue]]&lt;20000,"Low")</f>
        <v>Medium</v>
      </c>
      <c r="Y1665" t="str">
        <f>IF(Sales_Table[[#This Row],[Payment Method_clean]]="cash","Offline","Online")</f>
        <v>Online</v>
      </c>
      <c r="Z1665">
        <f>IFERROR(Sales_Table[[#This Row],[Revenue]],0)</f>
        <v>24025</v>
      </c>
    </row>
    <row r="1666" spans="1:26" x14ac:dyDescent="0.3">
      <c r="A1666">
        <v>1665</v>
      </c>
      <c r="B1666" s="2">
        <f t="shared" si="175"/>
        <v>45361.333333333336</v>
      </c>
      <c r="C1666" t="s">
        <v>3838</v>
      </c>
      <c r="D1666" t="s">
        <v>27</v>
      </c>
      <c r="E1666" t="str">
        <f>PROPER(TRIM(CLEAN(Sales_Table[[#This Row],[Region]])))</f>
        <v>East</v>
      </c>
      <c r="F1666" t="s">
        <v>78</v>
      </c>
      <c r="G1666" t="str">
        <f t="shared" si="176"/>
        <v>Grocery</v>
      </c>
      <c r="H1666" t="str">
        <f>PROPER(TRIM(CLEAN(Sales_Table[[#This Row],[Product Name]])))</f>
        <v>Men T-Shirt</v>
      </c>
      <c r="I1666" t="s">
        <v>38</v>
      </c>
      <c r="J1666" t="str">
        <f t="shared" si="177"/>
        <v>CUST0012</v>
      </c>
      <c r="K1666" t="s">
        <v>2564</v>
      </c>
      <c r="L1666" t="str">
        <f>PROPER(TRIM(CLEAN(Sales_Table[[#This Row],[Salesperson]])))</f>
        <v>Karthik</v>
      </c>
      <c r="M1666" t="s">
        <v>70</v>
      </c>
      <c r="N1666" t="str">
        <f t="shared" si="178"/>
        <v>Cash</v>
      </c>
      <c r="O1666" t="s">
        <v>32</v>
      </c>
      <c r="P1666">
        <f t="shared" si="179"/>
        <v>12</v>
      </c>
      <c r="Q1666" t="s">
        <v>33</v>
      </c>
      <c r="R1666">
        <f t="shared" si="180"/>
        <v>4211</v>
      </c>
      <c r="S1666" t="s">
        <v>1097</v>
      </c>
      <c r="T1666">
        <f t="shared" si="181"/>
        <v>50532</v>
      </c>
      <c r="U1666">
        <f>YEAR(Sales_Table[[#This Row],[Date_clean]])</f>
        <v>2024</v>
      </c>
      <c r="V1666" t="str">
        <f>TEXT(Sales_Table[[#This Row],[Date_clean]],"mmmm")</f>
        <v>March</v>
      </c>
      <c r="W1666">
        <f>WEEKNUM(Sales_Table[[#This Row],[Date_clean]],2)</f>
        <v>10</v>
      </c>
      <c r="X1666" t="str" cm="1">
        <f t="array" ref="X1666">_xlfn.IFS(Sales_Table[[#This Row],[Revenue]]&gt;=50000,"High",Sales_Table[[#This Row],[Revenue]]&gt;=20000,"Medium",Sales_Table[[#This Row],[Revenue]]&lt;20000,"Low")</f>
        <v>High</v>
      </c>
      <c r="Y1666" t="str">
        <f>IF(Sales_Table[[#This Row],[Payment Method_clean]]="cash","Offline","Online")</f>
        <v>Offline</v>
      </c>
      <c r="Z1666">
        <f>IFERROR(Sales_Table[[#This Row],[Revenue]],0)</f>
        <v>50532</v>
      </c>
    </row>
    <row r="1667" spans="1:26" x14ac:dyDescent="0.3">
      <c r="A1667">
        <v>1666</v>
      </c>
      <c r="B1667" s="2">
        <f t="shared" ref="B1667:B1730" si="182">DATEVALUE(LEFT(C1667,10))+TIMEVALUE(MID(C1667,12,8))</f>
        <v>45361.375</v>
      </c>
      <c r="C1667" t="s">
        <v>3839</v>
      </c>
      <c r="D1667" t="s">
        <v>84</v>
      </c>
      <c r="E1667" t="str">
        <f>PROPER(TRIM(CLEAN(Sales_Table[[#This Row],[Region]])))</f>
        <v>South</v>
      </c>
      <c r="F1667" t="s">
        <v>37</v>
      </c>
      <c r="G1667" t="str">
        <f t="shared" ref="G1667:G1730" si="183">PROPER(TRIM(CLEAN(F1667)))</f>
        <v>Home Appliances</v>
      </c>
      <c r="H1667" t="str">
        <f>PROPER(TRIM(CLEAN(Sales_Table[[#This Row],[Product Name]])))</f>
        <v>Rice 5Kg</v>
      </c>
      <c r="I1667" t="s">
        <v>73</v>
      </c>
      <c r="J1667" t="str">
        <f t="shared" ref="J1667:J1730" si="184">TRIM(K1667)</f>
        <v>CUST0345</v>
      </c>
      <c r="K1667" t="s">
        <v>1199</v>
      </c>
      <c r="L1667" t="str">
        <f>PROPER(TRIM(CLEAN(Sales_Table[[#This Row],[Salesperson]])))</f>
        <v>Rahul</v>
      </c>
      <c r="M1667" t="s">
        <v>31</v>
      </c>
      <c r="N1667" t="str">
        <f t="shared" ref="N1667:N1730" si="185">PROPER(TRIM(O1667))</f>
        <v>Debit Card</v>
      </c>
      <c r="O1667" t="s">
        <v>41</v>
      </c>
      <c r="P1667">
        <f t="shared" ref="P1667:P1730" si="186">VALUE(Q1667)</f>
        <v>3</v>
      </c>
      <c r="Q1667" t="s">
        <v>66</v>
      </c>
      <c r="R1667">
        <f t="shared" ref="R1667:R1730" si="187">VALUE(S1667)</f>
        <v>171</v>
      </c>
      <c r="S1667" t="s">
        <v>3200</v>
      </c>
      <c r="T1667">
        <f t="shared" ref="T1667:T1730" si="188">P1667*R1667</f>
        <v>513</v>
      </c>
      <c r="U1667">
        <f>YEAR(Sales_Table[[#This Row],[Date_clean]])</f>
        <v>2024</v>
      </c>
      <c r="V1667" t="str">
        <f>TEXT(Sales_Table[[#This Row],[Date_clean]],"mmmm")</f>
        <v>March</v>
      </c>
      <c r="W1667">
        <f>WEEKNUM(Sales_Table[[#This Row],[Date_clean]],2)</f>
        <v>10</v>
      </c>
      <c r="X1667" t="str" cm="1">
        <f t="array" ref="X1667">_xlfn.IFS(Sales_Table[[#This Row],[Revenue]]&gt;=50000,"High",Sales_Table[[#This Row],[Revenue]]&gt;=20000,"Medium",Sales_Table[[#This Row],[Revenue]]&lt;20000,"Low")</f>
        <v>Low</v>
      </c>
      <c r="Y1667" t="str">
        <f>IF(Sales_Table[[#This Row],[Payment Method_clean]]="cash","Offline","Online")</f>
        <v>Online</v>
      </c>
      <c r="Z1667">
        <f>IFERROR(Sales_Table[[#This Row],[Revenue]],0)</f>
        <v>513</v>
      </c>
    </row>
    <row r="1668" spans="1:26" x14ac:dyDescent="0.3">
      <c r="A1668">
        <v>1667</v>
      </c>
      <c r="B1668" s="2">
        <f t="shared" si="182"/>
        <v>45361.416666666664</v>
      </c>
      <c r="C1668" t="s">
        <v>3840</v>
      </c>
      <c r="D1668" t="s">
        <v>36</v>
      </c>
      <c r="E1668" t="str">
        <f>PROPER(TRIM(CLEAN(Sales_Table[[#This Row],[Region]])))</f>
        <v>West</v>
      </c>
      <c r="F1668" t="s">
        <v>28</v>
      </c>
      <c r="G1668" t="str">
        <f t="shared" si="183"/>
        <v>Clothing</v>
      </c>
      <c r="H1668" t="str">
        <f>PROPER(TRIM(CLEAN(Sales_Table[[#This Row],[Product Name]])))</f>
        <v>Led Tv 42Inch</v>
      </c>
      <c r="I1668" t="s">
        <v>58</v>
      </c>
      <c r="J1668" t="str">
        <f t="shared" si="184"/>
        <v>CUST0465</v>
      </c>
      <c r="K1668" t="s">
        <v>871</v>
      </c>
      <c r="L1668" t="str">
        <f>PROPER(TRIM(CLEAN(Sales_Table[[#This Row],[Salesperson]])))</f>
        <v>Meena</v>
      </c>
      <c r="M1668" t="s">
        <v>40</v>
      </c>
      <c r="N1668" t="str">
        <f t="shared" si="185"/>
        <v>Upi</v>
      </c>
      <c r="O1668" t="s">
        <v>48</v>
      </c>
      <c r="P1668">
        <f t="shared" si="186"/>
        <v>7</v>
      </c>
      <c r="Q1668" t="s">
        <v>49</v>
      </c>
      <c r="R1668">
        <f t="shared" si="187"/>
        <v>4465</v>
      </c>
      <c r="S1668" t="s">
        <v>3841</v>
      </c>
      <c r="T1668">
        <f t="shared" si="188"/>
        <v>31255</v>
      </c>
      <c r="U1668">
        <f>YEAR(Sales_Table[[#This Row],[Date_clean]])</f>
        <v>2024</v>
      </c>
      <c r="V1668" t="str">
        <f>TEXT(Sales_Table[[#This Row],[Date_clean]],"mmmm")</f>
        <v>March</v>
      </c>
      <c r="W1668">
        <f>WEEKNUM(Sales_Table[[#This Row],[Date_clean]],2)</f>
        <v>10</v>
      </c>
      <c r="X1668" t="str" cm="1">
        <f t="array" ref="X1668">_xlfn.IFS(Sales_Table[[#This Row],[Revenue]]&gt;=50000,"High",Sales_Table[[#This Row],[Revenue]]&gt;=20000,"Medium",Sales_Table[[#This Row],[Revenue]]&lt;20000,"Low")</f>
        <v>Medium</v>
      </c>
      <c r="Y1668" t="str">
        <f>IF(Sales_Table[[#This Row],[Payment Method_clean]]="cash","Offline","Online")</f>
        <v>Online</v>
      </c>
      <c r="Z1668">
        <f>IFERROR(Sales_Table[[#This Row],[Revenue]],0)</f>
        <v>31255</v>
      </c>
    </row>
    <row r="1669" spans="1:26" x14ac:dyDescent="0.3">
      <c r="A1669">
        <v>1668</v>
      </c>
      <c r="B1669" s="2">
        <f t="shared" si="182"/>
        <v>45361.458333333336</v>
      </c>
      <c r="C1669" t="s">
        <v>3842</v>
      </c>
      <c r="D1669" t="s">
        <v>45</v>
      </c>
      <c r="E1669" t="str">
        <f>PROPER(TRIM(CLEAN(Sales_Table[[#This Row],[Region]])))</f>
        <v>North</v>
      </c>
      <c r="F1669" t="s">
        <v>37</v>
      </c>
      <c r="G1669" t="str">
        <f t="shared" si="183"/>
        <v>Home Appliances</v>
      </c>
      <c r="H1669" t="str">
        <f>PROPER(TRIM(CLEAN(Sales_Table[[#This Row],[Product Name]])))</f>
        <v>Mixer Grinder</v>
      </c>
      <c r="I1669" t="s">
        <v>29</v>
      </c>
      <c r="J1669" t="str">
        <f t="shared" si="184"/>
        <v>CUST0700</v>
      </c>
      <c r="K1669" t="s">
        <v>1680</v>
      </c>
      <c r="L1669" t="str">
        <f>PROPER(TRIM(CLEAN(Sales_Table[[#This Row],[Salesperson]])))</f>
        <v>Karthik</v>
      </c>
      <c r="M1669" t="s">
        <v>70</v>
      </c>
      <c r="N1669" t="str">
        <f t="shared" si="185"/>
        <v>Debit Card</v>
      </c>
      <c r="O1669" t="s">
        <v>41</v>
      </c>
      <c r="P1669">
        <f t="shared" si="186"/>
        <v>14</v>
      </c>
      <c r="Q1669" t="s">
        <v>55</v>
      </c>
      <c r="R1669">
        <f t="shared" si="187"/>
        <v>4482</v>
      </c>
      <c r="S1669" t="s">
        <v>3843</v>
      </c>
      <c r="T1669">
        <f t="shared" si="188"/>
        <v>62748</v>
      </c>
      <c r="U1669">
        <f>YEAR(Sales_Table[[#This Row],[Date_clean]])</f>
        <v>2024</v>
      </c>
      <c r="V1669" t="str">
        <f>TEXT(Sales_Table[[#This Row],[Date_clean]],"mmmm")</f>
        <v>March</v>
      </c>
      <c r="W1669">
        <f>WEEKNUM(Sales_Table[[#This Row],[Date_clean]],2)</f>
        <v>10</v>
      </c>
      <c r="X1669" t="str" cm="1">
        <f t="array" ref="X1669">_xlfn.IFS(Sales_Table[[#This Row],[Revenue]]&gt;=50000,"High",Sales_Table[[#This Row],[Revenue]]&gt;=20000,"Medium",Sales_Table[[#This Row],[Revenue]]&lt;20000,"Low")</f>
        <v>High</v>
      </c>
      <c r="Y1669" t="str">
        <f>IF(Sales_Table[[#This Row],[Payment Method_clean]]="cash","Offline","Online")</f>
        <v>Online</v>
      </c>
      <c r="Z1669">
        <f>IFERROR(Sales_Table[[#This Row],[Revenue]],0)</f>
        <v>62748</v>
      </c>
    </row>
    <row r="1670" spans="1:26" x14ac:dyDescent="0.3">
      <c r="A1670">
        <v>1669</v>
      </c>
      <c r="B1670" s="2">
        <f t="shared" si="182"/>
        <v>45361.5</v>
      </c>
      <c r="C1670" t="s">
        <v>3844</v>
      </c>
      <c r="D1670" t="s">
        <v>27</v>
      </c>
      <c r="E1670" t="str">
        <f>PROPER(TRIM(CLEAN(Sales_Table[[#This Row],[Region]])))</f>
        <v>East</v>
      </c>
      <c r="F1670" t="s">
        <v>37</v>
      </c>
      <c r="G1670" t="str">
        <f t="shared" si="183"/>
        <v>Home Appliances</v>
      </c>
      <c r="H1670" t="str">
        <f>PROPER(TRIM(CLEAN(Sales_Table[[#This Row],[Product Name]])))</f>
        <v>Rice 5Kg</v>
      </c>
      <c r="I1670" t="s">
        <v>73</v>
      </c>
      <c r="J1670" t="str">
        <f t="shared" si="184"/>
        <v>CUST0666</v>
      </c>
      <c r="K1670" t="s">
        <v>3275</v>
      </c>
      <c r="L1670" t="str">
        <f>PROPER(TRIM(CLEAN(Sales_Table[[#This Row],[Salesperson]])))</f>
        <v>Anita</v>
      </c>
      <c r="M1670" t="s">
        <v>64</v>
      </c>
      <c r="N1670" t="str">
        <f t="shared" si="185"/>
        <v>Credit Card</v>
      </c>
      <c r="O1670" t="s">
        <v>65</v>
      </c>
      <c r="P1670">
        <f t="shared" si="186"/>
        <v>14</v>
      </c>
      <c r="Q1670" t="s">
        <v>55</v>
      </c>
      <c r="R1670">
        <f t="shared" si="187"/>
        <v>165</v>
      </c>
      <c r="S1670" t="s">
        <v>3845</v>
      </c>
      <c r="T1670">
        <f t="shared" si="188"/>
        <v>2310</v>
      </c>
      <c r="U1670">
        <f>YEAR(Sales_Table[[#This Row],[Date_clean]])</f>
        <v>2024</v>
      </c>
      <c r="V1670" t="str">
        <f>TEXT(Sales_Table[[#This Row],[Date_clean]],"mmmm")</f>
        <v>March</v>
      </c>
      <c r="W1670">
        <f>WEEKNUM(Sales_Table[[#This Row],[Date_clean]],2)</f>
        <v>10</v>
      </c>
      <c r="X1670" t="str" cm="1">
        <f t="array" ref="X1670">_xlfn.IFS(Sales_Table[[#This Row],[Revenue]]&gt;=50000,"High",Sales_Table[[#This Row],[Revenue]]&gt;=20000,"Medium",Sales_Table[[#This Row],[Revenue]]&lt;20000,"Low")</f>
        <v>Low</v>
      </c>
      <c r="Y1670" t="str">
        <f>IF(Sales_Table[[#This Row],[Payment Method_clean]]="cash","Offline","Online")</f>
        <v>Online</v>
      </c>
      <c r="Z1670">
        <f>IFERROR(Sales_Table[[#This Row],[Revenue]],0)</f>
        <v>2310</v>
      </c>
    </row>
    <row r="1671" spans="1:26" x14ac:dyDescent="0.3">
      <c r="A1671">
        <v>1670</v>
      </c>
      <c r="B1671" s="2">
        <f t="shared" si="182"/>
        <v>45361.541666666664</v>
      </c>
      <c r="C1671" t="s">
        <v>3846</v>
      </c>
      <c r="D1671" t="s">
        <v>36</v>
      </c>
      <c r="E1671" t="str">
        <f>PROPER(TRIM(CLEAN(Sales_Table[[#This Row],[Region]])))</f>
        <v>West</v>
      </c>
      <c r="F1671" t="s">
        <v>37</v>
      </c>
      <c r="G1671" t="str">
        <f t="shared" si="183"/>
        <v>Home Appliances</v>
      </c>
      <c r="H1671" t="str">
        <f>PROPER(TRIM(CLEAN(Sales_Table[[#This Row],[Product Name]])))</f>
        <v>Washing Machine</v>
      </c>
      <c r="I1671" t="s">
        <v>79</v>
      </c>
      <c r="J1671" t="str">
        <f t="shared" si="184"/>
        <v>CUST0494</v>
      </c>
      <c r="K1671" t="s">
        <v>916</v>
      </c>
      <c r="L1671" t="str">
        <f>PROPER(TRIM(CLEAN(Sales_Table[[#This Row],[Salesperson]])))</f>
        <v>Rahul</v>
      </c>
      <c r="M1671" t="s">
        <v>31</v>
      </c>
      <c r="N1671" t="str">
        <f t="shared" si="185"/>
        <v>Cash</v>
      </c>
      <c r="O1671" t="s">
        <v>32</v>
      </c>
      <c r="P1671">
        <f t="shared" si="186"/>
        <v>2</v>
      </c>
      <c r="Q1671" t="s">
        <v>196</v>
      </c>
      <c r="R1671">
        <f t="shared" si="187"/>
        <v>979</v>
      </c>
      <c r="S1671" t="s">
        <v>3847</v>
      </c>
      <c r="T1671">
        <f t="shared" si="188"/>
        <v>1958</v>
      </c>
      <c r="U1671">
        <f>YEAR(Sales_Table[[#This Row],[Date_clean]])</f>
        <v>2024</v>
      </c>
      <c r="V1671" t="str">
        <f>TEXT(Sales_Table[[#This Row],[Date_clean]],"mmmm")</f>
        <v>March</v>
      </c>
      <c r="W1671">
        <f>WEEKNUM(Sales_Table[[#This Row],[Date_clean]],2)</f>
        <v>10</v>
      </c>
      <c r="X1671" t="str" cm="1">
        <f t="array" ref="X1671">_xlfn.IFS(Sales_Table[[#This Row],[Revenue]]&gt;=50000,"High",Sales_Table[[#This Row],[Revenue]]&gt;=20000,"Medium",Sales_Table[[#This Row],[Revenue]]&lt;20000,"Low")</f>
        <v>Low</v>
      </c>
      <c r="Y1671" t="str">
        <f>IF(Sales_Table[[#This Row],[Payment Method_clean]]="cash","Offline","Online")</f>
        <v>Offline</v>
      </c>
      <c r="Z1671">
        <f>IFERROR(Sales_Table[[#This Row],[Revenue]],0)</f>
        <v>1958</v>
      </c>
    </row>
    <row r="1672" spans="1:26" x14ac:dyDescent="0.3">
      <c r="A1672">
        <v>1671</v>
      </c>
      <c r="B1672" s="2">
        <f t="shared" si="182"/>
        <v>45361.583333333336</v>
      </c>
      <c r="C1672" t="s">
        <v>3848</v>
      </c>
      <c r="D1672" t="s">
        <v>84</v>
      </c>
      <c r="E1672" t="str">
        <f>PROPER(TRIM(CLEAN(Sales_Table[[#This Row],[Region]])))</f>
        <v>South</v>
      </c>
      <c r="F1672" t="s">
        <v>37</v>
      </c>
      <c r="G1672" t="str">
        <f t="shared" si="183"/>
        <v>Home Appliances</v>
      </c>
      <c r="H1672" t="str">
        <f>PROPER(TRIM(CLEAN(Sales_Table[[#This Row],[Product Name]])))</f>
        <v>Laptop</v>
      </c>
      <c r="I1672" t="s">
        <v>52</v>
      </c>
      <c r="J1672" t="str">
        <f t="shared" si="184"/>
        <v>CUST0368</v>
      </c>
      <c r="K1672" t="s">
        <v>126</v>
      </c>
      <c r="L1672" t="str">
        <f>PROPER(TRIM(CLEAN(Sales_Table[[#This Row],[Salesperson]])))</f>
        <v>Karthik</v>
      </c>
      <c r="M1672" t="s">
        <v>70</v>
      </c>
      <c r="N1672" t="str">
        <f t="shared" si="185"/>
        <v>Credit Card</v>
      </c>
      <c r="O1672" t="s">
        <v>65</v>
      </c>
      <c r="P1672">
        <f t="shared" si="186"/>
        <v>13</v>
      </c>
      <c r="Q1672" t="s">
        <v>81</v>
      </c>
      <c r="R1672">
        <f t="shared" si="187"/>
        <v>167</v>
      </c>
      <c r="S1672" t="s">
        <v>3849</v>
      </c>
      <c r="T1672">
        <f t="shared" si="188"/>
        <v>2171</v>
      </c>
      <c r="U1672">
        <f>YEAR(Sales_Table[[#This Row],[Date_clean]])</f>
        <v>2024</v>
      </c>
      <c r="V1672" t="str">
        <f>TEXT(Sales_Table[[#This Row],[Date_clean]],"mmmm")</f>
        <v>March</v>
      </c>
      <c r="W1672">
        <f>WEEKNUM(Sales_Table[[#This Row],[Date_clean]],2)</f>
        <v>10</v>
      </c>
      <c r="X1672" t="str" cm="1">
        <f t="array" ref="X1672">_xlfn.IFS(Sales_Table[[#This Row],[Revenue]]&gt;=50000,"High",Sales_Table[[#This Row],[Revenue]]&gt;=20000,"Medium",Sales_Table[[#This Row],[Revenue]]&lt;20000,"Low")</f>
        <v>Low</v>
      </c>
      <c r="Y1672" t="str">
        <f>IF(Sales_Table[[#This Row],[Payment Method_clean]]="cash","Offline","Online")</f>
        <v>Online</v>
      </c>
      <c r="Z1672">
        <f>IFERROR(Sales_Table[[#This Row],[Revenue]],0)</f>
        <v>2171</v>
      </c>
    </row>
    <row r="1673" spans="1:26" x14ac:dyDescent="0.3">
      <c r="A1673">
        <v>1672</v>
      </c>
      <c r="B1673" s="2">
        <f t="shared" si="182"/>
        <v>45361.625</v>
      </c>
      <c r="C1673" t="s">
        <v>3850</v>
      </c>
      <c r="D1673" t="s">
        <v>45</v>
      </c>
      <c r="E1673" t="str">
        <f>PROPER(TRIM(CLEAN(Sales_Table[[#This Row],[Region]])))</f>
        <v>North</v>
      </c>
      <c r="F1673" t="s">
        <v>46</v>
      </c>
      <c r="G1673" t="str">
        <f t="shared" si="183"/>
        <v>Electronics</v>
      </c>
      <c r="H1673" t="str">
        <f>PROPER(TRIM(CLEAN(Sales_Table[[#This Row],[Product Name]])))</f>
        <v>Led Tv 42Inch</v>
      </c>
      <c r="I1673" t="s">
        <v>58</v>
      </c>
      <c r="J1673" t="str">
        <f t="shared" si="184"/>
        <v>CUST0420</v>
      </c>
      <c r="K1673" t="s">
        <v>997</v>
      </c>
      <c r="L1673" t="str">
        <f>PROPER(TRIM(CLEAN(Sales_Table[[#This Row],[Salesperson]])))</f>
        <v>Karthik</v>
      </c>
      <c r="M1673" t="s">
        <v>70</v>
      </c>
      <c r="N1673" t="str">
        <f t="shared" si="185"/>
        <v>Debit Card</v>
      </c>
      <c r="O1673" t="s">
        <v>41</v>
      </c>
      <c r="P1673">
        <f t="shared" si="186"/>
        <v>3</v>
      </c>
      <c r="Q1673" t="s">
        <v>66</v>
      </c>
      <c r="R1673">
        <f t="shared" si="187"/>
        <v>1316</v>
      </c>
      <c r="S1673" t="s">
        <v>3851</v>
      </c>
      <c r="T1673">
        <f t="shared" si="188"/>
        <v>3948</v>
      </c>
      <c r="U1673">
        <f>YEAR(Sales_Table[[#This Row],[Date_clean]])</f>
        <v>2024</v>
      </c>
      <c r="V1673" t="str">
        <f>TEXT(Sales_Table[[#This Row],[Date_clean]],"mmmm")</f>
        <v>March</v>
      </c>
      <c r="W1673">
        <f>WEEKNUM(Sales_Table[[#This Row],[Date_clean]],2)</f>
        <v>10</v>
      </c>
      <c r="X1673" t="str" cm="1">
        <f t="array" ref="X1673">_xlfn.IFS(Sales_Table[[#This Row],[Revenue]]&gt;=50000,"High",Sales_Table[[#This Row],[Revenue]]&gt;=20000,"Medium",Sales_Table[[#This Row],[Revenue]]&lt;20000,"Low")</f>
        <v>Low</v>
      </c>
      <c r="Y1673" t="str">
        <f>IF(Sales_Table[[#This Row],[Payment Method_clean]]="cash","Offline","Online")</f>
        <v>Online</v>
      </c>
      <c r="Z1673">
        <f>IFERROR(Sales_Table[[#This Row],[Revenue]],0)</f>
        <v>3948</v>
      </c>
    </row>
    <row r="1674" spans="1:26" x14ac:dyDescent="0.3">
      <c r="A1674">
        <v>1673</v>
      </c>
      <c r="B1674" s="2">
        <f t="shared" si="182"/>
        <v>45361.666666666664</v>
      </c>
      <c r="C1674" t="s">
        <v>3852</v>
      </c>
      <c r="D1674" t="s">
        <v>36</v>
      </c>
      <c r="E1674" t="str">
        <f>PROPER(TRIM(CLEAN(Sales_Table[[#This Row],[Region]])))</f>
        <v>West</v>
      </c>
      <c r="F1674" t="s">
        <v>28</v>
      </c>
      <c r="G1674" t="str">
        <f t="shared" si="183"/>
        <v>Clothing</v>
      </c>
      <c r="H1674" t="str">
        <f>PROPER(TRIM(CLEAN(Sales_Table[[#This Row],[Product Name]])))</f>
        <v>Laptop</v>
      </c>
      <c r="I1674" t="s">
        <v>52</v>
      </c>
      <c r="J1674" t="str">
        <f t="shared" si="184"/>
        <v>CUST0791</v>
      </c>
      <c r="K1674" t="s">
        <v>288</v>
      </c>
      <c r="L1674" t="str">
        <f>PROPER(TRIM(CLEAN(Sales_Table[[#This Row],[Salesperson]])))</f>
        <v>Suresh</v>
      </c>
      <c r="M1674" t="s">
        <v>54</v>
      </c>
      <c r="N1674" t="str">
        <f t="shared" si="185"/>
        <v>Credit Card</v>
      </c>
      <c r="O1674" t="s">
        <v>65</v>
      </c>
      <c r="P1674">
        <f t="shared" si="186"/>
        <v>12</v>
      </c>
      <c r="Q1674" t="s">
        <v>33</v>
      </c>
      <c r="R1674">
        <f t="shared" si="187"/>
        <v>3127</v>
      </c>
      <c r="S1674" t="s">
        <v>3853</v>
      </c>
      <c r="T1674">
        <f t="shared" si="188"/>
        <v>37524</v>
      </c>
      <c r="U1674">
        <f>YEAR(Sales_Table[[#This Row],[Date_clean]])</f>
        <v>2024</v>
      </c>
      <c r="V1674" t="str">
        <f>TEXT(Sales_Table[[#This Row],[Date_clean]],"mmmm")</f>
        <v>March</v>
      </c>
      <c r="W1674">
        <f>WEEKNUM(Sales_Table[[#This Row],[Date_clean]],2)</f>
        <v>10</v>
      </c>
      <c r="X1674" t="str" cm="1">
        <f t="array" ref="X1674">_xlfn.IFS(Sales_Table[[#This Row],[Revenue]]&gt;=50000,"High",Sales_Table[[#This Row],[Revenue]]&gt;=20000,"Medium",Sales_Table[[#This Row],[Revenue]]&lt;20000,"Low")</f>
        <v>Medium</v>
      </c>
      <c r="Y1674" t="str">
        <f>IF(Sales_Table[[#This Row],[Payment Method_clean]]="cash","Offline","Online")</f>
        <v>Online</v>
      </c>
      <c r="Z1674">
        <f>IFERROR(Sales_Table[[#This Row],[Revenue]],0)</f>
        <v>37524</v>
      </c>
    </row>
    <row r="1675" spans="1:26" x14ac:dyDescent="0.3">
      <c r="A1675">
        <v>1674</v>
      </c>
      <c r="B1675" s="2">
        <f t="shared" si="182"/>
        <v>45361.708333333336</v>
      </c>
      <c r="C1675" t="s">
        <v>3854</v>
      </c>
      <c r="D1675" t="s">
        <v>45</v>
      </c>
      <c r="E1675" t="str">
        <f>PROPER(TRIM(CLEAN(Sales_Table[[#This Row],[Region]])))</f>
        <v>North</v>
      </c>
      <c r="F1675" t="s">
        <v>46</v>
      </c>
      <c r="G1675" t="str">
        <f t="shared" si="183"/>
        <v>Electronics</v>
      </c>
      <c r="H1675" t="str">
        <f>PROPER(TRIM(CLEAN(Sales_Table[[#This Row],[Product Name]])))</f>
        <v>Laptop</v>
      </c>
      <c r="I1675" t="s">
        <v>52</v>
      </c>
      <c r="J1675" t="str">
        <f t="shared" si="184"/>
        <v>CUST0171</v>
      </c>
      <c r="K1675" t="s">
        <v>1460</v>
      </c>
      <c r="L1675" t="str">
        <f>PROPER(TRIM(CLEAN(Sales_Table[[#This Row],[Salesperson]])))</f>
        <v>Meena</v>
      </c>
      <c r="M1675" t="s">
        <v>40</v>
      </c>
      <c r="N1675" t="str">
        <f t="shared" si="185"/>
        <v>Net Banking</v>
      </c>
      <c r="O1675" t="s">
        <v>60</v>
      </c>
      <c r="P1675">
        <f t="shared" si="186"/>
        <v>9</v>
      </c>
      <c r="Q1675" t="s">
        <v>130</v>
      </c>
      <c r="R1675">
        <f t="shared" si="187"/>
        <v>3339</v>
      </c>
      <c r="S1675" t="s">
        <v>436</v>
      </c>
      <c r="T1675">
        <f t="shared" si="188"/>
        <v>30051</v>
      </c>
      <c r="U1675">
        <f>YEAR(Sales_Table[[#This Row],[Date_clean]])</f>
        <v>2024</v>
      </c>
      <c r="V1675" t="str">
        <f>TEXT(Sales_Table[[#This Row],[Date_clean]],"mmmm")</f>
        <v>March</v>
      </c>
      <c r="W1675">
        <f>WEEKNUM(Sales_Table[[#This Row],[Date_clean]],2)</f>
        <v>10</v>
      </c>
      <c r="X1675" t="str" cm="1">
        <f t="array" ref="X1675">_xlfn.IFS(Sales_Table[[#This Row],[Revenue]]&gt;=50000,"High",Sales_Table[[#This Row],[Revenue]]&gt;=20000,"Medium",Sales_Table[[#This Row],[Revenue]]&lt;20000,"Low")</f>
        <v>Medium</v>
      </c>
      <c r="Y1675" t="str">
        <f>IF(Sales_Table[[#This Row],[Payment Method_clean]]="cash","Offline","Online")</f>
        <v>Online</v>
      </c>
      <c r="Z1675">
        <f>IFERROR(Sales_Table[[#This Row],[Revenue]],0)</f>
        <v>30051</v>
      </c>
    </row>
    <row r="1676" spans="1:26" x14ac:dyDescent="0.3">
      <c r="A1676">
        <v>1675</v>
      </c>
      <c r="B1676" s="2">
        <f t="shared" si="182"/>
        <v>45361.75</v>
      </c>
      <c r="C1676" t="s">
        <v>3855</v>
      </c>
      <c r="D1676" t="s">
        <v>45</v>
      </c>
      <c r="E1676" t="str">
        <f>PROPER(TRIM(CLEAN(Sales_Table[[#This Row],[Region]])))</f>
        <v>North</v>
      </c>
      <c r="F1676" t="s">
        <v>28</v>
      </c>
      <c r="G1676" t="str">
        <f t="shared" si="183"/>
        <v>Clothing</v>
      </c>
      <c r="H1676" t="str">
        <f>PROPER(TRIM(CLEAN(Sales_Table[[#This Row],[Product Name]])))</f>
        <v>Rice 5Kg</v>
      </c>
      <c r="I1676" t="s">
        <v>73</v>
      </c>
      <c r="J1676" t="str">
        <f t="shared" si="184"/>
        <v>CUST0134</v>
      </c>
      <c r="K1676" t="s">
        <v>3688</v>
      </c>
      <c r="L1676" t="str">
        <f>PROPER(TRIM(CLEAN(Sales_Table[[#This Row],[Salesperson]])))</f>
        <v>Suresh</v>
      </c>
      <c r="M1676" t="s">
        <v>54</v>
      </c>
      <c r="N1676" t="str">
        <f t="shared" si="185"/>
        <v>Debit Card</v>
      </c>
      <c r="O1676" t="s">
        <v>41</v>
      </c>
      <c r="P1676">
        <f t="shared" si="186"/>
        <v>4</v>
      </c>
      <c r="Q1676" t="s">
        <v>113</v>
      </c>
      <c r="R1676">
        <f t="shared" si="187"/>
        <v>3580</v>
      </c>
      <c r="S1676" t="s">
        <v>3856</v>
      </c>
      <c r="T1676">
        <f t="shared" si="188"/>
        <v>14320</v>
      </c>
      <c r="U1676">
        <f>YEAR(Sales_Table[[#This Row],[Date_clean]])</f>
        <v>2024</v>
      </c>
      <c r="V1676" t="str">
        <f>TEXT(Sales_Table[[#This Row],[Date_clean]],"mmmm")</f>
        <v>March</v>
      </c>
      <c r="W1676">
        <f>WEEKNUM(Sales_Table[[#This Row],[Date_clean]],2)</f>
        <v>10</v>
      </c>
      <c r="X1676" t="str" cm="1">
        <f t="array" ref="X1676">_xlfn.IFS(Sales_Table[[#This Row],[Revenue]]&gt;=50000,"High",Sales_Table[[#This Row],[Revenue]]&gt;=20000,"Medium",Sales_Table[[#This Row],[Revenue]]&lt;20000,"Low")</f>
        <v>Low</v>
      </c>
      <c r="Y1676" t="str">
        <f>IF(Sales_Table[[#This Row],[Payment Method_clean]]="cash","Offline","Online")</f>
        <v>Online</v>
      </c>
      <c r="Z1676">
        <f>IFERROR(Sales_Table[[#This Row],[Revenue]],0)</f>
        <v>14320</v>
      </c>
    </row>
    <row r="1677" spans="1:26" x14ac:dyDescent="0.3">
      <c r="A1677">
        <v>1676</v>
      </c>
      <c r="B1677" s="2">
        <f t="shared" si="182"/>
        <v>45361.791666666664</v>
      </c>
      <c r="C1677" t="s">
        <v>3857</v>
      </c>
      <c r="D1677" t="s">
        <v>45</v>
      </c>
      <c r="E1677" t="str">
        <f>PROPER(TRIM(CLEAN(Sales_Table[[#This Row],[Region]])))</f>
        <v>North</v>
      </c>
      <c r="F1677" t="s">
        <v>78</v>
      </c>
      <c r="G1677" t="str">
        <f t="shared" si="183"/>
        <v>Grocery</v>
      </c>
      <c r="H1677" t="str">
        <f>PROPER(TRIM(CLEAN(Sales_Table[[#This Row],[Product Name]])))</f>
        <v>Led Tv 42Inch</v>
      </c>
      <c r="I1677" t="s">
        <v>58</v>
      </c>
      <c r="J1677" t="str">
        <f t="shared" si="184"/>
        <v>CUST0427</v>
      </c>
      <c r="K1677" t="s">
        <v>2667</v>
      </c>
      <c r="L1677" t="str">
        <f>PROPER(TRIM(CLEAN(Sales_Table[[#This Row],[Salesperson]])))</f>
        <v>Rahul</v>
      </c>
      <c r="M1677" t="s">
        <v>31</v>
      </c>
      <c r="N1677" t="str">
        <f t="shared" si="185"/>
        <v>Credit Card</v>
      </c>
      <c r="O1677" t="s">
        <v>65</v>
      </c>
      <c r="P1677">
        <f t="shared" si="186"/>
        <v>4</v>
      </c>
      <c r="Q1677" t="s">
        <v>113</v>
      </c>
      <c r="R1677">
        <f t="shared" si="187"/>
        <v>607</v>
      </c>
      <c r="S1677" t="s">
        <v>3858</v>
      </c>
      <c r="T1677">
        <f t="shared" si="188"/>
        <v>2428</v>
      </c>
      <c r="U1677">
        <f>YEAR(Sales_Table[[#This Row],[Date_clean]])</f>
        <v>2024</v>
      </c>
      <c r="V1677" t="str">
        <f>TEXT(Sales_Table[[#This Row],[Date_clean]],"mmmm")</f>
        <v>March</v>
      </c>
      <c r="W1677">
        <f>WEEKNUM(Sales_Table[[#This Row],[Date_clean]],2)</f>
        <v>10</v>
      </c>
      <c r="X1677" t="str" cm="1">
        <f t="array" ref="X1677">_xlfn.IFS(Sales_Table[[#This Row],[Revenue]]&gt;=50000,"High",Sales_Table[[#This Row],[Revenue]]&gt;=20000,"Medium",Sales_Table[[#This Row],[Revenue]]&lt;20000,"Low")</f>
        <v>Low</v>
      </c>
      <c r="Y1677" t="str">
        <f>IF(Sales_Table[[#This Row],[Payment Method_clean]]="cash","Offline","Online")</f>
        <v>Online</v>
      </c>
      <c r="Z1677">
        <f>IFERROR(Sales_Table[[#This Row],[Revenue]],0)</f>
        <v>2428</v>
      </c>
    </row>
    <row r="1678" spans="1:26" x14ac:dyDescent="0.3">
      <c r="A1678">
        <v>1677</v>
      </c>
      <c r="B1678" s="2">
        <f t="shared" si="182"/>
        <v>45361.833333333336</v>
      </c>
      <c r="C1678" t="s">
        <v>3859</v>
      </c>
      <c r="D1678" t="s">
        <v>27</v>
      </c>
      <c r="E1678" t="str">
        <f>PROPER(TRIM(CLEAN(Sales_Table[[#This Row],[Region]])))</f>
        <v>East</v>
      </c>
      <c r="F1678" t="s">
        <v>37</v>
      </c>
      <c r="G1678" t="str">
        <f t="shared" si="183"/>
        <v>Home Appliances</v>
      </c>
      <c r="H1678" t="str">
        <f>PROPER(TRIM(CLEAN(Sales_Table[[#This Row],[Product Name]])))</f>
        <v>Led Tv 42Inch</v>
      </c>
      <c r="I1678" t="s">
        <v>58</v>
      </c>
      <c r="J1678" t="str">
        <f t="shared" si="184"/>
        <v>CUST0025</v>
      </c>
      <c r="K1678" t="s">
        <v>1864</v>
      </c>
      <c r="L1678" t="str">
        <f>PROPER(TRIM(CLEAN(Sales_Table[[#This Row],[Salesperson]])))</f>
        <v>Karthik</v>
      </c>
      <c r="M1678" t="s">
        <v>70</v>
      </c>
      <c r="N1678" t="str">
        <f t="shared" si="185"/>
        <v>Cash</v>
      </c>
      <c r="O1678" t="s">
        <v>32</v>
      </c>
      <c r="P1678">
        <f t="shared" si="186"/>
        <v>3</v>
      </c>
      <c r="Q1678" t="s">
        <v>66</v>
      </c>
      <c r="R1678">
        <f t="shared" si="187"/>
        <v>3814</v>
      </c>
      <c r="S1678" t="s">
        <v>3860</v>
      </c>
      <c r="T1678">
        <f t="shared" si="188"/>
        <v>11442</v>
      </c>
      <c r="U1678">
        <f>YEAR(Sales_Table[[#This Row],[Date_clean]])</f>
        <v>2024</v>
      </c>
      <c r="V1678" t="str">
        <f>TEXT(Sales_Table[[#This Row],[Date_clean]],"mmmm")</f>
        <v>March</v>
      </c>
      <c r="W1678">
        <f>WEEKNUM(Sales_Table[[#This Row],[Date_clean]],2)</f>
        <v>10</v>
      </c>
      <c r="X1678" t="str" cm="1">
        <f t="array" ref="X1678">_xlfn.IFS(Sales_Table[[#This Row],[Revenue]]&gt;=50000,"High",Sales_Table[[#This Row],[Revenue]]&gt;=20000,"Medium",Sales_Table[[#This Row],[Revenue]]&lt;20000,"Low")</f>
        <v>Low</v>
      </c>
      <c r="Y1678" t="str">
        <f>IF(Sales_Table[[#This Row],[Payment Method_clean]]="cash","Offline","Online")</f>
        <v>Offline</v>
      </c>
      <c r="Z1678">
        <f>IFERROR(Sales_Table[[#This Row],[Revenue]],0)</f>
        <v>11442</v>
      </c>
    </row>
    <row r="1679" spans="1:26" x14ac:dyDescent="0.3">
      <c r="A1679">
        <v>1678</v>
      </c>
      <c r="B1679" s="2">
        <f t="shared" si="182"/>
        <v>45361.875</v>
      </c>
      <c r="C1679" t="s">
        <v>3861</v>
      </c>
      <c r="D1679" t="s">
        <v>27</v>
      </c>
      <c r="E1679" t="str">
        <f>PROPER(TRIM(CLEAN(Sales_Table[[#This Row],[Region]])))</f>
        <v>East</v>
      </c>
      <c r="F1679" t="s">
        <v>46</v>
      </c>
      <c r="G1679" t="str">
        <f t="shared" si="183"/>
        <v>Electronics</v>
      </c>
      <c r="H1679" t="str">
        <f>PROPER(TRIM(CLEAN(Sales_Table[[#This Row],[Product Name]])))</f>
        <v>Men T-Shirt</v>
      </c>
      <c r="I1679" t="s">
        <v>38</v>
      </c>
      <c r="J1679" t="str">
        <f t="shared" si="184"/>
        <v>CUST0530</v>
      </c>
      <c r="K1679" t="s">
        <v>1119</v>
      </c>
      <c r="L1679" t="str">
        <f>PROPER(TRIM(CLEAN(Sales_Table[[#This Row],[Salesperson]])))</f>
        <v>Suresh</v>
      </c>
      <c r="M1679" t="s">
        <v>54</v>
      </c>
      <c r="N1679" t="str">
        <f t="shared" si="185"/>
        <v>Credit Card</v>
      </c>
      <c r="O1679" t="s">
        <v>65</v>
      </c>
      <c r="P1679">
        <f t="shared" si="186"/>
        <v>5</v>
      </c>
      <c r="Q1679" t="s">
        <v>89</v>
      </c>
      <c r="R1679">
        <f t="shared" si="187"/>
        <v>2984</v>
      </c>
      <c r="S1679" t="s">
        <v>3862</v>
      </c>
      <c r="T1679">
        <f t="shared" si="188"/>
        <v>14920</v>
      </c>
      <c r="U1679">
        <f>YEAR(Sales_Table[[#This Row],[Date_clean]])</f>
        <v>2024</v>
      </c>
      <c r="V1679" t="str">
        <f>TEXT(Sales_Table[[#This Row],[Date_clean]],"mmmm")</f>
        <v>March</v>
      </c>
      <c r="W1679">
        <f>WEEKNUM(Sales_Table[[#This Row],[Date_clean]],2)</f>
        <v>10</v>
      </c>
      <c r="X1679" t="str" cm="1">
        <f t="array" ref="X1679">_xlfn.IFS(Sales_Table[[#This Row],[Revenue]]&gt;=50000,"High",Sales_Table[[#This Row],[Revenue]]&gt;=20000,"Medium",Sales_Table[[#This Row],[Revenue]]&lt;20000,"Low")</f>
        <v>Low</v>
      </c>
      <c r="Y1679" t="str">
        <f>IF(Sales_Table[[#This Row],[Payment Method_clean]]="cash","Offline","Online")</f>
        <v>Online</v>
      </c>
      <c r="Z1679">
        <f>IFERROR(Sales_Table[[#This Row],[Revenue]],0)</f>
        <v>14920</v>
      </c>
    </row>
    <row r="1680" spans="1:26" x14ac:dyDescent="0.3">
      <c r="A1680">
        <v>1679</v>
      </c>
      <c r="B1680" s="2">
        <f t="shared" si="182"/>
        <v>45361.916666666664</v>
      </c>
      <c r="C1680" t="s">
        <v>3863</v>
      </c>
      <c r="D1680" t="s">
        <v>84</v>
      </c>
      <c r="E1680" t="str">
        <f>PROPER(TRIM(CLEAN(Sales_Table[[#This Row],[Region]])))</f>
        <v>South</v>
      </c>
      <c r="F1680" t="s">
        <v>28</v>
      </c>
      <c r="G1680" t="str">
        <f t="shared" si="183"/>
        <v>Clothing</v>
      </c>
      <c r="H1680" t="str">
        <f>PROPER(TRIM(CLEAN(Sales_Table[[#This Row],[Product Name]])))</f>
        <v>Laptop</v>
      </c>
      <c r="I1680" t="s">
        <v>52</v>
      </c>
      <c r="J1680" t="str">
        <f t="shared" si="184"/>
        <v>CUST0190</v>
      </c>
      <c r="K1680" t="s">
        <v>1051</v>
      </c>
      <c r="L1680" t="str">
        <f>PROPER(TRIM(CLEAN(Sales_Table[[#This Row],[Salesperson]])))</f>
        <v>Meena</v>
      </c>
      <c r="M1680" t="s">
        <v>40</v>
      </c>
      <c r="N1680" t="str">
        <f t="shared" si="185"/>
        <v>Cash</v>
      </c>
      <c r="O1680" t="s">
        <v>32</v>
      </c>
      <c r="P1680">
        <f t="shared" si="186"/>
        <v>3</v>
      </c>
      <c r="Q1680" t="s">
        <v>66</v>
      </c>
      <c r="R1680">
        <f t="shared" si="187"/>
        <v>1225</v>
      </c>
      <c r="S1680" t="s">
        <v>3864</v>
      </c>
      <c r="T1680">
        <f t="shared" si="188"/>
        <v>3675</v>
      </c>
      <c r="U1680">
        <f>YEAR(Sales_Table[[#This Row],[Date_clean]])</f>
        <v>2024</v>
      </c>
      <c r="V1680" t="str">
        <f>TEXT(Sales_Table[[#This Row],[Date_clean]],"mmmm")</f>
        <v>March</v>
      </c>
      <c r="W1680">
        <f>WEEKNUM(Sales_Table[[#This Row],[Date_clean]],2)</f>
        <v>10</v>
      </c>
      <c r="X1680" t="str" cm="1">
        <f t="array" ref="X1680">_xlfn.IFS(Sales_Table[[#This Row],[Revenue]]&gt;=50000,"High",Sales_Table[[#This Row],[Revenue]]&gt;=20000,"Medium",Sales_Table[[#This Row],[Revenue]]&lt;20000,"Low")</f>
        <v>Low</v>
      </c>
      <c r="Y1680" t="str">
        <f>IF(Sales_Table[[#This Row],[Payment Method_clean]]="cash","Offline","Online")</f>
        <v>Offline</v>
      </c>
      <c r="Z1680">
        <f>IFERROR(Sales_Table[[#This Row],[Revenue]],0)</f>
        <v>3675</v>
      </c>
    </row>
    <row r="1681" spans="1:26" x14ac:dyDescent="0.3">
      <c r="A1681">
        <v>1680</v>
      </c>
      <c r="B1681" s="2">
        <f t="shared" si="182"/>
        <v>45361.958333333336</v>
      </c>
      <c r="C1681" t="s">
        <v>3865</v>
      </c>
      <c r="D1681" t="s">
        <v>84</v>
      </c>
      <c r="E1681" t="str">
        <f>PROPER(TRIM(CLEAN(Sales_Table[[#This Row],[Region]])))</f>
        <v>South</v>
      </c>
      <c r="F1681" t="s">
        <v>78</v>
      </c>
      <c r="G1681" t="str">
        <f t="shared" si="183"/>
        <v>Grocery</v>
      </c>
      <c r="H1681" t="str">
        <f>PROPER(TRIM(CLEAN(Sales_Table[[#This Row],[Product Name]])))</f>
        <v>Led Tv 42Inch</v>
      </c>
      <c r="I1681" t="s">
        <v>58</v>
      </c>
      <c r="J1681" t="str">
        <f t="shared" si="184"/>
        <v>CUST0141</v>
      </c>
      <c r="K1681" t="s">
        <v>2201</v>
      </c>
      <c r="L1681" t="str">
        <f>PROPER(TRIM(CLEAN(Sales_Table[[#This Row],[Salesperson]])))</f>
        <v>Rahul</v>
      </c>
      <c r="M1681" t="s">
        <v>31</v>
      </c>
      <c r="N1681" t="str">
        <f t="shared" si="185"/>
        <v>Net Banking</v>
      </c>
      <c r="O1681" t="s">
        <v>60</v>
      </c>
      <c r="P1681">
        <f t="shared" si="186"/>
        <v>9</v>
      </c>
      <c r="Q1681" t="s">
        <v>130</v>
      </c>
      <c r="R1681">
        <f t="shared" si="187"/>
        <v>985</v>
      </c>
      <c r="S1681" t="s">
        <v>3866</v>
      </c>
      <c r="T1681">
        <f t="shared" si="188"/>
        <v>8865</v>
      </c>
      <c r="U1681">
        <f>YEAR(Sales_Table[[#This Row],[Date_clean]])</f>
        <v>2024</v>
      </c>
      <c r="V1681" t="str">
        <f>TEXT(Sales_Table[[#This Row],[Date_clean]],"mmmm")</f>
        <v>March</v>
      </c>
      <c r="W1681">
        <f>WEEKNUM(Sales_Table[[#This Row],[Date_clean]],2)</f>
        <v>10</v>
      </c>
      <c r="X1681" t="str" cm="1">
        <f t="array" ref="X1681">_xlfn.IFS(Sales_Table[[#This Row],[Revenue]]&gt;=50000,"High",Sales_Table[[#This Row],[Revenue]]&gt;=20000,"Medium",Sales_Table[[#This Row],[Revenue]]&lt;20000,"Low")</f>
        <v>Low</v>
      </c>
      <c r="Y1681" t="str">
        <f>IF(Sales_Table[[#This Row],[Payment Method_clean]]="cash","Offline","Online")</f>
        <v>Online</v>
      </c>
      <c r="Z1681">
        <f>IFERROR(Sales_Table[[#This Row],[Revenue]],0)</f>
        <v>8865</v>
      </c>
    </row>
    <row r="1682" spans="1:26" x14ac:dyDescent="0.3">
      <c r="A1682">
        <v>1681</v>
      </c>
      <c r="B1682" s="2">
        <f t="shared" si="182"/>
        <v>45362</v>
      </c>
      <c r="C1682" t="s">
        <v>3867</v>
      </c>
      <c r="D1682" t="s">
        <v>36</v>
      </c>
      <c r="E1682" t="str">
        <f>PROPER(TRIM(CLEAN(Sales_Table[[#This Row],[Region]])))</f>
        <v>West</v>
      </c>
      <c r="F1682" t="s">
        <v>78</v>
      </c>
      <c r="G1682" t="str">
        <f t="shared" si="183"/>
        <v>Grocery</v>
      </c>
      <c r="H1682" t="str">
        <f>PROPER(TRIM(CLEAN(Sales_Table[[#This Row],[Product Name]])))</f>
        <v>Men T-Shirt</v>
      </c>
      <c r="I1682" t="s">
        <v>38</v>
      </c>
      <c r="J1682" t="str">
        <f t="shared" si="184"/>
        <v>CUST0555</v>
      </c>
      <c r="K1682" t="s">
        <v>2571</v>
      </c>
      <c r="L1682" t="str">
        <f>PROPER(TRIM(CLEAN(Sales_Table[[#This Row],[Salesperson]])))</f>
        <v>Anita</v>
      </c>
      <c r="M1682" t="s">
        <v>64</v>
      </c>
      <c r="N1682" t="str">
        <f t="shared" si="185"/>
        <v>Credit Card</v>
      </c>
      <c r="O1682" t="s">
        <v>65</v>
      </c>
      <c r="P1682">
        <f t="shared" si="186"/>
        <v>3</v>
      </c>
      <c r="Q1682" t="s">
        <v>66</v>
      </c>
      <c r="R1682">
        <f t="shared" si="187"/>
        <v>2941</v>
      </c>
      <c r="S1682" t="s">
        <v>3135</v>
      </c>
      <c r="T1682">
        <f t="shared" si="188"/>
        <v>8823</v>
      </c>
      <c r="U1682">
        <f>YEAR(Sales_Table[[#This Row],[Date_clean]])</f>
        <v>2024</v>
      </c>
      <c r="V1682" t="str">
        <f>TEXT(Sales_Table[[#This Row],[Date_clean]],"mmmm")</f>
        <v>March</v>
      </c>
      <c r="W1682">
        <f>WEEKNUM(Sales_Table[[#This Row],[Date_clean]],2)</f>
        <v>11</v>
      </c>
      <c r="X1682" t="str" cm="1">
        <f t="array" ref="X1682">_xlfn.IFS(Sales_Table[[#This Row],[Revenue]]&gt;=50000,"High",Sales_Table[[#This Row],[Revenue]]&gt;=20000,"Medium",Sales_Table[[#This Row],[Revenue]]&lt;20000,"Low")</f>
        <v>Low</v>
      </c>
      <c r="Y1682" t="str">
        <f>IF(Sales_Table[[#This Row],[Payment Method_clean]]="cash","Offline","Online")</f>
        <v>Online</v>
      </c>
      <c r="Z1682">
        <f>IFERROR(Sales_Table[[#This Row],[Revenue]],0)</f>
        <v>8823</v>
      </c>
    </row>
    <row r="1683" spans="1:26" x14ac:dyDescent="0.3">
      <c r="A1683">
        <v>1682</v>
      </c>
      <c r="B1683" s="2">
        <f t="shared" si="182"/>
        <v>45362.041666666664</v>
      </c>
      <c r="C1683" t="s">
        <v>3868</v>
      </c>
      <c r="D1683" t="s">
        <v>84</v>
      </c>
      <c r="E1683" t="str">
        <f>PROPER(TRIM(CLEAN(Sales_Table[[#This Row],[Region]])))</f>
        <v>South</v>
      </c>
      <c r="F1683" t="s">
        <v>37</v>
      </c>
      <c r="G1683" t="str">
        <f t="shared" si="183"/>
        <v>Home Appliances</v>
      </c>
      <c r="H1683" t="str">
        <f>PROPER(TRIM(CLEAN(Sales_Table[[#This Row],[Product Name]])))</f>
        <v>Mixer Grinder</v>
      </c>
      <c r="I1683" t="s">
        <v>29</v>
      </c>
      <c r="J1683" t="str">
        <f t="shared" si="184"/>
        <v>CUST0796</v>
      </c>
      <c r="K1683" t="s">
        <v>1701</v>
      </c>
      <c r="L1683" t="str">
        <f>PROPER(TRIM(CLEAN(Sales_Table[[#This Row],[Salesperson]])))</f>
        <v>Suresh</v>
      </c>
      <c r="M1683" t="s">
        <v>54</v>
      </c>
      <c r="N1683" t="str">
        <f t="shared" si="185"/>
        <v>Net Banking</v>
      </c>
      <c r="O1683" t="s">
        <v>60</v>
      </c>
      <c r="P1683">
        <f t="shared" si="186"/>
        <v>2</v>
      </c>
      <c r="Q1683" t="s">
        <v>196</v>
      </c>
      <c r="R1683">
        <f t="shared" si="187"/>
        <v>3977</v>
      </c>
      <c r="S1683" t="s">
        <v>3869</v>
      </c>
      <c r="T1683">
        <f t="shared" si="188"/>
        <v>7954</v>
      </c>
      <c r="U1683">
        <f>YEAR(Sales_Table[[#This Row],[Date_clean]])</f>
        <v>2024</v>
      </c>
      <c r="V1683" t="str">
        <f>TEXT(Sales_Table[[#This Row],[Date_clean]],"mmmm")</f>
        <v>March</v>
      </c>
      <c r="W1683">
        <f>WEEKNUM(Sales_Table[[#This Row],[Date_clean]],2)</f>
        <v>11</v>
      </c>
      <c r="X1683" t="str" cm="1">
        <f t="array" ref="X1683">_xlfn.IFS(Sales_Table[[#This Row],[Revenue]]&gt;=50000,"High",Sales_Table[[#This Row],[Revenue]]&gt;=20000,"Medium",Sales_Table[[#This Row],[Revenue]]&lt;20000,"Low")</f>
        <v>Low</v>
      </c>
      <c r="Y1683" t="str">
        <f>IF(Sales_Table[[#This Row],[Payment Method_clean]]="cash","Offline","Online")</f>
        <v>Online</v>
      </c>
      <c r="Z1683">
        <f>IFERROR(Sales_Table[[#This Row],[Revenue]],0)</f>
        <v>7954</v>
      </c>
    </row>
    <row r="1684" spans="1:26" x14ac:dyDescent="0.3">
      <c r="A1684">
        <v>1683</v>
      </c>
      <c r="B1684" s="2">
        <f t="shared" si="182"/>
        <v>45362.083333333336</v>
      </c>
      <c r="C1684" t="s">
        <v>3870</v>
      </c>
      <c r="D1684" t="s">
        <v>45</v>
      </c>
      <c r="E1684" t="str">
        <f>PROPER(TRIM(CLEAN(Sales_Table[[#This Row],[Region]])))</f>
        <v>North</v>
      </c>
      <c r="F1684" t="s">
        <v>28</v>
      </c>
      <c r="G1684" t="str">
        <f t="shared" si="183"/>
        <v>Clothing</v>
      </c>
      <c r="H1684" t="str">
        <f>PROPER(TRIM(CLEAN(Sales_Table[[#This Row],[Product Name]])))</f>
        <v>Men T-Shirt</v>
      </c>
      <c r="I1684" t="s">
        <v>38</v>
      </c>
      <c r="J1684" t="str">
        <f t="shared" si="184"/>
        <v>CUST0658</v>
      </c>
      <c r="K1684" t="s">
        <v>291</v>
      </c>
      <c r="L1684" t="str">
        <f>PROPER(TRIM(CLEAN(Sales_Table[[#This Row],[Salesperson]])))</f>
        <v>Rahul</v>
      </c>
      <c r="M1684" t="s">
        <v>31</v>
      </c>
      <c r="N1684" t="str">
        <f t="shared" si="185"/>
        <v>Debit Card</v>
      </c>
      <c r="O1684" t="s">
        <v>41</v>
      </c>
      <c r="P1684">
        <f t="shared" si="186"/>
        <v>12</v>
      </c>
      <c r="Q1684" t="s">
        <v>33</v>
      </c>
      <c r="R1684">
        <f t="shared" si="187"/>
        <v>4970</v>
      </c>
      <c r="S1684" t="s">
        <v>3871</v>
      </c>
      <c r="T1684">
        <f t="shared" si="188"/>
        <v>59640</v>
      </c>
      <c r="U1684">
        <f>YEAR(Sales_Table[[#This Row],[Date_clean]])</f>
        <v>2024</v>
      </c>
      <c r="V1684" t="str">
        <f>TEXT(Sales_Table[[#This Row],[Date_clean]],"mmmm")</f>
        <v>March</v>
      </c>
      <c r="W1684">
        <f>WEEKNUM(Sales_Table[[#This Row],[Date_clean]],2)</f>
        <v>11</v>
      </c>
      <c r="X1684" t="str" cm="1">
        <f t="array" ref="X1684">_xlfn.IFS(Sales_Table[[#This Row],[Revenue]]&gt;=50000,"High",Sales_Table[[#This Row],[Revenue]]&gt;=20000,"Medium",Sales_Table[[#This Row],[Revenue]]&lt;20000,"Low")</f>
        <v>High</v>
      </c>
      <c r="Y1684" t="str">
        <f>IF(Sales_Table[[#This Row],[Payment Method_clean]]="cash","Offline","Online")</f>
        <v>Online</v>
      </c>
      <c r="Z1684">
        <f>IFERROR(Sales_Table[[#This Row],[Revenue]],0)</f>
        <v>59640</v>
      </c>
    </row>
    <row r="1685" spans="1:26" x14ac:dyDescent="0.3">
      <c r="A1685">
        <v>1684</v>
      </c>
      <c r="B1685" s="2">
        <f t="shared" si="182"/>
        <v>45362.125</v>
      </c>
      <c r="C1685" t="s">
        <v>3872</v>
      </c>
      <c r="D1685" t="s">
        <v>45</v>
      </c>
      <c r="E1685" t="str">
        <f>PROPER(TRIM(CLEAN(Sales_Table[[#This Row],[Region]])))</f>
        <v>North</v>
      </c>
      <c r="F1685" t="s">
        <v>46</v>
      </c>
      <c r="G1685" t="str">
        <f t="shared" si="183"/>
        <v>Electronics</v>
      </c>
      <c r="H1685" t="str">
        <f>PROPER(TRIM(CLEAN(Sales_Table[[#This Row],[Product Name]])))</f>
        <v>Washing Machine</v>
      </c>
      <c r="I1685" t="s">
        <v>79</v>
      </c>
      <c r="J1685" t="str">
        <f t="shared" si="184"/>
        <v>CUST0315</v>
      </c>
      <c r="K1685" t="s">
        <v>628</v>
      </c>
      <c r="L1685" t="str">
        <f>PROPER(TRIM(CLEAN(Sales_Table[[#This Row],[Salesperson]])))</f>
        <v>Anita</v>
      </c>
      <c r="M1685" t="s">
        <v>64</v>
      </c>
      <c r="N1685" t="str">
        <f t="shared" si="185"/>
        <v>Cash</v>
      </c>
      <c r="O1685" t="s">
        <v>32</v>
      </c>
      <c r="P1685">
        <f t="shared" si="186"/>
        <v>5</v>
      </c>
      <c r="Q1685" t="s">
        <v>89</v>
      </c>
      <c r="R1685">
        <f t="shared" si="187"/>
        <v>2625</v>
      </c>
      <c r="S1685" t="s">
        <v>3807</v>
      </c>
      <c r="T1685">
        <f t="shared" si="188"/>
        <v>13125</v>
      </c>
      <c r="U1685">
        <f>YEAR(Sales_Table[[#This Row],[Date_clean]])</f>
        <v>2024</v>
      </c>
      <c r="V1685" t="str">
        <f>TEXT(Sales_Table[[#This Row],[Date_clean]],"mmmm")</f>
        <v>March</v>
      </c>
      <c r="W1685">
        <f>WEEKNUM(Sales_Table[[#This Row],[Date_clean]],2)</f>
        <v>11</v>
      </c>
      <c r="X1685" t="str" cm="1">
        <f t="array" ref="X1685">_xlfn.IFS(Sales_Table[[#This Row],[Revenue]]&gt;=50000,"High",Sales_Table[[#This Row],[Revenue]]&gt;=20000,"Medium",Sales_Table[[#This Row],[Revenue]]&lt;20000,"Low")</f>
        <v>Low</v>
      </c>
      <c r="Y1685" t="str">
        <f>IF(Sales_Table[[#This Row],[Payment Method_clean]]="cash","Offline","Online")</f>
        <v>Offline</v>
      </c>
      <c r="Z1685">
        <f>IFERROR(Sales_Table[[#This Row],[Revenue]],0)</f>
        <v>13125</v>
      </c>
    </row>
    <row r="1686" spans="1:26" x14ac:dyDescent="0.3">
      <c r="A1686">
        <v>1685</v>
      </c>
      <c r="B1686" s="2">
        <f t="shared" si="182"/>
        <v>45362.166666666664</v>
      </c>
      <c r="C1686" t="s">
        <v>3873</v>
      </c>
      <c r="D1686" t="s">
        <v>27</v>
      </c>
      <c r="E1686" t="str">
        <f>PROPER(TRIM(CLEAN(Sales_Table[[#This Row],[Region]])))</f>
        <v>East</v>
      </c>
      <c r="F1686" t="s">
        <v>37</v>
      </c>
      <c r="G1686" t="str">
        <f t="shared" si="183"/>
        <v>Home Appliances</v>
      </c>
      <c r="H1686" t="str">
        <f>PROPER(TRIM(CLEAN(Sales_Table[[#This Row],[Product Name]])))</f>
        <v>Rice 5Kg</v>
      </c>
      <c r="I1686" t="s">
        <v>73</v>
      </c>
      <c r="J1686" t="str">
        <f t="shared" si="184"/>
        <v>CUST0444</v>
      </c>
      <c r="K1686" t="s">
        <v>1174</v>
      </c>
      <c r="L1686" t="str">
        <f>PROPER(TRIM(CLEAN(Sales_Table[[#This Row],[Salesperson]])))</f>
        <v>Suresh</v>
      </c>
      <c r="M1686" t="s">
        <v>54</v>
      </c>
      <c r="N1686" t="str">
        <f t="shared" si="185"/>
        <v>Debit Card</v>
      </c>
      <c r="O1686" t="s">
        <v>41</v>
      </c>
      <c r="P1686">
        <f t="shared" si="186"/>
        <v>6</v>
      </c>
      <c r="Q1686" t="s">
        <v>75</v>
      </c>
      <c r="R1686">
        <f t="shared" si="187"/>
        <v>1025</v>
      </c>
      <c r="S1686" t="s">
        <v>3373</v>
      </c>
      <c r="T1686">
        <f t="shared" si="188"/>
        <v>6150</v>
      </c>
      <c r="U1686">
        <f>YEAR(Sales_Table[[#This Row],[Date_clean]])</f>
        <v>2024</v>
      </c>
      <c r="V1686" t="str">
        <f>TEXT(Sales_Table[[#This Row],[Date_clean]],"mmmm")</f>
        <v>March</v>
      </c>
      <c r="W1686">
        <f>WEEKNUM(Sales_Table[[#This Row],[Date_clean]],2)</f>
        <v>11</v>
      </c>
      <c r="X1686" t="str" cm="1">
        <f t="array" ref="X1686">_xlfn.IFS(Sales_Table[[#This Row],[Revenue]]&gt;=50000,"High",Sales_Table[[#This Row],[Revenue]]&gt;=20000,"Medium",Sales_Table[[#This Row],[Revenue]]&lt;20000,"Low")</f>
        <v>Low</v>
      </c>
      <c r="Y1686" t="str">
        <f>IF(Sales_Table[[#This Row],[Payment Method_clean]]="cash","Offline","Online")</f>
        <v>Online</v>
      </c>
      <c r="Z1686">
        <f>IFERROR(Sales_Table[[#This Row],[Revenue]],0)</f>
        <v>6150</v>
      </c>
    </row>
    <row r="1687" spans="1:26" x14ac:dyDescent="0.3">
      <c r="A1687">
        <v>1686</v>
      </c>
      <c r="B1687" s="2">
        <f t="shared" si="182"/>
        <v>45362.208333333336</v>
      </c>
      <c r="C1687" t="s">
        <v>3874</v>
      </c>
      <c r="D1687" t="s">
        <v>45</v>
      </c>
      <c r="E1687" t="str">
        <f>PROPER(TRIM(CLEAN(Sales_Table[[#This Row],[Region]])))</f>
        <v>North</v>
      </c>
      <c r="F1687" t="s">
        <v>46</v>
      </c>
      <c r="G1687" t="str">
        <f t="shared" si="183"/>
        <v>Electronics</v>
      </c>
      <c r="H1687" t="str">
        <f>PROPER(TRIM(CLEAN(Sales_Table[[#This Row],[Product Name]])))</f>
        <v>Mixer Grinder</v>
      </c>
      <c r="I1687" t="s">
        <v>29</v>
      </c>
      <c r="J1687" t="str">
        <f t="shared" si="184"/>
        <v>CUST0319</v>
      </c>
      <c r="K1687" t="s">
        <v>3875</v>
      </c>
      <c r="L1687" t="str">
        <f>PROPER(TRIM(CLEAN(Sales_Table[[#This Row],[Salesperson]])))</f>
        <v>Rahul</v>
      </c>
      <c r="M1687" t="s">
        <v>31</v>
      </c>
      <c r="N1687" t="str">
        <f t="shared" si="185"/>
        <v>Cash</v>
      </c>
      <c r="O1687" t="s">
        <v>32</v>
      </c>
      <c r="P1687">
        <f t="shared" si="186"/>
        <v>1</v>
      </c>
      <c r="Q1687" t="s">
        <v>93</v>
      </c>
      <c r="R1687">
        <f t="shared" si="187"/>
        <v>4315</v>
      </c>
      <c r="S1687" t="s">
        <v>579</v>
      </c>
      <c r="T1687">
        <f t="shared" si="188"/>
        <v>4315</v>
      </c>
      <c r="U1687">
        <f>YEAR(Sales_Table[[#This Row],[Date_clean]])</f>
        <v>2024</v>
      </c>
      <c r="V1687" t="str">
        <f>TEXT(Sales_Table[[#This Row],[Date_clean]],"mmmm")</f>
        <v>March</v>
      </c>
      <c r="W1687">
        <f>WEEKNUM(Sales_Table[[#This Row],[Date_clean]],2)</f>
        <v>11</v>
      </c>
      <c r="X1687" t="str" cm="1">
        <f t="array" ref="X1687">_xlfn.IFS(Sales_Table[[#This Row],[Revenue]]&gt;=50000,"High",Sales_Table[[#This Row],[Revenue]]&gt;=20000,"Medium",Sales_Table[[#This Row],[Revenue]]&lt;20000,"Low")</f>
        <v>Low</v>
      </c>
      <c r="Y1687" t="str">
        <f>IF(Sales_Table[[#This Row],[Payment Method_clean]]="cash","Offline","Online")</f>
        <v>Offline</v>
      </c>
      <c r="Z1687">
        <f>IFERROR(Sales_Table[[#This Row],[Revenue]],0)</f>
        <v>4315</v>
      </c>
    </row>
    <row r="1688" spans="1:26" x14ac:dyDescent="0.3">
      <c r="A1688">
        <v>1687</v>
      </c>
      <c r="B1688" s="2">
        <f t="shared" si="182"/>
        <v>45362.25</v>
      </c>
      <c r="C1688" t="s">
        <v>3876</v>
      </c>
      <c r="D1688" t="s">
        <v>36</v>
      </c>
      <c r="E1688" t="str">
        <f>PROPER(TRIM(CLEAN(Sales_Table[[#This Row],[Region]])))</f>
        <v>West</v>
      </c>
      <c r="F1688" t="s">
        <v>78</v>
      </c>
      <c r="G1688" t="str">
        <f t="shared" si="183"/>
        <v>Grocery</v>
      </c>
      <c r="H1688" t="str">
        <f>PROPER(TRIM(CLEAN(Sales_Table[[#This Row],[Product Name]])))</f>
        <v>Mixer Grinder</v>
      </c>
      <c r="I1688" t="s">
        <v>29</v>
      </c>
      <c r="J1688" t="str">
        <f t="shared" si="184"/>
        <v>CUST0441</v>
      </c>
      <c r="K1688" t="s">
        <v>2691</v>
      </c>
      <c r="L1688" t="str">
        <f>PROPER(TRIM(CLEAN(Sales_Table[[#This Row],[Salesperson]])))</f>
        <v>Rahul</v>
      </c>
      <c r="M1688" t="s">
        <v>31</v>
      </c>
      <c r="N1688" t="str">
        <f t="shared" si="185"/>
        <v>Net Banking</v>
      </c>
      <c r="O1688" t="s">
        <v>60</v>
      </c>
      <c r="P1688">
        <f t="shared" si="186"/>
        <v>14</v>
      </c>
      <c r="Q1688" t="s">
        <v>55</v>
      </c>
      <c r="R1688">
        <f t="shared" si="187"/>
        <v>2038</v>
      </c>
      <c r="S1688" t="s">
        <v>3877</v>
      </c>
      <c r="T1688">
        <f t="shared" si="188"/>
        <v>28532</v>
      </c>
      <c r="U1688">
        <f>YEAR(Sales_Table[[#This Row],[Date_clean]])</f>
        <v>2024</v>
      </c>
      <c r="V1688" t="str">
        <f>TEXT(Sales_Table[[#This Row],[Date_clean]],"mmmm")</f>
        <v>March</v>
      </c>
      <c r="W1688">
        <f>WEEKNUM(Sales_Table[[#This Row],[Date_clean]],2)</f>
        <v>11</v>
      </c>
      <c r="X1688" t="str" cm="1">
        <f t="array" ref="X1688">_xlfn.IFS(Sales_Table[[#This Row],[Revenue]]&gt;=50000,"High",Sales_Table[[#This Row],[Revenue]]&gt;=20000,"Medium",Sales_Table[[#This Row],[Revenue]]&lt;20000,"Low")</f>
        <v>Medium</v>
      </c>
      <c r="Y1688" t="str">
        <f>IF(Sales_Table[[#This Row],[Payment Method_clean]]="cash","Offline","Online")</f>
        <v>Online</v>
      </c>
      <c r="Z1688">
        <f>IFERROR(Sales_Table[[#This Row],[Revenue]],0)</f>
        <v>28532</v>
      </c>
    </row>
    <row r="1689" spans="1:26" x14ac:dyDescent="0.3">
      <c r="A1689">
        <v>1688</v>
      </c>
      <c r="B1689" s="2">
        <f t="shared" si="182"/>
        <v>45362.291666666664</v>
      </c>
      <c r="C1689" t="s">
        <v>3878</v>
      </c>
      <c r="D1689" t="s">
        <v>45</v>
      </c>
      <c r="E1689" t="str">
        <f>PROPER(TRIM(CLEAN(Sales_Table[[#This Row],[Region]])))</f>
        <v>North</v>
      </c>
      <c r="F1689" t="s">
        <v>46</v>
      </c>
      <c r="G1689" t="str">
        <f t="shared" si="183"/>
        <v>Electronics</v>
      </c>
      <c r="H1689" t="str">
        <f>PROPER(TRIM(CLEAN(Sales_Table[[#This Row],[Product Name]])))</f>
        <v>Washing Machine</v>
      </c>
      <c r="I1689" t="s">
        <v>79</v>
      </c>
      <c r="J1689" t="str">
        <f t="shared" si="184"/>
        <v>CUST0092</v>
      </c>
      <c r="K1689" t="s">
        <v>168</v>
      </c>
      <c r="L1689" t="str">
        <f>PROPER(TRIM(CLEAN(Sales_Table[[#This Row],[Salesperson]])))</f>
        <v>Suresh</v>
      </c>
      <c r="M1689" t="s">
        <v>54</v>
      </c>
      <c r="N1689" t="str">
        <f t="shared" si="185"/>
        <v>Upi</v>
      </c>
      <c r="O1689" t="s">
        <v>48</v>
      </c>
      <c r="P1689">
        <f t="shared" si="186"/>
        <v>12</v>
      </c>
      <c r="Q1689" t="s">
        <v>33</v>
      </c>
      <c r="R1689">
        <f t="shared" si="187"/>
        <v>3914</v>
      </c>
      <c r="S1689" t="s">
        <v>3092</v>
      </c>
      <c r="T1689">
        <f t="shared" si="188"/>
        <v>46968</v>
      </c>
      <c r="U1689">
        <f>YEAR(Sales_Table[[#This Row],[Date_clean]])</f>
        <v>2024</v>
      </c>
      <c r="V1689" t="str">
        <f>TEXT(Sales_Table[[#This Row],[Date_clean]],"mmmm")</f>
        <v>March</v>
      </c>
      <c r="W1689">
        <f>WEEKNUM(Sales_Table[[#This Row],[Date_clean]],2)</f>
        <v>11</v>
      </c>
      <c r="X1689" t="str" cm="1">
        <f t="array" ref="X1689">_xlfn.IFS(Sales_Table[[#This Row],[Revenue]]&gt;=50000,"High",Sales_Table[[#This Row],[Revenue]]&gt;=20000,"Medium",Sales_Table[[#This Row],[Revenue]]&lt;20000,"Low")</f>
        <v>Medium</v>
      </c>
      <c r="Y1689" t="str">
        <f>IF(Sales_Table[[#This Row],[Payment Method_clean]]="cash","Offline","Online")</f>
        <v>Online</v>
      </c>
      <c r="Z1689">
        <f>IFERROR(Sales_Table[[#This Row],[Revenue]],0)</f>
        <v>46968</v>
      </c>
    </row>
    <row r="1690" spans="1:26" x14ac:dyDescent="0.3">
      <c r="A1690">
        <v>1689</v>
      </c>
      <c r="B1690" s="2">
        <f t="shared" si="182"/>
        <v>45362.333333333336</v>
      </c>
      <c r="C1690" t="s">
        <v>3879</v>
      </c>
      <c r="D1690" t="s">
        <v>45</v>
      </c>
      <c r="E1690" t="str">
        <f>PROPER(TRIM(CLEAN(Sales_Table[[#This Row],[Region]])))</f>
        <v>North</v>
      </c>
      <c r="F1690" t="s">
        <v>46</v>
      </c>
      <c r="G1690" t="str">
        <f t="shared" si="183"/>
        <v>Electronics</v>
      </c>
      <c r="H1690" t="str">
        <f>PROPER(TRIM(CLEAN(Sales_Table[[#This Row],[Product Name]])))</f>
        <v>Men T-Shirt</v>
      </c>
      <c r="I1690" t="s">
        <v>38</v>
      </c>
      <c r="J1690" t="str">
        <f t="shared" si="184"/>
        <v>CUST0179</v>
      </c>
      <c r="K1690" t="s">
        <v>862</v>
      </c>
      <c r="L1690" t="str">
        <f>PROPER(TRIM(CLEAN(Sales_Table[[#This Row],[Salesperson]])))</f>
        <v>Rahul</v>
      </c>
      <c r="M1690" t="s">
        <v>31</v>
      </c>
      <c r="N1690" t="str">
        <f t="shared" si="185"/>
        <v>Credit Card</v>
      </c>
      <c r="O1690" t="s">
        <v>65</v>
      </c>
      <c r="P1690">
        <f t="shared" si="186"/>
        <v>11</v>
      </c>
      <c r="Q1690" t="s">
        <v>97</v>
      </c>
      <c r="R1690">
        <f t="shared" si="187"/>
        <v>3462</v>
      </c>
      <c r="S1690" t="s">
        <v>3880</v>
      </c>
      <c r="T1690">
        <f t="shared" si="188"/>
        <v>38082</v>
      </c>
      <c r="U1690">
        <f>YEAR(Sales_Table[[#This Row],[Date_clean]])</f>
        <v>2024</v>
      </c>
      <c r="V1690" t="str">
        <f>TEXT(Sales_Table[[#This Row],[Date_clean]],"mmmm")</f>
        <v>March</v>
      </c>
      <c r="W1690">
        <f>WEEKNUM(Sales_Table[[#This Row],[Date_clean]],2)</f>
        <v>11</v>
      </c>
      <c r="X1690" t="str" cm="1">
        <f t="array" ref="X1690">_xlfn.IFS(Sales_Table[[#This Row],[Revenue]]&gt;=50000,"High",Sales_Table[[#This Row],[Revenue]]&gt;=20000,"Medium",Sales_Table[[#This Row],[Revenue]]&lt;20000,"Low")</f>
        <v>Medium</v>
      </c>
      <c r="Y1690" t="str">
        <f>IF(Sales_Table[[#This Row],[Payment Method_clean]]="cash","Offline","Online")</f>
        <v>Online</v>
      </c>
      <c r="Z1690">
        <f>IFERROR(Sales_Table[[#This Row],[Revenue]],0)</f>
        <v>38082</v>
      </c>
    </row>
    <row r="1691" spans="1:26" x14ac:dyDescent="0.3">
      <c r="A1691">
        <v>1690</v>
      </c>
      <c r="B1691" s="2">
        <f t="shared" si="182"/>
        <v>45362.375</v>
      </c>
      <c r="C1691" t="s">
        <v>3881</v>
      </c>
      <c r="D1691" t="s">
        <v>36</v>
      </c>
      <c r="E1691" t="str">
        <f>PROPER(TRIM(CLEAN(Sales_Table[[#This Row],[Region]])))</f>
        <v>West</v>
      </c>
      <c r="F1691" t="s">
        <v>37</v>
      </c>
      <c r="G1691" t="str">
        <f t="shared" si="183"/>
        <v>Home Appliances</v>
      </c>
      <c r="H1691" t="str">
        <f>PROPER(TRIM(CLEAN(Sales_Table[[#This Row],[Product Name]])))</f>
        <v>Rice 5Kg</v>
      </c>
      <c r="I1691" t="s">
        <v>73</v>
      </c>
      <c r="J1691" t="str">
        <f t="shared" si="184"/>
        <v>CUST0056</v>
      </c>
      <c r="K1691" t="s">
        <v>419</v>
      </c>
      <c r="L1691" t="str">
        <f>PROPER(TRIM(CLEAN(Sales_Table[[#This Row],[Salesperson]])))</f>
        <v>Karthik</v>
      </c>
      <c r="M1691" t="s">
        <v>70</v>
      </c>
      <c r="N1691" t="str">
        <f t="shared" si="185"/>
        <v>Net Banking</v>
      </c>
      <c r="O1691" t="s">
        <v>60</v>
      </c>
      <c r="P1691">
        <f t="shared" si="186"/>
        <v>6</v>
      </c>
      <c r="Q1691" t="s">
        <v>75</v>
      </c>
      <c r="R1691">
        <f t="shared" si="187"/>
        <v>4683</v>
      </c>
      <c r="S1691" t="s">
        <v>3882</v>
      </c>
      <c r="T1691">
        <f t="shared" si="188"/>
        <v>28098</v>
      </c>
      <c r="U1691">
        <f>YEAR(Sales_Table[[#This Row],[Date_clean]])</f>
        <v>2024</v>
      </c>
      <c r="V1691" t="str">
        <f>TEXT(Sales_Table[[#This Row],[Date_clean]],"mmmm")</f>
        <v>March</v>
      </c>
      <c r="W1691">
        <f>WEEKNUM(Sales_Table[[#This Row],[Date_clean]],2)</f>
        <v>11</v>
      </c>
      <c r="X1691" t="str" cm="1">
        <f t="array" ref="X1691">_xlfn.IFS(Sales_Table[[#This Row],[Revenue]]&gt;=50000,"High",Sales_Table[[#This Row],[Revenue]]&gt;=20000,"Medium",Sales_Table[[#This Row],[Revenue]]&lt;20000,"Low")</f>
        <v>Medium</v>
      </c>
      <c r="Y1691" t="str">
        <f>IF(Sales_Table[[#This Row],[Payment Method_clean]]="cash","Offline","Online")</f>
        <v>Online</v>
      </c>
      <c r="Z1691">
        <f>IFERROR(Sales_Table[[#This Row],[Revenue]],0)</f>
        <v>28098</v>
      </c>
    </row>
    <row r="1692" spans="1:26" x14ac:dyDescent="0.3">
      <c r="A1692">
        <v>1691</v>
      </c>
      <c r="B1692" s="2">
        <f t="shared" si="182"/>
        <v>45362.416666666664</v>
      </c>
      <c r="C1692" t="s">
        <v>3883</v>
      </c>
      <c r="D1692" t="s">
        <v>84</v>
      </c>
      <c r="E1692" t="str">
        <f>PROPER(TRIM(CLEAN(Sales_Table[[#This Row],[Region]])))</f>
        <v>South</v>
      </c>
      <c r="F1692" t="s">
        <v>46</v>
      </c>
      <c r="G1692" t="str">
        <f t="shared" si="183"/>
        <v>Electronics</v>
      </c>
      <c r="H1692" t="str">
        <f>PROPER(TRIM(CLEAN(Sales_Table[[#This Row],[Product Name]])))</f>
        <v>Men T-Shirt</v>
      </c>
      <c r="I1692" t="s">
        <v>38</v>
      </c>
      <c r="J1692" t="str">
        <f t="shared" si="184"/>
        <v>CUST0155</v>
      </c>
      <c r="K1692" t="s">
        <v>669</v>
      </c>
      <c r="L1692" t="str">
        <f>PROPER(TRIM(CLEAN(Sales_Table[[#This Row],[Salesperson]])))</f>
        <v>Suresh</v>
      </c>
      <c r="M1692" t="s">
        <v>54</v>
      </c>
      <c r="N1692" t="str">
        <f t="shared" si="185"/>
        <v>Cash</v>
      </c>
      <c r="O1692" t="s">
        <v>32</v>
      </c>
      <c r="P1692">
        <f t="shared" si="186"/>
        <v>10</v>
      </c>
      <c r="Q1692" t="s">
        <v>117</v>
      </c>
      <c r="R1692">
        <f t="shared" si="187"/>
        <v>3332</v>
      </c>
      <c r="S1692" t="s">
        <v>3884</v>
      </c>
      <c r="T1692">
        <f t="shared" si="188"/>
        <v>33320</v>
      </c>
      <c r="U1692">
        <f>YEAR(Sales_Table[[#This Row],[Date_clean]])</f>
        <v>2024</v>
      </c>
      <c r="V1692" t="str">
        <f>TEXT(Sales_Table[[#This Row],[Date_clean]],"mmmm")</f>
        <v>March</v>
      </c>
      <c r="W1692">
        <f>WEEKNUM(Sales_Table[[#This Row],[Date_clean]],2)</f>
        <v>11</v>
      </c>
      <c r="X1692" t="str" cm="1">
        <f t="array" ref="X1692">_xlfn.IFS(Sales_Table[[#This Row],[Revenue]]&gt;=50000,"High",Sales_Table[[#This Row],[Revenue]]&gt;=20000,"Medium",Sales_Table[[#This Row],[Revenue]]&lt;20000,"Low")</f>
        <v>Medium</v>
      </c>
      <c r="Y1692" t="str">
        <f>IF(Sales_Table[[#This Row],[Payment Method_clean]]="cash","Offline","Online")</f>
        <v>Offline</v>
      </c>
      <c r="Z1692">
        <f>IFERROR(Sales_Table[[#This Row],[Revenue]],0)</f>
        <v>33320</v>
      </c>
    </row>
    <row r="1693" spans="1:26" x14ac:dyDescent="0.3">
      <c r="A1693">
        <v>1692</v>
      </c>
      <c r="B1693" s="2">
        <f t="shared" si="182"/>
        <v>45362.458333333336</v>
      </c>
      <c r="C1693" t="s">
        <v>3885</v>
      </c>
      <c r="D1693" t="s">
        <v>84</v>
      </c>
      <c r="E1693" t="str">
        <f>PROPER(TRIM(CLEAN(Sales_Table[[#This Row],[Region]])))</f>
        <v>South</v>
      </c>
      <c r="F1693" t="s">
        <v>37</v>
      </c>
      <c r="G1693" t="str">
        <f t="shared" si="183"/>
        <v>Home Appliances</v>
      </c>
      <c r="H1693" t="str">
        <f>PROPER(TRIM(CLEAN(Sales_Table[[#This Row],[Product Name]])))</f>
        <v>Led Tv 42Inch</v>
      </c>
      <c r="I1693" t="s">
        <v>58</v>
      </c>
      <c r="J1693" t="str">
        <f t="shared" si="184"/>
        <v>CUST0672</v>
      </c>
      <c r="K1693" t="s">
        <v>1239</v>
      </c>
      <c r="L1693" t="str">
        <f>PROPER(TRIM(CLEAN(Sales_Table[[#This Row],[Salesperson]])))</f>
        <v>Rahul</v>
      </c>
      <c r="M1693" t="s">
        <v>31</v>
      </c>
      <c r="N1693" t="str">
        <f t="shared" si="185"/>
        <v>Cash</v>
      </c>
      <c r="O1693" t="s">
        <v>32</v>
      </c>
      <c r="P1693">
        <f t="shared" si="186"/>
        <v>3</v>
      </c>
      <c r="Q1693" t="s">
        <v>66</v>
      </c>
      <c r="R1693">
        <f t="shared" si="187"/>
        <v>3844</v>
      </c>
      <c r="S1693" t="s">
        <v>3886</v>
      </c>
      <c r="T1693">
        <f t="shared" si="188"/>
        <v>11532</v>
      </c>
      <c r="U1693">
        <f>YEAR(Sales_Table[[#This Row],[Date_clean]])</f>
        <v>2024</v>
      </c>
      <c r="V1693" t="str">
        <f>TEXT(Sales_Table[[#This Row],[Date_clean]],"mmmm")</f>
        <v>March</v>
      </c>
      <c r="W1693">
        <f>WEEKNUM(Sales_Table[[#This Row],[Date_clean]],2)</f>
        <v>11</v>
      </c>
      <c r="X1693" t="str" cm="1">
        <f t="array" ref="X1693">_xlfn.IFS(Sales_Table[[#This Row],[Revenue]]&gt;=50000,"High",Sales_Table[[#This Row],[Revenue]]&gt;=20000,"Medium",Sales_Table[[#This Row],[Revenue]]&lt;20000,"Low")</f>
        <v>Low</v>
      </c>
      <c r="Y1693" t="str">
        <f>IF(Sales_Table[[#This Row],[Payment Method_clean]]="cash","Offline","Online")</f>
        <v>Offline</v>
      </c>
      <c r="Z1693">
        <f>IFERROR(Sales_Table[[#This Row],[Revenue]],0)</f>
        <v>11532</v>
      </c>
    </row>
    <row r="1694" spans="1:26" x14ac:dyDescent="0.3">
      <c r="A1694">
        <v>1693</v>
      </c>
      <c r="B1694" s="2">
        <f t="shared" si="182"/>
        <v>45362.5</v>
      </c>
      <c r="C1694" t="s">
        <v>3887</v>
      </c>
      <c r="D1694" t="s">
        <v>36</v>
      </c>
      <c r="E1694" t="str">
        <f>PROPER(TRIM(CLEAN(Sales_Table[[#This Row],[Region]])))</f>
        <v>West</v>
      </c>
      <c r="F1694" t="s">
        <v>78</v>
      </c>
      <c r="G1694" t="str">
        <f t="shared" si="183"/>
        <v>Grocery</v>
      </c>
      <c r="H1694" t="str">
        <f>PROPER(TRIM(CLEAN(Sales_Table[[#This Row],[Product Name]])))</f>
        <v>Men T-Shirt</v>
      </c>
      <c r="I1694" t="s">
        <v>38</v>
      </c>
      <c r="J1694" t="str">
        <f t="shared" si="184"/>
        <v>CUST0111</v>
      </c>
      <c r="K1694" t="s">
        <v>1408</v>
      </c>
      <c r="L1694" t="str">
        <f>PROPER(TRIM(CLEAN(Sales_Table[[#This Row],[Salesperson]])))</f>
        <v>Anita</v>
      </c>
      <c r="M1694" t="s">
        <v>64</v>
      </c>
      <c r="N1694" t="str">
        <f t="shared" si="185"/>
        <v>Cash</v>
      </c>
      <c r="O1694" t="s">
        <v>32</v>
      </c>
      <c r="P1694">
        <f t="shared" si="186"/>
        <v>4</v>
      </c>
      <c r="Q1694" t="s">
        <v>113</v>
      </c>
      <c r="R1694">
        <f t="shared" si="187"/>
        <v>3565</v>
      </c>
      <c r="S1694" t="s">
        <v>558</v>
      </c>
      <c r="T1694">
        <f t="shared" si="188"/>
        <v>14260</v>
      </c>
      <c r="U1694">
        <f>YEAR(Sales_Table[[#This Row],[Date_clean]])</f>
        <v>2024</v>
      </c>
      <c r="V1694" t="str">
        <f>TEXT(Sales_Table[[#This Row],[Date_clean]],"mmmm")</f>
        <v>March</v>
      </c>
      <c r="W1694">
        <f>WEEKNUM(Sales_Table[[#This Row],[Date_clean]],2)</f>
        <v>11</v>
      </c>
      <c r="X1694" t="str" cm="1">
        <f t="array" ref="X1694">_xlfn.IFS(Sales_Table[[#This Row],[Revenue]]&gt;=50000,"High",Sales_Table[[#This Row],[Revenue]]&gt;=20000,"Medium",Sales_Table[[#This Row],[Revenue]]&lt;20000,"Low")</f>
        <v>Low</v>
      </c>
      <c r="Y1694" t="str">
        <f>IF(Sales_Table[[#This Row],[Payment Method_clean]]="cash","Offline","Online")</f>
        <v>Offline</v>
      </c>
      <c r="Z1694">
        <f>IFERROR(Sales_Table[[#This Row],[Revenue]],0)</f>
        <v>14260</v>
      </c>
    </row>
    <row r="1695" spans="1:26" x14ac:dyDescent="0.3">
      <c r="A1695">
        <v>1694</v>
      </c>
      <c r="B1695" s="2">
        <f t="shared" si="182"/>
        <v>45362.541666666664</v>
      </c>
      <c r="C1695" t="s">
        <v>3888</v>
      </c>
      <c r="D1695" t="s">
        <v>27</v>
      </c>
      <c r="E1695" t="str">
        <f>PROPER(TRIM(CLEAN(Sales_Table[[#This Row],[Region]])))</f>
        <v>East</v>
      </c>
      <c r="F1695" t="s">
        <v>37</v>
      </c>
      <c r="G1695" t="str">
        <f t="shared" si="183"/>
        <v>Home Appliances</v>
      </c>
      <c r="H1695" t="str">
        <f>PROPER(TRIM(CLEAN(Sales_Table[[#This Row],[Product Name]])))</f>
        <v>Mixer Grinder</v>
      </c>
      <c r="I1695" t="s">
        <v>29</v>
      </c>
      <c r="J1695" t="str">
        <f t="shared" si="184"/>
        <v>CUST0137</v>
      </c>
      <c r="K1695" t="s">
        <v>1725</v>
      </c>
      <c r="L1695" t="str">
        <f>PROPER(TRIM(CLEAN(Sales_Table[[#This Row],[Salesperson]])))</f>
        <v>Anita</v>
      </c>
      <c r="M1695" t="s">
        <v>64</v>
      </c>
      <c r="N1695" t="str">
        <f t="shared" si="185"/>
        <v>Cash</v>
      </c>
      <c r="O1695" t="s">
        <v>32</v>
      </c>
      <c r="P1695">
        <f t="shared" si="186"/>
        <v>6</v>
      </c>
      <c r="Q1695" t="s">
        <v>75</v>
      </c>
      <c r="R1695">
        <f t="shared" si="187"/>
        <v>540</v>
      </c>
      <c r="S1695" t="s">
        <v>2871</v>
      </c>
      <c r="T1695">
        <f t="shared" si="188"/>
        <v>3240</v>
      </c>
      <c r="U1695">
        <f>YEAR(Sales_Table[[#This Row],[Date_clean]])</f>
        <v>2024</v>
      </c>
      <c r="V1695" t="str">
        <f>TEXT(Sales_Table[[#This Row],[Date_clean]],"mmmm")</f>
        <v>March</v>
      </c>
      <c r="W1695">
        <f>WEEKNUM(Sales_Table[[#This Row],[Date_clean]],2)</f>
        <v>11</v>
      </c>
      <c r="X1695" t="str" cm="1">
        <f t="array" ref="X1695">_xlfn.IFS(Sales_Table[[#This Row],[Revenue]]&gt;=50000,"High",Sales_Table[[#This Row],[Revenue]]&gt;=20000,"Medium",Sales_Table[[#This Row],[Revenue]]&lt;20000,"Low")</f>
        <v>Low</v>
      </c>
      <c r="Y1695" t="str">
        <f>IF(Sales_Table[[#This Row],[Payment Method_clean]]="cash","Offline","Online")</f>
        <v>Offline</v>
      </c>
      <c r="Z1695">
        <f>IFERROR(Sales_Table[[#This Row],[Revenue]],0)</f>
        <v>3240</v>
      </c>
    </row>
    <row r="1696" spans="1:26" x14ac:dyDescent="0.3">
      <c r="A1696">
        <v>1695</v>
      </c>
      <c r="B1696" s="2">
        <f t="shared" si="182"/>
        <v>45362.583333333336</v>
      </c>
      <c r="C1696" t="s">
        <v>3889</v>
      </c>
      <c r="D1696" t="s">
        <v>45</v>
      </c>
      <c r="E1696" t="str">
        <f>PROPER(TRIM(CLEAN(Sales_Table[[#This Row],[Region]])))</f>
        <v>North</v>
      </c>
      <c r="F1696" t="s">
        <v>37</v>
      </c>
      <c r="G1696" t="str">
        <f t="shared" si="183"/>
        <v>Home Appliances</v>
      </c>
      <c r="H1696" t="str">
        <f>PROPER(TRIM(CLEAN(Sales_Table[[#This Row],[Product Name]])))</f>
        <v>Rice 5Kg</v>
      </c>
      <c r="I1696" t="s">
        <v>73</v>
      </c>
      <c r="J1696" t="str">
        <f t="shared" si="184"/>
        <v>CUST0232</v>
      </c>
      <c r="K1696" t="s">
        <v>1552</v>
      </c>
      <c r="L1696" t="str">
        <f>PROPER(TRIM(CLEAN(Sales_Table[[#This Row],[Salesperson]])))</f>
        <v>Karthik</v>
      </c>
      <c r="M1696" t="s">
        <v>70</v>
      </c>
      <c r="N1696" t="str">
        <f t="shared" si="185"/>
        <v>Credit Card</v>
      </c>
      <c r="O1696" t="s">
        <v>65</v>
      </c>
      <c r="P1696">
        <f t="shared" si="186"/>
        <v>8</v>
      </c>
      <c r="Q1696" t="s">
        <v>42</v>
      </c>
      <c r="R1696">
        <f t="shared" si="187"/>
        <v>3711</v>
      </c>
      <c r="S1696" t="s">
        <v>2966</v>
      </c>
      <c r="T1696">
        <f t="shared" si="188"/>
        <v>29688</v>
      </c>
      <c r="U1696">
        <f>YEAR(Sales_Table[[#This Row],[Date_clean]])</f>
        <v>2024</v>
      </c>
      <c r="V1696" t="str">
        <f>TEXT(Sales_Table[[#This Row],[Date_clean]],"mmmm")</f>
        <v>March</v>
      </c>
      <c r="W1696">
        <f>WEEKNUM(Sales_Table[[#This Row],[Date_clean]],2)</f>
        <v>11</v>
      </c>
      <c r="X1696" t="str" cm="1">
        <f t="array" ref="X1696">_xlfn.IFS(Sales_Table[[#This Row],[Revenue]]&gt;=50000,"High",Sales_Table[[#This Row],[Revenue]]&gt;=20000,"Medium",Sales_Table[[#This Row],[Revenue]]&lt;20000,"Low")</f>
        <v>Medium</v>
      </c>
      <c r="Y1696" t="str">
        <f>IF(Sales_Table[[#This Row],[Payment Method_clean]]="cash","Offline","Online")</f>
        <v>Online</v>
      </c>
      <c r="Z1696">
        <f>IFERROR(Sales_Table[[#This Row],[Revenue]],0)</f>
        <v>29688</v>
      </c>
    </row>
    <row r="1697" spans="1:26" x14ac:dyDescent="0.3">
      <c r="A1697">
        <v>1696</v>
      </c>
      <c r="B1697" s="2">
        <f t="shared" si="182"/>
        <v>45362.625</v>
      </c>
      <c r="C1697" t="s">
        <v>3890</v>
      </c>
      <c r="D1697" t="s">
        <v>36</v>
      </c>
      <c r="E1697" t="str">
        <f>PROPER(TRIM(CLEAN(Sales_Table[[#This Row],[Region]])))</f>
        <v>West</v>
      </c>
      <c r="F1697" t="s">
        <v>28</v>
      </c>
      <c r="G1697" t="str">
        <f t="shared" si="183"/>
        <v>Clothing</v>
      </c>
      <c r="H1697" t="str">
        <f>PROPER(TRIM(CLEAN(Sales_Table[[#This Row],[Product Name]])))</f>
        <v>Men T-Shirt</v>
      </c>
      <c r="I1697" t="s">
        <v>38</v>
      </c>
      <c r="J1697" t="str">
        <f t="shared" si="184"/>
        <v>CUST0468</v>
      </c>
      <c r="K1697" t="s">
        <v>652</v>
      </c>
      <c r="L1697" t="str">
        <f>PROPER(TRIM(CLEAN(Sales_Table[[#This Row],[Salesperson]])))</f>
        <v>Suresh</v>
      </c>
      <c r="M1697" t="s">
        <v>54</v>
      </c>
      <c r="N1697" t="str">
        <f t="shared" si="185"/>
        <v>Debit Card</v>
      </c>
      <c r="O1697" t="s">
        <v>41</v>
      </c>
      <c r="P1697">
        <f t="shared" si="186"/>
        <v>9</v>
      </c>
      <c r="Q1697" t="s">
        <v>130</v>
      </c>
      <c r="R1697">
        <f t="shared" si="187"/>
        <v>561</v>
      </c>
      <c r="S1697" t="s">
        <v>433</v>
      </c>
      <c r="T1697">
        <f t="shared" si="188"/>
        <v>5049</v>
      </c>
      <c r="U1697">
        <f>YEAR(Sales_Table[[#This Row],[Date_clean]])</f>
        <v>2024</v>
      </c>
      <c r="V1697" t="str">
        <f>TEXT(Sales_Table[[#This Row],[Date_clean]],"mmmm")</f>
        <v>March</v>
      </c>
      <c r="W1697">
        <f>WEEKNUM(Sales_Table[[#This Row],[Date_clean]],2)</f>
        <v>11</v>
      </c>
      <c r="X1697" t="str" cm="1">
        <f t="array" ref="X1697">_xlfn.IFS(Sales_Table[[#This Row],[Revenue]]&gt;=50000,"High",Sales_Table[[#This Row],[Revenue]]&gt;=20000,"Medium",Sales_Table[[#This Row],[Revenue]]&lt;20000,"Low")</f>
        <v>Low</v>
      </c>
      <c r="Y1697" t="str">
        <f>IF(Sales_Table[[#This Row],[Payment Method_clean]]="cash","Offline","Online")</f>
        <v>Online</v>
      </c>
      <c r="Z1697">
        <f>IFERROR(Sales_Table[[#This Row],[Revenue]],0)</f>
        <v>5049</v>
      </c>
    </row>
    <row r="1698" spans="1:26" x14ac:dyDescent="0.3">
      <c r="A1698">
        <v>1697</v>
      </c>
      <c r="B1698" s="2">
        <f t="shared" si="182"/>
        <v>45362.666666666664</v>
      </c>
      <c r="C1698" t="s">
        <v>3891</v>
      </c>
      <c r="D1698" t="s">
        <v>45</v>
      </c>
      <c r="E1698" t="str">
        <f>PROPER(TRIM(CLEAN(Sales_Table[[#This Row],[Region]])))</f>
        <v>North</v>
      </c>
      <c r="F1698" t="s">
        <v>46</v>
      </c>
      <c r="G1698" t="str">
        <f t="shared" si="183"/>
        <v>Electronics</v>
      </c>
      <c r="H1698" t="str">
        <f>PROPER(TRIM(CLEAN(Sales_Table[[#This Row],[Product Name]])))</f>
        <v>Rice 5Kg</v>
      </c>
      <c r="I1698" t="s">
        <v>73</v>
      </c>
      <c r="J1698" t="str">
        <f t="shared" si="184"/>
        <v>CUST0732</v>
      </c>
      <c r="K1698" t="s">
        <v>1973</v>
      </c>
      <c r="L1698" t="str">
        <f>PROPER(TRIM(CLEAN(Sales_Table[[#This Row],[Salesperson]])))</f>
        <v>Rahul</v>
      </c>
      <c r="M1698" t="s">
        <v>31</v>
      </c>
      <c r="N1698" t="str">
        <f t="shared" si="185"/>
        <v>Upi</v>
      </c>
      <c r="O1698" t="s">
        <v>48</v>
      </c>
      <c r="P1698">
        <f t="shared" si="186"/>
        <v>6</v>
      </c>
      <c r="Q1698" t="s">
        <v>75</v>
      </c>
      <c r="R1698">
        <f t="shared" si="187"/>
        <v>711</v>
      </c>
      <c r="S1698" t="s">
        <v>2665</v>
      </c>
      <c r="T1698">
        <f t="shared" si="188"/>
        <v>4266</v>
      </c>
      <c r="U1698">
        <f>YEAR(Sales_Table[[#This Row],[Date_clean]])</f>
        <v>2024</v>
      </c>
      <c r="V1698" t="str">
        <f>TEXT(Sales_Table[[#This Row],[Date_clean]],"mmmm")</f>
        <v>March</v>
      </c>
      <c r="W1698">
        <f>WEEKNUM(Sales_Table[[#This Row],[Date_clean]],2)</f>
        <v>11</v>
      </c>
      <c r="X1698" t="str" cm="1">
        <f t="array" ref="X1698">_xlfn.IFS(Sales_Table[[#This Row],[Revenue]]&gt;=50000,"High",Sales_Table[[#This Row],[Revenue]]&gt;=20000,"Medium",Sales_Table[[#This Row],[Revenue]]&lt;20000,"Low")</f>
        <v>Low</v>
      </c>
      <c r="Y1698" t="str">
        <f>IF(Sales_Table[[#This Row],[Payment Method_clean]]="cash","Offline","Online")</f>
        <v>Online</v>
      </c>
      <c r="Z1698">
        <f>IFERROR(Sales_Table[[#This Row],[Revenue]],0)</f>
        <v>4266</v>
      </c>
    </row>
    <row r="1699" spans="1:26" x14ac:dyDescent="0.3">
      <c r="A1699">
        <v>1698</v>
      </c>
      <c r="B1699" s="2">
        <f t="shared" si="182"/>
        <v>45362.708333333336</v>
      </c>
      <c r="C1699" t="s">
        <v>3892</v>
      </c>
      <c r="D1699" t="s">
        <v>27</v>
      </c>
      <c r="E1699" t="str">
        <f>PROPER(TRIM(CLEAN(Sales_Table[[#This Row],[Region]])))</f>
        <v>East</v>
      </c>
      <c r="F1699" t="s">
        <v>78</v>
      </c>
      <c r="G1699" t="str">
        <f t="shared" si="183"/>
        <v>Grocery</v>
      </c>
      <c r="H1699" t="str">
        <f>PROPER(TRIM(CLEAN(Sales_Table[[#This Row],[Product Name]])))</f>
        <v>Rice 5Kg</v>
      </c>
      <c r="I1699" t="s">
        <v>73</v>
      </c>
      <c r="J1699" t="str">
        <f t="shared" si="184"/>
        <v>CUST0481</v>
      </c>
      <c r="K1699" t="s">
        <v>1375</v>
      </c>
      <c r="L1699" t="str">
        <f>PROPER(TRIM(CLEAN(Sales_Table[[#This Row],[Salesperson]])))</f>
        <v>Rahul</v>
      </c>
      <c r="M1699" t="s">
        <v>31</v>
      </c>
      <c r="N1699" t="str">
        <f t="shared" si="185"/>
        <v>Credit Card</v>
      </c>
      <c r="O1699" t="s">
        <v>65</v>
      </c>
      <c r="P1699">
        <f t="shared" si="186"/>
        <v>7</v>
      </c>
      <c r="Q1699" t="s">
        <v>49</v>
      </c>
      <c r="R1699">
        <f t="shared" si="187"/>
        <v>3571</v>
      </c>
      <c r="S1699" t="s">
        <v>3893</v>
      </c>
      <c r="T1699">
        <f t="shared" si="188"/>
        <v>24997</v>
      </c>
      <c r="U1699">
        <f>YEAR(Sales_Table[[#This Row],[Date_clean]])</f>
        <v>2024</v>
      </c>
      <c r="V1699" t="str">
        <f>TEXT(Sales_Table[[#This Row],[Date_clean]],"mmmm")</f>
        <v>March</v>
      </c>
      <c r="W1699">
        <f>WEEKNUM(Sales_Table[[#This Row],[Date_clean]],2)</f>
        <v>11</v>
      </c>
      <c r="X1699" t="str" cm="1">
        <f t="array" ref="X1699">_xlfn.IFS(Sales_Table[[#This Row],[Revenue]]&gt;=50000,"High",Sales_Table[[#This Row],[Revenue]]&gt;=20000,"Medium",Sales_Table[[#This Row],[Revenue]]&lt;20000,"Low")</f>
        <v>Medium</v>
      </c>
      <c r="Y1699" t="str">
        <f>IF(Sales_Table[[#This Row],[Payment Method_clean]]="cash","Offline","Online")</f>
        <v>Online</v>
      </c>
      <c r="Z1699">
        <f>IFERROR(Sales_Table[[#This Row],[Revenue]],0)</f>
        <v>24997</v>
      </c>
    </row>
    <row r="1700" spans="1:26" x14ac:dyDescent="0.3">
      <c r="A1700">
        <v>1699</v>
      </c>
      <c r="B1700" s="2">
        <f t="shared" si="182"/>
        <v>45362.75</v>
      </c>
      <c r="C1700" t="s">
        <v>3894</v>
      </c>
      <c r="D1700" t="s">
        <v>45</v>
      </c>
      <c r="E1700" t="str">
        <f>PROPER(TRIM(CLEAN(Sales_Table[[#This Row],[Region]])))</f>
        <v>North</v>
      </c>
      <c r="F1700" t="s">
        <v>37</v>
      </c>
      <c r="G1700" t="str">
        <f t="shared" si="183"/>
        <v>Home Appliances</v>
      </c>
      <c r="H1700" t="str">
        <f>PROPER(TRIM(CLEAN(Sales_Table[[#This Row],[Product Name]])))</f>
        <v>Led Tv 42Inch</v>
      </c>
      <c r="I1700" t="s">
        <v>58</v>
      </c>
      <c r="J1700" t="str">
        <f t="shared" si="184"/>
        <v>CUST0068</v>
      </c>
      <c r="K1700" t="s">
        <v>584</v>
      </c>
      <c r="L1700" t="str">
        <f>PROPER(TRIM(CLEAN(Sales_Table[[#This Row],[Salesperson]])))</f>
        <v>Anita</v>
      </c>
      <c r="M1700" t="s">
        <v>64</v>
      </c>
      <c r="N1700" t="str">
        <f t="shared" si="185"/>
        <v>Cash</v>
      </c>
      <c r="O1700" t="s">
        <v>32</v>
      </c>
      <c r="P1700">
        <f t="shared" si="186"/>
        <v>14</v>
      </c>
      <c r="Q1700" t="s">
        <v>55</v>
      </c>
      <c r="R1700">
        <f t="shared" si="187"/>
        <v>3263</v>
      </c>
      <c r="S1700" t="s">
        <v>3895</v>
      </c>
      <c r="T1700">
        <f t="shared" si="188"/>
        <v>45682</v>
      </c>
      <c r="U1700">
        <f>YEAR(Sales_Table[[#This Row],[Date_clean]])</f>
        <v>2024</v>
      </c>
      <c r="V1700" t="str">
        <f>TEXT(Sales_Table[[#This Row],[Date_clean]],"mmmm")</f>
        <v>March</v>
      </c>
      <c r="W1700">
        <f>WEEKNUM(Sales_Table[[#This Row],[Date_clean]],2)</f>
        <v>11</v>
      </c>
      <c r="X1700" t="str" cm="1">
        <f t="array" ref="X1700">_xlfn.IFS(Sales_Table[[#This Row],[Revenue]]&gt;=50000,"High",Sales_Table[[#This Row],[Revenue]]&gt;=20000,"Medium",Sales_Table[[#This Row],[Revenue]]&lt;20000,"Low")</f>
        <v>Medium</v>
      </c>
      <c r="Y1700" t="str">
        <f>IF(Sales_Table[[#This Row],[Payment Method_clean]]="cash","Offline","Online")</f>
        <v>Offline</v>
      </c>
      <c r="Z1700">
        <f>IFERROR(Sales_Table[[#This Row],[Revenue]],0)</f>
        <v>45682</v>
      </c>
    </row>
    <row r="1701" spans="1:26" x14ac:dyDescent="0.3">
      <c r="A1701">
        <v>1700</v>
      </c>
      <c r="B1701" s="2">
        <f t="shared" si="182"/>
        <v>45362.791666666664</v>
      </c>
      <c r="C1701" t="s">
        <v>3896</v>
      </c>
      <c r="D1701" t="s">
        <v>36</v>
      </c>
      <c r="E1701" t="str">
        <f>PROPER(TRIM(CLEAN(Sales_Table[[#This Row],[Region]])))</f>
        <v>West</v>
      </c>
      <c r="F1701" t="s">
        <v>78</v>
      </c>
      <c r="G1701" t="str">
        <f t="shared" si="183"/>
        <v>Grocery</v>
      </c>
      <c r="H1701" t="str">
        <f>PROPER(TRIM(CLEAN(Sales_Table[[#This Row],[Product Name]])))</f>
        <v>Led Tv 42Inch</v>
      </c>
      <c r="I1701" t="s">
        <v>58</v>
      </c>
      <c r="J1701" t="str">
        <f t="shared" si="184"/>
        <v>CUST0249</v>
      </c>
      <c r="K1701" t="s">
        <v>2138</v>
      </c>
      <c r="L1701" t="str">
        <f>PROPER(TRIM(CLEAN(Sales_Table[[#This Row],[Salesperson]])))</f>
        <v>Karthik</v>
      </c>
      <c r="M1701" t="s">
        <v>70</v>
      </c>
      <c r="N1701" t="str">
        <f t="shared" si="185"/>
        <v>Credit Card</v>
      </c>
      <c r="O1701" t="s">
        <v>65</v>
      </c>
      <c r="P1701">
        <f t="shared" si="186"/>
        <v>5</v>
      </c>
      <c r="Q1701" t="s">
        <v>89</v>
      </c>
      <c r="R1701">
        <f t="shared" si="187"/>
        <v>105</v>
      </c>
      <c r="S1701" t="s">
        <v>3897</v>
      </c>
      <c r="T1701">
        <f t="shared" si="188"/>
        <v>525</v>
      </c>
      <c r="U1701">
        <f>YEAR(Sales_Table[[#This Row],[Date_clean]])</f>
        <v>2024</v>
      </c>
      <c r="V1701" t="str">
        <f>TEXT(Sales_Table[[#This Row],[Date_clean]],"mmmm")</f>
        <v>March</v>
      </c>
      <c r="W1701">
        <f>WEEKNUM(Sales_Table[[#This Row],[Date_clean]],2)</f>
        <v>11</v>
      </c>
      <c r="X1701" t="str" cm="1">
        <f t="array" ref="X1701">_xlfn.IFS(Sales_Table[[#This Row],[Revenue]]&gt;=50000,"High",Sales_Table[[#This Row],[Revenue]]&gt;=20000,"Medium",Sales_Table[[#This Row],[Revenue]]&lt;20000,"Low")</f>
        <v>Low</v>
      </c>
      <c r="Y1701" t="str">
        <f>IF(Sales_Table[[#This Row],[Payment Method_clean]]="cash","Offline","Online")</f>
        <v>Online</v>
      </c>
      <c r="Z1701">
        <f>IFERROR(Sales_Table[[#This Row],[Revenue]],0)</f>
        <v>525</v>
      </c>
    </row>
    <row r="1702" spans="1:26" x14ac:dyDescent="0.3">
      <c r="A1702">
        <v>1701</v>
      </c>
      <c r="B1702" s="2">
        <f t="shared" si="182"/>
        <v>45362.833333333336</v>
      </c>
      <c r="C1702" t="s">
        <v>3898</v>
      </c>
      <c r="D1702" t="s">
        <v>45</v>
      </c>
      <c r="E1702" t="str">
        <f>PROPER(TRIM(CLEAN(Sales_Table[[#This Row],[Region]])))</f>
        <v>North</v>
      </c>
      <c r="F1702" t="s">
        <v>28</v>
      </c>
      <c r="G1702" t="str">
        <f t="shared" si="183"/>
        <v>Clothing</v>
      </c>
      <c r="H1702" t="str">
        <f>PROPER(TRIM(CLEAN(Sales_Table[[#This Row],[Product Name]])))</f>
        <v>Mixer Grinder</v>
      </c>
      <c r="I1702" t="s">
        <v>29</v>
      </c>
      <c r="J1702" t="str">
        <f t="shared" si="184"/>
        <v>CUST0323</v>
      </c>
      <c r="K1702" t="s">
        <v>3899</v>
      </c>
      <c r="L1702" t="str">
        <f>PROPER(TRIM(CLEAN(Sales_Table[[#This Row],[Salesperson]])))</f>
        <v>Anita</v>
      </c>
      <c r="M1702" t="s">
        <v>64</v>
      </c>
      <c r="N1702" t="str">
        <f t="shared" si="185"/>
        <v>Net Banking</v>
      </c>
      <c r="O1702" t="s">
        <v>60</v>
      </c>
      <c r="P1702">
        <f t="shared" si="186"/>
        <v>14</v>
      </c>
      <c r="Q1702" t="s">
        <v>55</v>
      </c>
      <c r="R1702">
        <f t="shared" si="187"/>
        <v>4876</v>
      </c>
      <c r="S1702" t="s">
        <v>3900</v>
      </c>
      <c r="T1702">
        <f t="shared" si="188"/>
        <v>68264</v>
      </c>
      <c r="U1702">
        <f>YEAR(Sales_Table[[#This Row],[Date_clean]])</f>
        <v>2024</v>
      </c>
      <c r="V1702" t="str">
        <f>TEXT(Sales_Table[[#This Row],[Date_clean]],"mmmm")</f>
        <v>March</v>
      </c>
      <c r="W1702">
        <f>WEEKNUM(Sales_Table[[#This Row],[Date_clean]],2)</f>
        <v>11</v>
      </c>
      <c r="X1702" t="str" cm="1">
        <f t="array" ref="X1702">_xlfn.IFS(Sales_Table[[#This Row],[Revenue]]&gt;=50000,"High",Sales_Table[[#This Row],[Revenue]]&gt;=20000,"Medium",Sales_Table[[#This Row],[Revenue]]&lt;20000,"Low")</f>
        <v>High</v>
      </c>
      <c r="Y1702" t="str">
        <f>IF(Sales_Table[[#This Row],[Payment Method_clean]]="cash","Offline","Online")</f>
        <v>Online</v>
      </c>
      <c r="Z1702">
        <f>IFERROR(Sales_Table[[#This Row],[Revenue]],0)</f>
        <v>68264</v>
      </c>
    </row>
    <row r="1703" spans="1:26" x14ac:dyDescent="0.3">
      <c r="A1703">
        <v>1702</v>
      </c>
      <c r="B1703" s="2">
        <f t="shared" si="182"/>
        <v>45362.875</v>
      </c>
      <c r="C1703" t="s">
        <v>3901</v>
      </c>
      <c r="D1703" t="s">
        <v>84</v>
      </c>
      <c r="E1703" t="str">
        <f>PROPER(TRIM(CLEAN(Sales_Table[[#This Row],[Region]])))</f>
        <v>South</v>
      </c>
      <c r="F1703" t="s">
        <v>46</v>
      </c>
      <c r="G1703" t="str">
        <f t="shared" si="183"/>
        <v>Electronics</v>
      </c>
      <c r="H1703" t="str">
        <f>PROPER(TRIM(CLEAN(Sales_Table[[#This Row],[Product Name]])))</f>
        <v>Washing Machine</v>
      </c>
      <c r="I1703" t="s">
        <v>79</v>
      </c>
      <c r="J1703" t="str">
        <f t="shared" si="184"/>
        <v>CUST0518</v>
      </c>
      <c r="K1703" t="s">
        <v>3759</v>
      </c>
      <c r="L1703" t="str">
        <f>PROPER(TRIM(CLEAN(Sales_Table[[#This Row],[Salesperson]])))</f>
        <v>Anita</v>
      </c>
      <c r="M1703" t="s">
        <v>64</v>
      </c>
      <c r="N1703" t="str">
        <f t="shared" si="185"/>
        <v>Cash</v>
      </c>
      <c r="O1703" t="s">
        <v>32</v>
      </c>
      <c r="P1703">
        <f t="shared" si="186"/>
        <v>12</v>
      </c>
      <c r="Q1703" t="s">
        <v>33</v>
      </c>
      <c r="R1703">
        <f t="shared" si="187"/>
        <v>4070</v>
      </c>
      <c r="S1703" t="s">
        <v>2259</v>
      </c>
      <c r="T1703">
        <f t="shared" si="188"/>
        <v>48840</v>
      </c>
      <c r="U1703">
        <f>YEAR(Sales_Table[[#This Row],[Date_clean]])</f>
        <v>2024</v>
      </c>
      <c r="V1703" t="str">
        <f>TEXT(Sales_Table[[#This Row],[Date_clean]],"mmmm")</f>
        <v>March</v>
      </c>
      <c r="W1703">
        <f>WEEKNUM(Sales_Table[[#This Row],[Date_clean]],2)</f>
        <v>11</v>
      </c>
      <c r="X1703" t="str" cm="1">
        <f t="array" ref="X1703">_xlfn.IFS(Sales_Table[[#This Row],[Revenue]]&gt;=50000,"High",Sales_Table[[#This Row],[Revenue]]&gt;=20000,"Medium",Sales_Table[[#This Row],[Revenue]]&lt;20000,"Low")</f>
        <v>Medium</v>
      </c>
      <c r="Y1703" t="str">
        <f>IF(Sales_Table[[#This Row],[Payment Method_clean]]="cash","Offline","Online")</f>
        <v>Offline</v>
      </c>
      <c r="Z1703">
        <f>IFERROR(Sales_Table[[#This Row],[Revenue]],0)</f>
        <v>48840</v>
      </c>
    </row>
    <row r="1704" spans="1:26" x14ac:dyDescent="0.3">
      <c r="A1704">
        <v>1703</v>
      </c>
      <c r="B1704" s="2">
        <f t="shared" si="182"/>
        <v>45362.916666666664</v>
      </c>
      <c r="C1704" t="s">
        <v>3902</v>
      </c>
      <c r="D1704" t="s">
        <v>27</v>
      </c>
      <c r="E1704" t="str">
        <f>PROPER(TRIM(CLEAN(Sales_Table[[#This Row],[Region]])))</f>
        <v>East</v>
      </c>
      <c r="F1704" t="s">
        <v>37</v>
      </c>
      <c r="G1704" t="str">
        <f t="shared" si="183"/>
        <v>Home Appliances</v>
      </c>
      <c r="H1704" t="str">
        <f>PROPER(TRIM(CLEAN(Sales_Table[[#This Row],[Product Name]])))</f>
        <v>Rice 5Kg</v>
      </c>
      <c r="I1704" t="s">
        <v>73</v>
      </c>
      <c r="J1704" t="str">
        <f t="shared" si="184"/>
        <v>CUST0792</v>
      </c>
      <c r="K1704" t="s">
        <v>2243</v>
      </c>
      <c r="L1704" t="str">
        <f>PROPER(TRIM(CLEAN(Sales_Table[[#This Row],[Salesperson]])))</f>
        <v>Karthik</v>
      </c>
      <c r="M1704" t="s">
        <v>70</v>
      </c>
      <c r="N1704" t="str">
        <f t="shared" si="185"/>
        <v>Upi</v>
      </c>
      <c r="O1704" t="s">
        <v>48</v>
      </c>
      <c r="P1704">
        <f t="shared" si="186"/>
        <v>9</v>
      </c>
      <c r="Q1704" t="s">
        <v>130</v>
      </c>
      <c r="R1704">
        <f t="shared" si="187"/>
        <v>2958</v>
      </c>
      <c r="S1704" t="s">
        <v>3903</v>
      </c>
      <c r="T1704">
        <f t="shared" si="188"/>
        <v>26622</v>
      </c>
      <c r="U1704">
        <f>YEAR(Sales_Table[[#This Row],[Date_clean]])</f>
        <v>2024</v>
      </c>
      <c r="V1704" t="str">
        <f>TEXT(Sales_Table[[#This Row],[Date_clean]],"mmmm")</f>
        <v>March</v>
      </c>
      <c r="W1704">
        <f>WEEKNUM(Sales_Table[[#This Row],[Date_clean]],2)</f>
        <v>11</v>
      </c>
      <c r="X1704" t="str" cm="1">
        <f t="array" ref="X1704">_xlfn.IFS(Sales_Table[[#This Row],[Revenue]]&gt;=50000,"High",Sales_Table[[#This Row],[Revenue]]&gt;=20000,"Medium",Sales_Table[[#This Row],[Revenue]]&lt;20000,"Low")</f>
        <v>Medium</v>
      </c>
      <c r="Y1704" t="str">
        <f>IF(Sales_Table[[#This Row],[Payment Method_clean]]="cash","Offline","Online")</f>
        <v>Online</v>
      </c>
      <c r="Z1704">
        <f>IFERROR(Sales_Table[[#This Row],[Revenue]],0)</f>
        <v>26622</v>
      </c>
    </row>
    <row r="1705" spans="1:26" x14ac:dyDescent="0.3">
      <c r="A1705">
        <v>1704</v>
      </c>
      <c r="B1705" s="2">
        <f t="shared" si="182"/>
        <v>45362.958333333336</v>
      </c>
      <c r="C1705" t="s">
        <v>3904</v>
      </c>
      <c r="D1705" t="s">
        <v>27</v>
      </c>
      <c r="E1705" t="str">
        <f>PROPER(TRIM(CLEAN(Sales_Table[[#This Row],[Region]])))</f>
        <v>East</v>
      </c>
      <c r="F1705" t="s">
        <v>46</v>
      </c>
      <c r="G1705" t="str">
        <f t="shared" si="183"/>
        <v>Electronics</v>
      </c>
      <c r="H1705" t="str">
        <f>PROPER(TRIM(CLEAN(Sales_Table[[#This Row],[Product Name]])))</f>
        <v>Washing Machine</v>
      </c>
      <c r="I1705" t="s">
        <v>79</v>
      </c>
      <c r="J1705" t="str">
        <f t="shared" si="184"/>
        <v>CUST0432</v>
      </c>
      <c r="K1705" t="s">
        <v>2174</v>
      </c>
      <c r="L1705" t="str">
        <f>PROPER(TRIM(CLEAN(Sales_Table[[#This Row],[Salesperson]])))</f>
        <v>Suresh</v>
      </c>
      <c r="M1705" t="s">
        <v>54</v>
      </c>
      <c r="N1705" t="str">
        <f t="shared" si="185"/>
        <v>Cash</v>
      </c>
      <c r="O1705" t="s">
        <v>32</v>
      </c>
      <c r="P1705">
        <f t="shared" si="186"/>
        <v>4</v>
      </c>
      <c r="Q1705" t="s">
        <v>113</v>
      </c>
      <c r="R1705">
        <f t="shared" si="187"/>
        <v>2706</v>
      </c>
      <c r="S1705" t="s">
        <v>3905</v>
      </c>
      <c r="T1705">
        <f t="shared" si="188"/>
        <v>10824</v>
      </c>
      <c r="U1705">
        <f>YEAR(Sales_Table[[#This Row],[Date_clean]])</f>
        <v>2024</v>
      </c>
      <c r="V1705" t="str">
        <f>TEXT(Sales_Table[[#This Row],[Date_clean]],"mmmm")</f>
        <v>March</v>
      </c>
      <c r="W1705">
        <f>WEEKNUM(Sales_Table[[#This Row],[Date_clean]],2)</f>
        <v>11</v>
      </c>
      <c r="X1705" t="str" cm="1">
        <f t="array" ref="X1705">_xlfn.IFS(Sales_Table[[#This Row],[Revenue]]&gt;=50000,"High",Sales_Table[[#This Row],[Revenue]]&gt;=20000,"Medium",Sales_Table[[#This Row],[Revenue]]&lt;20000,"Low")</f>
        <v>Low</v>
      </c>
      <c r="Y1705" t="str">
        <f>IF(Sales_Table[[#This Row],[Payment Method_clean]]="cash","Offline","Online")</f>
        <v>Offline</v>
      </c>
      <c r="Z1705">
        <f>IFERROR(Sales_Table[[#This Row],[Revenue]],0)</f>
        <v>10824</v>
      </c>
    </row>
    <row r="1706" spans="1:26" x14ac:dyDescent="0.3">
      <c r="A1706">
        <v>1705</v>
      </c>
      <c r="B1706" s="2">
        <f t="shared" si="182"/>
        <v>45363</v>
      </c>
      <c r="C1706" t="s">
        <v>3906</v>
      </c>
      <c r="D1706" t="s">
        <v>27</v>
      </c>
      <c r="E1706" t="str">
        <f>PROPER(TRIM(CLEAN(Sales_Table[[#This Row],[Region]])))</f>
        <v>East</v>
      </c>
      <c r="F1706" t="s">
        <v>28</v>
      </c>
      <c r="G1706" t="str">
        <f t="shared" si="183"/>
        <v>Clothing</v>
      </c>
      <c r="H1706" t="str">
        <f>PROPER(TRIM(CLEAN(Sales_Table[[#This Row],[Product Name]])))</f>
        <v>Mixer Grinder</v>
      </c>
      <c r="I1706" t="s">
        <v>29</v>
      </c>
      <c r="J1706" t="str">
        <f t="shared" si="184"/>
        <v>CUST0487</v>
      </c>
      <c r="K1706" t="s">
        <v>1347</v>
      </c>
      <c r="L1706" t="str">
        <f>PROPER(TRIM(CLEAN(Sales_Table[[#This Row],[Salesperson]])))</f>
        <v>Rahul</v>
      </c>
      <c r="M1706" t="s">
        <v>31</v>
      </c>
      <c r="N1706" t="str">
        <f t="shared" si="185"/>
        <v>Upi</v>
      </c>
      <c r="O1706" t="s">
        <v>48</v>
      </c>
      <c r="P1706">
        <f t="shared" si="186"/>
        <v>10</v>
      </c>
      <c r="Q1706" t="s">
        <v>117</v>
      </c>
      <c r="R1706">
        <f t="shared" si="187"/>
        <v>198</v>
      </c>
      <c r="S1706" t="s">
        <v>3907</v>
      </c>
      <c r="T1706">
        <f t="shared" si="188"/>
        <v>1980</v>
      </c>
      <c r="U1706">
        <f>YEAR(Sales_Table[[#This Row],[Date_clean]])</f>
        <v>2024</v>
      </c>
      <c r="V1706" t="str">
        <f>TEXT(Sales_Table[[#This Row],[Date_clean]],"mmmm")</f>
        <v>March</v>
      </c>
      <c r="W1706">
        <f>WEEKNUM(Sales_Table[[#This Row],[Date_clean]],2)</f>
        <v>11</v>
      </c>
      <c r="X1706" t="str" cm="1">
        <f t="array" ref="X1706">_xlfn.IFS(Sales_Table[[#This Row],[Revenue]]&gt;=50000,"High",Sales_Table[[#This Row],[Revenue]]&gt;=20000,"Medium",Sales_Table[[#This Row],[Revenue]]&lt;20000,"Low")</f>
        <v>Low</v>
      </c>
      <c r="Y1706" t="str">
        <f>IF(Sales_Table[[#This Row],[Payment Method_clean]]="cash","Offline","Online")</f>
        <v>Online</v>
      </c>
      <c r="Z1706">
        <f>IFERROR(Sales_Table[[#This Row],[Revenue]],0)</f>
        <v>1980</v>
      </c>
    </row>
    <row r="1707" spans="1:26" x14ac:dyDescent="0.3">
      <c r="A1707">
        <v>1706</v>
      </c>
      <c r="B1707" s="2">
        <f t="shared" si="182"/>
        <v>45363.041666666664</v>
      </c>
      <c r="C1707" t="s">
        <v>3908</v>
      </c>
      <c r="D1707" t="s">
        <v>36</v>
      </c>
      <c r="E1707" t="str">
        <f>PROPER(TRIM(CLEAN(Sales_Table[[#This Row],[Region]])))</f>
        <v>West</v>
      </c>
      <c r="F1707" t="s">
        <v>28</v>
      </c>
      <c r="G1707" t="str">
        <f t="shared" si="183"/>
        <v>Clothing</v>
      </c>
      <c r="H1707" t="str">
        <f>PROPER(TRIM(CLEAN(Sales_Table[[#This Row],[Product Name]])))</f>
        <v>Rice 5Kg</v>
      </c>
      <c r="I1707" t="s">
        <v>73</v>
      </c>
      <c r="J1707" t="str">
        <f t="shared" si="184"/>
        <v>CUST0606</v>
      </c>
      <c r="K1707" t="s">
        <v>246</v>
      </c>
      <c r="L1707" t="str">
        <f>PROPER(TRIM(CLEAN(Sales_Table[[#This Row],[Salesperson]])))</f>
        <v>Suresh</v>
      </c>
      <c r="M1707" t="s">
        <v>54</v>
      </c>
      <c r="N1707" t="str">
        <f t="shared" si="185"/>
        <v>Upi</v>
      </c>
      <c r="O1707" t="s">
        <v>48</v>
      </c>
      <c r="P1707">
        <f t="shared" si="186"/>
        <v>11</v>
      </c>
      <c r="Q1707" t="s">
        <v>97</v>
      </c>
      <c r="R1707">
        <f t="shared" si="187"/>
        <v>625</v>
      </c>
      <c r="S1707" t="s">
        <v>3909</v>
      </c>
      <c r="T1707">
        <f t="shared" si="188"/>
        <v>6875</v>
      </c>
      <c r="U1707">
        <f>YEAR(Sales_Table[[#This Row],[Date_clean]])</f>
        <v>2024</v>
      </c>
      <c r="V1707" t="str">
        <f>TEXT(Sales_Table[[#This Row],[Date_clean]],"mmmm")</f>
        <v>March</v>
      </c>
      <c r="W1707">
        <f>WEEKNUM(Sales_Table[[#This Row],[Date_clean]],2)</f>
        <v>11</v>
      </c>
      <c r="X1707" t="str" cm="1">
        <f t="array" ref="X1707">_xlfn.IFS(Sales_Table[[#This Row],[Revenue]]&gt;=50000,"High",Sales_Table[[#This Row],[Revenue]]&gt;=20000,"Medium",Sales_Table[[#This Row],[Revenue]]&lt;20000,"Low")</f>
        <v>Low</v>
      </c>
      <c r="Y1707" t="str">
        <f>IF(Sales_Table[[#This Row],[Payment Method_clean]]="cash","Offline","Online")</f>
        <v>Online</v>
      </c>
      <c r="Z1707">
        <f>IFERROR(Sales_Table[[#This Row],[Revenue]],0)</f>
        <v>6875</v>
      </c>
    </row>
    <row r="1708" spans="1:26" x14ac:dyDescent="0.3">
      <c r="A1708">
        <v>1707</v>
      </c>
      <c r="B1708" s="2">
        <f t="shared" si="182"/>
        <v>45363.083333333336</v>
      </c>
      <c r="C1708" t="s">
        <v>3910</v>
      </c>
      <c r="D1708" t="s">
        <v>27</v>
      </c>
      <c r="E1708" t="str">
        <f>PROPER(TRIM(CLEAN(Sales_Table[[#This Row],[Region]])))</f>
        <v>East</v>
      </c>
      <c r="F1708" t="s">
        <v>78</v>
      </c>
      <c r="G1708" t="str">
        <f t="shared" si="183"/>
        <v>Grocery</v>
      </c>
      <c r="H1708" t="str">
        <f>PROPER(TRIM(CLEAN(Sales_Table[[#This Row],[Product Name]])))</f>
        <v>Rice 5Kg</v>
      </c>
      <c r="I1708" t="s">
        <v>73</v>
      </c>
      <c r="J1708" t="str">
        <f t="shared" si="184"/>
        <v>CUST0429</v>
      </c>
      <c r="K1708" t="s">
        <v>129</v>
      </c>
      <c r="L1708" t="str">
        <f>PROPER(TRIM(CLEAN(Sales_Table[[#This Row],[Salesperson]])))</f>
        <v>Meena</v>
      </c>
      <c r="M1708" t="s">
        <v>40</v>
      </c>
      <c r="N1708" t="str">
        <f t="shared" si="185"/>
        <v>Debit Card</v>
      </c>
      <c r="O1708" t="s">
        <v>41</v>
      </c>
      <c r="P1708">
        <f t="shared" si="186"/>
        <v>6</v>
      </c>
      <c r="Q1708" t="s">
        <v>75</v>
      </c>
      <c r="R1708">
        <f t="shared" si="187"/>
        <v>1280</v>
      </c>
      <c r="S1708" t="s">
        <v>3543</v>
      </c>
      <c r="T1708">
        <f t="shared" si="188"/>
        <v>7680</v>
      </c>
      <c r="U1708">
        <f>YEAR(Sales_Table[[#This Row],[Date_clean]])</f>
        <v>2024</v>
      </c>
      <c r="V1708" t="str">
        <f>TEXT(Sales_Table[[#This Row],[Date_clean]],"mmmm")</f>
        <v>March</v>
      </c>
      <c r="W1708">
        <f>WEEKNUM(Sales_Table[[#This Row],[Date_clean]],2)</f>
        <v>11</v>
      </c>
      <c r="X1708" t="str" cm="1">
        <f t="array" ref="X1708">_xlfn.IFS(Sales_Table[[#This Row],[Revenue]]&gt;=50000,"High",Sales_Table[[#This Row],[Revenue]]&gt;=20000,"Medium",Sales_Table[[#This Row],[Revenue]]&lt;20000,"Low")</f>
        <v>Low</v>
      </c>
      <c r="Y1708" t="str">
        <f>IF(Sales_Table[[#This Row],[Payment Method_clean]]="cash","Offline","Online")</f>
        <v>Online</v>
      </c>
      <c r="Z1708">
        <f>IFERROR(Sales_Table[[#This Row],[Revenue]],0)</f>
        <v>7680</v>
      </c>
    </row>
    <row r="1709" spans="1:26" x14ac:dyDescent="0.3">
      <c r="A1709">
        <v>1708</v>
      </c>
      <c r="B1709" s="2">
        <f t="shared" si="182"/>
        <v>45363.125</v>
      </c>
      <c r="C1709" t="s">
        <v>3911</v>
      </c>
      <c r="D1709" t="s">
        <v>84</v>
      </c>
      <c r="E1709" t="str">
        <f>PROPER(TRIM(CLEAN(Sales_Table[[#This Row],[Region]])))</f>
        <v>South</v>
      </c>
      <c r="F1709" t="s">
        <v>37</v>
      </c>
      <c r="G1709" t="str">
        <f t="shared" si="183"/>
        <v>Home Appliances</v>
      </c>
      <c r="H1709" t="str">
        <f>PROPER(TRIM(CLEAN(Sales_Table[[#This Row],[Product Name]])))</f>
        <v>Laptop</v>
      </c>
      <c r="I1709" t="s">
        <v>52</v>
      </c>
      <c r="J1709" t="str">
        <f t="shared" si="184"/>
        <v>CUST0269</v>
      </c>
      <c r="K1709" t="s">
        <v>216</v>
      </c>
      <c r="L1709" t="str">
        <f>PROPER(TRIM(CLEAN(Sales_Table[[#This Row],[Salesperson]])))</f>
        <v>Meena</v>
      </c>
      <c r="M1709" t="s">
        <v>40</v>
      </c>
      <c r="N1709" t="str">
        <f t="shared" si="185"/>
        <v>Debit Card</v>
      </c>
      <c r="O1709" t="s">
        <v>41</v>
      </c>
      <c r="P1709">
        <f t="shared" si="186"/>
        <v>5</v>
      </c>
      <c r="Q1709" t="s">
        <v>89</v>
      </c>
      <c r="R1709">
        <f t="shared" si="187"/>
        <v>1789</v>
      </c>
      <c r="S1709" t="s">
        <v>3912</v>
      </c>
      <c r="T1709">
        <f t="shared" si="188"/>
        <v>8945</v>
      </c>
      <c r="U1709">
        <f>YEAR(Sales_Table[[#This Row],[Date_clean]])</f>
        <v>2024</v>
      </c>
      <c r="V1709" t="str">
        <f>TEXT(Sales_Table[[#This Row],[Date_clean]],"mmmm")</f>
        <v>March</v>
      </c>
      <c r="W1709">
        <f>WEEKNUM(Sales_Table[[#This Row],[Date_clean]],2)</f>
        <v>11</v>
      </c>
      <c r="X1709" t="str" cm="1">
        <f t="array" ref="X1709">_xlfn.IFS(Sales_Table[[#This Row],[Revenue]]&gt;=50000,"High",Sales_Table[[#This Row],[Revenue]]&gt;=20000,"Medium",Sales_Table[[#This Row],[Revenue]]&lt;20000,"Low")</f>
        <v>Low</v>
      </c>
      <c r="Y1709" t="str">
        <f>IF(Sales_Table[[#This Row],[Payment Method_clean]]="cash","Offline","Online")</f>
        <v>Online</v>
      </c>
      <c r="Z1709">
        <f>IFERROR(Sales_Table[[#This Row],[Revenue]],0)</f>
        <v>8945</v>
      </c>
    </row>
    <row r="1710" spans="1:26" x14ac:dyDescent="0.3">
      <c r="A1710">
        <v>1709</v>
      </c>
      <c r="B1710" s="2">
        <f t="shared" si="182"/>
        <v>45363.166666666664</v>
      </c>
      <c r="C1710" t="s">
        <v>3913</v>
      </c>
      <c r="D1710" t="s">
        <v>36</v>
      </c>
      <c r="E1710" t="str">
        <f>PROPER(TRIM(CLEAN(Sales_Table[[#This Row],[Region]])))</f>
        <v>West</v>
      </c>
      <c r="F1710" t="s">
        <v>78</v>
      </c>
      <c r="G1710" t="str">
        <f t="shared" si="183"/>
        <v>Grocery</v>
      </c>
      <c r="H1710" t="str">
        <f>PROPER(TRIM(CLEAN(Sales_Table[[#This Row],[Product Name]])))</f>
        <v>Washing Machine</v>
      </c>
      <c r="I1710" t="s">
        <v>79</v>
      </c>
      <c r="J1710" t="str">
        <f t="shared" si="184"/>
        <v>CUST0709</v>
      </c>
      <c r="K1710" t="s">
        <v>569</v>
      </c>
      <c r="L1710" t="str">
        <f>PROPER(TRIM(CLEAN(Sales_Table[[#This Row],[Salesperson]])))</f>
        <v>Meena</v>
      </c>
      <c r="M1710" t="s">
        <v>40</v>
      </c>
      <c r="N1710" t="str">
        <f t="shared" si="185"/>
        <v>Credit Card</v>
      </c>
      <c r="O1710" t="s">
        <v>65</v>
      </c>
      <c r="P1710">
        <f t="shared" si="186"/>
        <v>1</v>
      </c>
      <c r="Q1710" t="s">
        <v>93</v>
      </c>
      <c r="R1710">
        <f t="shared" si="187"/>
        <v>1238</v>
      </c>
      <c r="S1710" t="s">
        <v>1052</v>
      </c>
      <c r="T1710">
        <f t="shared" si="188"/>
        <v>1238</v>
      </c>
      <c r="U1710">
        <f>YEAR(Sales_Table[[#This Row],[Date_clean]])</f>
        <v>2024</v>
      </c>
      <c r="V1710" t="str">
        <f>TEXT(Sales_Table[[#This Row],[Date_clean]],"mmmm")</f>
        <v>March</v>
      </c>
      <c r="W1710">
        <f>WEEKNUM(Sales_Table[[#This Row],[Date_clean]],2)</f>
        <v>11</v>
      </c>
      <c r="X1710" t="str" cm="1">
        <f t="array" ref="X1710">_xlfn.IFS(Sales_Table[[#This Row],[Revenue]]&gt;=50000,"High",Sales_Table[[#This Row],[Revenue]]&gt;=20000,"Medium",Sales_Table[[#This Row],[Revenue]]&lt;20000,"Low")</f>
        <v>Low</v>
      </c>
      <c r="Y1710" t="str">
        <f>IF(Sales_Table[[#This Row],[Payment Method_clean]]="cash","Offline","Online")</f>
        <v>Online</v>
      </c>
      <c r="Z1710">
        <f>IFERROR(Sales_Table[[#This Row],[Revenue]],0)</f>
        <v>1238</v>
      </c>
    </row>
    <row r="1711" spans="1:26" x14ac:dyDescent="0.3">
      <c r="A1711">
        <v>1710</v>
      </c>
      <c r="B1711" s="2">
        <f t="shared" si="182"/>
        <v>45363.208333333336</v>
      </c>
      <c r="C1711" t="s">
        <v>3914</v>
      </c>
      <c r="D1711" t="s">
        <v>84</v>
      </c>
      <c r="E1711" t="str">
        <f>PROPER(TRIM(CLEAN(Sales_Table[[#This Row],[Region]])))</f>
        <v>South</v>
      </c>
      <c r="F1711" t="s">
        <v>28</v>
      </c>
      <c r="G1711" t="str">
        <f t="shared" si="183"/>
        <v>Clothing</v>
      </c>
      <c r="H1711" t="str">
        <f>PROPER(TRIM(CLEAN(Sales_Table[[#This Row],[Product Name]])))</f>
        <v>Men T-Shirt</v>
      </c>
      <c r="I1711" t="s">
        <v>38</v>
      </c>
      <c r="J1711" t="str">
        <f t="shared" si="184"/>
        <v>CUST0537</v>
      </c>
      <c r="K1711" t="s">
        <v>581</v>
      </c>
      <c r="L1711" t="str">
        <f>PROPER(TRIM(CLEAN(Sales_Table[[#This Row],[Salesperson]])))</f>
        <v>Karthik</v>
      </c>
      <c r="M1711" t="s">
        <v>70</v>
      </c>
      <c r="N1711" t="str">
        <f t="shared" si="185"/>
        <v>Credit Card</v>
      </c>
      <c r="O1711" t="s">
        <v>65</v>
      </c>
      <c r="P1711">
        <f t="shared" si="186"/>
        <v>5</v>
      </c>
      <c r="Q1711" t="s">
        <v>89</v>
      </c>
      <c r="R1711">
        <f t="shared" si="187"/>
        <v>4591</v>
      </c>
      <c r="S1711" t="s">
        <v>2789</v>
      </c>
      <c r="T1711">
        <f t="shared" si="188"/>
        <v>22955</v>
      </c>
      <c r="U1711">
        <f>YEAR(Sales_Table[[#This Row],[Date_clean]])</f>
        <v>2024</v>
      </c>
      <c r="V1711" t="str">
        <f>TEXT(Sales_Table[[#This Row],[Date_clean]],"mmmm")</f>
        <v>March</v>
      </c>
      <c r="W1711">
        <f>WEEKNUM(Sales_Table[[#This Row],[Date_clean]],2)</f>
        <v>11</v>
      </c>
      <c r="X1711" t="str" cm="1">
        <f t="array" ref="X1711">_xlfn.IFS(Sales_Table[[#This Row],[Revenue]]&gt;=50000,"High",Sales_Table[[#This Row],[Revenue]]&gt;=20000,"Medium",Sales_Table[[#This Row],[Revenue]]&lt;20000,"Low")</f>
        <v>Medium</v>
      </c>
      <c r="Y1711" t="str">
        <f>IF(Sales_Table[[#This Row],[Payment Method_clean]]="cash","Offline","Online")</f>
        <v>Online</v>
      </c>
      <c r="Z1711">
        <f>IFERROR(Sales_Table[[#This Row],[Revenue]],0)</f>
        <v>22955</v>
      </c>
    </row>
    <row r="1712" spans="1:26" x14ac:dyDescent="0.3">
      <c r="A1712">
        <v>1711</v>
      </c>
      <c r="B1712" s="2">
        <f t="shared" si="182"/>
        <v>45363.25</v>
      </c>
      <c r="C1712" t="s">
        <v>3915</v>
      </c>
      <c r="D1712" t="s">
        <v>45</v>
      </c>
      <c r="E1712" t="str">
        <f>PROPER(TRIM(CLEAN(Sales_Table[[#This Row],[Region]])))</f>
        <v>North</v>
      </c>
      <c r="F1712" t="s">
        <v>46</v>
      </c>
      <c r="G1712" t="str">
        <f t="shared" si="183"/>
        <v>Electronics</v>
      </c>
      <c r="H1712" t="str">
        <f>PROPER(TRIM(CLEAN(Sales_Table[[#This Row],[Product Name]])))</f>
        <v>Led Tv 42Inch</v>
      </c>
      <c r="I1712" t="s">
        <v>58</v>
      </c>
      <c r="J1712" t="str">
        <f t="shared" si="184"/>
        <v>CUST0148</v>
      </c>
      <c r="K1712" t="s">
        <v>2694</v>
      </c>
      <c r="L1712" t="str">
        <f>PROPER(TRIM(CLEAN(Sales_Table[[#This Row],[Salesperson]])))</f>
        <v>Anita</v>
      </c>
      <c r="M1712" t="s">
        <v>64</v>
      </c>
      <c r="N1712" t="str">
        <f t="shared" si="185"/>
        <v>Upi</v>
      </c>
      <c r="O1712" t="s">
        <v>48</v>
      </c>
      <c r="P1712">
        <f t="shared" si="186"/>
        <v>13</v>
      </c>
      <c r="Q1712" t="s">
        <v>81</v>
      </c>
      <c r="R1712">
        <f t="shared" si="187"/>
        <v>4965</v>
      </c>
      <c r="S1712" t="s">
        <v>1542</v>
      </c>
      <c r="T1712">
        <f t="shared" si="188"/>
        <v>64545</v>
      </c>
      <c r="U1712">
        <f>YEAR(Sales_Table[[#This Row],[Date_clean]])</f>
        <v>2024</v>
      </c>
      <c r="V1712" t="str">
        <f>TEXT(Sales_Table[[#This Row],[Date_clean]],"mmmm")</f>
        <v>March</v>
      </c>
      <c r="W1712">
        <f>WEEKNUM(Sales_Table[[#This Row],[Date_clean]],2)</f>
        <v>11</v>
      </c>
      <c r="X1712" t="str" cm="1">
        <f t="array" ref="X1712">_xlfn.IFS(Sales_Table[[#This Row],[Revenue]]&gt;=50000,"High",Sales_Table[[#This Row],[Revenue]]&gt;=20000,"Medium",Sales_Table[[#This Row],[Revenue]]&lt;20000,"Low")</f>
        <v>High</v>
      </c>
      <c r="Y1712" t="str">
        <f>IF(Sales_Table[[#This Row],[Payment Method_clean]]="cash","Offline","Online")</f>
        <v>Online</v>
      </c>
      <c r="Z1712">
        <f>IFERROR(Sales_Table[[#This Row],[Revenue]],0)</f>
        <v>64545</v>
      </c>
    </row>
    <row r="1713" spans="1:26" x14ac:dyDescent="0.3">
      <c r="A1713">
        <v>1712</v>
      </c>
      <c r="B1713" s="2">
        <f t="shared" si="182"/>
        <v>45363.291666666664</v>
      </c>
      <c r="C1713" t="s">
        <v>3916</v>
      </c>
      <c r="D1713" t="s">
        <v>45</v>
      </c>
      <c r="E1713" t="str">
        <f>PROPER(TRIM(CLEAN(Sales_Table[[#This Row],[Region]])))</f>
        <v>North</v>
      </c>
      <c r="F1713" t="s">
        <v>78</v>
      </c>
      <c r="G1713" t="str">
        <f t="shared" si="183"/>
        <v>Grocery</v>
      </c>
      <c r="H1713" t="str">
        <f>PROPER(TRIM(CLEAN(Sales_Table[[#This Row],[Product Name]])))</f>
        <v>Men T-Shirt</v>
      </c>
      <c r="I1713" t="s">
        <v>38</v>
      </c>
      <c r="J1713" t="str">
        <f t="shared" si="184"/>
        <v>CUST0118</v>
      </c>
      <c r="K1713" t="s">
        <v>766</v>
      </c>
      <c r="L1713" t="str">
        <f>PROPER(TRIM(CLEAN(Sales_Table[[#This Row],[Salesperson]])))</f>
        <v>Suresh</v>
      </c>
      <c r="M1713" t="s">
        <v>54</v>
      </c>
      <c r="N1713" t="str">
        <f t="shared" si="185"/>
        <v>Cash</v>
      </c>
      <c r="O1713" t="s">
        <v>32</v>
      </c>
      <c r="P1713">
        <f t="shared" si="186"/>
        <v>5</v>
      </c>
      <c r="Q1713" t="s">
        <v>89</v>
      </c>
      <c r="R1713">
        <f t="shared" si="187"/>
        <v>3171</v>
      </c>
      <c r="S1713" t="s">
        <v>2741</v>
      </c>
      <c r="T1713">
        <f t="shared" si="188"/>
        <v>15855</v>
      </c>
      <c r="U1713">
        <f>YEAR(Sales_Table[[#This Row],[Date_clean]])</f>
        <v>2024</v>
      </c>
      <c r="V1713" t="str">
        <f>TEXT(Sales_Table[[#This Row],[Date_clean]],"mmmm")</f>
        <v>March</v>
      </c>
      <c r="W1713">
        <f>WEEKNUM(Sales_Table[[#This Row],[Date_clean]],2)</f>
        <v>11</v>
      </c>
      <c r="X1713" t="str" cm="1">
        <f t="array" ref="X1713">_xlfn.IFS(Sales_Table[[#This Row],[Revenue]]&gt;=50000,"High",Sales_Table[[#This Row],[Revenue]]&gt;=20000,"Medium",Sales_Table[[#This Row],[Revenue]]&lt;20000,"Low")</f>
        <v>Low</v>
      </c>
      <c r="Y1713" t="str">
        <f>IF(Sales_Table[[#This Row],[Payment Method_clean]]="cash","Offline","Online")</f>
        <v>Offline</v>
      </c>
      <c r="Z1713">
        <f>IFERROR(Sales_Table[[#This Row],[Revenue]],0)</f>
        <v>15855</v>
      </c>
    </row>
    <row r="1714" spans="1:26" x14ac:dyDescent="0.3">
      <c r="A1714">
        <v>1713</v>
      </c>
      <c r="B1714" s="2">
        <f t="shared" si="182"/>
        <v>45363.333333333336</v>
      </c>
      <c r="C1714" t="s">
        <v>3917</v>
      </c>
      <c r="D1714" t="s">
        <v>45</v>
      </c>
      <c r="E1714" t="str">
        <f>PROPER(TRIM(CLEAN(Sales_Table[[#This Row],[Region]])))</f>
        <v>North</v>
      </c>
      <c r="F1714" t="s">
        <v>78</v>
      </c>
      <c r="G1714" t="str">
        <f t="shared" si="183"/>
        <v>Grocery</v>
      </c>
      <c r="H1714" t="str">
        <f>PROPER(TRIM(CLEAN(Sales_Table[[#This Row],[Product Name]])))</f>
        <v>Washing Machine</v>
      </c>
      <c r="I1714" t="s">
        <v>79</v>
      </c>
      <c r="J1714" t="str">
        <f t="shared" si="184"/>
        <v>CUST0367</v>
      </c>
      <c r="K1714" t="s">
        <v>1509</v>
      </c>
      <c r="L1714" t="str">
        <f>PROPER(TRIM(CLEAN(Sales_Table[[#This Row],[Salesperson]])))</f>
        <v>Rahul</v>
      </c>
      <c r="M1714" t="s">
        <v>31</v>
      </c>
      <c r="N1714" t="str">
        <f t="shared" si="185"/>
        <v>Net Banking</v>
      </c>
      <c r="O1714" t="s">
        <v>60</v>
      </c>
      <c r="P1714">
        <f t="shared" si="186"/>
        <v>14</v>
      </c>
      <c r="Q1714" t="s">
        <v>55</v>
      </c>
      <c r="R1714">
        <f t="shared" si="187"/>
        <v>3027</v>
      </c>
      <c r="S1714" t="s">
        <v>3918</v>
      </c>
      <c r="T1714">
        <f t="shared" si="188"/>
        <v>42378</v>
      </c>
      <c r="U1714">
        <f>YEAR(Sales_Table[[#This Row],[Date_clean]])</f>
        <v>2024</v>
      </c>
      <c r="V1714" t="str">
        <f>TEXT(Sales_Table[[#This Row],[Date_clean]],"mmmm")</f>
        <v>March</v>
      </c>
      <c r="W1714">
        <f>WEEKNUM(Sales_Table[[#This Row],[Date_clean]],2)</f>
        <v>11</v>
      </c>
      <c r="X1714" t="str" cm="1">
        <f t="array" ref="X1714">_xlfn.IFS(Sales_Table[[#This Row],[Revenue]]&gt;=50000,"High",Sales_Table[[#This Row],[Revenue]]&gt;=20000,"Medium",Sales_Table[[#This Row],[Revenue]]&lt;20000,"Low")</f>
        <v>Medium</v>
      </c>
      <c r="Y1714" t="str">
        <f>IF(Sales_Table[[#This Row],[Payment Method_clean]]="cash","Offline","Online")</f>
        <v>Online</v>
      </c>
      <c r="Z1714">
        <f>IFERROR(Sales_Table[[#This Row],[Revenue]],0)</f>
        <v>42378</v>
      </c>
    </row>
    <row r="1715" spans="1:26" x14ac:dyDescent="0.3">
      <c r="A1715">
        <v>1714</v>
      </c>
      <c r="B1715" s="2">
        <f t="shared" si="182"/>
        <v>45363.375</v>
      </c>
      <c r="C1715" t="s">
        <v>3919</v>
      </c>
      <c r="D1715" t="s">
        <v>45</v>
      </c>
      <c r="E1715" t="str">
        <f>PROPER(TRIM(CLEAN(Sales_Table[[#This Row],[Region]])))</f>
        <v>North</v>
      </c>
      <c r="F1715" t="s">
        <v>46</v>
      </c>
      <c r="G1715" t="str">
        <f t="shared" si="183"/>
        <v>Electronics</v>
      </c>
      <c r="H1715" t="str">
        <f>PROPER(TRIM(CLEAN(Sales_Table[[#This Row],[Product Name]])))</f>
        <v>Led Tv 42Inch</v>
      </c>
      <c r="I1715" t="s">
        <v>58</v>
      </c>
      <c r="J1715" t="str">
        <f t="shared" si="184"/>
        <v>CUST0066</v>
      </c>
      <c r="K1715" t="s">
        <v>3563</v>
      </c>
      <c r="L1715" t="str">
        <f>PROPER(TRIM(CLEAN(Sales_Table[[#This Row],[Salesperson]])))</f>
        <v>Meena</v>
      </c>
      <c r="M1715" t="s">
        <v>40</v>
      </c>
      <c r="N1715" t="str">
        <f t="shared" si="185"/>
        <v>Net Banking</v>
      </c>
      <c r="O1715" t="s">
        <v>60</v>
      </c>
      <c r="P1715">
        <f t="shared" si="186"/>
        <v>9</v>
      </c>
      <c r="Q1715" t="s">
        <v>130</v>
      </c>
      <c r="R1715">
        <f t="shared" si="187"/>
        <v>2892</v>
      </c>
      <c r="S1715" t="s">
        <v>3920</v>
      </c>
      <c r="T1715">
        <f t="shared" si="188"/>
        <v>26028</v>
      </c>
      <c r="U1715">
        <f>YEAR(Sales_Table[[#This Row],[Date_clean]])</f>
        <v>2024</v>
      </c>
      <c r="V1715" t="str">
        <f>TEXT(Sales_Table[[#This Row],[Date_clean]],"mmmm")</f>
        <v>March</v>
      </c>
      <c r="W1715">
        <f>WEEKNUM(Sales_Table[[#This Row],[Date_clean]],2)</f>
        <v>11</v>
      </c>
      <c r="X1715" t="str" cm="1">
        <f t="array" ref="X1715">_xlfn.IFS(Sales_Table[[#This Row],[Revenue]]&gt;=50000,"High",Sales_Table[[#This Row],[Revenue]]&gt;=20000,"Medium",Sales_Table[[#This Row],[Revenue]]&lt;20000,"Low")</f>
        <v>Medium</v>
      </c>
      <c r="Y1715" t="str">
        <f>IF(Sales_Table[[#This Row],[Payment Method_clean]]="cash","Offline","Online")</f>
        <v>Online</v>
      </c>
      <c r="Z1715">
        <f>IFERROR(Sales_Table[[#This Row],[Revenue]],0)</f>
        <v>26028</v>
      </c>
    </row>
    <row r="1716" spans="1:26" x14ac:dyDescent="0.3">
      <c r="A1716">
        <v>1715</v>
      </c>
      <c r="B1716" s="2">
        <f t="shared" si="182"/>
        <v>45363.416666666664</v>
      </c>
      <c r="C1716" t="s">
        <v>3921</v>
      </c>
      <c r="D1716" t="s">
        <v>84</v>
      </c>
      <c r="E1716" t="str">
        <f>PROPER(TRIM(CLEAN(Sales_Table[[#This Row],[Region]])))</f>
        <v>South</v>
      </c>
      <c r="F1716" t="s">
        <v>78</v>
      </c>
      <c r="G1716" t="str">
        <f t="shared" si="183"/>
        <v>Grocery</v>
      </c>
      <c r="H1716" t="str">
        <f>PROPER(TRIM(CLEAN(Sales_Table[[#This Row],[Product Name]])))</f>
        <v>Men T-Shirt</v>
      </c>
      <c r="I1716" t="s">
        <v>38</v>
      </c>
      <c r="J1716" t="str">
        <f t="shared" si="184"/>
        <v>CUST0370</v>
      </c>
      <c r="K1716" t="s">
        <v>1719</v>
      </c>
      <c r="L1716" t="str">
        <f>PROPER(TRIM(CLEAN(Sales_Table[[#This Row],[Salesperson]])))</f>
        <v>Suresh</v>
      </c>
      <c r="M1716" t="s">
        <v>54</v>
      </c>
      <c r="N1716" t="str">
        <f t="shared" si="185"/>
        <v>Cash</v>
      </c>
      <c r="O1716" t="s">
        <v>32</v>
      </c>
      <c r="P1716">
        <f t="shared" si="186"/>
        <v>1</v>
      </c>
      <c r="Q1716" t="s">
        <v>93</v>
      </c>
      <c r="R1716">
        <f t="shared" si="187"/>
        <v>4878</v>
      </c>
      <c r="S1716" t="s">
        <v>3922</v>
      </c>
      <c r="T1716">
        <f t="shared" si="188"/>
        <v>4878</v>
      </c>
      <c r="U1716">
        <f>YEAR(Sales_Table[[#This Row],[Date_clean]])</f>
        <v>2024</v>
      </c>
      <c r="V1716" t="str">
        <f>TEXT(Sales_Table[[#This Row],[Date_clean]],"mmmm")</f>
        <v>March</v>
      </c>
      <c r="W1716">
        <f>WEEKNUM(Sales_Table[[#This Row],[Date_clean]],2)</f>
        <v>11</v>
      </c>
      <c r="X1716" t="str" cm="1">
        <f t="array" ref="X1716">_xlfn.IFS(Sales_Table[[#This Row],[Revenue]]&gt;=50000,"High",Sales_Table[[#This Row],[Revenue]]&gt;=20000,"Medium",Sales_Table[[#This Row],[Revenue]]&lt;20000,"Low")</f>
        <v>Low</v>
      </c>
      <c r="Y1716" t="str">
        <f>IF(Sales_Table[[#This Row],[Payment Method_clean]]="cash","Offline","Online")</f>
        <v>Offline</v>
      </c>
      <c r="Z1716">
        <f>IFERROR(Sales_Table[[#This Row],[Revenue]],0)</f>
        <v>4878</v>
      </c>
    </row>
    <row r="1717" spans="1:26" x14ac:dyDescent="0.3">
      <c r="A1717">
        <v>1716</v>
      </c>
      <c r="B1717" s="2">
        <f t="shared" si="182"/>
        <v>45363.458333333336</v>
      </c>
      <c r="C1717" t="s">
        <v>3923</v>
      </c>
      <c r="D1717" t="s">
        <v>36</v>
      </c>
      <c r="E1717" t="str">
        <f>PROPER(TRIM(CLEAN(Sales_Table[[#This Row],[Region]])))</f>
        <v>West</v>
      </c>
      <c r="F1717" t="s">
        <v>46</v>
      </c>
      <c r="G1717" t="str">
        <f t="shared" si="183"/>
        <v>Electronics</v>
      </c>
      <c r="H1717" t="str">
        <f>PROPER(TRIM(CLEAN(Sales_Table[[#This Row],[Product Name]])))</f>
        <v>Laptop</v>
      </c>
      <c r="I1717" t="s">
        <v>52</v>
      </c>
      <c r="J1717" t="str">
        <f t="shared" si="184"/>
        <v>CUST0175</v>
      </c>
      <c r="K1717" t="s">
        <v>2416</v>
      </c>
      <c r="L1717" t="str">
        <f>PROPER(TRIM(CLEAN(Sales_Table[[#This Row],[Salesperson]])))</f>
        <v>Meena</v>
      </c>
      <c r="M1717" t="s">
        <v>40</v>
      </c>
      <c r="N1717" t="str">
        <f t="shared" si="185"/>
        <v>Cash</v>
      </c>
      <c r="O1717" t="s">
        <v>32</v>
      </c>
      <c r="P1717">
        <f t="shared" si="186"/>
        <v>5</v>
      </c>
      <c r="Q1717" t="s">
        <v>89</v>
      </c>
      <c r="R1717">
        <f t="shared" si="187"/>
        <v>114</v>
      </c>
      <c r="S1717" t="s">
        <v>3924</v>
      </c>
      <c r="T1717">
        <f t="shared" si="188"/>
        <v>570</v>
      </c>
      <c r="U1717">
        <f>YEAR(Sales_Table[[#This Row],[Date_clean]])</f>
        <v>2024</v>
      </c>
      <c r="V1717" t="str">
        <f>TEXT(Sales_Table[[#This Row],[Date_clean]],"mmmm")</f>
        <v>March</v>
      </c>
      <c r="W1717">
        <f>WEEKNUM(Sales_Table[[#This Row],[Date_clean]],2)</f>
        <v>11</v>
      </c>
      <c r="X1717" t="str" cm="1">
        <f t="array" ref="X1717">_xlfn.IFS(Sales_Table[[#This Row],[Revenue]]&gt;=50000,"High",Sales_Table[[#This Row],[Revenue]]&gt;=20000,"Medium",Sales_Table[[#This Row],[Revenue]]&lt;20000,"Low")</f>
        <v>Low</v>
      </c>
      <c r="Y1717" t="str">
        <f>IF(Sales_Table[[#This Row],[Payment Method_clean]]="cash","Offline","Online")</f>
        <v>Offline</v>
      </c>
      <c r="Z1717">
        <f>IFERROR(Sales_Table[[#This Row],[Revenue]],0)</f>
        <v>570</v>
      </c>
    </row>
    <row r="1718" spans="1:26" x14ac:dyDescent="0.3">
      <c r="A1718">
        <v>1717</v>
      </c>
      <c r="B1718" s="2">
        <f t="shared" si="182"/>
        <v>45363.5</v>
      </c>
      <c r="C1718" t="s">
        <v>3925</v>
      </c>
      <c r="D1718" t="s">
        <v>36</v>
      </c>
      <c r="E1718" t="str">
        <f>PROPER(TRIM(CLEAN(Sales_Table[[#This Row],[Region]])))</f>
        <v>West</v>
      </c>
      <c r="F1718" t="s">
        <v>37</v>
      </c>
      <c r="G1718" t="str">
        <f t="shared" si="183"/>
        <v>Home Appliances</v>
      </c>
      <c r="H1718" t="str">
        <f>PROPER(TRIM(CLEAN(Sales_Table[[#This Row],[Product Name]])))</f>
        <v>Led Tv 42Inch</v>
      </c>
      <c r="I1718" t="s">
        <v>58</v>
      </c>
      <c r="J1718" t="str">
        <f t="shared" si="184"/>
        <v>CUST0588</v>
      </c>
      <c r="K1718" t="s">
        <v>1731</v>
      </c>
      <c r="L1718" t="str">
        <f>PROPER(TRIM(CLEAN(Sales_Table[[#This Row],[Salesperson]])))</f>
        <v>Meena</v>
      </c>
      <c r="M1718" t="s">
        <v>40</v>
      </c>
      <c r="N1718" t="str">
        <f t="shared" si="185"/>
        <v>Debit Card</v>
      </c>
      <c r="O1718" t="s">
        <v>41</v>
      </c>
      <c r="P1718">
        <f t="shared" si="186"/>
        <v>7</v>
      </c>
      <c r="Q1718" t="s">
        <v>49</v>
      </c>
      <c r="R1718">
        <f t="shared" si="187"/>
        <v>2515</v>
      </c>
      <c r="S1718" t="s">
        <v>1591</v>
      </c>
      <c r="T1718">
        <f t="shared" si="188"/>
        <v>17605</v>
      </c>
      <c r="U1718">
        <f>YEAR(Sales_Table[[#This Row],[Date_clean]])</f>
        <v>2024</v>
      </c>
      <c r="V1718" t="str">
        <f>TEXT(Sales_Table[[#This Row],[Date_clean]],"mmmm")</f>
        <v>March</v>
      </c>
      <c r="W1718">
        <f>WEEKNUM(Sales_Table[[#This Row],[Date_clean]],2)</f>
        <v>11</v>
      </c>
      <c r="X1718" t="str" cm="1">
        <f t="array" ref="X1718">_xlfn.IFS(Sales_Table[[#This Row],[Revenue]]&gt;=50000,"High",Sales_Table[[#This Row],[Revenue]]&gt;=20000,"Medium",Sales_Table[[#This Row],[Revenue]]&lt;20000,"Low")</f>
        <v>Low</v>
      </c>
      <c r="Y1718" t="str">
        <f>IF(Sales_Table[[#This Row],[Payment Method_clean]]="cash","Offline","Online")</f>
        <v>Online</v>
      </c>
      <c r="Z1718">
        <f>IFERROR(Sales_Table[[#This Row],[Revenue]],0)</f>
        <v>17605</v>
      </c>
    </row>
    <row r="1719" spans="1:26" x14ac:dyDescent="0.3">
      <c r="A1719">
        <v>1718</v>
      </c>
      <c r="B1719" s="2">
        <f t="shared" si="182"/>
        <v>45363.541666666664</v>
      </c>
      <c r="C1719" t="s">
        <v>3926</v>
      </c>
      <c r="D1719" t="s">
        <v>27</v>
      </c>
      <c r="E1719" t="str">
        <f>PROPER(TRIM(CLEAN(Sales_Table[[#This Row],[Region]])))</f>
        <v>East</v>
      </c>
      <c r="F1719" t="s">
        <v>46</v>
      </c>
      <c r="G1719" t="str">
        <f t="shared" si="183"/>
        <v>Electronics</v>
      </c>
      <c r="H1719" t="str">
        <f>PROPER(TRIM(CLEAN(Sales_Table[[#This Row],[Product Name]])))</f>
        <v>Rice 5Kg</v>
      </c>
      <c r="I1719" t="s">
        <v>73</v>
      </c>
      <c r="J1719" t="str">
        <f t="shared" si="184"/>
        <v>CUST0495</v>
      </c>
      <c r="K1719" t="s">
        <v>1989</v>
      </c>
      <c r="L1719" t="str">
        <f>PROPER(TRIM(CLEAN(Sales_Table[[#This Row],[Salesperson]])))</f>
        <v>Rahul</v>
      </c>
      <c r="M1719" t="s">
        <v>31</v>
      </c>
      <c r="N1719" t="str">
        <f t="shared" si="185"/>
        <v>Net Banking</v>
      </c>
      <c r="O1719" t="s">
        <v>60</v>
      </c>
      <c r="P1719">
        <f t="shared" si="186"/>
        <v>11</v>
      </c>
      <c r="Q1719" t="s">
        <v>97</v>
      </c>
      <c r="R1719">
        <f t="shared" si="187"/>
        <v>2785</v>
      </c>
      <c r="S1719" t="s">
        <v>3927</v>
      </c>
      <c r="T1719">
        <f t="shared" si="188"/>
        <v>30635</v>
      </c>
      <c r="U1719">
        <f>YEAR(Sales_Table[[#This Row],[Date_clean]])</f>
        <v>2024</v>
      </c>
      <c r="V1719" t="str">
        <f>TEXT(Sales_Table[[#This Row],[Date_clean]],"mmmm")</f>
        <v>March</v>
      </c>
      <c r="W1719">
        <f>WEEKNUM(Sales_Table[[#This Row],[Date_clean]],2)</f>
        <v>11</v>
      </c>
      <c r="X1719" t="str" cm="1">
        <f t="array" ref="X1719">_xlfn.IFS(Sales_Table[[#This Row],[Revenue]]&gt;=50000,"High",Sales_Table[[#This Row],[Revenue]]&gt;=20000,"Medium",Sales_Table[[#This Row],[Revenue]]&lt;20000,"Low")</f>
        <v>Medium</v>
      </c>
      <c r="Y1719" t="str">
        <f>IF(Sales_Table[[#This Row],[Payment Method_clean]]="cash","Offline","Online")</f>
        <v>Online</v>
      </c>
      <c r="Z1719">
        <f>IFERROR(Sales_Table[[#This Row],[Revenue]],0)</f>
        <v>30635</v>
      </c>
    </row>
    <row r="1720" spans="1:26" x14ac:dyDescent="0.3">
      <c r="A1720">
        <v>1719</v>
      </c>
      <c r="B1720" s="2">
        <f t="shared" si="182"/>
        <v>45363.583333333336</v>
      </c>
      <c r="C1720" t="s">
        <v>3928</v>
      </c>
      <c r="D1720" t="s">
        <v>84</v>
      </c>
      <c r="E1720" t="str">
        <f>PROPER(TRIM(CLEAN(Sales_Table[[#This Row],[Region]])))</f>
        <v>South</v>
      </c>
      <c r="F1720" t="s">
        <v>37</v>
      </c>
      <c r="G1720" t="str">
        <f t="shared" si="183"/>
        <v>Home Appliances</v>
      </c>
      <c r="H1720" t="str">
        <f>PROPER(TRIM(CLEAN(Sales_Table[[#This Row],[Product Name]])))</f>
        <v>Men T-Shirt</v>
      </c>
      <c r="I1720" t="s">
        <v>38</v>
      </c>
      <c r="J1720" t="str">
        <f t="shared" si="184"/>
        <v>CUST0114</v>
      </c>
      <c r="K1720" t="s">
        <v>542</v>
      </c>
      <c r="L1720" t="str">
        <f>PROPER(TRIM(CLEAN(Sales_Table[[#This Row],[Salesperson]])))</f>
        <v>Karthik</v>
      </c>
      <c r="M1720" t="s">
        <v>70</v>
      </c>
      <c r="N1720" t="str">
        <f t="shared" si="185"/>
        <v>Upi</v>
      </c>
      <c r="O1720" t="s">
        <v>48</v>
      </c>
      <c r="P1720">
        <f t="shared" si="186"/>
        <v>6</v>
      </c>
      <c r="Q1720" t="s">
        <v>75</v>
      </c>
      <c r="R1720">
        <f t="shared" si="187"/>
        <v>3000</v>
      </c>
      <c r="S1720" t="s">
        <v>3929</v>
      </c>
      <c r="T1720">
        <f t="shared" si="188"/>
        <v>18000</v>
      </c>
      <c r="U1720">
        <f>YEAR(Sales_Table[[#This Row],[Date_clean]])</f>
        <v>2024</v>
      </c>
      <c r="V1720" t="str">
        <f>TEXT(Sales_Table[[#This Row],[Date_clean]],"mmmm")</f>
        <v>March</v>
      </c>
      <c r="W1720">
        <f>WEEKNUM(Sales_Table[[#This Row],[Date_clean]],2)</f>
        <v>11</v>
      </c>
      <c r="X1720" t="str" cm="1">
        <f t="array" ref="X1720">_xlfn.IFS(Sales_Table[[#This Row],[Revenue]]&gt;=50000,"High",Sales_Table[[#This Row],[Revenue]]&gt;=20000,"Medium",Sales_Table[[#This Row],[Revenue]]&lt;20000,"Low")</f>
        <v>Low</v>
      </c>
      <c r="Y1720" t="str">
        <f>IF(Sales_Table[[#This Row],[Payment Method_clean]]="cash","Offline","Online")</f>
        <v>Online</v>
      </c>
      <c r="Z1720">
        <f>IFERROR(Sales_Table[[#This Row],[Revenue]],0)</f>
        <v>18000</v>
      </c>
    </row>
    <row r="1721" spans="1:26" x14ac:dyDescent="0.3">
      <c r="A1721">
        <v>1720</v>
      </c>
      <c r="B1721" s="2">
        <f t="shared" si="182"/>
        <v>45363.625</v>
      </c>
      <c r="C1721" t="s">
        <v>3930</v>
      </c>
      <c r="D1721" t="s">
        <v>45</v>
      </c>
      <c r="E1721" t="str">
        <f>PROPER(TRIM(CLEAN(Sales_Table[[#This Row],[Region]])))</f>
        <v>North</v>
      </c>
      <c r="F1721" t="s">
        <v>46</v>
      </c>
      <c r="G1721" t="str">
        <f t="shared" si="183"/>
        <v>Electronics</v>
      </c>
      <c r="H1721" t="str">
        <f>PROPER(TRIM(CLEAN(Sales_Table[[#This Row],[Product Name]])))</f>
        <v>Led Tv 42Inch</v>
      </c>
      <c r="I1721" t="s">
        <v>58</v>
      </c>
      <c r="J1721" t="str">
        <f t="shared" si="184"/>
        <v>CUST0111</v>
      </c>
      <c r="K1721" t="s">
        <v>1408</v>
      </c>
      <c r="L1721" t="str">
        <f>PROPER(TRIM(CLEAN(Sales_Table[[#This Row],[Salesperson]])))</f>
        <v>Anita</v>
      </c>
      <c r="M1721" t="s">
        <v>64</v>
      </c>
      <c r="N1721" t="str">
        <f t="shared" si="185"/>
        <v>Credit Card</v>
      </c>
      <c r="O1721" t="s">
        <v>65</v>
      </c>
      <c r="P1721">
        <f t="shared" si="186"/>
        <v>6</v>
      </c>
      <c r="Q1721" t="s">
        <v>75</v>
      </c>
      <c r="R1721">
        <f t="shared" si="187"/>
        <v>1336</v>
      </c>
      <c r="S1721" t="s">
        <v>3931</v>
      </c>
      <c r="T1721">
        <f t="shared" si="188"/>
        <v>8016</v>
      </c>
      <c r="U1721">
        <f>YEAR(Sales_Table[[#This Row],[Date_clean]])</f>
        <v>2024</v>
      </c>
      <c r="V1721" t="str">
        <f>TEXT(Sales_Table[[#This Row],[Date_clean]],"mmmm")</f>
        <v>March</v>
      </c>
      <c r="W1721">
        <f>WEEKNUM(Sales_Table[[#This Row],[Date_clean]],2)</f>
        <v>11</v>
      </c>
      <c r="X1721" t="str" cm="1">
        <f t="array" ref="X1721">_xlfn.IFS(Sales_Table[[#This Row],[Revenue]]&gt;=50000,"High",Sales_Table[[#This Row],[Revenue]]&gt;=20000,"Medium",Sales_Table[[#This Row],[Revenue]]&lt;20000,"Low")</f>
        <v>Low</v>
      </c>
      <c r="Y1721" t="str">
        <f>IF(Sales_Table[[#This Row],[Payment Method_clean]]="cash","Offline","Online")</f>
        <v>Online</v>
      </c>
      <c r="Z1721">
        <f>IFERROR(Sales_Table[[#This Row],[Revenue]],0)</f>
        <v>8016</v>
      </c>
    </row>
    <row r="1722" spans="1:26" x14ac:dyDescent="0.3">
      <c r="A1722">
        <v>1721</v>
      </c>
      <c r="B1722" s="2">
        <f t="shared" si="182"/>
        <v>45363.666666666664</v>
      </c>
      <c r="C1722" t="s">
        <v>3932</v>
      </c>
      <c r="D1722" t="s">
        <v>84</v>
      </c>
      <c r="E1722" t="str">
        <f>PROPER(TRIM(CLEAN(Sales_Table[[#This Row],[Region]])))</f>
        <v>South</v>
      </c>
      <c r="F1722" t="s">
        <v>28</v>
      </c>
      <c r="G1722" t="str">
        <f t="shared" si="183"/>
        <v>Clothing</v>
      </c>
      <c r="H1722" t="str">
        <f>PROPER(TRIM(CLEAN(Sales_Table[[#This Row],[Product Name]])))</f>
        <v>Laptop</v>
      </c>
      <c r="I1722" t="s">
        <v>52</v>
      </c>
      <c r="J1722" t="str">
        <f t="shared" si="184"/>
        <v>CUST0761</v>
      </c>
      <c r="K1722" t="s">
        <v>1180</v>
      </c>
      <c r="L1722" t="str">
        <f>PROPER(TRIM(CLEAN(Sales_Table[[#This Row],[Salesperson]])))</f>
        <v>Karthik</v>
      </c>
      <c r="M1722" t="s">
        <v>70</v>
      </c>
      <c r="N1722" t="str">
        <f t="shared" si="185"/>
        <v>Debit Card</v>
      </c>
      <c r="O1722" t="s">
        <v>41</v>
      </c>
      <c r="P1722">
        <f t="shared" si="186"/>
        <v>12</v>
      </c>
      <c r="Q1722" t="s">
        <v>33</v>
      </c>
      <c r="R1722">
        <f t="shared" si="187"/>
        <v>4200</v>
      </c>
      <c r="S1722" t="s">
        <v>3933</v>
      </c>
      <c r="T1722">
        <f t="shared" si="188"/>
        <v>50400</v>
      </c>
      <c r="U1722">
        <f>YEAR(Sales_Table[[#This Row],[Date_clean]])</f>
        <v>2024</v>
      </c>
      <c r="V1722" t="str">
        <f>TEXT(Sales_Table[[#This Row],[Date_clean]],"mmmm")</f>
        <v>March</v>
      </c>
      <c r="W1722">
        <f>WEEKNUM(Sales_Table[[#This Row],[Date_clean]],2)</f>
        <v>11</v>
      </c>
      <c r="X1722" t="str" cm="1">
        <f t="array" ref="X1722">_xlfn.IFS(Sales_Table[[#This Row],[Revenue]]&gt;=50000,"High",Sales_Table[[#This Row],[Revenue]]&gt;=20000,"Medium",Sales_Table[[#This Row],[Revenue]]&lt;20000,"Low")</f>
        <v>High</v>
      </c>
      <c r="Y1722" t="str">
        <f>IF(Sales_Table[[#This Row],[Payment Method_clean]]="cash","Offline","Online")</f>
        <v>Online</v>
      </c>
      <c r="Z1722">
        <f>IFERROR(Sales_Table[[#This Row],[Revenue]],0)</f>
        <v>50400</v>
      </c>
    </row>
    <row r="1723" spans="1:26" x14ac:dyDescent="0.3">
      <c r="A1723">
        <v>1722</v>
      </c>
      <c r="B1723" s="2">
        <f t="shared" si="182"/>
        <v>45363.708333333336</v>
      </c>
      <c r="C1723" t="s">
        <v>3934</v>
      </c>
      <c r="D1723" t="s">
        <v>27</v>
      </c>
      <c r="E1723" t="str">
        <f>PROPER(TRIM(CLEAN(Sales_Table[[#This Row],[Region]])))</f>
        <v>East</v>
      </c>
      <c r="F1723" t="s">
        <v>28</v>
      </c>
      <c r="G1723" t="str">
        <f t="shared" si="183"/>
        <v>Clothing</v>
      </c>
      <c r="H1723" t="str">
        <f>PROPER(TRIM(CLEAN(Sales_Table[[#This Row],[Product Name]])))</f>
        <v>Led Tv 42Inch</v>
      </c>
      <c r="I1723" t="s">
        <v>58</v>
      </c>
      <c r="J1723" t="str">
        <f t="shared" si="184"/>
        <v>CUST0439</v>
      </c>
      <c r="K1723" t="s">
        <v>828</v>
      </c>
      <c r="L1723" t="str">
        <f>PROPER(TRIM(CLEAN(Sales_Table[[#This Row],[Salesperson]])))</f>
        <v>Suresh</v>
      </c>
      <c r="M1723" t="s">
        <v>54</v>
      </c>
      <c r="N1723" t="str">
        <f t="shared" si="185"/>
        <v>Net Banking</v>
      </c>
      <c r="O1723" t="s">
        <v>60</v>
      </c>
      <c r="P1723">
        <f t="shared" si="186"/>
        <v>7</v>
      </c>
      <c r="Q1723" t="s">
        <v>49</v>
      </c>
      <c r="R1723">
        <f t="shared" si="187"/>
        <v>3320</v>
      </c>
      <c r="S1723" t="s">
        <v>2155</v>
      </c>
      <c r="T1723">
        <f t="shared" si="188"/>
        <v>23240</v>
      </c>
      <c r="U1723">
        <f>YEAR(Sales_Table[[#This Row],[Date_clean]])</f>
        <v>2024</v>
      </c>
      <c r="V1723" t="str">
        <f>TEXT(Sales_Table[[#This Row],[Date_clean]],"mmmm")</f>
        <v>March</v>
      </c>
      <c r="W1723">
        <f>WEEKNUM(Sales_Table[[#This Row],[Date_clean]],2)</f>
        <v>11</v>
      </c>
      <c r="X1723" t="str" cm="1">
        <f t="array" ref="X1723">_xlfn.IFS(Sales_Table[[#This Row],[Revenue]]&gt;=50000,"High",Sales_Table[[#This Row],[Revenue]]&gt;=20000,"Medium",Sales_Table[[#This Row],[Revenue]]&lt;20000,"Low")</f>
        <v>Medium</v>
      </c>
      <c r="Y1723" t="str">
        <f>IF(Sales_Table[[#This Row],[Payment Method_clean]]="cash","Offline","Online")</f>
        <v>Online</v>
      </c>
      <c r="Z1723">
        <f>IFERROR(Sales_Table[[#This Row],[Revenue]],0)</f>
        <v>23240</v>
      </c>
    </row>
    <row r="1724" spans="1:26" x14ac:dyDescent="0.3">
      <c r="A1724">
        <v>1723</v>
      </c>
      <c r="B1724" s="2">
        <f t="shared" si="182"/>
        <v>45363.75</v>
      </c>
      <c r="C1724" t="s">
        <v>3935</v>
      </c>
      <c r="D1724" t="s">
        <v>27</v>
      </c>
      <c r="E1724" t="str">
        <f>PROPER(TRIM(CLEAN(Sales_Table[[#This Row],[Region]])))</f>
        <v>East</v>
      </c>
      <c r="F1724" t="s">
        <v>37</v>
      </c>
      <c r="G1724" t="str">
        <f t="shared" si="183"/>
        <v>Home Appliances</v>
      </c>
      <c r="H1724" t="str">
        <f>PROPER(TRIM(CLEAN(Sales_Table[[#This Row],[Product Name]])))</f>
        <v>Led Tv 42Inch</v>
      </c>
      <c r="I1724" t="s">
        <v>58</v>
      </c>
      <c r="J1724" t="str">
        <f t="shared" si="184"/>
        <v>CUST0715</v>
      </c>
      <c r="K1724" t="s">
        <v>660</v>
      </c>
      <c r="L1724" t="str">
        <f>PROPER(TRIM(CLEAN(Sales_Table[[#This Row],[Salesperson]])))</f>
        <v>Karthik</v>
      </c>
      <c r="M1724" t="s">
        <v>70</v>
      </c>
      <c r="N1724" t="str">
        <f t="shared" si="185"/>
        <v>Cash</v>
      </c>
      <c r="O1724" t="s">
        <v>32</v>
      </c>
      <c r="P1724">
        <f t="shared" si="186"/>
        <v>6</v>
      </c>
      <c r="Q1724" t="s">
        <v>75</v>
      </c>
      <c r="R1724">
        <f t="shared" si="187"/>
        <v>1707</v>
      </c>
      <c r="S1724" t="s">
        <v>1688</v>
      </c>
      <c r="T1724">
        <f t="shared" si="188"/>
        <v>10242</v>
      </c>
      <c r="U1724">
        <f>YEAR(Sales_Table[[#This Row],[Date_clean]])</f>
        <v>2024</v>
      </c>
      <c r="V1724" t="str">
        <f>TEXT(Sales_Table[[#This Row],[Date_clean]],"mmmm")</f>
        <v>March</v>
      </c>
      <c r="W1724">
        <f>WEEKNUM(Sales_Table[[#This Row],[Date_clean]],2)</f>
        <v>11</v>
      </c>
      <c r="X1724" t="str" cm="1">
        <f t="array" ref="X1724">_xlfn.IFS(Sales_Table[[#This Row],[Revenue]]&gt;=50000,"High",Sales_Table[[#This Row],[Revenue]]&gt;=20000,"Medium",Sales_Table[[#This Row],[Revenue]]&lt;20000,"Low")</f>
        <v>Low</v>
      </c>
      <c r="Y1724" t="str">
        <f>IF(Sales_Table[[#This Row],[Payment Method_clean]]="cash","Offline","Online")</f>
        <v>Offline</v>
      </c>
      <c r="Z1724">
        <f>IFERROR(Sales_Table[[#This Row],[Revenue]],0)</f>
        <v>10242</v>
      </c>
    </row>
    <row r="1725" spans="1:26" x14ac:dyDescent="0.3">
      <c r="A1725">
        <v>1724</v>
      </c>
      <c r="B1725" s="2">
        <f t="shared" si="182"/>
        <v>45363.791666666664</v>
      </c>
      <c r="C1725" t="s">
        <v>3936</v>
      </c>
      <c r="D1725" t="s">
        <v>84</v>
      </c>
      <c r="E1725" t="str">
        <f>PROPER(TRIM(CLEAN(Sales_Table[[#This Row],[Region]])))</f>
        <v>South</v>
      </c>
      <c r="F1725" t="s">
        <v>37</v>
      </c>
      <c r="G1725" t="str">
        <f t="shared" si="183"/>
        <v>Home Appliances</v>
      </c>
      <c r="H1725" t="str">
        <f>PROPER(TRIM(CLEAN(Sales_Table[[#This Row],[Product Name]])))</f>
        <v>Laptop</v>
      </c>
      <c r="I1725" t="s">
        <v>52</v>
      </c>
      <c r="J1725" t="str">
        <f t="shared" si="184"/>
        <v>CUST0147</v>
      </c>
      <c r="K1725" t="s">
        <v>1629</v>
      </c>
      <c r="L1725" t="str">
        <f>PROPER(TRIM(CLEAN(Sales_Table[[#This Row],[Salesperson]])))</f>
        <v>Suresh</v>
      </c>
      <c r="M1725" t="s">
        <v>54</v>
      </c>
      <c r="N1725" t="str">
        <f t="shared" si="185"/>
        <v>Net Banking</v>
      </c>
      <c r="O1725" t="s">
        <v>60</v>
      </c>
      <c r="P1725">
        <f t="shared" si="186"/>
        <v>5</v>
      </c>
      <c r="Q1725" t="s">
        <v>89</v>
      </c>
      <c r="R1725">
        <f t="shared" si="187"/>
        <v>3663</v>
      </c>
      <c r="S1725" t="s">
        <v>3937</v>
      </c>
      <c r="T1725">
        <f t="shared" si="188"/>
        <v>18315</v>
      </c>
      <c r="U1725">
        <f>YEAR(Sales_Table[[#This Row],[Date_clean]])</f>
        <v>2024</v>
      </c>
      <c r="V1725" t="str">
        <f>TEXT(Sales_Table[[#This Row],[Date_clean]],"mmmm")</f>
        <v>March</v>
      </c>
      <c r="W1725">
        <f>WEEKNUM(Sales_Table[[#This Row],[Date_clean]],2)</f>
        <v>11</v>
      </c>
      <c r="X1725" t="str" cm="1">
        <f t="array" ref="X1725">_xlfn.IFS(Sales_Table[[#This Row],[Revenue]]&gt;=50000,"High",Sales_Table[[#This Row],[Revenue]]&gt;=20000,"Medium",Sales_Table[[#This Row],[Revenue]]&lt;20000,"Low")</f>
        <v>Low</v>
      </c>
      <c r="Y1725" t="str">
        <f>IF(Sales_Table[[#This Row],[Payment Method_clean]]="cash","Offline","Online")</f>
        <v>Online</v>
      </c>
      <c r="Z1725">
        <f>IFERROR(Sales_Table[[#This Row],[Revenue]],0)</f>
        <v>18315</v>
      </c>
    </row>
    <row r="1726" spans="1:26" x14ac:dyDescent="0.3">
      <c r="A1726">
        <v>1725</v>
      </c>
      <c r="B1726" s="2">
        <f t="shared" si="182"/>
        <v>45363.833333333336</v>
      </c>
      <c r="C1726" t="s">
        <v>3938</v>
      </c>
      <c r="D1726" t="s">
        <v>84</v>
      </c>
      <c r="E1726" t="str">
        <f>PROPER(TRIM(CLEAN(Sales_Table[[#This Row],[Region]])))</f>
        <v>South</v>
      </c>
      <c r="F1726" t="s">
        <v>28</v>
      </c>
      <c r="G1726" t="str">
        <f t="shared" si="183"/>
        <v>Clothing</v>
      </c>
      <c r="H1726" t="str">
        <f>PROPER(TRIM(CLEAN(Sales_Table[[#This Row],[Product Name]])))</f>
        <v>Men T-Shirt</v>
      </c>
      <c r="I1726" t="s">
        <v>38</v>
      </c>
      <c r="J1726" t="str">
        <f t="shared" si="184"/>
        <v>CUST0035</v>
      </c>
      <c r="K1726" t="s">
        <v>3756</v>
      </c>
      <c r="L1726" t="str">
        <f>PROPER(TRIM(CLEAN(Sales_Table[[#This Row],[Salesperson]])))</f>
        <v>Suresh</v>
      </c>
      <c r="M1726" t="s">
        <v>54</v>
      </c>
      <c r="N1726" t="str">
        <f t="shared" si="185"/>
        <v>Upi</v>
      </c>
      <c r="O1726" t="s">
        <v>48</v>
      </c>
      <c r="P1726">
        <f t="shared" si="186"/>
        <v>10</v>
      </c>
      <c r="Q1726" t="s">
        <v>117</v>
      </c>
      <c r="R1726">
        <f t="shared" si="187"/>
        <v>3397</v>
      </c>
      <c r="S1726" t="s">
        <v>127</v>
      </c>
      <c r="T1726">
        <f t="shared" si="188"/>
        <v>33970</v>
      </c>
      <c r="U1726">
        <f>YEAR(Sales_Table[[#This Row],[Date_clean]])</f>
        <v>2024</v>
      </c>
      <c r="V1726" t="str">
        <f>TEXT(Sales_Table[[#This Row],[Date_clean]],"mmmm")</f>
        <v>March</v>
      </c>
      <c r="W1726">
        <f>WEEKNUM(Sales_Table[[#This Row],[Date_clean]],2)</f>
        <v>11</v>
      </c>
      <c r="X1726" t="str" cm="1">
        <f t="array" ref="X1726">_xlfn.IFS(Sales_Table[[#This Row],[Revenue]]&gt;=50000,"High",Sales_Table[[#This Row],[Revenue]]&gt;=20000,"Medium",Sales_Table[[#This Row],[Revenue]]&lt;20000,"Low")</f>
        <v>Medium</v>
      </c>
      <c r="Y1726" t="str">
        <f>IF(Sales_Table[[#This Row],[Payment Method_clean]]="cash","Offline","Online")</f>
        <v>Online</v>
      </c>
      <c r="Z1726">
        <f>IFERROR(Sales_Table[[#This Row],[Revenue]],0)</f>
        <v>33970</v>
      </c>
    </row>
    <row r="1727" spans="1:26" x14ac:dyDescent="0.3">
      <c r="A1727">
        <v>1726</v>
      </c>
      <c r="B1727" s="2">
        <f t="shared" si="182"/>
        <v>45363.875</v>
      </c>
      <c r="C1727" t="s">
        <v>3939</v>
      </c>
      <c r="D1727" t="s">
        <v>84</v>
      </c>
      <c r="E1727" t="str">
        <f>PROPER(TRIM(CLEAN(Sales_Table[[#This Row],[Region]])))</f>
        <v>South</v>
      </c>
      <c r="F1727" t="s">
        <v>37</v>
      </c>
      <c r="G1727" t="str">
        <f t="shared" si="183"/>
        <v>Home Appliances</v>
      </c>
      <c r="H1727" t="str">
        <f>PROPER(TRIM(CLEAN(Sales_Table[[#This Row],[Product Name]])))</f>
        <v>Mixer Grinder</v>
      </c>
      <c r="I1727" t="s">
        <v>29</v>
      </c>
      <c r="J1727" t="str">
        <f t="shared" si="184"/>
        <v>CUST0309</v>
      </c>
      <c r="K1727" t="s">
        <v>901</v>
      </c>
      <c r="L1727" t="str">
        <f>PROPER(TRIM(CLEAN(Sales_Table[[#This Row],[Salesperson]])))</f>
        <v>Anita</v>
      </c>
      <c r="M1727" t="s">
        <v>64</v>
      </c>
      <c r="N1727" t="str">
        <f t="shared" si="185"/>
        <v>Debit Card</v>
      </c>
      <c r="O1727" t="s">
        <v>41</v>
      </c>
      <c r="P1727">
        <f t="shared" si="186"/>
        <v>5</v>
      </c>
      <c r="Q1727" t="s">
        <v>89</v>
      </c>
      <c r="R1727">
        <f t="shared" si="187"/>
        <v>2733</v>
      </c>
      <c r="S1727" t="s">
        <v>3940</v>
      </c>
      <c r="T1727">
        <f t="shared" si="188"/>
        <v>13665</v>
      </c>
      <c r="U1727">
        <f>YEAR(Sales_Table[[#This Row],[Date_clean]])</f>
        <v>2024</v>
      </c>
      <c r="V1727" t="str">
        <f>TEXT(Sales_Table[[#This Row],[Date_clean]],"mmmm")</f>
        <v>March</v>
      </c>
      <c r="W1727">
        <f>WEEKNUM(Sales_Table[[#This Row],[Date_clean]],2)</f>
        <v>11</v>
      </c>
      <c r="X1727" t="str" cm="1">
        <f t="array" ref="X1727">_xlfn.IFS(Sales_Table[[#This Row],[Revenue]]&gt;=50000,"High",Sales_Table[[#This Row],[Revenue]]&gt;=20000,"Medium",Sales_Table[[#This Row],[Revenue]]&lt;20000,"Low")</f>
        <v>Low</v>
      </c>
      <c r="Y1727" t="str">
        <f>IF(Sales_Table[[#This Row],[Payment Method_clean]]="cash","Offline","Online")</f>
        <v>Online</v>
      </c>
      <c r="Z1727">
        <f>IFERROR(Sales_Table[[#This Row],[Revenue]],0)</f>
        <v>13665</v>
      </c>
    </row>
    <row r="1728" spans="1:26" x14ac:dyDescent="0.3">
      <c r="A1728">
        <v>1727</v>
      </c>
      <c r="B1728" s="2">
        <f t="shared" si="182"/>
        <v>45363.916666666664</v>
      </c>
      <c r="C1728" t="s">
        <v>3941</v>
      </c>
      <c r="D1728" t="s">
        <v>36</v>
      </c>
      <c r="E1728" t="str">
        <f>PROPER(TRIM(CLEAN(Sales_Table[[#This Row],[Region]])))</f>
        <v>West</v>
      </c>
      <c r="F1728" t="s">
        <v>46</v>
      </c>
      <c r="G1728" t="str">
        <f t="shared" si="183"/>
        <v>Electronics</v>
      </c>
      <c r="H1728" t="str">
        <f>PROPER(TRIM(CLEAN(Sales_Table[[#This Row],[Product Name]])))</f>
        <v>Men T-Shirt</v>
      </c>
      <c r="I1728" t="s">
        <v>38</v>
      </c>
      <c r="J1728" t="str">
        <f t="shared" si="184"/>
        <v>CUST0538</v>
      </c>
      <c r="K1728" t="s">
        <v>799</v>
      </c>
      <c r="L1728" t="str">
        <f>PROPER(TRIM(CLEAN(Sales_Table[[#This Row],[Salesperson]])))</f>
        <v>Rahul</v>
      </c>
      <c r="M1728" t="s">
        <v>31</v>
      </c>
      <c r="N1728" t="str">
        <f t="shared" si="185"/>
        <v>Cash</v>
      </c>
      <c r="O1728" t="s">
        <v>32</v>
      </c>
      <c r="P1728">
        <f t="shared" si="186"/>
        <v>9</v>
      </c>
      <c r="Q1728" t="s">
        <v>130</v>
      </c>
      <c r="R1728">
        <f t="shared" si="187"/>
        <v>3990</v>
      </c>
      <c r="S1728" t="s">
        <v>3942</v>
      </c>
      <c r="T1728">
        <f t="shared" si="188"/>
        <v>35910</v>
      </c>
      <c r="U1728">
        <f>YEAR(Sales_Table[[#This Row],[Date_clean]])</f>
        <v>2024</v>
      </c>
      <c r="V1728" t="str">
        <f>TEXT(Sales_Table[[#This Row],[Date_clean]],"mmmm")</f>
        <v>March</v>
      </c>
      <c r="W1728">
        <f>WEEKNUM(Sales_Table[[#This Row],[Date_clean]],2)</f>
        <v>11</v>
      </c>
      <c r="X1728" t="str" cm="1">
        <f t="array" ref="X1728">_xlfn.IFS(Sales_Table[[#This Row],[Revenue]]&gt;=50000,"High",Sales_Table[[#This Row],[Revenue]]&gt;=20000,"Medium",Sales_Table[[#This Row],[Revenue]]&lt;20000,"Low")</f>
        <v>Medium</v>
      </c>
      <c r="Y1728" t="str">
        <f>IF(Sales_Table[[#This Row],[Payment Method_clean]]="cash","Offline","Online")</f>
        <v>Offline</v>
      </c>
      <c r="Z1728">
        <f>IFERROR(Sales_Table[[#This Row],[Revenue]],0)</f>
        <v>35910</v>
      </c>
    </row>
    <row r="1729" spans="1:26" x14ac:dyDescent="0.3">
      <c r="A1729">
        <v>1728</v>
      </c>
      <c r="B1729" s="2">
        <f t="shared" si="182"/>
        <v>45363.958333333336</v>
      </c>
      <c r="C1729" t="s">
        <v>3943</v>
      </c>
      <c r="D1729" t="s">
        <v>45</v>
      </c>
      <c r="E1729" t="str">
        <f>PROPER(TRIM(CLEAN(Sales_Table[[#This Row],[Region]])))</f>
        <v>North</v>
      </c>
      <c r="F1729" t="s">
        <v>46</v>
      </c>
      <c r="G1729" t="str">
        <f t="shared" si="183"/>
        <v>Electronics</v>
      </c>
      <c r="H1729" t="str">
        <f>PROPER(TRIM(CLEAN(Sales_Table[[#This Row],[Product Name]])))</f>
        <v>Washing Machine</v>
      </c>
      <c r="I1729" t="s">
        <v>79</v>
      </c>
      <c r="J1729" t="str">
        <f t="shared" si="184"/>
        <v>CUST0750</v>
      </c>
      <c r="K1729" t="s">
        <v>1695</v>
      </c>
      <c r="L1729" t="str">
        <f>PROPER(TRIM(CLEAN(Sales_Table[[#This Row],[Salesperson]])))</f>
        <v>Anita</v>
      </c>
      <c r="M1729" t="s">
        <v>64</v>
      </c>
      <c r="N1729" t="str">
        <f t="shared" si="185"/>
        <v>Upi</v>
      </c>
      <c r="O1729" t="s">
        <v>48</v>
      </c>
      <c r="P1729">
        <f t="shared" si="186"/>
        <v>14</v>
      </c>
      <c r="Q1729" t="s">
        <v>55</v>
      </c>
      <c r="R1729">
        <f t="shared" si="187"/>
        <v>4364</v>
      </c>
      <c r="S1729" t="s">
        <v>3944</v>
      </c>
      <c r="T1729">
        <f t="shared" si="188"/>
        <v>61096</v>
      </c>
      <c r="U1729">
        <f>YEAR(Sales_Table[[#This Row],[Date_clean]])</f>
        <v>2024</v>
      </c>
      <c r="V1729" t="str">
        <f>TEXT(Sales_Table[[#This Row],[Date_clean]],"mmmm")</f>
        <v>March</v>
      </c>
      <c r="W1729">
        <f>WEEKNUM(Sales_Table[[#This Row],[Date_clean]],2)</f>
        <v>11</v>
      </c>
      <c r="X1729" t="str" cm="1">
        <f t="array" ref="X1729">_xlfn.IFS(Sales_Table[[#This Row],[Revenue]]&gt;=50000,"High",Sales_Table[[#This Row],[Revenue]]&gt;=20000,"Medium",Sales_Table[[#This Row],[Revenue]]&lt;20000,"Low")</f>
        <v>High</v>
      </c>
      <c r="Y1729" t="str">
        <f>IF(Sales_Table[[#This Row],[Payment Method_clean]]="cash","Offline","Online")</f>
        <v>Online</v>
      </c>
      <c r="Z1729">
        <f>IFERROR(Sales_Table[[#This Row],[Revenue]],0)</f>
        <v>61096</v>
      </c>
    </row>
    <row r="1730" spans="1:26" x14ac:dyDescent="0.3">
      <c r="A1730">
        <v>1729</v>
      </c>
      <c r="B1730" s="2">
        <f t="shared" si="182"/>
        <v>45364</v>
      </c>
      <c r="C1730" t="s">
        <v>3945</v>
      </c>
      <c r="D1730" t="s">
        <v>84</v>
      </c>
      <c r="E1730" t="str">
        <f>PROPER(TRIM(CLEAN(Sales_Table[[#This Row],[Region]])))</f>
        <v>South</v>
      </c>
      <c r="F1730" t="s">
        <v>28</v>
      </c>
      <c r="G1730" t="str">
        <f t="shared" si="183"/>
        <v>Clothing</v>
      </c>
      <c r="H1730" t="str">
        <f>PROPER(TRIM(CLEAN(Sales_Table[[#This Row],[Product Name]])))</f>
        <v>Laptop</v>
      </c>
      <c r="I1730" t="s">
        <v>52</v>
      </c>
      <c r="J1730" t="str">
        <f t="shared" si="184"/>
        <v>CUST0014</v>
      </c>
      <c r="K1730" t="s">
        <v>657</v>
      </c>
      <c r="L1730" t="str">
        <f>PROPER(TRIM(CLEAN(Sales_Table[[#This Row],[Salesperson]])))</f>
        <v>Karthik</v>
      </c>
      <c r="M1730" t="s">
        <v>70</v>
      </c>
      <c r="N1730" t="str">
        <f t="shared" si="185"/>
        <v>Credit Card</v>
      </c>
      <c r="O1730" t="s">
        <v>65</v>
      </c>
      <c r="P1730">
        <f t="shared" si="186"/>
        <v>8</v>
      </c>
      <c r="Q1730" t="s">
        <v>42</v>
      </c>
      <c r="R1730">
        <f t="shared" si="187"/>
        <v>2908</v>
      </c>
      <c r="S1730" t="s">
        <v>2455</v>
      </c>
      <c r="T1730">
        <f t="shared" si="188"/>
        <v>23264</v>
      </c>
      <c r="U1730">
        <f>YEAR(Sales_Table[[#This Row],[Date_clean]])</f>
        <v>2024</v>
      </c>
      <c r="V1730" t="str">
        <f>TEXT(Sales_Table[[#This Row],[Date_clean]],"mmmm")</f>
        <v>March</v>
      </c>
      <c r="W1730">
        <f>WEEKNUM(Sales_Table[[#This Row],[Date_clean]],2)</f>
        <v>11</v>
      </c>
      <c r="X1730" t="str" cm="1">
        <f t="array" ref="X1730">_xlfn.IFS(Sales_Table[[#This Row],[Revenue]]&gt;=50000,"High",Sales_Table[[#This Row],[Revenue]]&gt;=20000,"Medium",Sales_Table[[#This Row],[Revenue]]&lt;20000,"Low")</f>
        <v>Medium</v>
      </c>
      <c r="Y1730" t="str">
        <f>IF(Sales_Table[[#This Row],[Payment Method_clean]]="cash","Offline","Online")</f>
        <v>Online</v>
      </c>
      <c r="Z1730">
        <f>IFERROR(Sales_Table[[#This Row],[Revenue]],0)</f>
        <v>23264</v>
      </c>
    </row>
    <row r="1731" spans="1:26" x14ac:dyDescent="0.3">
      <c r="A1731">
        <v>1730</v>
      </c>
      <c r="B1731" s="2">
        <f t="shared" ref="B1731:B1794" si="189">DATEVALUE(LEFT(C1731,10))+TIMEVALUE(MID(C1731,12,8))</f>
        <v>45364.041666666664</v>
      </c>
      <c r="C1731" t="s">
        <v>3946</v>
      </c>
      <c r="D1731" t="s">
        <v>84</v>
      </c>
      <c r="E1731" t="str">
        <f>PROPER(TRIM(CLEAN(Sales_Table[[#This Row],[Region]])))</f>
        <v>South</v>
      </c>
      <c r="F1731" t="s">
        <v>78</v>
      </c>
      <c r="G1731" t="str">
        <f t="shared" ref="G1731:G1794" si="190">PROPER(TRIM(CLEAN(F1731)))</f>
        <v>Grocery</v>
      </c>
      <c r="H1731" t="str">
        <f>PROPER(TRIM(CLEAN(Sales_Table[[#This Row],[Product Name]])))</f>
        <v>Men T-Shirt</v>
      </c>
      <c r="I1731" t="s">
        <v>38</v>
      </c>
      <c r="J1731" t="str">
        <f t="shared" ref="J1731:J1794" si="191">TRIM(K1731)</f>
        <v>CUST0374</v>
      </c>
      <c r="K1731" t="s">
        <v>2870</v>
      </c>
      <c r="L1731" t="str">
        <f>PROPER(TRIM(CLEAN(Sales_Table[[#This Row],[Salesperson]])))</f>
        <v>Suresh</v>
      </c>
      <c r="M1731" t="s">
        <v>54</v>
      </c>
      <c r="N1731" t="str">
        <f t="shared" ref="N1731:N1794" si="192">PROPER(TRIM(O1731))</f>
        <v>Debit Card</v>
      </c>
      <c r="O1731" t="s">
        <v>41</v>
      </c>
      <c r="P1731">
        <f t="shared" ref="P1731:P1794" si="193">VALUE(Q1731)</f>
        <v>14</v>
      </c>
      <c r="Q1731" t="s">
        <v>55</v>
      </c>
      <c r="R1731">
        <f t="shared" ref="R1731:R1794" si="194">VALUE(S1731)</f>
        <v>891</v>
      </c>
      <c r="S1731" t="s">
        <v>2963</v>
      </c>
      <c r="T1731">
        <f t="shared" ref="T1731:T1794" si="195">P1731*R1731</f>
        <v>12474</v>
      </c>
      <c r="U1731">
        <f>YEAR(Sales_Table[[#This Row],[Date_clean]])</f>
        <v>2024</v>
      </c>
      <c r="V1731" t="str">
        <f>TEXT(Sales_Table[[#This Row],[Date_clean]],"mmmm")</f>
        <v>March</v>
      </c>
      <c r="W1731">
        <f>WEEKNUM(Sales_Table[[#This Row],[Date_clean]],2)</f>
        <v>11</v>
      </c>
      <c r="X1731" t="str" cm="1">
        <f t="array" ref="X1731">_xlfn.IFS(Sales_Table[[#This Row],[Revenue]]&gt;=50000,"High",Sales_Table[[#This Row],[Revenue]]&gt;=20000,"Medium",Sales_Table[[#This Row],[Revenue]]&lt;20000,"Low")</f>
        <v>Low</v>
      </c>
      <c r="Y1731" t="str">
        <f>IF(Sales_Table[[#This Row],[Payment Method_clean]]="cash","Offline","Online")</f>
        <v>Online</v>
      </c>
      <c r="Z1731">
        <f>IFERROR(Sales_Table[[#This Row],[Revenue]],0)</f>
        <v>12474</v>
      </c>
    </row>
    <row r="1732" spans="1:26" x14ac:dyDescent="0.3">
      <c r="A1732">
        <v>1731</v>
      </c>
      <c r="B1732" s="2">
        <f t="shared" si="189"/>
        <v>45364.083333333336</v>
      </c>
      <c r="C1732" t="s">
        <v>3947</v>
      </c>
      <c r="D1732" t="s">
        <v>84</v>
      </c>
      <c r="E1732" t="str">
        <f>PROPER(TRIM(CLEAN(Sales_Table[[#This Row],[Region]])))</f>
        <v>South</v>
      </c>
      <c r="F1732" t="s">
        <v>46</v>
      </c>
      <c r="G1732" t="str">
        <f t="shared" si="190"/>
        <v>Electronics</v>
      </c>
      <c r="H1732" t="str">
        <f>PROPER(TRIM(CLEAN(Sales_Table[[#This Row],[Product Name]])))</f>
        <v>Led Tv 42Inch</v>
      </c>
      <c r="I1732" t="s">
        <v>58</v>
      </c>
      <c r="J1732" t="str">
        <f t="shared" si="191"/>
        <v>CUST0557</v>
      </c>
      <c r="K1732" t="s">
        <v>1357</v>
      </c>
      <c r="L1732" t="str">
        <f>PROPER(TRIM(CLEAN(Sales_Table[[#This Row],[Salesperson]])))</f>
        <v>Meena</v>
      </c>
      <c r="M1732" t="s">
        <v>40</v>
      </c>
      <c r="N1732" t="str">
        <f t="shared" si="192"/>
        <v>Upi</v>
      </c>
      <c r="O1732" t="s">
        <v>48</v>
      </c>
      <c r="P1732">
        <f t="shared" si="193"/>
        <v>12</v>
      </c>
      <c r="Q1732" t="s">
        <v>33</v>
      </c>
      <c r="R1732">
        <f t="shared" si="194"/>
        <v>1099</v>
      </c>
      <c r="S1732" t="s">
        <v>2361</v>
      </c>
      <c r="T1732">
        <f t="shared" si="195"/>
        <v>13188</v>
      </c>
      <c r="U1732">
        <f>YEAR(Sales_Table[[#This Row],[Date_clean]])</f>
        <v>2024</v>
      </c>
      <c r="V1732" t="str">
        <f>TEXT(Sales_Table[[#This Row],[Date_clean]],"mmmm")</f>
        <v>March</v>
      </c>
      <c r="W1732">
        <f>WEEKNUM(Sales_Table[[#This Row],[Date_clean]],2)</f>
        <v>11</v>
      </c>
      <c r="X1732" t="str" cm="1">
        <f t="array" ref="X1732">_xlfn.IFS(Sales_Table[[#This Row],[Revenue]]&gt;=50000,"High",Sales_Table[[#This Row],[Revenue]]&gt;=20000,"Medium",Sales_Table[[#This Row],[Revenue]]&lt;20000,"Low")</f>
        <v>Low</v>
      </c>
      <c r="Y1732" t="str">
        <f>IF(Sales_Table[[#This Row],[Payment Method_clean]]="cash","Offline","Online")</f>
        <v>Online</v>
      </c>
      <c r="Z1732">
        <f>IFERROR(Sales_Table[[#This Row],[Revenue]],0)</f>
        <v>13188</v>
      </c>
    </row>
    <row r="1733" spans="1:26" x14ac:dyDescent="0.3">
      <c r="A1733">
        <v>1732</v>
      </c>
      <c r="B1733" s="2">
        <f t="shared" si="189"/>
        <v>45364.125</v>
      </c>
      <c r="C1733" t="s">
        <v>3948</v>
      </c>
      <c r="D1733" t="s">
        <v>27</v>
      </c>
      <c r="E1733" t="str">
        <f>PROPER(TRIM(CLEAN(Sales_Table[[#This Row],[Region]])))</f>
        <v>East</v>
      </c>
      <c r="F1733" t="s">
        <v>37</v>
      </c>
      <c r="G1733" t="str">
        <f t="shared" si="190"/>
        <v>Home Appliances</v>
      </c>
      <c r="H1733" t="str">
        <f>PROPER(TRIM(CLEAN(Sales_Table[[#This Row],[Product Name]])))</f>
        <v>Laptop</v>
      </c>
      <c r="I1733" t="s">
        <v>52</v>
      </c>
      <c r="J1733" t="str">
        <f t="shared" si="191"/>
        <v>CUST0428</v>
      </c>
      <c r="K1733" t="s">
        <v>1166</v>
      </c>
      <c r="L1733" t="str">
        <f>PROPER(TRIM(CLEAN(Sales_Table[[#This Row],[Salesperson]])))</f>
        <v>Meena</v>
      </c>
      <c r="M1733" t="s">
        <v>40</v>
      </c>
      <c r="N1733" t="str">
        <f t="shared" si="192"/>
        <v>Upi</v>
      </c>
      <c r="O1733" t="s">
        <v>48</v>
      </c>
      <c r="P1733">
        <f t="shared" si="193"/>
        <v>10</v>
      </c>
      <c r="Q1733" t="s">
        <v>117</v>
      </c>
      <c r="R1733">
        <f t="shared" si="194"/>
        <v>251</v>
      </c>
      <c r="S1733" t="s">
        <v>3949</v>
      </c>
      <c r="T1733">
        <f t="shared" si="195"/>
        <v>2510</v>
      </c>
      <c r="U1733">
        <f>YEAR(Sales_Table[[#This Row],[Date_clean]])</f>
        <v>2024</v>
      </c>
      <c r="V1733" t="str">
        <f>TEXT(Sales_Table[[#This Row],[Date_clean]],"mmmm")</f>
        <v>March</v>
      </c>
      <c r="W1733">
        <f>WEEKNUM(Sales_Table[[#This Row],[Date_clean]],2)</f>
        <v>11</v>
      </c>
      <c r="X1733" t="str" cm="1">
        <f t="array" ref="X1733">_xlfn.IFS(Sales_Table[[#This Row],[Revenue]]&gt;=50000,"High",Sales_Table[[#This Row],[Revenue]]&gt;=20000,"Medium",Sales_Table[[#This Row],[Revenue]]&lt;20000,"Low")</f>
        <v>Low</v>
      </c>
      <c r="Y1733" t="str">
        <f>IF(Sales_Table[[#This Row],[Payment Method_clean]]="cash","Offline","Online")</f>
        <v>Online</v>
      </c>
      <c r="Z1733">
        <f>IFERROR(Sales_Table[[#This Row],[Revenue]],0)</f>
        <v>2510</v>
      </c>
    </row>
    <row r="1734" spans="1:26" x14ac:dyDescent="0.3">
      <c r="A1734">
        <v>1733</v>
      </c>
      <c r="B1734" s="2">
        <f t="shared" si="189"/>
        <v>45364.166666666664</v>
      </c>
      <c r="C1734" t="s">
        <v>3950</v>
      </c>
      <c r="D1734" t="s">
        <v>27</v>
      </c>
      <c r="E1734" t="str">
        <f>PROPER(TRIM(CLEAN(Sales_Table[[#This Row],[Region]])))</f>
        <v>East</v>
      </c>
      <c r="F1734" t="s">
        <v>78</v>
      </c>
      <c r="G1734" t="str">
        <f t="shared" si="190"/>
        <v>Grocery</v>
      </c>
      <c r="H1734" t="str">
        <f>PROPER(TRIM(CLEAN(Sales_Table[[#This Row],[Product Name]])))</f>
        <v>Rice 5Kg</v>
      </c>
      <c r="I1734" t="s">
        <v>73</v>
      </c>
      <c r="J1734" t="str">
        <f t="shared" si="191"/>
        <v>CUST0728</v>
      </c>
      <c r="K1734" t="s">
        <v>944</v>
      </c>
      <c r="L1734" t="str">
        <f>PROPER(TRIM(CLEAN(Sales_Table[[#This Row],[Salesperson]])))</f>
        <v>Suresh</v>
      </c>
      <c r="M1734" t="s">
        <v>54</v>
      </c>
      <c r="N1734" t="str">
        <f t="shared" si="192"/>
        <v>Cash</v>
      </c>
      <c r="O1734" t="s">
        <v>32</v>
      </c>
      <c r="P1734">
        <f t="shared" si="193"/>
        <v>14</v>
      </c>
      <c r="Q1734" t="s">
        <v>55</v>
      </c>
      <c r="R1734">
        <f t="shared" si="194"/>
        <v>3163</v>
      </c>
      <c r="S1734" t="s">
        <v>3951</v>
      </c>
      <c r="T1734">
        <f t="shared" si="195"/>
        <v>44282</v>
      </c>
      <c r="U1734">
        <f>YEAR(Sales_Table[[#This Row],[Date_clean]])</f>
        <v>2024</v>
      </c>
      <c r="V1734" t="str">
        <f>TEXT(Sales_Table[[#This Row],[Date_clean]],"mmmm")</f>
        <v>March</v>
      </c>
      <c r="W1734">
        <f>WEEKNUM(Sales_Table[[#This Row],[Date_clean]],2)</f>
        <v>11</v>
      </c>
      <c r="X1734" t="str" cm="1">
        <f t="array" ref="X1734">_xlfn.IFS(Sales_Table[[#This Row],[Revenue]]&gt;=50000,"High",Sales_Table[[#This Row],[Revenue]]&gt;=20000,"Medium",Sales_Table[[#This Row],[Revenue]]&lt;20000,"Low")</f>
        <v>Medium</v>
      </c>
      <c r="Y1734" t="str">
        <f>IF(Sales_Table[[#This Row],[Payment Method_clean]]="cash","Offline","Online")</f>
        <v>Offline</v>
      </c>
      <c r="Z1734">
        <f>IFERROR(Sales_Table[[#This Row],[Revenue]],0)</f>
        <v>44282</v>
      </c>
    </row>
    <row r="1735" spans="1:26" x14ac:dyDescent="0.3">
      <c r="A1735">
        <v>1734</v>
      </c>
      <c r="B1735" s="2">
        <f t="shared" si="189"/>
        <v>45364.208333333336</v>
      </c>
      <c r="C1735" t="s">
        <v>3952</v>
      </c>
      <c r="D1735" t="s">
        <v>36</v>
      </c>
      <c r="E1735" t="str">
        <f>PROPER(TRIM(CLEAN(Sales_Table[[#This Row],[Region]])))</f>
        <v>West</v>
      </c>
      <c r="F1735" t="s">
        <v>78</v>
      </c>
      <c r="G1735" t="str">
        <f t="shared" si="190"/>
        <v>Grocery</v>
      </c>
      <c r="H1735" t="str">
        <f>PROPER(TRIM(CLEAN(Sales_Table[[#This Row],[Product Name]])))</f>
        <v>Men T-Shirt</v>
      </c>
      <c r="I1735" t="s">
        <v>38</v>
      </c>
      <c r="J1735" t="str">
        <f t="shared" si="191"/>
        <v>CUST0233</v>
      </c>
      <c r="K1735" t="s">
        <v>1602</v>
      </c>
      <c r="L1735" t="str">
        <f>PROPER(TRIM(CLEAN(Sales_Table[[#This Row],[Salesperson]])))</f>
        <v>Anita</v>
      </c>
      <c r="M1735" t="s">
        <v>64</v>
      </c>
      <c r="N1735" t="str">
        <f t="shared" si="192"/>
        <v>Credit Card</v>
      </c>
      <c r="O1735" t="s">
        <v>65</v>
      </c>
      <c r="P1735">
        <f t="shared" si="193"/>
        <v>4</v>
      </c>
      <c r="Q1735" t="s">
        <v>113</v>
      </c>
      <c r="R1735">
        <f t="shared" si="194"/>
        <v>4699</v>
      </c>
      <c r="S1735" t="s">
        <v>1318</v>
      </c>
      <c r="T1735">
        <f t="shared" si="195"/>
        <v>18796</v>
      </c>
      <c r="U1735">
        <f>YEAR(Sales_Table[[#This Row],[Date_clean]])</f>
        <v>2024</v>
      </c>
      <c r="V1735" t="str">
        <f>TEXT(Sales_Table[[#This Row],[Date_clean]],"mmmm")</f>
        <v>March</v>
      </c>
      <c r="W1735">
        <f>WEEKNUM(Sales_Table[[#This Row],[Date_clean]],2)</f>
        <v>11</v>
      </c>
      <c r="X1735" t="str" cm="1">
        <f t="array" ref="X1735">_xlfn.IFS(Sales_Table[[#This Row],[Revenue]]&gt;=50000,"High",Sales_Table[[#This Row],[Revenue]]&gt;=20000,"Medium",Sales_Table[[#This Row],[Revenue]]&lt;20000,"Low")</f>
        <v>Low</v>
      </c>
      <c r="Y1735" t="str">
        <f>IF(Sales_Table[[#This Row],[Payment Method_clean]]="cash","Offline","Online")</f>
        <v>Online</v>
      </c>
      <c r="Z1735">
        <f>IFERROR(Sales_Table[[#This Row],[Revenue]],0)</f>
        <v>18796</v>
      </c>
    </row>
    <row r="1736" spans="1:26" x14ac:dyDescent="0.3">
      <c r="A1736">
        <v>1735</v>
      </c>
      <c r="B1736" s="2">
        <f t="shared" si="189"/>
        <v>45364.25</v>
      </c>
      <c r="C1736" t="s">
        <v>3953</v>
      </c>
      <c r="D1736" t="s">
        <v>45</v>
      </c>
      <c r="E1736" t="str">
        <f>PROPER(TRIM(CLEAN(Sales_Table[[#This Row],[Region]])))</f>
        <v>North</v>
      </c>
      <c r="F1736" t="s">
        <v>46</v>
      </c>
      <c r="G1736" t="str">
        <f t="shared" si="190"/>
        <v>Electronics</v>
      </c>
      <c r="H1736" t="str">
        <f>PROPER(TRIM(CLEAN(Sales_Table[[#This Row],[Product Name]])))</f>
        <v>Laptop</v>
      </c>
      <c r="I1736" t="s">
        <v>52</v>
      </c>
      <c r="J1736" t="str">
        <f t="shared" si="191"/>
        <v>CUST0705</v>
      </c>
      <c r="K1736" t="s">
        <v>3954</v>
      </c>
      <c r="L1736" t="str">
        <f>PROPER(TRIM(CLEAN(Sales_Table[[#This Row],[Salesperson]])))</f>
        <v>Rahul</v>
      </c>
      <c r="M1736" t="s">
        <v>31</v>
      </c>
      <c r="N1736" t="str">
        <f t="shared" si="192"/>
        <v>Upi</v>
      </c>
      <c r="O1736" t="s">
        <v>48</v>
      </c>
      <c r="P1736">
        <f t="shared" si="193"/>
        <v>4</v>
      </c>
      <c r="Q1736" t="s">
        <v>113</v>
      </c>
      <c r="R1736">
        <f t="shared" si="194"/>
        <v>2191</v>
      </c>
      <c r="S1736" t="s">
        <v>3955</v>
      </c>
      <c r="T1736">
        <f t="shared" si="195"/>
        <v>8764</v>
      </c>
      <c r="U1736">
        <f>YEAR(Sales_Table[[#This Row],[Date_clean]])</f>
        <v>2024</v>
      </c>
      <c r="V1736" t="str">
        <f>TEXT(Sales_Table[[#This Row],[Date_clean]],"mmmm")</f>
        <v>March</v>
      </c>
      <c r="W1736">
        <f>WEEKNUM(Sales_Table[[#This Row],[Date_clean]],2)</f>
        <v>11</v>
      </c>
      <c r="X1736" t="str" cm="1">
        <f t="array" ref="X1736">_xlfn.IFS(Sales_Table[[#This Row],[Revenue]]&gt;=50000,"High",Sales_Table[[#This Row],[Revenue]]&gt;=20000,"Medium",Sales_Table[[#This Row],[Revenue]]&lt;20000,"Low")</f>
        <v>Low</v>
      </c>
      <c r="Y1736" t="str">
        <f>IF(Sales_Table[[#This Row],[Payment Method_clean]]="cash","Offline","Online")</f>
        <v>Online</v>
      </c>
      <c r="Z1736">
        <f>IFERROR(Sales_Table[[#This Row],[Revenue]],0)</f>
        <v>8764</v>
      </c>
    </row>
    <row r="1737" spans="1:26" x14ac:dyDescent="0.3">
      <c r="A1737">
        <v>1736</v>
      </c>
      <c r="B1737" s="2">
        <f t="shared" si="189"/>
        <v>45364.291666666664</v>
      </c>
      <c r="C1737" t="s">
        <v>3956</v>
      </c>
      <c r="D1737" t="s">
        <v>36</v>
      </c>
      <c r="E1737" t="str">
        <f>PROPER(TRIM(CLEAN(Sales_Table[[#This Row],[Region]])))</f>
        <v>West</v>
      </c>
      <c r="F1737" t="s">
        <v>46</v>
      </c>
      <c r="G1737" t="str">
        <f t="shared" si="190"/>
        <v>Electronics</v>
      </c>
      <c r="H1737" t="str">
        <f>PROPER(TRIM(CLEAN(Sales_Table[[#This Row],[Product Name]])))</f>
        <v>Men T-Shirt</v>
      </c>
      <c r="I1737" t="s">
        <v>38</v>
      </c>
      <c r="J1737" t="str">
        <f t="shared" si="191"/>
        <v>CUST0563</v>
      </c>
      <c r="K1737" t="s">
        <v>631</v>
      </c>
      <c r="L1737" t="str">
        <f>PROPER(TRIM(CLEAN(Sales_Table[[#This Row],[Salesperson]])))</f>
        <v>Anita</v>
      </c>
      <c r="M1737" t="s">
        <v>64</v>
      </c>
      <c r="N1737" t="str">
        <f t="shared" si="192"/>
        <v>Debit Card</v>
      </c>
      <c r="O1737" t="s">
        <v>41</v>
      </c>
      <c r="P1737">
        <f t="shared" si="193"/>
        <v>10</v>
      </c>
      <c r="Q1737" t="s">
        <v>117</v>
      </c>
      <c r="R1737">
        <f t="shared" si="194"/>
        <v>4699</v>
      </c>
      <c r="S1737" t="s">
        <v>1318</v>
      </c>
      <c r="T1737">
        <f t="shared" si="195"/>
        <v>46990</v>
      </c>
      <c r="U1737">
        <f>YEAR(Sales_Table[[#This Row],[Date_clean]])</f>
        <v>2024</v>
      </c>
      <c r="V1737" t="str">
        <f>TEXT(Sales_Table[[#This Row],[Date_clean]],"mmmm")</f>
        <v>March</v>
      </c>
      <c r="W1737">
        <f>WEEKNUM(Sales_Table[[#This Row],[Date_clean]],2)</f>
        <v>11</v>
      </c>
      <c r="X1737" t="str" cm="1">
        <f t="array" ref="X1737">_xlfn.IFS(Sales_Table[[#This Row],[Revenue]]&gt;=50000,"High",Sales_Table[[#This Row],[Revenue]]&gt;=20000,"Medium",Sales_Table[[#This Row],[Revenue]]&lt;20000,"Low")</f>
        <v>Medium</v>
      </c>
      <c r="Y1737" t="str">
        <f>IF(Sales_Table[[#This Row],[Payment Method_clean]]="cash","Offline","Online")</f>
        <v>Online</v>
      </c>
      <c r="Z1737">
        <f>IFERROR(Sales_Table[[#This Row],[Revenue]],0)</f>
        <v>46990</v>
      </c>
    </row>
    <row r="1738" spans="1:26" x14ac:dyDescent="0.3">
      <c r="A1738">
        <v>1737</v>
      </c>
      <c r="B1738" s="2">
        <f t="shared" si="189"/>
        <v>45364.333333333336</v>
      </c>
      <c r="C1738" t="s">
        <v>3957</v>
      </c>
      <c r="D1738" t="s">
        <v>45</v>
      </c>
      <c r="E1738" t="str">
        <f>PROPER(TRIM(CLEAN(Sales_Table[[#This Row],[Region]])))</f>
        <v>North</v>
      </c>
      <c r="F1738" t="s">
        <v>78</v>
      </c>
      <c r="G1738" t="str">
        <f t="shared" si="190"/>
        <v>Grocery</v>
      </c>
      <c r="H1738" t="str">
        <f>PROPER(TRIM(CLEAN(Sales_Table[[#This Row],[Product Name]])))</f>
        <v>Laptop</v>
      </c>
      <c r="I1738" t="s">
        <v>52</v>
      </c>
      <c r="J1738" t="str">
        <f t="shared" si="191"/>
        <v>CUST0726</v>
      </c>
      <c r="K1738" t="s">
        <v>723</v>
      </c>
      <c r="L1738" t="str">
        <f>PROPER(TRIM(CLEAN(Sales_Table[[#This Row],[Salesperson]])))</f>
        <v>Suresh</v>
      </c>
      <c r="M1738" t="s">
        <v>54</v>
      </c>
      <c r="N1738" t="str">
        <f t="shared" si="192"/>
        <v>Upi</v>
      </c>
      <c r="O1738" t="s">
        <v>48</v>
      </c>
      <c r="P1738">
        <f t="shared" si="193"/>
        <v>5</v>
      </c>
      <c r="Q1738" t="s">
        <v>89</v>
      </c>
      <c r="R1738">
        <f t="shared" si="194"/>
        <v>4182</v>
      </c>
      <c r="S1738" t="s">
        <v>3958</v>
      </c>
      <c r="T1738">
        <f t="shared" si="195"/>
        <v>20910</v>
      </c>
      <c r="U1738">
        <f>YEAR(Sales_Table[[#This Row],[Date_clean]])</f>
        <v>2024</v>
      </c>
      <c r="V1738" t="str">
        <f>TEXT(Sales_Table[[#This Row],[Date_clean]],"mmmm")</f>
        <v>March</v>
      </c>
      <c r="W1738">
        <f>WEEKNUM(Sales_Table[[#This Row],[Date_clean]],2)</f>
        <v>11</v>
      </c>
      <c r="X1738" t="str" cm="1">
        <f t="array" ref="X1738">_xlfn.IFS(Sales_Table[[#This Row],[Revenue]]&gt;=50000,"High",Sales_Table[[#This Row],[Revenue]]&gt;=20000,"Medium",Sales_Table[[#This Row],[Revenue]]&lt;20000,"Low")</f>
        <v>Medium</v>
      </c>
      <c r="Y1738" t="str">
        <f>IF(Sales_Table[[#This Row],[Payment Method_clean]]="cash","Offline","Online")</f>
        <v>Online</v>
      </c>
      <c r="Z1738">
        <f>IFERROR(Sales_Table[[#This Row],[Revenue]],0)</f>
        <v>20910</v>
      </c>
    </row>
    <row r="1739" spans="1:26" x14ac:dyDescent="0.3">
      <c r="A1739">
        <v>1738</v>
      </c>
      <c r="B1739" s="2">
        <f t="shared" si="189"/>
        <v>45364.375</v>
      </c>
      <c r="C1739" t="s">
        <v>3959</v>
      </c>
      <c r="D1739" t="s">
        <v>27</v>
      </c>
      <c r="E1739" t="str">
        <f>PROPER(TRIM(CLEAN(Sales_Table[[#This Row],[Region]])))</f>
        <v>East</v>
      </c>
      <c r="F1739" t="s">
        <v>78</v>
      </c>
      <c r="G1739" t="str">
        <f t="shared" si="190"/>
        <v>Grocery</v>
      </c>
      <c r="H1739" t="str">
        <f>PROPER(TRIM(CLEAN(Sales_Table[[#This Row],[Product Name]])))</f>
        <v>Led Tv 42Inch</v>
      </c>
      <c r="I1739" t="s">
        <v>58</v>
      </c>
      <c r="J1739" t="str">
        <f t="shared" si="191"/>
        <v>CUST0663</v>
      </c>
      <c r="K1739" t="s">
        <v>1890</v>
      </c>
      <c r="L1739" t="str">
        <f>PROPER(TRIM(CLEAN(Sales_Table[[#This Row],[Salesperson]])))</f>
        <v>Suresh</v>
      </c>
      <c r="M1739" t="s">
        <v>54</v>
      </c>
      <c r="N1739" t="str">
        <f t="shared" si="192"/>
        <v>Net Banking</v>
      </c>
      <c r="O1739" t="s">
        <v>60</v>
      </c>
      <c r="P1739">
        <f t="shared" si="193"/>
        <v>13</v>
      </c>
      <c r="Q1739" t="s">
        <v>81</v>
      </c>
      <c r="R1739">
        <f t="shared" si="194"/>
        <v>4126</v>
      </c>
      <c r="S1739" t="s">
        <v>3960</v>
      </c>
      <c r="T1739">
        <f t="shared" si="195"/>
        <v>53638</v>
      </c>
      <c r="U1739">
        <f>YEAR(Sales_Table[[#This Row],[Date_clean]])</f>
        <v>2024</v>
      </c>
      <c r="V1739" t="str">
        <f>TEXT(Sales_Table[[#This Row],[Date_clean]],"mmmm")</f>
        <v>March</v>
      </c>
      <c r="W1739">
        <f>WEEKNUM(Sales_Table[[#This Row],[Date_clean]],2)</f>
        <v>11</v>
      </c>
      <c r="X1739" t="str" cm="1">
        <f t="array" ref="X1739">_xlfn.IFS(Sales_Table[[#This Row],[Revenue]]&gt;=50000,"High",Sales_Table[[#This Row],[Revenue]]&gt;=20000,"Medium",Sales_Table[[#This Row],[Revenue]]&lt;20000,"Low")</f>
        <v>High</v>
      </c>
      <c r="Y1739" t="str">
        <f>IF(Sales_Table[[#This Row],[Payment Method_clean]]="cash","Offline","Online")</f>
        <v>Online</v>
      </c>
      <c r="Z1739">
        <f>IFERROR(Sales_Table[[#This Row],[Revenue]],0)</f>
        <v>53638</v>
      </c>
    </row>
    <row r="1740" spans="1:26" x14ac:dyDescent="0.3">
      <c r="A1740">
        <v>1739</v>
      </c>
      <c r="B1740" s="2">
        <f t="shared" si="189"/>
        <v>45364.416666666664</v>
      </c>
      <c r="C1740" t="s">
        <v>3961</v>
      </c>
      <c r="D1740" t="s">
        <v>27</v>
      </c>
      <c r="E1740" t="str">
        <f>PROPER(TRIM(CLEAN(Sales_Table[[#This Row],[Region]])))</f>
        <v>East</v>
      </c>
      <c r="F1740" t="s">
        <v>28</v>
      </c>
      <c r="G1740" t="str">
        <f t="shared" si="190"/>
        <v>Clothing</v>
      </c>
      <c r="H1740" t="str">
        <f>PROPER(TRIM(CLEAN(Sales_Table[[#This Row],[Product Name]])))</f>
        <v>Rice 5Kg</v>
      </c>
      <c r="I1740" t="s">
        <v>73</v>
      </c>
      <c r="J1740" t="str">
        <f t="shared" si="191"/>
        <v>CUST0440</v>
      </c>
      <c r="K1740" t="s">
        <v>3009</v>
      </c>
      <c r="L1740" t="str">
        <f>PROPER(TRIM(CLEAN(Sales_Table[[#This Row],[Salesperson]])))</f>
        <v>Rahul</v>
      </c>
      <c r="M1740" t="s">
        <v>31</v>
      </c>
      <c r="N1740" t="str">
        <f t="shared" si="192"/>
        <v>Debit Card</v>
      </c>
      <c r="O1740" t="s">
        <v>41</v>
      </c>
      <c r="P1740">
        <f t="shared" si="193"/>
        <v>13</v>
      </c>
      <c r="Q1740" t="s">
        <v>81</v>
      </c>
      <c r="R1740">
        <f t="shared" si="194"/>
        <v>3077</v>
      </c>
      <c r="S1740" t="s">
        <v>3962</v>
      </c>
      <c r="T1740">
        <f t="shared" si="195"/>
        <v>40001</v>
      </c>
      <c r="U1740">
        <f>YEAR(Sales_Table[[#This Row],[Date_clean]])</f>
        <v>2024</v>
      </c>
      <c r="V1740" t="str">
        <f>TEXT(Sales_Table[[#This Row],[Date_clean]],"mmmm")</f>
        <v>March</v>
      </c>
      <c r="W1740">
        <f>WEEKNUM(Sales_Table[[#This Row],[Date_clean]],2)</f>
        <v>11</v>
      </c>
      <c r="X1740" t="str" cm="1">
        <f t="array" ref="X1740">_xlfn.IFS(Sales_Table[[#This Row],[Revenue]]&gt;=50000,"High",Sales_Table[[#This Row],[Revenue]]&gt;=20000,"Medium",Sales_Table[[#This Row],[Revenue]]&lt;20000,"Low")</f>
        <v>Medium</v>
      </c>
      <c r="Y1740" t="str">
        <f>IF(Sales_Table[[#This Row],[Payment Method_clean]]="cash","Offline","Online")</f>
        <v>Online</v>
      </c>
      <c r="Z1740">
        <f>IFERROR(Sales_Table[[#This Row],[Revenue]],0)</f>
        <v>40001</v>
      </c>
    </row>
    <row r="1741" spans="1:26" x14ac:dyDescent="0.3">
      <c r="A1741">
        <v>1740</v>
      </c>
      <c r="B1741" s="2">
        <f t="shared" si="189"/>
        <v>45364.458333333336</v>
      </c>
      <c r="C1741" t="s">
        <v>3963</v>
      </c>
      <c r="D1741" t="s">
        <v>27</v>
      </c>
      <c r="E1741" t="str">
        <f>PROPER(TRIM(CLEAN(Sales_Table[[#This Row],[Region]])))</f>
        <v>East</v>
      </c>
      <c r="F1741" t="s">
        <v>37</v>
      </c>
      <c r="G1741" t="str">
        <f t="shared" si="190"/>
        <v>Home Appliances</v>
      </c>
      <c r="H1741" t="str">
        <f>PROPER(TRIM(CLEAN(Sales_Table[[#This Row],[Product Name]])))</f>
        <v>Rice 5Kg</v>
      </c>
      <c r="I1741" t="s">
        <v>73</v>
      </c>
      <c r="J1741" t="str">
        <f t="shared" si="191"/>
        <v>CUST0502</v>
      </c>
      <c r="K1741" t="s">
        <v>3487</v>
      </c>
      <c r="L1741" t="str">
        <f>PROPER(TRIM(CLEAN(Sales_Table[[#This Row],[Salesperson]])))</f>
        <v>Karthik</v>
      </c>
      <c r="M1741" t="s">
        <v>70</v>
      </c>
      <c r="N1741" t="str">
        <f t="shared" si="192"/>
        <v>Debit Card</v>
      </c>
      <c r="O1741" t="s">
        <v>41</v>
      </c>
      <c r="P1741">
        <f t="shared" si="193"/>
        <v>3</v>
      </c>
      <c r="Q1741" t="s">
        <v>66</v>
      </c>
      <c r="R1741">
        <f t="shared" si="194"/>
        <v>942</v>
      </c>
      <c r="S1741" t="s">
        <v>3964</v>
      </c>
      <c r="T1741">
        <f t="shared" si="195"/>
        <v>2826</v>
      </c>
      <c r="U1741">
        <f>YEAR(Sales_Table[[#This Row],[Date_clean]])</f>
        <v>2024</v>
      </c>
      <c r="V1741" t="str">
        <f>TEXT(Sales_Table[[#This Row],[Date_clean]],"mmmm")</f>
        <v>March</v>
      </c>
      <c r="W1741">
        <f>WEEKNUM(Sales_Table[[#This Row],[Date_clean]],2)</f>
        <v>11</v>
      </c>
      <c r="X1741" t="str" cm="1">
        <f t="array" ref="X1741">_xlfn.IFS(Sales_Table[[#This Row],[Revenue]]&gt;=50000,"High",Sales_Table[[#This Row],[Revenue]]&gt;=20000,"Medium",Sales_Table[[#This Row],[Revenue]]&lt;20000,"Low")</f>
        <v>Low</v>
      </c>
      <c r="Y1741" t="str">
        <f>IF(Sales_Table[[#This Row],[Payment Method_clean]]="cash","Offline","Online")</f>
        <v>Online</v>
      </c>
      <c r="Z1741">
        <f>IFERROR(Sales_Table[[#This Row],[Revenue]],0)</f>
        <v>2826</v>
      </c>
    </row>
    <row r="1742" spans="1:26" x14ac:dyDescent="0.3">
      <c r="A1742">
        <v>1741</v>
      </c>
      <c r="B1742" s="2">
        <f t="shared" si="189"/>
        <v>45364.5</v>
      </c>
      <c r="C1742" t="s">
        <v>3965</v>
      </c>
      <c r="D1742" t="s">
        <v>36</v>
      </c>
      <c r="E1742" t="str">
        <f>PROPER(TRIM(CLEAN(Sales_Table[[#This Row],[Region]])))</f>
        <v>West</v>
      </c>
      <c r="F1742" t="s">
        <v>28</v>
      </c>
      <c r="G1742" t="str">
        <f t="shared" si="190"/>
        <v>Clothing</v>
      </c>
      <c r="H1742" t="str">
        <f>PROPER(TRIM(CLEAN(Sales_Table[[#This Row],[Product Name]])))</f>
        <v>Washing Machine</v>
      </c>
      <c r="I1742" t="s">
        <v>79</v>
      </c>
      <c r="J1742" t="str">
        <f t="shared" si="191"/>
        <v>CUST0275</v>
      </c>
      <c r="K1742" t="s">
        <v>3287</v>
      </c>
      <c r="L1742" t="str">
        <f>PROPER(TRIM(CLEAN(Sales_Table[[#This Row],[Salesperson]])))</f>
        <v>Karthik</v>
      </c>
      <c r="M1742" t="s">
        <v>70</v>
      </c>
      <c r="N1742" t="str">
        <f t="shared" si="192"/>
        <v>Upi</v>
      </c>
      <c r="O1742" t="s">
        <v>48</v>
      </c>
      <c r="P1742">
        <f t="shared" si="193"/>
        <v>8</v>
      </c>
      <c r="Q1742" t="s">
        <v>42</v>
      </c>
      <c r="R1742">
        <f t="shared" si="194"/>
        <v>4546</v>
      </c>
      <c r="S1742" t="s">
        <v>3746</v>
      </c>
      <c r="T1742">
        <f t="shared" si="195"/>
        <v>36368</v>
      </c>
      <c r="U1742">
        <f>YEAR(Sales_Table[[#This Row],[Date_clean]])</f>
        <v>2024</v>
      </c>
      <c r="V1742" t="str">
        <f>TEXT(Sales_Table[[#This Row],[Date_clean]],"mmmm")</f>
        <v>March</v>
      </c>
      <c r="W1742">
        <f>WEEKNUM(Sales_Table[[#This Row],[Date_clean]],2)</f>
        <v>11</v>
      </c>
      <c r="X1742" t="str" cm="1">
        <f t="array" ref="X1742">_xlfn.IFS(Sales_Table[[#This Row],[Revenue]]&gt;=50000,"High",Sales_Table[[#This Row],[Revenue]]&gt;=20000,"Medium",Sales_Table[[#This Row],[Revenue]]&lt;20000,"Low")</f>
        <v>Medium</v>
      </c>
      <c r="Y1742" t="str">
        <f>IF(Sales_Table[[#This Row],[Payment Method_clean]]="cash","Offline","Online")</f>
        <v>Online</v>
      </c>
      <c r="Z1742">
        <f>IFERROR(Sales_Table[[#This Row],[Revenue]],0)</f>
        <v>36368</v>
      </c>
    </row>
    <row r="1743" spans="1:26" x14ac:dyDescent="0.3">
      <c r="A1743">
        <v>1742</v>
      </c>
      <c r="B1743" s="2">
        <f t="shared" si="189"/>
        <v>45364.541666666664</v>
      </c>
      <c r="C1743" t="s">
        <v>3966</v>
      </c>
      <c r="D1743" t="s">
        <v>84</v>
      </c>
      <c r="E1743" t="str">
        <f>PROPER(TRIM(CLEAN(Sales_Table[[#This Row],[Region]])))</f>
        <v>South</v>
      </c>
      <c r="F1743" t="s">
        <v>46</v>
      </c>
      <c r="G1743" t="str">
        <f t="shared" si="190"/>
        <v>Electronics</v>
      </c>
      <c r="H1743" t="str">
        <f>PROPER(TRIM(CLEAN(Sales_Table[[#This Row],[Product Name]])))</f>
        <v>Laptop</v>
      </c>
      <c r="I1743" t="s">
        <v>52</v>
      </c>
      <c r="J1743" t="str">
        <f t="shared" si="191"/>
        <v>CUST0076</v>
      </c>
      <c r="K1743" t="s">
        <v>1309</v>
      </c>
      <c r="L1743" t="str">
        <f>PROPER(TRIM(CLEAN(Sales_Table[[#This Row],[Salesperson]])))</f>
        <v>Rahul</v>
      </c>
      <c r="M1743" t="s">
        <v>31</v>
      </c>
      <c r="N1743" t="str">
        <f t="shared" si="192"/>
        <v>Cash</v>
      </c>
      <c r="O1743" t="s">
        <v>32</v>
      </c>
      <c r="P1743">
        <f t="shared" si="193"/>
        <v>7</v>
      </c>
      <c r="Q1743" t="s">
        <v>49</v>
      </c>
      <c r="R1743">
        <f t="shared" si="194"/>
        <v>3893</v>
      </c>
      <c r="S1743" t="s">
        <v>3967</v>
      </c>
      <c r="T1743">
        <f t="shared" si="195"/>
        <v>27251</v>
      </c>
      <c r="U1743">
        <f>YEAR(Sales_Table[[#This Row],[Date_clean]])</f>
        <v>2024</v>
      </c>
      <c r="V1743" t="str">
        <f>TEXT(Sales_Table[[#This Row],[Date_clean]],"mmmm")</f>
        <v>March</v>
      </c>
      <c r="W1743">
        <f>WEEKNUM(Sales_Table[[#This Row],[Date_clean]],2)</f>
        <v>11</v>
      </c>
      <c r="X1743" t="str" cm="1">
        <f t="array" ref="X1743">_xlfn.IFS(Sales_Table[[#This Row],[Revenue]]&gt;=50000,"High",Sales_Table[[#This Row],[Revenue]]&gt;=20000,"Medium",Sales_Table[[#This Row],[Revenue]]&lt;20000,"Low")</f>
        <v>Medium</v>
      </c>
      <c r="Y1743" t="str">
        <f>IF(Sales_Table[[#This Row],[Payment Method_clean]]="cash","Offline","Online")</f>
        <v>Offline</v>
      </c>
      <c r="Z1743">
        <f>IFERROR(Sales_Table[[#This Row],[Revenue]],0)</f>
        <v>27251</v>
      </c>
    </row>
    <row r="1744" spans="1:26" x14ac:dyDescent="0.3">
      <c r="A1744">
        <v>1743</v>
      </c>
      <c r="B1744" s="2">
        <f t="shared" si="189"/>
        <v>45364.583333333336</v>
      </c>
      <c r="C1744" t="s">
        <v>3968</v>
      </c>
      <c r="D1744" t="s">
        <v>84</v>
      </c>
      <c r="E1744" t="str">
        <f>PROPER(TRIM(CLEAN(Sales_Table[[#This Row],[Region]])))</f>
        <v>South</v>
      </c>
      <c r="F1744" t="s">
        <v>28</v>
      </c>
      <c r="G1744" t="str">
        <f t="shared" si="190"/>
        <v>Clothing</v>
      </c>
      <c r="H1744" t="str">
        <f>PROPER(TRIM(CLEAN(Sales_Table[[#This Row],[Product Name]])))</f>
        <v>Men T-Shirt</v>
      </c>
      <c r="I1744" t="s">
        <v>38</v>
      </c>
      <c r="J1744" t="str">
        <f t="shared" si="191"/>
        <v>CUST0439</v>
      </c>
      <c r="K1744" t="s">
        <v>828</v>
      </c>
      <c r="L1744" t="str">
        <f>PROPER(TRIM(CLEAN(Sales_Table[[#This Row],[Salesperson]])))</f>
        <v>Karthik</v>
      </c>
      <c r="M1744" t="s">
        <v>70</v>
      </c>
      <c r="N1744" t="str">
        <f t="shared" si="192"/>
        <v>Debit Card</v>
      </c>
      <c r="O1744" t="s">
        <v>41</v>
      </c>
      <c r="P1744">
        <f t="shared" si="193"/>
        <v>5</v>
      </c>
      <c r="Q1744" t="s">
        <v>89</v>
      </c>
      <c r="R1744">
        <f t="shared" si="194"/>
        <v>2170</v>
      </c>
      <c r="S1744" t="s">
        <v>3969</v>
      </c>
      <c r="T1744">
        <f t="shared" si="195"/>
        <v>10850</v>
      </c>
      <c r="U1744">
        <f>YEAR(Sales_Table[[#This Row],[Date_clean]])</f>
        <v>2024</v>
      </c>
      <c r="V1744" t="str">
        <f>TEXT(Sales_Table[[#This Row],[Date_clean]],"mmmm")</f>
        <v>March</v>
      </c>
      <c r="W1744">
        <f>WEEKNUM(Sales_Table[[#This Row],[Date_clean]],2)</f>
        <v>11</v>
      </c>
      <c r="X1744" t="str" cm="1">
        <f t="array" ref="X1744">_xlfn.IFS(Sales_Table[[#This Row],[Revenue]]&gt;=50000,"High",Sales_Table[[#This Row],[Revenue]]&gt;=20000,"Medium",Sales_Table[[#This Row],[Revenue]]&lt;20000,"Low")</f>
        <v>Low</v>
      </c>
      <c r="Y1744" t="str">
        <f>IF(Sales_Table[[#This Row],[Payment Method_clean]]="cash","Offline","Online")</f>
        <v>Online</v>
      </c>
      <c r="Z1744">
        <f>IFERROR(Sales_Table[[#This Row],[Revenue]],0)</f>
        <v>10850</v>
      </c>
    </row>
    <row r="1745" spans="1:26" x14ac:dyDescent="0.3">
      <c r="A1745">
        <v>1744</v>
      </c>
      <c r="B1745" s="2">
        <f t="shared" si="189"/>
        <v>45364.625</v>
      </c>
      <c r="C1745" t="s">
        <v>3970</v>
      </c>
      <c r="D1745" t="s">
        <v>27</v>
      </c>
      <c r="E1745" t="str">
        <f>PROPER(TRIM(CLEAN(Sales_Table[[#This Row],[Region]])))</f>
        <v>East</v>
      </c>
      <c r="F1745" t="s">
        <v>28</v>
      </c>
      <c r="G1745" t="str">
        <f t="shared" si="190"/>
        <v>Clothing</v>
      </c>
      <c r="H1745" t="str">
        <f>PROPER(TRIM(CLEAN(Sales_Table[[#This Row],[Product Name]])))</f>
        <v>Rice 5Kg</v>
      </c>
      <c r="I1745" t="s">
        <v>73</v>
      </c>
      <c r="J1745" t="str">
        <f t="shared" si="191"/>
        <v>CUST0732</v>
      </c>
      <c r="K1745" t="s">
        <v>1973</v>
      </c>
      <c r="L1745" t="str">
        <f>PROPER(TRIM(CLEAN(Sales_Table[[#This Row],[Salesperson]])))</f>
        <v>Meena</v>
      </c>
      <c r="M1745" t="s">
        <v>40</v>
      </c>
      <c r="N1745" t="str">
        <f t="shared" si="192"/>
        <v>Net Banking</v>
      </c>
      <c r="O1745" t="s">
        <v>60</v>
      </c>
      <c r="P1745">
        <f t="shared" si="193"/>
        <v>10</v>
      </c>
      <c r="Q1745" t="s">
        <v>117</v>
      </c>
      <c r="R1745">
        <f t="shared" si="194"/>
        <v>1759</v>
      </c>
      <c r="S1745" t="s">
        <v>3971</v>
      </c>
      <c r="T1745">
        <f t="shared" si="195"/>
        <v>17590</v>
      </c>
      <c r="U1745">
        <f>YEAR(Sales_Table[[#This Row],[Date_clean]])</f>
        <v>2024</v>
      </c>
      <c r="V1745" t="str">
        <f>TEXT(Sales_Table[[#This Row],[Date_clean]],"mmmm")</f>
        <v>March</v>
      </c>
      <c r="W1745">
        <f>WEEKNUM(Sales_Table[[#This Row],[Date_clean]],2)</f>
        <v>11</v>
      </c>
      <c r="X1745" t="str" cm="1">
        <f t="array" ref="X1745">_xlfn.IFS(Sales_Table[[#This Row],[Revenue]]&gt;=50000,"High",Sales_Table[[#This Row],[Revenue]]&gt;=20000,"Medium",Sales_Table[[#This Row],[Revenue]]&lt;20000,"Low")</f>
        <v>Low</v>
      </c>
      <c r="Y1745" t="str">
        <f>IF(Sales_Table[[#This Row],[Payment Method_clean]]="cash","Offline","Online")</f>
        <v>Online</v>
      </c>
      <c r="Z1745">
        <f>IFERROR(Sales_Table[[#This Row],[Revenue]],0)</f>
        <v>17590</v>
      </c>
    </row>
    <row r="1746" spans="1:26" x14ac:dyDescent="0.3">
      <c r="A1746">
        <v>1745</v>
      </c>
      <c r="B1746" s="2">
        <f t="shared" si="189"/>
        <v>45364.666666666664</v>
      </c>
      <c r="C1746" t="s">
        <v>3972</v>
      </c>
      <c r="D1746" t="s">
        <v>84</v>
      </c>
      <c r="E1746" t="str">
        <f>PROPER(TRIM(CLEAN(Sales_Table[[#This Row],[Region]])))</f>
        <v>South</v>
      </c>
      <c r="F1746" t="s">
        <v>28</v>
      </c>
      <c r="G1746" t="str">
        <f t="shared" si="190"/>
        <v>Clothing</v>
      </c>
      <c r="H1746" t="str">
        <f>PROPER(TRIM(CLEAN(Sales_Table[[#This Row],[Product Name]])))</f>
        <v>Rice 5Kg</v>
      </c>
      <c r="I1746" t="s">
        <v>73</v>
      </c>
      <c r="J1746" t="str">
        <f t="shared" si="191"/>
        <v>CUST0699</v>
      </c>
      <c r="K1746" t="s">
        <v>425</v>
      </c>
      <c r="L1746" t="str">
        <f>PROPER(TRIM(CLEAN(Sales_Table[[#This Row],[Salesperson]])))</f>
        <v>Karthik</v>
      </c>
      <c r="M1746" t="s">
        <v>70</v>
      </c>
      <c r="N1746" t="str">
        <f t="shared" si="192"/>
        <v>Cash</v>
      </c>
      <c r="O1746" t="s">
        <v>32</v>
      </c>
      <c r="P1746">
        <f t="shared" si="193"/>
        <v>3</v>
      </c>
      <c r="Q1746" t="s">
        <v>66</v>
      </c>
      <c r="R1746">
        <f t="shared" si="194"/>
        <v>697</v>
      </c>
      <c r="S1746" t="s">
        <v>131</v>
      </c>
      <c r="T1746">
        <f t="shared" si="195"/>
        <v>2091</v>
      </c>
      <c r="U1746">
        <f>YEAR(Sales_Table[[#This Row],[Date_clean]])</f>
        <v>2024</v>
      </c>
      <c r="V1746" t="str">
        <f>TEXT(Sales_Table[[#This Row],[Date_clean]],"mmmm")</f>
        <v>March</v>
      </c>
      <c r="W1746">
        <f>WEEKNUM(Sales_Table[[#This Row],[Date_clean]],2)</f>
        <v>11</v>
      </c>
      <c r="X1746" t="str" cm="1">
        <f t="array" ref="X1746">_xlfn.IFS(Sales_Table[[#This Row],[Revenue]]&gt;=50000,"High",Sales_Table[[#This Row],[Revenue]]&gt;=20000,"Medium",Sales_Table[[#This Row],[Revenue]]&lt;20000,"Low")</f>
        <v>Low</v>
      </c>
      <c r="Y1746" t="str">
        <f>IF(Sales_Table[[#This Row],[Payment Method_clean]]="cash","Offline","Online")</f>
        <v>Offline</v>
      </c>
      <c r="Z1746">
        <f>IFERROR(Sales_Table[[#This Row],[Revenue]],0)</f>
        <v>2091</v>
      </c>
    </row>
    <row r="1747" spans="1:26" x14ac:dyDescent="0.3">
      <c r="A1747">
        <v>1746</v>
      </c>
      <c r="B1747" s="2">
        <f t="shared" si="189"/>
        <v>45364.708333333336</v>
      </c>
      <c r="C1747" t="s">
        <v>3973</v>
      </c>
      <c r="D1747" t="s">
        <v>84</v>
      </c>
      <c r="E1747" t="str">
        <f>PROPER(TRIM(CLEAN(Sales_Table[[#This Row],[Region]])))</f>
        <v>South</v>
      </c>
      <c r="F1747" t="s">
        <v>28</v>
      </c>
      <c r="G1747" t="str">
        <f t="shared" si="190"/>
        <v>Clothing</v>
      </c>
      <c r="H1747" t="str">
        <f>PROPER(TRIM(CLEAN(Sales_Table[[#This Row],[Product Name]])))</f>
        <v>Mixer Grinder</v>
      </c>
      <c r="I1747" t="s">
        <v>29</v>
      </c>
      <c r="J1747" t="str">
        <f t="shared" si="191"/>
        <v>CUST0289</v>
      </c>
      <c r="K1747" t="s">
        <v>3974</v>
      </c>
      <c r="L1747" t="str">
        <f>PROPER(TRIM(CLEAN(Sales_Table[[#This Row],[Salesperson]])))</f>
        <v>Karthik</v>
      </c>
      <c r="M1747" t="s">
        <v>70</v>
      </c>
      <c r="N1747" t="str">
        <f t="shared" si="192"/>
        <v>Cash</v>
      </c>
      <c r="O1747" t="s">
        <v>32</v>
      </c>
      <c r="P1747">
        <f t="shared" si="193"/>
        <v>5</v>
      </c>
      <c r="Q1747" t="s">
        <v>89</v>
      </c>
      <c r="R1747">
        <f t="shared" si="194"/>
        <v>2613</v>
      </c>
      <c r="S1747" t="s">
        <v>3975</v>
      </c>
      <c r="T1747">
        <f t="shared" si="195"/>
        <v>13065</v>
      </c>
      <c r="U1747">
        <f>YEAR(Sales_Table[[#This Row],[Date_clean]])</f>
        <v>2024</v>
      </c>
      <c r="V1747" t="str">
        <f>TEXT(Sales_Table[[#This Row],[Date_clean]],"mmmm")</f>
        <v>March</v>
      </c>
      <c r="W1747">
        <f>WEEKNUM(Sales_Table[[#This Row],[Date_clean]],2)</f>
        <v>11</v>
      </c>
      <c r="X1747" t="str" cm="1">
        <f t="array" ref="X1747">_xlfn.IFS(Sales_Table[[#This Row],[Revenue]]&gt;=50000,"High",Sales_Table[[#This Row],[Revenue]]&gt;=20000,"Medium",Sales_Table[[#This Row],[Revenue]]&lt;20000,"Low")</f>
        <v>Low</v>
      </c>
      <c r="Y1747" t="str">
        <f>IF(Sales_Table[[#This Row],[Payment Method_clean]]="cash","Offline","Online")</f>
        <v>Offline</v>
      </c>
      <c r="Z1747">
        <f>IFERROR(Sales_Table[[#This Row],[Revenue]],0)</f>
        <v>13065</v>
      </c>
    </row>
    <row r="1748" spans="1:26" x14ac:dyDescent="0.3">
      <c r="A1748">
        <v>1747</v>
      </c>
      <c r="B1748" s="2">
        <f t="shared" si="189"/>
        <v>45364.75</v>
      </c>
      <c r="C1748" t="s">
        <v>3976</v>
      </c>
      <c r="D1748" t="s">
        <v>36</v>
      </c>
      <c r="E1748" t="str">
        <f>PROPER(TRIM(CLEAN(Sales_Table[[#This Row],[Region]])))</f>
        <v>West</v>
      </c>
      <c r="F1748" t="s">
        <v>37</v>
      </c>
      <c r="G1748" t="str">
        <f t="shared" si="190"/>
        <v>Home Appliances</v>
      </c>
      <c r="H1748" t="str">
        <f>PROPER(TRIM(CLEAN(Sales_Table[[#This Row],[Product Name]])))</f>
        <v>Mixer Grinder</v>
      </c>
      <c r="I1748" t="s">
        <v>29</v>
      </c>
      <c r="J1748" t="str">
        <f t="shared" si="191"/>
        <v>CUST0540</v>
      </c>
      <c r="K1748" t="s">
        <v>372</v>
      </c>
      <c r="L1748" t="str">
        <f>PROPER(TRIM(CLEAN(Sales_Table[[#This Row],[Salesperson]])))</f>
        <v>Karthik</v>
      </c>
      <c r="M1748" t="s">
        <v>70</v>
      </c>
      <c r="N1748" t="str">
        <f t="shared" si="192"/>
        <v>Cash</v>
      </c>
      <c r="O1748" t="s">
        <v>32</v>
      </c>
      <c r="P1748">
        <f t="shared" si="193"/>
        <v>3</v>
      </c>
      <c r="Q1748" t="s">
        <v>66</v>
      </c>
      <c r="R1748">
        <f t="shared" si="194"/>
        <v>4235</v>
      </c>
      <c r="S1748" t="s">
        <v>3977</v>
      </c>
      <c r="T1748">
        <f t="shared" si="195"/>
        <v>12705</v>
      </c>
      <c r="U1748">
        <f>YEAR(Sales_Table[[#This Row],[Date_clean]])</f>
        <v>2024</v>
      </c>
      <c r="V1748" t="str">
        <f>TEXT(Sales_Table[[#This Row],[Date_clean]],"mmmm")</f>
        <v>March</v>
      </c>
      <c r="W1748">
        <f>WEEKNUM(Sales_Table[[#This Row],[Date_clean]],2)</f>
        <v>11</v>
      </c>
      <c r="X1748" t="str" cm="1">
        <f t="array" ref="X1748">_xlfn.IFS(Sales_Table[[#This Row],[Revenue]]&gt;=50000,"High",Sales_Table[[#This Row],[Revenue]]&gt;=20000,"Medium",Sales_Table[[#This Row],[Revenue]]&lt;20000,"Low")</f>
        <v>Low</v>
      </c>
      <c r="Y1748" t="str">
        <f>IF(Sales_Table[[#This Row],[Payment Method_clean]]="cash","Offline","Online")</f>
        <v>Offline</v>
      </c>
      <c r="Z1748">
        <f>IFERROR(Sales_Table[[#This Row],[Revenue]],0)</f>
        <v>12705</v>
      </c>
    </row>
    <row r="1749" spans="1:26" x14ac:dyDescent="0.3">
      <c r="A1749">
        <v>1748</v>
      </c>
      <c r="B1749" s="2">
        <f t="shared" si="189"/>
        <v>45364.791666666664</v>
      </c>
      <c r="C1749" t="s">
        <v>3978</v>
      </c>
      <c r="D1749" t="s">
        <v>45</v>
      </c>
      <c r="E1749" t="str">
        <f>PROPER(TRIM(CLEAN(Sales_Table[[#This Row],[Region]])))</f>
        <v>North</v>
      </c>
      <c r="F1749" t="s">
        <v>37</v>
      </c>
      <c r="G1749" t="str">
        <f t="shared" si="190"/>
        <v>Home Appliances</v>
      </c>
      <c r="H1749" t="str">
        <f>PROPER(TRIM(CLEAN(Sales_Table[[#This Row],[Product Name]])))</f>
        <v>Rice 5Kg</v>
      </c>
      <c r="I1749" t="s">
        <v>73</v>
      </c>
      <c r="J1749" t="str">
        <f t="shared" si="191"/>
        <v>CUST0692</v>
      </c>
      <c r="K1749" t="s">
        <v>1496</v>
      </c>
      <c r="L1749" t="str">
        <f>PROPER(TRIM(CLEAN(Sales_Table[[#This Row],[Salesperson]])))</f>
        <v>Meena</v>
      </c>
      <c r="M1749" t="s">
        <v>40</v>
      </c>
      <c r="N1749" t="str">
        <f t="shared" si="192"/>
        <v>Debit Card</v>
      </c>
      <c r="O1749" t="s">
        <v>41</v>
      </c>
      <c r="P1749">
        <f t="shared" si="193"/>
        <v>10</v>
      </c>
      <c r="Q1749" t="s">
        <v>117</v>
      </c>
      <c r="R1749">
        <f t="shared" si="194"/>
        <v>4370</v>
      </c>
      <c r="S1749" t="s">
        <v>2257</v>
      </c>
      <c r="T1749">
        <f t="shared" si="195"/>
        <v>43700</v>
      </c>
      <c r="U1749">
        <f>YEAR(Sales_Table[[#This Row],[Date_clean]])</f>
        <v>2024</v>
      </c>
      <c r="V1749" t="str">
        <f>TEXT(Sales_Table[[#This Row],[Date_clean]],"mmmm")</f>
        <v>March</v>
      </c>
      <c r="W1749">
        <f>WEEKNUM(Sales_Table[[#This Row],[Date_clean]],2)</f>
        <v>11</v>
      </c>
      <c r="X1749" t="str" cm="1">
        <f t="array" ref="X1749">_xlfn.IFS(Sales_Table[[#This Row],[Revenue]]&gt;=50000,"High",Sales_Table[[#This Row],[Revenue]]&gt;=20000,"Medium",Sales_Table[[#This Row],[Revenue]]&lt;20000,"Low")</f>
        <v>Medium</v>
      </c>
      <c r="Y1749" t="str">
        <f>IF(Sales_Table[[#This Row],[Payment Method_clean]]="cash","Offline","Online")</f>
        <v>Online</v>
      </c>
      <c r="Z1749">
        <f>IFERROR(Sales_Table[[#This Row],[Revenue]],0)</f>
        <v>43700</v>
      </c>
    </row>
    <row r="1750" spans="1:26" x14ac:dyDescent="0.3">
      <c r="A1750">
        <v>1749</v>
      </c>
      <c r="B1750" s="2">
        <f t="shared" si="189"/>
        <v>45364.833333333336</v>
      </c>
      <c r="C1750" t="s">
        <v>3979</v>
      </c>
      <c r="D1750" t="s">
        <v>27</v>
      </c>
      <c r="E1750" t="str">
        <f>PROPER(TRIM(CLEAN(Sales_Table[[#This Row],[Region]])))</f>
        <v>East</v>
      </c>
      <c r="F1750" t="s">
        <v>78</v>
      </c>
      <c r="G1750" t="str">
        <f t="shared" si="190"/>
        <v>Grocery</v>
      </c>
      <c r="H1750" t="str">
        <f>PROPER(TRIM(CLEAN(Sales_Table[[#This Row],[Product Name]])))</f>
        <v>Laptop</v>
      </c>
      <c r="I1750" t="s">
        <v>52</v>
      </c>
      <c r="J1750" t="str">
        <f t="shared" si="191"/>
        <v>CUST0253</v>
      </c>
      <c r="K1750" t="s">
        <v>508</v>
      </c>
      <c r="L1750" t="str">
        <f>PROPER(TRIM(CLEAN(Sales_Table[[#This Row],[Salesperson]])))</f>
        <v>Karthik</v>
      </c>
      <c r="M1750" t="s">
        <v>70</v>
      </c>
      <c r="N1750" t="str">
        <f t="shared" si="192"/>
        <v>Cash</v>
      </c>
      <c r="O1750" t="s">
        <v>32</v>
      </c>
      <c r="P1750">
        <f t="shared" si="193"/>
        <v>5</v>
      </c>
      <c r="Q1750" t="s">
        <v>89</v>
      </c>
      <c r="R1750">
        <f t="shared" si="194"/>
        <v>3703</v>
      </c>
      <c r="S1750" t="s">
        <v>3980</v>
      </c>
      <c r="T1750">
        <f t="shared" si="195"/>
        <v>18515</v>
      </c>
      <c r="U1750">
        <f>YEAR(Sales_Table[[#This Row],[Date_clean]])</f>
        <v>2024</v>
      </c>
      <c r="V1750" t="str">
        <f>TEXT(Sales_Table[[#This Row],[Date_clean]],"mmmm")</f>
        <v>March</v>
      </c>
      <c r="W1750">
        <f>WEEKNUM(Sales_Table[[#This Row],[Date_clean]],2)</f>
        <v>11</v>
      </c>
      <c r="X1750" t="str" cm="1">
        <f t="array" ref="X1750">_xlfn.IFS(Sales_Table[[#This Row],[Revenue]]&gt;=50000,"High",Sales_Table[[#This Row],[Revenue]]&gt;=20000,"Medium",Sales_Table[[#This Row],[Revenue]]&lt;20000,"Low")</f>
        <v>Low</v>
      </c>
      <c r="Y1750" t="str">
        <f>IF(Sales_Table[[#This Row],[Payment Method_clean]]="cash","Offline","Online")</f>
        <v>Offline</v>
      </c>
      <c r="Z1750">
        <f>IFERROR(Sales_Table[[#This Row],[Revenue]],0)</f>
        <v>18515</v>
      </c>
    </row>
    <row r="1751" spans="1:26" x14ac:dyDescent="0.3">
      <c r="A1751">
        <v>1750</v>
      </c>
      <c r="B1751" s="2">
        <f t="shared" si="189"/>
        <v>45364.875</v>
      </c>
      <c r="C1751" t="s">
        <v>3981</v>
      </c>
      <c r="D1751" t="s">
        <v>27</v>
      </c>
      <c r="E1751" t="str">
        <f>PROPER(TRIM(CLEAN(Sales_Table[[#This Row],[Region]])))</f>
        <v>East</v>
      </c>
      <c r="F1751" t="s">
        <v>46</v>
      </c>
      <c r="G1751" t="str">
        <f t="shared" si="190"/>
        <v>Electronics</v>
      </c>
      <c r="H1751" t="str">
        <f>PROPER(TRIM(CLEAN(Sales_Table[[#This Row],[Product Name]])))</f>
        <v>Washing Machine</v>
      </c>
      <c r="I1751" t="s">
        <v>79</v>
      </c>
      <c r="J1751" t="str">
        <f t="shared" si="191"/>
        <v>CUST0126</v>
      </c>
      <c r="K1751" t="s">
        <v>3982</v>
      </c>
      <c r="L1751" t="str">
        <f>PROPER(TRIM(CLEAN(Sales_Table[[#This Row],[Salesperson]])))</f>
        <v>Meena</v>
      </c>
      <c r="M1751" t="s">
        <v>40</v>
      </c>
      <c r="N1751" t="str">
        <f t="shared" si="192"/>
        <v>Upi</v>
      </c>
      <c r="O1751" t="s">
        <v>48</v>
      </c>
      <c r="P1751">
        <f t="shared" si="193"/>
        <v>1</v>
      </c>
      <c r="Q1751" t="s">
        <v>93</v>
      </c>
      <c r="R1751">
        <f t="shared" si="194"/>
        <v>1316</v>
      </c>
      <c r="S1751" t="s">
        <v>3851</v>
      </c>
      <c r="T1751">
        <f t="shared" si="195"/>
        <v>1316</v>
      </c>
      <c r="U1751">
        <f>YEAR(Sales_Table[[#This Row],[Date_clean]])</f>
        <v>2024</v>
      </c>
      <c r="V1751" t="str">
        <f>TEXT(Sales_Table[[#This Row],[Date_clean]],"mmmm")</f>
        <v>March</v>
      </c>
      <c r="W1751">
        <f>WEEKNUM(Sales_Table[[#This Row],[Date_clean]],2)</f>
        <v>11</v>
      </c>
      <c r="X1751" t="str" cm="1">
        <f t="array" ref="X1751">_xlfn.IFS(Sales_Table[[#This Row],[Revenue]]&gt;=50000,"High",Sales_Table[[#This Row],[Revenue]]&gt;=20000,"Medium",Sales_Table[[#This Row],[Revenue]]&lt;20000,"Low")</f>
        <v>Low</v>
      </c>
      <c r="Y1751" t="str">
        <f>IF(Sales_Table[[#This Row],[Payment Method_clean]]="cash","Offline","Online")</f>
        <v>Online</v>
      </c>
      <c r="Z1751">
        <f>IFERROR(Sales_Table[[#This Row],[Revenue]],0)</f>
        <v>1316</v>
      </c>
    </row>
    <row r="1752" spans="1:26" x14ac:dyDescent="0.3">
      <c r="A1752">
        <v>1751</v>
      </c>
      <c r="B1752" s="2">
        <f t="shared" si="189"/>
        <v>45364.916666666664</v>
      </c>
      <c r="C1752" t="s">
        <v>3983</v>
      </c>
      <c r="D1752" t="s">
        <v>36</v>
      </c>
      <c r="E1752" t="str">
        <f>PROPER(TRIM(CLEAN(Sales_Table[[#This Row],[Region]])))</f>
        <v>West</v>
      </c>
      <c r="F1752" t="s">
        <v>28</v>
      </c>
      <c r="G1752" t="str">
        <f t="shared" si="190"/>
        <v>Clothing</v>
      </c>
      <c r="H1752" t="str">
        <f>PROPER(TRIM(CLEAN(Sales_Table[[#This Row],[Product Name]])))</f>
        <v>Rice 5Kg</v>
      </c>
      <c r="I1752" t="s">
        <v>73</v>
      </c>
      <c r="J1752" t="str">
        <f t="shared" si="191"/>
        <v>CUST0177</v>
      </c>
      <c r="K1752" t="s">
        <v>1312</v>
      </c>
      <c r="L1752" t="str">
        <f>PROPER(TRIM(CLEAN(Sales_Table[[#This Row],[Salesperson]])))</f>
        <v>Rahul</v>
      </c>
      <c r="M1752" t="s">
        <v>31</v>
      </c>
      <c r="N1752" t="str">
        <f t="shared" si="192"/>
        <v>Cash</v>
      </c>
      <c r="O1752" t="s">
        <v>32</v>
      </c>
      <c r="P1752">
        <f t="shared" si="193"/>
        <v>6</v>
      </c>
      <c r="Q1752" t="s">
        <v>75</v>
      </c>
      <c r="R1752">
        <f t="shared" si="194"/>
        <v>2391</v>
      </c>
      <c r="S1752" t="s">
        <v>3984</v>
      </c>
      <c r="T1752">
        <f t="shared" si="195"/>
        <v>14346</v>
      </c>
      <c r="U1752">
        <f>YEAR(Sales_Table[[#This Row],[Date_clean]])</f>
        <v>2024</v>
      </c>
      <c r="V1752" t="str">
        <f>TEXT(Sales_Table[[#This Row],[Date_clean]],"mmmm")</f>
        <v>March</v>
      </c>
      <c r="W1752">
        <f>WEEKNUM(Sales_Table[[#This Row],[Date_clean]],2)</f>
        <v>11</v>
      </c>
      <c r="X1752" t="str" cm="1">
        <f t="array" ref="X1752">_xlfn.IFS(Sales_Table[[#This Row],[Revenue]]&gt;=50000,"High",Sales_Table[[#This Row],[Revenue]]&gt;=20000,"Medium",Sales_Table[[#This Row],[Revenue]]&lt;20000,"Low")</f>
        <v>Low</v>
      </c>
      <c r="Y1752" t="str">
        <f>IF(Sales_Table[[#This Row],[Payment Method_clean]]="cash","Offline","Online")</f>
        <v>Offline</v>
      </c>
      <c r="Z1752">
        <f>IFERROR(Sales_Table[[#This Row],[Revenue]],0)</f>
        <v>14346</v>
      </c>
    </row>
    <row r="1753" spans="1:26" x14ac:dyDescent="0.3">
      <c r="A1753">
        <v>1752</v>
      </c>
      <c r="B1753" s="2">
        <f t="shared" si="189"/>
        <v>45364.958333333336</v>
      </c>
      <c r="C1753" t="s">
        <v>3985</v>
      </c>
      <c r="D1753" t="s">
        <v>36</v>
      </c>
      <c r="E1753" t="str">
        <f>PROPER(TRIM(CLEAN(Sales_Table[[#This Row],[Region]])))</f>
        <v>West</v>
      </c>
      <c r="F1753" t="s">
        <v>78</v>
      </c>
      <c r="G1753" t="str">
        <f t="shared" si="190"/>
        <v>Grocery</v>
      </c>
      <c r="H1753" t="str">
        <f>PROPER(TRIM(CLEAN(Sales_Table[[#This Row],[Product Name]])))</f>
        <v>Led Tv 42Inch</v>
      </c>
      <c r="I1753" t="s">
        <v>58</v>
      </c>
      <c r="J1753" t="str">
        <f t="shared" si="191"/>
        <v>CUST0037</v>
      </c>
      <c r="K1753" t="s">
        <v>3986</v>
      </c>
      <c r="L1753" t="str">
        <f>PROPER(TRIM(CLEAN(Sales_Table[[#This Row],[Salesperson]])))</f>
        <v>Anita</v>
      </c>
      <c r="M1753" t="s">
        <v>64</v>
      </c>
      <c r="N1753" t="str">
        <f t="shared" si="192"/>
        <v>Net Banking</v>
      </c>
      <c r="O1753" t="s">
        <v>60</v>
      </c>
      <c r="P1753">
        <f t="shared" si="193"/>
        <v>10</v>
      </c>
      <c r="Q1753" t="s">
        <v>117</v>
      </c>
      <c r="R1753">
        <f t="shared" si="194"/>
        <v>3911</v>
      </c>
      <c r="S1753" t="s">
        <v>3987</v>
      </c>
      <c r="T1753">
        <f t="shared" si="195"/>
        <v>39110</v>
      </c>
      <c r="U1753">
        <f>YEAR(Sales_Table[[#This Row],[Date_clean]])</f>
        <v>2024</v>
      </c>
      <c r="V1753" t="str">
        <f>TEXT(Sales_Table[[#This Row],[Date_clean]],"mmmm")</f>
        <v>March</v>
      </c>
      <c r="W1753">
        <f>WEEKNUM(Sales_Table[[#This Row],[Date_clean]],2)</f>
        <v>11</v>
      </c>
      <c r="X1753" t="str" cm="1">
        <f t="array" ref="X1753">_xlfn.IFS(Sales_Table[[#This Row],[Revenue]]&gt;=50000,"High",Sales_Table[[#This Row],[Revenue]]&gt;=20000,"Medium",Sales_Table[[#This Row],[Revenue]]&lt;20000,"Low")</f>
        <v>Medium</v>
      </c>
      <c r="Y1753" t="str">
        <f>IF(Sales_Table[[#This Row],[Payment Method_clean]]="cash","Offline","Online")</f>
        <v>Online</v>
      </c>
      <c r="Z1753">
        <f>IFERROR(Sales_Table[[#This Row],[Revenue]],0)</f>
        <v>39110</v>
      </c>
    </row>
    <row r="1754" spans="1:26" x14ac:dyDescent="0.3">
      <c r="A1754">
        <v>1753</v>
      </c>
      <c r="B1754" s="2">
        <f t="shared" si="189"/>
        <v>45365</v>
      </c>
      <c r="C1754" t="s">
        <v>3988</v>
      </c>
      <c r="D1754" t="s">
        <v>84</v>
      </c>
      <c r="E1754" t="str">
        <f>PROPER(TRIM(CLEAN(Sales_Table[[#This Row],[Region]])))</f>
        <v>South</v>
      </c>
      <c r="F1754" t="s">
        <v>78</v>
      </c>
      <c r="G1754" t="str">
        <f t="shared" si="190"/>
        <v>Grocery</v>
      </c>
      <c r="H1754" t="str">
        <f>PROPER(TRIM(CLEAN(Sales_Table[[#This Row],[Product Name]])))</f>
        <v>Men T-Shirt</v>
      </c>
      <c r="I1754" t="s">
        <v>38</v>
      </c>
      <c r="J1754" t="str">
        <f t="shared" si="191"/>
        <v>CUST0410</v>
      </c>
      <c r="K1754" t="s">
        <v>2786</v>
      </c>
      <c r="L1754" t="str">
        <f>PROPER(TRIM(CLEAN(Sales_Table[[#This Row],[Salesperson]])))</f>
        <v>Rahul</v>
      </c>
      <c r="M1754" t="s">
        <v>31</v>
      </c>
      <c r="N1754" t="str">
        <f t="shared" si="192"/>
        <v>Credit Card</v>
      </c>
      <c r="O1754" t="s">
        <v>65</v>
      </c>
      <c r="P1754">
        <f t="shared" si="193"/>
        <v>4</v>
      </c>
      <c r="Q1754" t="s">
        <v>113</v>
      </c>
      <c r="R1754">
        <f t="shared" si="194"/>
        <v>1031</v>
      </c>
      <c r="S1754" t="s">
        <v>3989</v>
      </c>
      <c r="T1754">
        <f t="shared" si="195"/>
        <v>4124</v>
      </c>
      <c r="U1754">
        <f>YEAR(Sales_Table[[#This Row],[Date_clean]])</f>
        <v>2024</v>
      </c>
      <c r="V1754" t="str">
        <f>TEXT(Sales_Table[[#This Row],[Date_clean]],"mmmm")</f>
        <v>March</v>
      </c>
      <c r="W1754">
        <f>WEEKNUM(Sales_Table[[#This Row],[Date_clean]],2)</f>
        <v>11</v>
      </c>
      <c r="X1754" t="str" cm="1">
        <f t="array" ref="X1754">_xlfn.IFS(Sales_Table[[#This Row],[Revenue]]&gt;=50000,"High",Sales_Table[[#This Row],[Revenue]]&gt;=20000,"Medium",Sales_Table[[#This Row],[Revenue]]&lt;20000,"Low")</f>
        <v>Low</v>
      </c>
      <c r="Y1754" t="str">
        <f>IF(Sales_Table[[#This Row],[Payment Method_clean]]="cash","Offline","Online")</f>
        <v>Online</v>
      </c>
      <c r="Z1754">
        <f>IFERROR(Sales_Table[[#This Row],[Revenue]],0)</f>
        <v>4124</v>
      </c>
    </row>
    <row r="1755" spans="1:26" x14ac:dyDescent="0.3">
      <c r="A1755">
        <v>1754</v>
      </c>
      <c r="B1755" s="2">
        <f t="shared" si="189"/>
        <v>45365.041666666664</v>
      </c>
      <c r="C1755" t="s">
        <v>3990</v>
      </c>
      <c r="D1755" t="s">
        <v>27</v>
      </c>
      <c r="E1755" t="str">
        <f>PROPER(TRIM(CLEAN(Sales_Table[[#This Row],[Region]])))</f>
        <v>East</v>
      </c>
      <c r="F1755" t="s">
        <v>78</v>
      </c>
      <c r="G1755" t="str">
        <f t="shared" si="190"/>
        <v>Grocery</v>
      </c>
      <c r="H1755" t="str">
        <f>PROPER(TRIM(CLEAN(Sales_Table[[#This Row],[Product Name]])))</f>
        <v>Washing Machine</v>
      </c>
      <c r="I1755" t="s">
        <v>79</v>
      </c>
      <c r="J1755" t="str">
        <f t="shared" si="191"/>
        <v>CUST0611</v>
      </c>
      <c r="K1755" t="s">
        <v>1299</v>
      </c>
      <c r="L1755" t="str">
        <f>PROPER(TRIM(CLEAN(Sales_Table[[#This Row],[Salesperson]])))</f>
        <v>Anita</v>
      </c>
      <c r="M1755" t="s">
        <v>64</v>
      </c>
      <c r="N1755" t="str">
        <f t="shared" si="192"/>
        <v>Net Banking</v>
      </c>
      <c r="O1755" t="s">
        <v>60</v>
      </c>
      <c r="P1755">
        <f t="shared" si="193"/>
        <v>4</v>
      </c>
      <c r="Q1755" t="s">
        <v>113</v>
      </c>
      <c r="R1755">
        <f t="shared" si="194"/>
        <v>2238</v>
      </c>
      <c r="S1755" t="s">
        <v>3991</v>
      </c>
      <c r="T1755">
        <f t="shared" si="195"/>
        <v>8952</v>
      </c>
      <c r="U1755">
        <f>YEAR(Sales_Table[[#This Row],[Date_clean]])</f>
        <v>2024</v>
      </c>
      <c r="V1755" t="str">
        <f>TEXT(Sales_Table[[#This Row],[Date_clean]],"mmmm")</f>
        <v>March</v>
      </c>
      <c r="W1755">
        <f>WEEKNUM(Sales_Table[[#This Row],[Date_clean]],2)</f>
        <v>11</v>
      </c>
      <c r="X1755" t="str" cm="1">
        <f t="array" ref="X1755">_xlfn.IFS(Sales_Table[[#This Row],[Revenue]]&gt;=50000,"High",Sales_Table[[#This Row],[Revenue]]&gt;=20000,"Medium",Sales_Table[[#This Row],[Revenue]]&lt;20000,"Low")</f>
        <v>Low</v>
      </c>
      <c r="Y1755" t="str">
        <f>IF(Sales_Table[[#This Row],[Payment Method_clean]]="cash","Offline","Online")</f>
        <v>Online</v>
      </c>
      <c r="Z1755">
        <f>IFERROR(Sales_Table[[#This Row],[Revenue]],0)</f>
        <v>8952</v>
      </c>
    </row>
    <row r="1756" spans="1:26" x14ac:dyDescent="0.3">
      <c r="A1756">
        <v>1755</v>
      </c>
      <c r="B1756" s="2">
        <f t="shared" si="189"/>
        <v>45365.083333333336</v>
      </c>
      <c r="C1756" t="s">
        <v>3992</v>
      </c>
      <c r="D1756" t="s">
        <v>45</v>
      </c>
      <c r="E1756" t="str">
        <f>PROPER(TRIM(CLEAN(Sales_Table[[#This Row],[Region]])))</f>
        <v>North</v>
      </c>
      <c r="F1756" t="s">
        <v>37</v>
      </c>
      <c r="G1756" t="str">
        <f t="shared" si="190"/>
        <v>Home Appliances</v>
      </c>
      <c r="H1756" t="str">
        <f>PROPER(TRIM(CLEAN(Sales_Table[[#This Row],[Product Name]])))</f>
        <v>Led Tv 42Inch</v>
      </c>
      <c r="I1756" t="s">
        <v>58</v>
      </c>
      <c r="J1756" t="str">
        <f t="shared" si="191"/>
        <v>CUST0610</v>
      </c>
      <c r="K1756" t="s">
        <v>2291</v>
      </c>
      <c r="L1756" t="str">
        <f>PROPER(TRIM(CLEAN(Sales_Table[[#This Row],[Salesperson]])))</f>
        <v>Rahul</v>
      </c>
      <c r="M1756" t="s">
        <v>31</v>
      </c>
      <c r="N1756" t="str">
        <f t="shared" si="192"/>
        <v>Debit Card</v>
      </c>
      <c r="O1756" t="s">
        <v>41</v>
      </c>
      <c r="P1756">
        <f t="shared" si="193"/>
        <v>8</v>
      </c>
      <c r="Q1756" t="s">
        <v>42</v>
      </c>
      <c r="R1756">
        <f t="shared" si="194"/>
        <v>4102</v>
      </c>
      <c r="S1756" t="s">
        <v>3993</v>
      </c>
      <c r="T1756">
        <f t="shared" si="195"/>
        <v>32816</v>
      </c>
      <c r="U1756">
        <f>YEAR(Sales_Table[[#This Row],[Date_clean]])</f>
        <v>2024</v>
      </c>
      <c r="V1756" t="str">
        <f>TEXT(Sales_Table[[#This Row],[Date_clean]],"mmmm")</f>
        <v>March</v>
      </c>
      <c r="W1756">
        <f>WEEKNUM(Sales_Table[[#This Row],[Date_clean]],2)</f>
        <v>11</v>
      </c>
      <c r="X1756" t="str" cm="1">
        <f t="array" ref="X1756">_xlfn.IFS(Sales_Table[[#This Row],[Revenue]]&gt;=50000,"High",Sales_Table[[#This Row],[Revenue]]&gt;=20000,"Medium",Sales_Table[[#This Row],[Revenue]]&lt;20000,"Low")</f>
        <v>Medium</v>
      </c>
      <c r="Y1756" t="str">
        <f>IF(Sales_Table[[#This Row],[Payment Method_clean]]="cash","Offline","Online")</f>
        <v>Online</v>
      </c>
      <c r="Z1756">
        <f>IFERROR(Sales_Table[[#This Row],[Revenue]],0)</f>
        <v>32816</v>
      </c>
    </row>
    <row r="1757" spans="1:26" x14ac:dyDescent="0.3">
      <c r="A1757">
        <v>1756</v>
      </c>
      <c r="B1757" s="2">
        <f t="shared" si="189"/>
        <v>45365.125</v>
      </c>
      <c r="C1757" t="s">
        <v>3994</v>
      </c>
      <c r="D1757" t="s">
        <v>36</v>
      </c>
      <c r="E1757" t="str">
        <f>PROPER(TRIM(CLEAN(Sales_Table[[#This Row],[Region]])))</f>
        <v>West</v>
      </c>
      <c r="F1757" t="s">
        <v>28</v>
      </c>
      <c r="G1757" t="str">
        <f t="shared" si="190"/>
        <v>Clothing</v>
      </c>
      <c r="H1757" t="str">
        <f>PROPER(TRIM(CLEAN(Sales_Table[[#This Row],[Product Name]])))</f>
        <v>Washing Machine</v>
      </c>
      <c r="I1757" t="s">
        <v>79</v>
      </c>
      <c r="J1757" t="str">
        <f t="shared" si="191"/>
        <v>CUST0127</v>
      </c>
      <c r="K1757" t="s">
        <v>1330</v>
      </c>
      <c r="L1757" t="str">
        <f>PROPER(TRIM(CLEAN(Sales_Table[[#This Row],[Salesperson]])))</f>
        <v>Anita</v>
      </c>
      <c r="M1757" t="s">
        <v>64</v>
      </c>
      <c r="N1757" t="str">
        <f t="shared" si="192"/>
        <v>Cash</v>
      </c>
      <c r="O1757" t="s">
        <v>32</v>
      </c>
      <c r="P1757">
        <f t="shared" si="193"/>
        <v>2</v>
      </c>
      <c r="Q1757" t="s">
        <v>196</v>
      </c>
      <c r="R1757">
        <f t="shared" si="194"/>
        <v>3078</v>
      </c>
      <c r="S1757" t="s">
        <v>3995</v>
      </c>
      <c r="T1757">
        <f t="shared" si="195"/>
        <v>6156</v>
      </c>
      <c r="U1757">
        <f>YEAR(Sales_Table[[#This Row],[Date_clean]])</f>
        <v>2024</v>
      </c>
      <c r="V1757" t="str">
        <f>TEXT(Sales_Table[[#This Row],[Date_clean]],"mmmm")</f>
        <v>March</v>
      </c>
      <c r="W1757">
        <f>WEEKNUM(Sales_Table[[#This Row],[Date_clean]],2)</f>
        <v>11</v>
      </c>
      <c r="X1757" t="str" cm="1">
        <f t="array" ref="X1757">_xlfn.IFS(Sales_Table[[#This Row],[Revenue]]&gt;=50000,"High",Sales_Table[[#This Row],[Revenue]]&gt;=20000,"Medium",Sales_Table[[#This Row],[Revenue]]&lt;20000,"Low")</f>
        <v>Low</v>
      </c>
      <c r="Y1757" t="str">
        <f>IF(Sales_Table[[#This Row],[Payment Method_clean]]="cash","Offline","Online")</f>
        <v>Offline</v>
      </c>
      <c r="Z1757">
        <f>IFERROR(Sales_Table[[#This Row],[Revenue]],0)</f>
        <v>6156</v>
      </c>
    </row>
    <row r="1758" spans="1:26" x14ac:dyDescent="0.3">
      <c r="A1758">
        <v>1757</v>
      </c>
      <c r="B1758" s="2">
        <f t="shared" si="189"/>
        <v>45365.166666666664</v>
      </c>
      <c r="C1758" t="s">
        <v>3996</v>
      </c>
      <c r="D1758" t="s">
        <v>45</v>
      </c>
      <c r="E1758" t="str">
        <f>PROPER(TRIM(CLEAN(Sales_Table[[#This Row],[Region]])))</f>
        <v>North</v>
      </c>
      <c r="F1758" t="s">
        <v>28</v>
      </c>
      <c r="G1758" t="str">
        <f t="shared" si="190"/>
        <v>Clothing</v>
      </c>
      <c r="H1758" t="str">
        <f>PROPER(TRIM(CLEAN(Sales_Table[[#This Row],[Product Name]])))</f>
        <v>Led Tv 42Inch</v>
      </c>
      <c r="I1758" t="s">
        <v>58</v>
      </c>
      <c r="J1758" t="str">
        <f t="shared" si="191"/>
        <v>CUST0483</v>
      </c>
      <c r="K1758" t="s">
        <v>2516</v>
      </c>
      <c r="L1758" t="str">
        <f>PROPER(TRIM(CLEAN(Sales_Table[[#This Row],[Salesperson]])))</f>
        <v>Anita</v>
      </c>
      <c r="M1758" t="s">
        <v>64</v>
      </c>
      <c r="N1758" t="str">
        <f t="shared" si="192"/>
        <v>Cash</v>
      </c>
      <c r="O1758" t="s">
        <v>32</v>
      </c>
      <c r="P1758">
        <f t="shared" si="193"/>
        <v>4</v>
      </c>
      <c r="Q1758" t="s">
        <v>113</v>
      </c>
      <c r="R1758">
        <f t="shared" si="194"/>
        <v>3992</v>
      </c>
      <c r="S1758" t="s">
        <v>3786</v>
      </c>
      <c r="T1758">
        <f t="shared" si="195"/>
        <v>15968</v>
      </c>
      <c r="U1758">
        <f>YEAR(Sales_Table[[#This Row],[Date_clean]])</f>
        <v>2024</v>
      </c>
      <c r="V1758" t="str">
        <f>TEXT(Sales_Table[[#This Row],[Date_clean]],"mmmm")</f>
        <v>March</v>
      </c>
      <c r="W1758">
        <f>WEEKNUM(Sales_Table[[#This Row],[Date_clean]],2)</f>
        <v>11</v>
      </c>
      <c r="X1758" t="str" cm="1">
        <f t="array" ref="X1758">_xlfn.IFS(Sales_Table[[#This Row],[Revenue]]&gt;=50000,"High",Sales_Table[[#This Row],[Revenue]]&gt;=20000,"Medium",Sales_Table[[#This Row],[Revenue]]&lt;20000,"Low")</f>
        <v>Low</v>
      </c>
      <c r="Y1758" t="str">
        <f>IF(Sales_Table[[#This Row],[Payment Method_clean]]="cash","Offline","Online")</f>
        <v>Offline</v>
      </c>
      <c r="Z1758">
        <f>IFERROR(Sales_Table[[#This Row],[Revenue]],0)</f>
        <v>15968</v>
      </c>
    </row>
    <row r="1759" spans="1:26" x14ac:dyDescent="0.3">
      <c r="A1759">
        <v>1758</v>
      </c>
      <c r="B1759" s="2">
        <f t="shared" si="189"/>
        <v>45365.208333333336</v>
      </c>
      <c r="C1759" t="s">
        <v>3997</v>
      </c>
      <c r="D1759" t="s">
        <v>45</v>
      </c>
      <c r="E1759" t="str">
        <f>PROPER(TRIM(CLEAN(Sales_Table[[#This Row],[Region]])))</f>
        <v>North</v>
      </c>
      <c r="F1759" t="s">
        <v>46</v>
      </c>
      <c r="G1759" t="str">
        <f t="shared" si="190"/>
        <v>Electronics</v>
      </c>
      <c r="H1759" t="str">
        <f>PROPER(TRIM(CLEAN(Sales_Table[[#This Row],[Product Name]])))</f>
        <v>Men T-Shirt</v>
      </c>
      <c r="I1759" t="s">
        <v>38</v>
      </c>
      <c r="J1759" t="str">
        <f t="shared" si="191"/>
        <v>CUST0168</v>
      </c>
      <c r="K1759" t="s">
        <v>3998</v>
      </c>
      <c r="L1759" t="str">
        <f>PROPER(TRIM(CLEAN(Sales_Table[[#This Row],[Salesperson]])))</f>
        <v>Suresh</v>
      </c>
      <c r="M1759" t="s">
        <v>54</v>
      </c>
      <c r="N1759" t="str">
        <f t="shared" si="192"/>
        <v>Upi</v>
      </c>
      <c r="O1759" t="s">
        <v>48</v>
      </c>
      <c r="P1759">
        <f t="shared" si="193"/>
        <v>2</v>
      </c>
      <c r="Q1759" t="s">
        <v>196</v>
      </c>
      <c r="R1759">
        <f t="shared" si="194"/>
        <v>4695</v>
      </c>
      <c r="S1759" t="s">
        <v>3999</v>
      </c>
      <c r="T1759">
        <f t="shared" si="195"/>
        <v>9390</v>
      </c>
      <c r="U1759">
        <f>YEAR(Sales_Table[[#This Row],[Date_clean]])</f>
        <v>2024</v>
      </c>
      <c r="V1759" t="str">
        <f>TEXT(Sales_Table[[#This Row],[Date_clean]],"mmmm")</f>
        <v>March</v>
      </c>
      <c r="W1759">
        <f>WEEKNUM(Sales_Table[[#This Row],[Date_clean]],2)</f>
        <v>11</v>
      </c>
      <c r="X1759" t="str" cm="1">
        <f t="array" ref="X1759">_xlfn.IFS(Sales_Table[[#This Row],[Revenue]]&gt;=50000,"High",Sales_Table[[#This Row],[Revenue]]&gt;=20000,"Medium",Sales_Table[[#This Row],[Revenue]]&lt;20000,"Low")</f>
        <v>Low</v>
      </c>
      <c r="Y1759" t="str">
        <f>IF(Sales_Table[[#This Row],[Payment Method_clean]]="cash","Offline","Online")</f>
        <v>Online</v>
      </c>
      <c r="Z1759">
        <f>IFERROR(Sales_Table[[#This Row],[Revenue]],0)</f>
        <v>9390</v>
      </c>
    </row>
    <row r="1760" spans="1:26" x14ac:dyDescent="0.3">
      <c r="A1760">
        <v>1759</v>
      </c>
      <c r="B1760" s="2">
        <f t="shared" si="189"/>
        <v>45365.25</v>
      </c>
      <c r="C1760" t="s">
        <v>4000</v>
      </c>
      <c r="D1760" t="s">
        <v>27</v>
      </c>
      <c r="E1760" t="str">
        <f>PROPER(TRIM(CLEAN(Sales_Table[[#This Row],[Region]])))</f>
        <v>East</v>
      </c>
      <c r="F1760" t="s">
        <v>28</v>
      </c>
      <c r="G1760" t="str">
        <f t="shared" si="190"/>
        <v>Clothing</v>
      </c>
      <c r="H1760" t="str">
        <f>PROPER(TRIM(CLEAN(Sales_Table[[#This Row],[Product Name]])))</f>
        <v>Men T-Shirt</v>
      </c>
      <c r="I1760" t="s">
        <v>38</v>
      </c>
      <c r="J1760" t="str">
        <f t="shared" si="191"/>
        <v>CUST0592</v>
      </c>
      <c r="K1760" t="s">
        <v>4001</v>
      </c>
      <c r="L1760" t="str">
        <f>PROPER(TRIM(CLEAN(Sales_Table[[#This Row],[Salesperson]])))</f>
        <v>Anita</v>
      </c>
      <c r="M1760" t="s">
        <v>64</v>
      </c>
      <c r="N1760" t="str">
        <f t="shared" si="192"/>
        <v>Cash</v>
      </c>
      <c r="O1760" t="s">
        <v>32</v>
      </c>
      <c r="P1760">
        <f t="shared" si="193"/>
        <v>1</v>
      </c>
      <c r="Q1760" t="s">
        <v>93</v>
      </c>
      <c r="R1760">
        <f t="shared" si="194"/>
        <v>3018</v>
      </c>
      <c r="S1760" t="s">
        <v>4002</v>
      </c>
      <c r="T1760">
        <f t="shared" si="195"/>
        <v>3018</v>
      </c>
      <c r="U1760">
        <f>YEAR(Sales_Table[[#This Row],[Date_clean]])</f>
        <v>2024</v>
      </c>
      <c r="V1760" t="str">
        <f>TEXT(Sales_Table[[#This Row],[Date_clean]],"mmmm")</f>
        <v>March</v>
      </c>
      <c r="W1760">
        <f>WEEKNUM(Sales_Table[[#This Row],[Date_clean]],2)</f>
        <v>11</v>
      </c>
      <c r="X1760" t="str" cm="1">
        <f t="array" ref="X1760">_xlfn.IFS(Sales_Table[[#This Row],[Revenue]]&gt;=50000,"High",Sales_Table[[#This Row],[Revenue]]&gt;=20000,"Medium",Sales_Table[[#This Row],[Revenue]]&lt;20000,"Low")</f>
        <v>Low</v>
      </c>
      <c r="Y1760" t="str">
        <f>IF(Sales_Table[[#This Row],[Payment Method_clean]]="cash","Offline","Online")</f>
        <v>Offline</v>
      </c>
      <c r="Z1760">
        <f>IFERROR(Sales_Table[[#This Row],[Revenue]],0)</f>
        <v>3018</v>
      </c>
    </row>
    <row r="1761" spans="1:26" x14ac:dyDescent="0.3">
      <c r="A1761">
        <v>1760</v>
      </c>
      <c r="B1761" s="2">
        <f t="shared" si="189"/>
        <v>45365.291666666664</v>
      </c>
      <c r="C1761" t="s">
        <v>4003</v>
      </c>
      <c r="D1761" t="s">
        <v>27</v>
      </c>
      <c r="E1761" t="str">
        <f>PROPER(TRIM(CLEAN(Sales_Table[[#This Row],[Region]])))</f>
        <v>East</v>
      </c>
      <c r="F1761" t="s">
        <v>28</v>
      </c>
      <c r="G1761" t="str">
        <f t="shared" si="190"/>
        <v>Clothing</v>
      </c>
      <c r="H1761" t="str">
        <f>PROPER(TRIM(CLEAN(Sales_Table[[#This Row],[Product Name]])))</f>
        <v>Mixer Grinder</v>
      </c>
      <c r="I1761" t="s">
        <v>29</v>
      </c>
      <c r="J1761" t="str">
        <f t="shared" si="191"/>
        <v>CUST0294</v>
      </c>
      <c r="K1761" t="s">
        <v>1853</v>
      </c>
      <c r="L1761" t="str">
        <f>PROPER(TRIM(CLEAN(Sales_Table[[#This Row],[Salesperson]])))</f>
        <v>Anita</v>
      </c>
      <c r="M1761" t="s">
        <v>64</v>
      </c>
      <c r="N1761" t="str">
        <f t="shared" si="192"/>
        <v>Net Banking</v>
      </c>
      <c r="O1761" t="s">
        <v>60</v>
      </c>
      <c r="P1761">
        <f t="shared" si="193"/>
        <v>10</v>
      </c>
      <c r="Q1761" t="s">
        <v>117</v>
      </c>
      <c r="R1761">
        <f t="shared" si="194"/>
        <v>2664</v>
      </c>
      <c r="S1761" t="s">
        <v>4004</v>
      </c>
      <c r="T1761">
        <f t="shared" si="195"/>
        <v>26640</v>
      </c>
      <c r="U1761">
        <f>YEAR(Sales_Table[[#This Row],[Date_clean]])</f>
        <v>2024</v>
      </c>
      <c r="V1761" t="str">
        <f>TEXT(Sales_Table[[#This Row],[Date_clean]],"mmmm")</f>
        <v>March</v>
      </c>
      <c r="W1761">
        <f>WEEKNUM(Sales_Table[[#This Row],[Date_clean]],2)</f>
        <v>11</v>
      </c>
      <c r="X1761" t="str" cm="1">
        <f t="array" ref="X1761">_xlfn.IFS(Sales_Table[[#This Row],[Revenue]]&gt;=50000,"High",Sales_Table[[#This Row],[Revenue]]&gt;=20000,"Medium",Sales_Table[[#This Row],[Revenue]]&lt;20000,"Low")</f>
        <v>Medium</v>
      </c>
      <c r="Y1761" t="str">
        <f>IF(Sales_Table[[#This Row],[Payment Method_clean]]="cash","Offline","Online")</f>
        <v>Online</v>
      </c>
      <c r="Z1761">
        <f>IFERROR(Sales_Table[[#This Row],[Revenue]],0)</f>
        <v>26640</v>
      </c>
    </row>
    <row r="1762" spans="1:26" x14ac:dyDescent="0.3">
      <c r="A1762">
        <v>1761</v>
      </c>
      <c r="B1762" s="2">
        <f t="shared" si="189"/>
        <v>45365.333333333336</v>
      </c>
      <c r="C1762" t="s">
        <v>4005</v>
      </c>
      <c r="D1762" t="s">
        <v>36</v>
      </c>
      <c r="E1762" t="str">
        <f>PROPER(TRIM(CLEAN(Sales_Table[[#This Row],[Region]])))</f>
        <v>West</v>
      </c>
      <c r="F1762" t="s">
        <v>78</v>
      </c>
      <c r="G1762" t="str">
        <f t="shared" si="190"/>
        <v>Grocery</v>
      </c>
      <c r="H1762" t="str">
        <f>PROPER(TRIM(CLEAN(Sales_Table[[#This Row],[Product Name]])))</f>
        <v>Laptop</v>
      </c>
      <c r="I1762" t="s">
        <v>52</v>
      </c>
      <c r="J1762" t="str">
        <f t="shared" si="191"/>
        <v>CUST0638</v>
      </c>
      <c r="K1762" t="s">
        <v>958</v>
      </c>
      <c r="L1762" t="str">
        <f>PROPER(TRIM(CLEAN(Sales_Table[[#This Row],[Salesperson]])))</f>
        <v>Suresh</v>
      </c>
      <c r="M1762" t="s">
        <v>54</v>
      </c>
      <c r="N1762" t="str">
        <f t="shared" si="192"/>
        <v>Debit Card</v>
      </c>
      <c r="O1762" t="s">
        <v>41</v>
      </c>
      <c r="P1762">
        <f t="shared" si="193"/>
        <v>13</v>
      </c>
      <c r="Q1762" t="s">
        <v>81</v>
      </c>
      <c r="R1762">
        <f t="shared" si="194"/>
        <v>1863</v>
      </c>
      <c r="S1762" t="s">
        <v>4006</v>
      </c>
      <c r="T1762">
        <f t="shared" si="195"/>
        <v>24219</v>
      </c>
      <c r="U1762">
        <f>YEAR(Sales_Table[[#This Row],[Date_clean]])</f>
        <v>2024</v>
      </c>
      <c r="V1762" t="str">
        <f>TEXT(Sales_Table[[#This Row],[Date_clean]],"mmmm")</f>
        <v>March</v>
      </c>
      <c r="W1762">
        <f>WEEKNUM(Sales_Table[[#This Row],[Date_clean]],2)</f>
        <v>11</v>
      </c>
      <c r="X1762" t="str" cm="1">
        <f t="array" ref="X1762">_xlfn.IFS(Sales_Table[[#This Row],[Revenue]]&gt;=50000,"High",Sales_Table[[#This Row],[Revenue]]&gt;=20000,"Medium",Sales_Table[[#This Row],[Revenue]]&lt;20000,"Low")</f>
        <v>Medium</v>
      </c>
      <c r="Y1762" t="str">
        <f>IF(Sales_Table[[#This Row],[Payment Method_clean]]="cash","Offline","Online")</f>
        <v>Online</v>
      </c>
      <c r="Z1762">
        <f>IFERROR(Sales_Table[[#This Row],[Revenue]],0)</f>
        <v>24219</v>
      </c>
    </row>
    <row r="1763" spans="1:26" x14ac:dyDescent="0.3">
      <c r="A1763">
        <v>1762</v>
      </c>
      <c r="B1763" s="2">
        <f t="shared" si="189"/>
        <v>45365.375</v>
      </c>
      <c r="C1763" t="s">
        <v>4007</v>
      </c>
      <c r="D1763" t="s">
        <v>27</v>
      </c>
      <c r="E1763" t="str">
        <f>PROPER(TRIM(CLEAN(Sales_Table[[#This Row],[Region]])))</f>
        <v>East</v>
      </c>
      <c r="F1763" t="s">
        <v>46</v>
      </c>
      <c r="G1763" t="str">
        <f t="shared" si="190"/>
        <v>Electronics</v>
      </c>
      <c r="H1763" t="str">
        <f>PROPER(TRIM(CLEAN(Sales_Table[[#This Row],[Product Name]])))</f>
        <v>Led Tv 42Inch</v>
      </c>
      <c r="I1763" t="s">
        <v>58</v>
      </c>
      <c r="J1763" t="str">
        <f t="shared" si="191"/>
        <v>CUST0343</v>
      </c>
      <c r="K1763" t="s">
        <v>692</v>
      </c>
      <c r="L1763" t="str">
        <f>PROPER(TRIM(CLEAN(Sales_Table[[#This Row],[Salesperson]])))</f>
        <v>Karthik</v>
      </c>
      <c r="M1763" t="s">
        <v>70</v>
      </c>
      <c r="N1763" t="str">
        <f t="shared" si="192"/>
        <v>Credit Card</v>
      </c>
      <c r="O1763" t="s">
        <v>65</v>
      </c>
      <c r="P1763">
        <f t="shared" si="193"/>
        <v>13</v>
      </c>
      <c r="Q1763" t="s">
        <v>81</v>
      </c>
      <c r="R1763">
        <f t="shared" si="194"/>
        <v>2270</v>
      </c>
      <c r="S1763" t="s">
        <v>4008</v>
      </c>
      <c r="T1763">
        <f t="shared" si="195"/>
        <v>29510</v>
      </c>
      <c r="U1763">
        <f>YEAR(Sales_Table[[#This Row],[Date_clean]])</f>
        <v>2024</v>
      </c>
      <c r="V1763" t="str">
        <f>TEXT(Sales_Table[[#This Row],[Date_clean]],"mmmm")</f>
        <v>March</v>
      </c>
      <c r="W1763">
        <f>WEEKNUM(Sales_Table[[#This Row],[Date_clean]],2)</f>
        <v>11</v>
      </c>
      <c r="X1763" t="str" cm="1">
        <f t="array" ref="X1763">_xlfn.IFS(Sales_Table[[#This Row],[Revenue]]&gt;=50000,"High",Sales_Table[[#This Row],[Revenue]]&gt;=20000,"Medium",Sales_Table[[#This Row],[Revenue]]&lt;20000,"Low")</f>
        <v>Medium</v>
      </c>
      <c r="Y1763" t="str">
        <f>IF(Sales_Table[[#This Row],[Payment Method_clean]]="cash","Offline","Online")</f>
        <v>Online</v>
      </c>
      <c r="Z1763">
        <f>IFERROR(Sales_Table[[#This Row],[Revenue]],0)</f>
        <v>29510</v>
      </c>
    </row>
    <row r="1764" spans="1:26" x14ac:dyDescent="0.3">
      <c r="A1764">
        <v>1763</v>
      </c>
      <c r="B1764" s="2">
        <f t="shared" si="189"/>
        <v>45365.416666666664</v>
      </c>
      <c r="C1764" t="s">
        <v>4009</v>
      </c>
      <c r="D1764" t="s">
        <v>27</v>
      </c>
      <c r="E1764" t="str">
        <f>PROPER(TRIM(CLEAN(Sales_Table[[#This Row],[Region]])))</f>
        <v>East</v>
      </c>
      <c r="F1764" t="s">
        <v>28</v>
      </c>
      <c r="G1764" t="str">
        <f t="shared" si="190"/>
        <v>Clothing</v>
      </c>
      <c r="H1764" t="str">
        <f>PROPER(TRIM(CLEAN(Sales_Table[[#This Row],[Product Name]])))</f>
        <v>Mixer Grinder</v>
      </c>
      <c r="I1764" t="s">
        <v>29</v>
      </c>
      <c r="J1764" t="str">
        <f t="shared" si="191"/>
        <v>CUST0310</v>
      </c>
      <c r="K1764" t="s">
        <v>1225</v>
      </c>
      <c r="L1764" t="str">
        <f>PROPER(TRIM(CLEAN(Sales_Table[[#This Row],[Salesperson]])))</f>
        <v>Karthik</v>
      </c>
      <c r="M1764" t="s">
        <v>70</v>
      </c>
      <c r="N1764" t="str">
        <f t="shared" si="192"/>
        <v>Cash</v>
      </c>
      <c r="O1764" t="s">
        <v>32</v>
      </c>
      <c r="P1764">
        <f t="shared" si="193"/>
        <v>3</v>
      </c>
      <c r="Q1764" t="s">
        <v>66</v>
      </c>
      <c r="R1764">
        <f t="shared" si="194"/>
        <v>435</v>
      </c>
      <c r="S1764" t="s">
        <v>2680</v>
      </c>
      <c r="T1764">
        <f t="shared" si="195"/>
        <v>1305</v>
      </c>
      <c r="U1764">
        <f>YEAR(Sales_Table[[#This Row],[Date_clean]])</f>
        <v>2024</v>
      </c>
      <c r="V1764" t="str">
        <f>TEXT(Sales_Table[[#This Row],[Date_clean]],"mmmm")</f>
        <v>March</v>
      </c>
      <c r="W1764">
        <f>WEEKNUM(Sales_Table[[#This Row],[Date_clean]],2)</f>
        <v>11</v>
      </c>
      <c r="X1764" t="str" cm="1">
        <f t="array" ref="X1764">_xlfn.IFS(Sales_Table[[#This Row],[Revenue]]&gt;=50000,"High",Sales_Table[[#This Row],[Revenue]]&gt;=20000,"Medium",Sales_Table[[#This Row],[Revenue]]&lt;20000,"Low")</f>
        <v>Low</v>
      </c>
      <c r="Y1764" t="str">
        <f>IF(Sales_Table[[#This Row],[Payment Method_clean]]="cash","Offline","Online")</f>
        <v>Offline</v>
      </c>
      <c r="Z1764">
        <f>IFERROR(Sales_Table[[#This Row],[Revenue]],0)</f>
        <v>1305</v>
      </c>
    </row>
    <row r="1765" spans="1:26" x14ac:dyDescent="0.3">
      <c r="A1765">
        <v>1764</v>
      </c>
      <c r="B1765" s="2">
        <f t="shared" si="189"/>
        <v>45365.458333333336</v>
      </c>
      <c r="C1765" t="s">
        <v>4010</v>
      </c>
      <c r="D1765" t="s">
        <v>27</v>
      </c>
      <c r="E1765" t="str">
        <f>PROPER(TRIM(CLEAN(Sales_Table[[#This Row],[Region]])))</f>
        <v>East</v>
      </c>
      <c r="F1765" t="s">
        <v>37</v>
      </c>
      <c r="G1765" t="str">
        <f t="shared" si="190"/>
        <v>Home Appliances</v>
      </c>
      <c r="H1765" t="str">
        <f>PROPER(TRIM(CLEAN(Sales_Table[[#This Row],[Product Name]])))</f>
        <v>Led Tv 42Inch</v>
      </c>
      <c r="I1765" t="s">
        <v>58</v>
      </c>
      <c r="J1765" t="str">
        <f t="shared" si="191"/>
        <v>CUST0662</v>
      </c>
      <c r="K1765" t="s">
        <v>3721</v>
      </c>
      <c r="L1765" t="str">
        <f>PROPER(TRIM(CLEAN(Sales_Table[[#This Row],[Salesperson]])))</f>
        <v>Suresh</v>
      </c>
      <c r="M1765" t="s">
        <v>54</v>
      </c>
      <c r="N1765" t="str">
        <f t="shared" si="192"/>
        <v>Credit Card</v>
      </c>
      <c r="O1765" t="s">
        <v>65</v>
      </c>
      <c r="P1765">
        <f t="shared" si="193"/>
        <v>12</v>
      </c>
      <c r="Q1765" t="s">
        <v>33</v>
      </c>
      <c r="R1765">
        <f t="shared" si="194"/>
        <v>1276</v>
      </c>
      <c r="S1765" t="s">
        <v>4011</v>
      </c>
      <c r="T1765">
        <f t="shared" si="195"/>
        <v>15312</v>
      </c>
      <c r="U1765">
        <f>YEAR(Sales_Table[[#This Row],[Date_clean]])</f>
        <v>2024</v>
      </c>
      <c r="V1765" t="str">
        <f>TEXT(Sales_Table[[#This Row],[Date_clean]],"mmmm")</f>
        <v>March</v>
      </c>
      <c r="W1765">
        <f>WEEKNUM(Sales_Table[[#This Row],[Date_clean]],2)</f>
        <v>11</v>
      </c>
      <c r="X1765" t="str" cm="1">
        <f t="array" ref="X1765">_xlfn.IFS(Sales_Table[[#This Row],[Revenue]]&gt;=50000,"High",Sales_Table[[#This Row],[Revenue]]&gt;=20000,"Medium",Sales_Table[[#This Row],[Revenue]]&lt;20000,"Low")</f>
        <v>Low</v>
      </c>
      <c r="Y1765" t="str">
        <f>IF(Sales_Table[[#This Row],[Payment Method_clean]]="cash","Offline","Online")</f>
        <v>Online</v>
      </c>
      <c r="Z1765">
        <f>IFERROR(Sales_Table[[#This Row],[Revenue]],0)</f>
        <v>15312</v>
      </c>
    </row>
    <row r="1766" spans="1:26" x14ac:dyDescent="0.3">
      <c r="A1766">
        <v>1765</v>
      </c>
      <c r="B1766" s="2">
        <f t="shared" si="189"/>
        <v>45365.5</v>
      </c>
      <c r="C1766" t="s">
        <v>4012</v>
      </c>
      <c r="D1766" t="s">
        <v>45</v>
      </c>
      <c r="E1766" t="str">
        <f>PROPER(TRIM(CLEAN(Sales_Table[[#This Row],[Region]])))</f>
        <v>North</v>
      </c>
      <c r="F1766" t="s">
        <v>28</v>
      </c>
      <c r="G1766" t="str">
        <f t="shared" si="190"/>
        <v>Clothing</v>
      </c>
      <c r="H1766" t="str">
        <f>PROPER(TRIM(CLEAN(Sales_Table[[#This Row],[Product Name]])))</f>
        <v>Mixer Grinder</v>
      </c>
      <c r="I1766" t="s">
        <v>29</v>
      </c>
      <c r="J1766" t="str">
        <f t="shared" si="191"/>
        <v>CUST0528</v>
      </c>
      <c r="K1766" t="s">
        <v>225</v>
      </c>
      <c r="L1766" t="str">
        <f>PROPER(TRIM(CLEAN(Sales_Table[[#This Row],[Salesperson]])))</f>
        <v>Meena</v>
      </c>
      <c r="M1766" t="s">
        <v>40</v>
      </c>
      <c r="N1766" t="str">
        <f t="shared" si="192"/>
        <v>Cash</v>
      </c>
      <c r="O1766" t="s">
        <v>32</v>
      </c>
      <c r="P1766">
        <f t="shared" si="193"/>
        <v>8</v>
      </c>
      <c r="Q1766" t="s">
        <v>42</v>
      </c>
      <c r="R1766">
        <f t="shared" si="194"/>
        <v>3121</v>
      </c>
      <c r="S1766" t="s">
        <v>3257</v>
      </c>
      <c r="T1766">
        <f t="shared" si="195"/>
        <v>24968</v>
      </c>
      <c r="U1766">
        <f>YEAR(Sales_Table[[#This Row],[Date_clean]])</f>
        <v>2024</v>
      </c>
      <c r="V1766" t="str">
        <f>TEXT(Sales_Table[[#This Row],[Date_clean]],"mmmm")</f>
        <v>March</v>
      </c>
      <c r="W1766">
        <f>WEEKNUM(Sales_Table[[#This Row],[Date_clean]],2)</f>
        <v>11</v>
      </c>
      <c r="X1766" t="str" cm="1">
        <f t="array" ref="X1766">_xlfn.IFS(Sales_Table[[#This Row],[Revenue]]&gt;=50000,"High",Sales_Table[[#This Row],[Revenue]]&gt;=20000,"Medium",Sales_Table[[#This Row],[Revenue]]&lt;20000,"Low")</f>
        <v>Medium</v>
      </c>
      <c r="Y1766" t="str">
        <f>IF(Sales_Table[[#This Row],[Payment Method_clean]]="cash","Offline","Online")</f>
        <v>Offline</v>
      </c>
      <c r="Z1766">
        <f>IFERROR(Sales_Table[[#This Row],[Revenue]],0)</f>
        <v>24968</v>
      </c>
    </row>
    <row r="1767" spans="1:26" x14ac:dyDescent="0.3">
      <c r="A1767">
        <v>1766</v>
      </c>
      <c r="B1767" s="2">
        <f t="shared" si="189"/>
        <v>45365.541666666664</v>
      </c>
      <c r="C1767" t="s">
        <v>4013</v>
      </c>
      <c r="D1767" t="s">
        <v>36</v>
      </c>
      <c r="E1767" t="str">
        <f>PROPER(TRIM(CLEAN(Sales_Table[[#This Row],[Region]])))</f>
        <v>West</v>
      </c>
      <c r="F1767" t="s">
        <v>78</v>
      </c>
      <c r="G1767" t="str">
        <f t="shared" si="190"/>
        <v>Grocery</v>
      </c>
      <c r="H1767" t="str">
        <f>PROPER(TRIM(CLEAN(Sales_Table[[#This Row],[Product Name]])))</f>
        <v>Men T-Shirt</v>
      </c>
      <c r="I1767" t="s">
        <v>38</v>
      </c>
      <c r="J1767" t="str">
        <f t="shared" si="191"/>
        <v>CUST0540</v>
      </c>
      <c r="K1767" t="s">
        <v>372</v>
      </c>
      <c r="L1767" t="str">
        <f>PROPER(TRIM(CLEAN(Sales_Table[[#This Row],[Salesperson]])))</f>
        <v>Anita</v>
      </c>
      <c r="M1767" t="s">
        <v>64</v>
      </c>
      <c r="N1767" t="str">
        <f t="shared" si="192"/>
        <v>Debit Card</v>
      </c>
      <c r="O1767" t="s">
        <v>41</v>
      </c>
      <c r="P1767">
        <f t="shared" si="193"/>
        <v>6</v>
      </c>
      <c r="Q1767" t="s">
        <v>75</v>
      </c>
      <c r="R1767">
        <f t="shared" si="194"/>
        <v>878</v>
      </c>
      <c r="S1767" t="s">
        <v>4014</v>
      </c>
      <c r="T1767">
        <f t="shared" si="195"/>
        <v>5268</v>
      </c>
      <c r="U1767">
        <f>YEAR(Sales_Table[[#This Row],[Date_clean]])</f>
        <v>2024</v>
      </c>
      <c r="V1767" t="str">
        <f>TEXT(Sales_Table[[#This Row],[Date_clean]],"mmmm")</f>
        <v>March</v>
      </c>
      <c r="W1767">
        <f>WEEKNUM(Sales_Table[[#This Row],[Date_clean]],2)</f>
        <v>11</v>
      </c>
      <c r="X1767" t="str" cm="1">
        <f t="array" ref="X1767">_xlfn.IFS(Sales_Table[[#This Row],[Revenue]]&gt;=50000,"High",Sales_Table[[#This Row],[Revenue]]&gt;=20000,"Medium",Sales_Table[[#This Row],[Revenue]]&lt;20000,"Low")</f>
        <v>Low</v>
      </c>
      <c r="Y1767" t="str">
        <f>IF(Sales_Table[[#This Row],[Payment Method_clean]]="cash","Offline","Online")</f>
        <v>Online</v>
      </c>
      <c r="Z1767">
        <f>IFERROR(Sales_Table[[#This Row],[Revenue]],0)</f>
        <v>5268</v>
      </c>
    </row>
    <row r="1768" spans="1:26" x14ac:dyDescent="0.3">
      <c r="A1768">
        <v>1767</v>
      </c>
      <c r="B1768" s="2">
        <f t="shared" si="189"/>
        <v>45365.583333333336</v>
      </c>
      <c r="C1768" t="s">
        <v>4015</v>
      </c>
      <c r="D1768" t="s">
        <v>84</v>
      </c>
      <c r="E1768" t="str">
        <f>PROPER(TRIM(CLEAN(Sales_Table[[#This Row],[Region]])))</f>
        <v>South</v>
      </c>
      <c r="F1768" t="s">
        <v>37</v>
      </c>
      <c r="G1768" t="str">
        <f t="shared" si="190"/>
        <v>Home Appliances</v>
      </c>
      <c r="H1768" t="str">
        <f>PROPER(TRIM(CLEAN(Sales_Table[[#This Row],[Product Name]])))</f>
        <v>Washing Machine</v>
      </c>
      <c r="I1768" t="s">
        <v>79</v>
      </c>
      <c r="J1768" t="str">
        <f t="shared" si="191"/>
        <v>CUST0419</v>
      </c>
      <c r="K1768" t="s">
        <v>2162</v>
      </c>
      <c r="L1768" t="str">
        <f>PROPER(TRIM(CLEAN(Sales_Table[[#This Row],[Salesperson]])))</f>
        <v>Anita</v>
      </c>
      <c r="M1768" t="s">
        <v>64</v>
      </c>
      <c r="N1768" t="str">
        <f t="shared" si="192"/>
        <v>Net Banking</v>
      </c>
      <c r="O1768" t="s">
        <v>60</v>
      </c>
      <c r="P1768">
        <f t="shared" si="193"/>
        <v>12</v>
      </c>
      <c r="Q1768" t="s">
        <v>33</v>
      </c>
      <c r="R1768">
        <f t="shared" si="194"/>
        <v>1285</v>
      </c>
      <c r="S1768" t="s">
        <v>770</v>
      </c>
      <c r="T1768">
        <f t="shared" si="195"/>
        <v>15420</v>
      </c>
      <c r="U1768">
        <f>YEAR(Sales_Table[[#This Row],[Date_clean]])</f>
        <v>2024</v>
      </c>
      <c r="V1768" t="str">
        <f>TEXT(Sales_Table[[#This Row],[Date_clean]],"mmmm")</f>
        <v>March</v>
      </c>
      <c r="W1768">
        <f>WEEKNUM(Sales_Table[[#This Row],[Date_clean]],2)</f>
        <v>11</v>
      </c>
      <c r="X1768" t="str" cm="1">
        <f t="array" ref="X1768">_xlfn.IFS(Sales_Table[[#This Row],[Revenue]]&gt;=50000,"High",Sales_Table[[#This Row],[Revenue]]&gt;=20000,"Medium",Sales_Table[[#This Row],[Revenue]]&lt;20000,"Low")</f>
        <v>Low</v>
      </c>
      <c r="Y1768" t="str">
        <f>IF(Sales_Table[[#This Row],[Payment Method_clean]]="cash","Offline","Online")</f>
        <v>Online</v>
      </c>
      <c r="Z1768">
        <f>IFERROR(Sales_Table[[#This Row],[Revenue]],0)</f>
        <v>15420</v>
      </c>
    </row>
    <row r="1769" spans="1:26" x14ac:dyDescent="0.3">
      <c r="A1769">
        <v>1768</v>
      </c>
      <c r="B1769" s="2">
        <f t="shared" si="189"/>
        <v>45365.625</v>
      </c>
      <c r="C1769" t="s">
        <v>4016</v>
      </c>
      <c r="D1769" t="s">
        <v>45</v>
      </c>
      <c r="E1769" t="str">
        <f>PROPER(TRIM(CLEAN(Sales_Table[[#This Row],[Region]])))</f>
        <v>North</v>
      </c>
      <c r="F1769" t="s">
        <v>78</v>
      </c>
      <c r="G1769" t="str">
        <f t="shared" si="190"/>
        <v>Grocery</v>
      </c>
      <c r="H1769" t="str">
        <f>PROPER(TRIM(CLEAN(Sales_Table[[#This Row],[Product Name]])))</f>
        <v>Mixer Grinder</v>
      </c>
      <c r="I1769" t="s">
        <v>29</v>
      </c>
      <c r="J1769" t="str">
        <f t="shared" si="191"/>
        <v>CUST0444</v>
      </c>
      <c r="K1769" t="s">
        <v>1174</v>
      </c>
      <c r="L1769" t="str">
        <f>PROPER(TRIM(CLEAN(Sales_Table[[#This Row],[Salesperson]])))</f>
        <v>Suresh</v>
      </c>
      <c r="M1769" t="s">
        <v>54</v>
      </c>
      <c r="N1769" t="str">
        <f t="shared" si="192"/>
        <v>Debit Card</v>
      </c>
      <c r="O1769" t="s">
        <v>41</v>
      </c>
      <c r="P1769">
        <f t="shared" si="193"/>
        <v>7</v>
      </c>
      <c r="Q1769" t="s">
        <v>49</v>
      </c>
      <c r="R1769">
        <f t="shared" si="194"/>
        <v>3385</v>
      </c>
      <c r="S1769" t="s">
        <v>1634</v>
      </c>
      <c r="T1769">
        <f t="shared" si="195"/>
        <v>23695</v>
      </c>
      <c r="U1769">
        <f>YEAR(Sales_Table[[#This Row],[Date_clean]])</f>
        <v>2024</v>
      </c>
      <c r="V1769" t="str">
        <f>TEXT(Sales_Table[[#This Row],[Date_clean]],"mmmm")</f>
        <v>March</v>
      </c>
      <c r="W1769">
        <f>WEEKNUM(Sales_Table[[#This Row],[Date_clean]],2)</f>
        <v>11</v>
      </c>
      <c r="X1769" t="str" cm="1">
        <f t="array" ref="X1769">_xlfn.IFS(Sales_Table[[#This Row],[Revenue]]&gt;=50000,"High",Sales_Table[[#This Row],[Revenue]]&gt;=20000,"Medium",Sales_Table[[#This Row],[Revenue]]&lt;20000,"Low")</f>
        <v>Medium</v>
      </c>
      <c r="Y1769" t="str">
        <f>IF(Sales_Table[[#This Row],[Payment Method_clean]]="cash","Offline","Online")</f>
        <v>Online</v>
      </c>
      <c r="Z1769">
        <f>IFERROR(Sales_Table[[#This Row],[Revenue]],0)</f>
        <v>23695</v>
      </c>
    </row>
    <row r="1770" spans="1:26" x14ac:dyDescent="0.3">
      <c r="A1770">
        <v>1769</v>
      </c>
      <c r="B1770" s="2">
        <f t="shared" si="189"/>
        <v>45365.666666666664</v>
      </c>
      <c r="C1770" t="s">
        <v>4017</v>
      </c>
      <c r="D1770" t="s">
        <v>27</v>
      </c>
      <c r="E1770" t="str">
        <f>PROPER(TRIM(CLEAN(Sales_Table[[#This Row],[Region]])))</f>
        <v>East</v>
      </c>
      <c r="F1770" t="s">
        <v>28</v>
      </c>
      <c r="G1770" t="str">
        <f t="shared" si="190"/>
        <v>Clothing</v>
      </c>
      <c r="H1770" t="str">
        <f>PROPER(TRIM(CLEAN(Sales_Table[[#This Row],[Product Name]])))</f>
        <v>Led Tv 42Inch</v>
      </c>
      <c r="I1770" t="s">
        <v>58</v>
      </c>
      <c r="J1770" t="str">
        <f t="shared" si="191"/>
        <v>CUST0685</v>
      </c>
      <c r="K1770" t="s">
        <v>329</v>
      </c>
      <c r="L1770" t="str">
        <f>PROPER(TRIM(CLEAN(Sales_Table[[#This Row],[Salesperson]])))</f>
        <v>Suresh</v>
      </c>
      <c r="M1770" t="s">
        <v>54</v>
      </c>
      <c r="N1770" t="str">
        <f t="shared" si="192"/>
        <v>Credit Card</v>
      </c>
      <c r="O1770" t="s">
        <v>65</v>
      </c>
      <c r="P1770">
        <f t="shared" si="193"/>
        <v>2</v>
      </c>
      <c r="Q1770" t="s">
        <v>196</v>
      </c>
      <c r="R1770">
        <f t="shared" si="194"/>
        <v>3547</v>
      </c>
      <c r="S1770" t="s">
        <v>4018</v>
      </c>
      <c r="T1770">
        <f t="shared" si="195"/>
        <v>7094</v>
      </c>
      <c r="U1770">
        <f>YEAR(Sales_Table[[#This Row],[Date_clean]])</f>
        <v>2024</v>
      </c>
      <c r="V1770" t="str">
        <f>TEXT(Sales_Table[[#This Row],[Date_clean]],"mmmm")</f>
        <v>March</v>
      </c>
      <c r="W1770">
        <f>WEEKNUM(Sales_Table[[#This Row],[Date_clean]],2)</f>
        <v>11</v>
      </c>
      <c r="X1770" t="str" cm="1">
        <f t="array" ref="X1770">_xlfn.IFS(Sales_Table[[#This Row],[Revenue]]&gt;=50000,"High",Sales_Table[[#This Row],[Revenue]]&gt;=20000,"Medium",Sales_Table[[#This Row],[Revenue]]&lt;20000,"Low")</f>
        <v>Low</v>
      </c>
      <c r="Y1770" t="str">
        <f>IF(Sales_Table[[#This Row],[Payment Method_clean]]="cash","Offline","Online")</f>
        <v>Online</v>
      </c>
      <c r="Z1770">
        <f>IFERROR(Sales_Table[[#This Row],[Revenue]],0)</f>
        <v>7094</v>
      </c>
    </row>
    <row r="1771" spans="1:26" x14ac:dyDescent="0.3">
      <c r="A1771">
        <v>1770</v>
      </c>
      <c r="B1771" s="2">
        <f t="shared" si="189"/>
        <v>45365.708333333336</v>
      </c>
      <c r="C1771" t="s">
        <v>4019</v>
      </c>
      <c r="D1771" t="s">
        <v>45</v>
      </c>
      <c r="E1771" t="str">
        <f>PROPER(TRIM(CLEAN(Sales_Table[[#This Row],[Region]])))</f>
        <v>North</v>
      </c>
      <c r="F1771" t="s">
        <v>37</v>
      </c>
      <c r="G1771" t="str">
        <f t="shared" si="190"/>
        <v>Home Appliances</v>
      </c>
      <c r="H1771" t="str">
        <f>PROPER(TRIM(CLEAN(Sales_Table[[#This Row],[Product Name]])))</f>
        <v>Led Tv 42Inch</v>
      </c>
      <c r="I1771" t="s">
        <v>58</v>
      </c>
      <c r="J1771" t="str">
        <f t="shared" si="191"/>
        <v>CUST0558</v>
      </c>
      <c r="K1771" t="s">
        <v>3062</v>
      </c>
      <c r="L1771" t="str">
        <f>PROPER(TRIM(CLEAN(Sales_Table[[#This Row],[Salesperson]])))</f>
        <v>Meena</v>
      </c>
      <c r="M1771" t="s">
        <v>40</v>
      </c>
      <c r="N1771" t="str">
        <f t="shared" si="192"/>
        <v>Cash</v>
      </c>
      <c r="O1771" t="s">
        <v>32</v>
      </c>
      <c r="P1771">
        <f t="shared" si="193"/>
        <v>6</v>
      </c>
      <c r="Q1771" t="s">
        <v>75</v>
      </c>
      <c r="R1771">
        <f t="shared" si="194"/>
        <v>4091</v>
      </c>
      <c r="S1771" t="s">
        <v>4020</v>
      </c>
      <c r="T1771">
        <f t="shared" si="195"/>
        <v>24546</v>
      </c>
      <c r="U1771">
        <f>YEAR(Sales_Table[[#This Row],[Date_clean]])</f>
        <v>2024</v>
      </c>
      <c r="V1771" t="str">
        <f>TEXT(Sales_Table[[#This Row],[Date_clean]],"mmmm")</f>
        <v>March</v>
      </c>
      <c r="W1771">
        <f>WEEKNUM(Sales_Table[[#This Row],[Date_clean]],2)</f>
        <v>11</v>
      </c>
      <c r="X1771" t="str" cm="1">
        <f t="array" ref="X1771">_xlfn.IFS(Sales_Table[[#This Row],[Revenue]]&gt;=50000,"High",Sales_Table[[#This Row],[Revenue]]&gt;=20000,"Medium",Sales_Table[[#This Row],[Revenue]]&lt;20000,"Low")</f>
        <v>Medium</v>
      </c>
      <c r="Y1771" t="str">
        <f>IF(Sales_Table[[#This Row],[Payment Method_clean]]="cash","Offline","Online")</f>
        <v>Offline</v>
      </c>
      <c r="Z1771">
        <f>IFERROR(Sales_Table[[#This Row],[Revenue]],0)</f>
        <v>24546</v>
      </c>
    </row>
    <row r="1772" spans="1:26" x14ac:dyDescent="0.3">
      <c r="A1772">
        <v>1771</v>
      </c>
      <c r="B1772" s="2">
        <f t="shared" si="189"/>
        <v>45365.75</v>
      </c>
      <c r="C1772" t="s">
        <v>4021</v>
      </c>
      <c r="D1772" t="s">
        <v>27</v>
      </c>
      <c r="E1772" t="str">
        <f>PROPER(TRIM(CLEAN(Sales_Table[[#This Row],[Region]])))</f>
        <v>East</v>
      </c>
      <c r="F1772" t="s">
        <v>46</v>
      </c>
      <c r="G1772" t="str">
        <f t="shared" si="190"/>
        <v>Electronics</v>
      </c>
      <c r="H1772" t="str">
        <f>PROPER(TRIM(CLEAN(Sales_Table[[#This Row],[Product Name]])))</f>
        <v>Laptop</v>
      </c>
      <c r="I1772" t="s">
        <v>52</v>
      </c>
      <c r="J1772" t="str">
        <f t="shared" si="191"/>
        <v>CUST0236</v>
      </c>
      <c r="K1772" t="s">
        <v>966</v>
      </c>
      <c r="L1772" t="str">
        <f>PROPER(TRIM(CLEAN(Sales_Table[[#This Row],[Salesperson]])))</f>
        <v>Karthik</v>
      </c>
      <c r="M1772" t="s">
        <v>70</v>
      </c>
      <c r="N1772" t="str">
        <f t="shared" si="192"/>
        <v>Credit Card</v>
      </c>
      <c r="O1772" t="s">
        <v>65</v>
      </c>
      <c r="P1772">
        <f t="shared" si="193"/>
        <v>14</v>
      </c>
      <c r="Q1772" t="s">
        <v>55</v>
      </c>
      <c r="R1772">
        <f t="shared" si="194"/>
        <v>2570</v>
      </c>
      <c r="S1772" t="s">
        <v>4022</v>
      </c>
      <c r="T1772">
        <f t="shared" si="195"/>
        <v>35980</v>
      </c>
      <c r="U1772">
        <f>YEAR(Sales_Table[[#This Row],[Date_clean]])</f>
        <v>2024</v>
      </c>
      <c r="V1772" t="str">
        <f>TEXT(Sales_Table[[#This Row],[Date_clean]],"mmmm")</f>
        <v>March</v>
      </c>
      <c r="W1772">
        <f>WEEKNUM(Sales_Table[[#This Row],[Date_clean]],2)</f>
        <v>11</v>
      </c>
      <c r="X1772" t="str" cm="1">
        <f t="array" ref="X1772">_xlfn.IFS(Sales_Table[[#This Row],[Revenue]]&gt;=50000,"High",Sales_Table[[#This Row],[Revenue]]&gt;=20000,"Medium",Sales_Table[[#This Row],[Revenue]]&lt;20000,"Low")</f>
        <v>Medium</v>
      </c>
      <c r="Y1772" t="str">
        <f>IF(Sales_Table[[#This Row],[Payment Method_clean]]="cash","Offline","Online")</f>
        <v>Online</v>
      </c>
      <c r="Z1772">
        <f>IFERROR(Sales_Table[[#This Row],[Revenue]],0)</f>
        <v>35980</v>
      </c>
    </row>
    <row r="1773" spans="1:26" x14ac:dyDescent="0.3">
      <c r="A1773">
        <v>1772</v>
      </c>
      <c r="B1773" s="2">
        <f t="shared" si="189"/>
        <v>45365.791666666664</v>
      </c>
      <c r="C1773" t="s">
        <v>4023</v>
      </c>
      <c r="D1773" t="s">
        <v>27</v>
      </c>
      <c r="E1773" t="str">
        <f>PROPER(TRIM(CLEAN(Sales_Table[[#This Row],[Region]])))</f>
        <v>East</v>
      </c>
      <c r="F1773" t="s">
        <v>46</v>
      </c>
      <c r="G1773" t="str">
        <f t="shared" si="190"/>
        <v>Electronics</v>
      </c>
      <c r="H1773" t="str">
        <f>PROPER(TRIM(CLEAN(Sales_Table[[#This Row],[Product Name]])))</f>
        <v>Men T-Shirt</v>
      </c>
      <c r="I1773" t="s">
        <v>38</v>
      </c>
      <c r="J1773" t="str">
        <f t="shared" si="191"/>
        <v>CUST0439</v>
      </c>
      <c r="K1773" t="s">
        <v>828</v>
      </c>
      <c r="L1773" t="str">
        <f>PROPER(TRIM(CLEAN(Sales_Table[[#This Row],[Salesperson]])))</f>
        <v>Rahul</v>
      </c>
      <c r="M1773" t="s">
        <v>31</v>
      </c>
      <c r="N1773" t="str">
        <f t="shared" si="192"/>
        <v>Net Banking</v>
      </c>
      <c r="O1773" t="s">
        <v>60</v>
      </c>
      <c r="P1773">
        <f t="shared" si="193"/>
        <v>8</v>
      </c>
      <c r="Q1773" t="s">
        <v>42</v>
      </c>
      <c r="R1773">
        <f t="shared" si="194"/>
        <v>1038</v>
      </c>
      <c r="S1773" t="s">
        <v>4024</v>
      </c>
      <c r="T1773">
        <f t="shared" si="195"/>
        <v>8304</v>
      </c>
      <c r="U1773">
        <f>YEAR(Sales_Table[[#This Row],[Date_clean]])</f>
        <v>2024</v>
      </c>
      <c r="V1773" t="str">
        <f>TEXT(Sales_Table[[#This Row],[Date_clean]],"mmmm")</f>
        <v>March</v>
      </c>
      <c r="W1773">
        <f>WEEKNUM(Sales_Table[[#This Row],[Date_clean]],2)</f>
        <v>11</v>
      </c>
      <c r="X1773" t="str" cm="1">
        <f t="array" ref="X1773">_xlfn.IFS(Sales_Table[[#This Row],[Revenue]]&gt;=50000,"High",Sales_Table[[#This Row],[Revenue]]&gt;=20000,"Medium",Sales_Table[[#This Row],[Revenue]]&lt;20000,"Low")</f>
        <v>Low</v>
      </c>
      <c r="Y1773" t="str">
        <f>IF(Sales_Table[[#This Row],[Payment Method_clean]]="cash","Offline","Online")</f>
        <v>Online</v>
      </c>
      <c r="Z1773">
        <f>IFERROR(Sales_Table[[#This Row],[Revenue]],0)</f>
        <v>8304</v>
      </c>
    </row>
    <row r="1774" spans="1:26" x14ac:dyDescent="0.3">
      <c r="A1774">
        <v>1773</v>
      </c>
      <c r="B1774" s="2">
        <f t="shared" si="189"/>
        <v>45365.833333333336</v>
      </c>
      <c r="C1774" t="s">
        <v>4025</v>
      </c>
      <c r="D1774" t="s">
        <v>45</v>
      </c>
      <c r="E1774" t="str">
        <f>PROPER(TRIM(CLEAN(Sales_Table[[#This Row],[Region]])))</f>
        <v>North</v>
      </c>
      <c r="F1774" t="s">
        <v>37</v>
      </c>
      <c r="G1774" t="str">
        <f t="shared" si="190"/>
        <v>Home Appliances</v>
      </c>
      <c r="H1774" t="str">
        <f>PROPER(TRIM(CLEAN(Sales_Table[[#This Row],[Product Name]])))</f>
        <v>Led Tv 42Inch</v>
      </c>
      <c r="I1774" t="s">
        <v>58</v>
      </c>
      <c r="J1774" t="str">
        <f t="shared" si="191"/>
        <v>CUST0214</v>
      </c>
      <c r="K1774" t="s">
        <v>2487</v>
      </c>
      <c r="L1774" t="str">
        <f>PROPER(TRIM(CLEAN(Sales_Table[[#This Row],[Salesperson]])))</f>
        <v>Karthik</v>
      </c>
      <c r="M1774" t="s">
        <v>70</v>
      </c>
      <c r="N1774" t="str">
        <f t="shared" si="192"/>
        <v>Debit Card</v>
      </c>
      <c r="O1774" t="s">
        <v>41</v>
      </c>
      <c r="P1774">
        <f t="shared" si="193"/>
        <v>8</v>
      </c>
      <c r="Q1774" t="s">
        <v>42</v>
      </c>
      <c r="R1774">
        <f t="shared" si="194"/>
        <v>4999</v>
      </c>
      <c r="S1774" t="s">
        <v>4026</v>
      </c>
      <c r="T1774">
        <f t="shared" si="195"/>
        <v>39992</v>
      </c>
      <c r="U1774">
        <f>YEAR(Sales_Table[[#This Row],[Date_clean]])</f>
        <v>2024</v>
      </c>
      <c r="V1774" t="str">
        <f>TEXT(Sales_Table[[#This Row],[Date_clean]],"mmmm")</f>
        <v>March</v>
      </c>
      <c r="W1774">
        <f>WEEKNUM(Sales_Table[[#This Row],[Date_clean]],2)</f>
        <v>11</v>
      </c>
      <c r="X1774" t="str" cm="1">
        <f t="array" ref="X1774">_xlfn.IFS(Sales_Table[[#This Row],[Revenue]]&gt;=50000,"High",Sales_Table[[#This Row],[Revenue]]&gt;=20000,"Medium",Sales_Table[[#This Row],[Revenue]]&lt;20000,"Low")</f>
        <v>Medium</v>
      </c>
      <c r="Y1774" t="str">
        <f>IF(Sales_Table[[#This Row],[Payment Method_clean]]="cash","Offline","Online")</f>
        <v>Online</v>
      </c>
      <c r="Z1774">
        <f>IFERROR(Sales_Table[[#This Row],[Revenue]],0)</f>
        <v>39992</v>
      </c>
    </row>
    <row r="1775" spans="1:26" x14ac:dyDescent="0.3">
      <c r="A1775">
        <v>1774</v>
      </c>
      <c r="B1775" s="2">
        <f t="shared" si="189"/>
        <v>45365.875</v>
      </c>
      <c r="C1775" t="s">
        <v>4027</v>
      </c>
      <c r="D1775" t="s">
        <v>36</v>
      </c>
      <c r="E1775" t="str">
        <f>PROPER(TRIM(CLEAN(Sales_Table[[#This Row],[Region]])))</f>
        <v>West</v>
      </c>
      <c r="F1775" t="s">
        <v>37</v>
      </c>
      <c r="G1775" t="str">
        <f t="shared" si="190"/>
        <v>Home Appliances</v>
      </c>
      <c r="H1775" t="str">
        <f>PROPER(TRIM(CLEAN(Sales_Table[[#This Row],[Product Name]])))</f>
        <v>Rice 5Kg</v>
      </c>
      <c r="I1775" t="s">
        <v>73</v>
      </c>
      <c r="J1775" t="str">
        <f t="shared" si="191"/>
        <v>CUST0085</v>
      </c>
      <c r="K1775" t="s">
        <v>3698</v>
      </c>
      <c r="L1775" t="str">
        <f>PROPER(TRIM(CLEAN(Sales_Table[[#This Row],[Salesperson]])))</f>
        <v>Anita</v>
      </c>
      <c r="M1775" t="s">
        <v>64</v>
      </c>
      <c r="N1775" t="str">
        <f t="shared" si="192"/>
        <v>Credit Card</v>
      </c>
      <c r="O1775" t="s">
        <v>65</v>
      </c>
      <c r="P1775">
        <f t="shared" si="193"/>
        <v>4</v>
      </c>
      <c r="Q1775" t="s">
        <v>113</v>
      </c>
      <c r="R1775">
        <f t="shared" si="194"/>
        <v>4106</v>
      </c>
      <c r="S1775" t="s">
        <v>4028</v>
      </c>
      <c r="T1775">
        <f t="shared" si="195"/>
        <v>16424</v>
      </c>
      <c r="U1775">
        <f>YEAR(Sales_Table[[#This Row],[Date_clean]])</f>
        <v>2024</v>
      </c>
      <c r="V1775" t="str">
        <f>TEXT(Sales_Table[[#This Row],[Date_clean]],"mmmm")</f>
        <v>March</v>
      </c>
      <c r="W1775">
        <f>WEEKNUM(Sales_Table[[#This Row],[Date_clean]],2)</f>
        <v>11</v>
      </c>
      <c r="X1775" t="str" cm="1">
        <f t="array" ref="X1775">_xlfn.IFS(Sales_Table[[#This Row],[Revenue]]&gt;=50000,"High",Sales_Table[[#This Row],[Revenue]]&gt;=20000,"Medium",Sales_Table[[#This Row],[Revenue]]&lt;20000,"Low")</f>
        <v>Low</v>
      </c>
      <c r="Y1775" t="str">
        <f>IF(Sales_Table[[#This Row],[Payment Method_clean]]="cash","Offline","Online")</f>
        <v>Online</v>
      </c>
      <c r="Z1775">
        <f>IFERROR(Sales_Table[[#This Row],[Revenue]],0)</f>
        <v>16424</v>
      </c>
    </row>
    <row r="1776" spans="1:26" x14ac:dyDescent="0.3">
      <c r="A1776">
        <v>1775</v>
      </c>
      <c r="B1776" s="2">
        <f t="shared" si="189"/>
        <v>45365.916666666664</v>
      </c>
      <c r="C1776" t="s">
        <v>4029</v>
      </c>
      <c r="D1776" t="s">
        <v>27</v>
      </c>
      <c r="E1776" t="str">
        <f>PROPER(TRIM(CLEAN(Sales_Table[[#This Row],[Region]])))</f>
        <v>East</v>
      </c>
      <c r="F1776" t="s">
        <v>78</v>
      </c>
      <c r="G1776" t="str">
        <f t="shared" si="190"/>
        <v>Grocery</v>
      </c>
      <c r="H1776" t="str">
        <f>PROPER(TRIM(CLEAN(Sales_Table[[#This Row],[Product Name]])))</f>
        <v>Washing Machine</v>
      </c>
      <c r="I1776" t="s">
        <v>79</v>
      </c>
      <c r="J1776" t="str">
        <f t="shared" si="191"/>
        <v>CUST0794</v>
      </c>
      <c r="K1776" t="s">
        <v>1010</v>
      </c>
      <c r="L1776" t="str">
        <f>PROPER(TRIM(CLEAN(Sales_Table[[#This Row],[Salesperson]])))</f>
        <v>Suresh</v>
      </c>
      <c r="M1776" t="s">
        <v>54</v>
      </c>
      <c r="N1776" t="str">
        <f t="shared" si="192"/>
        <v>Credit Card</v>
      </c>
      <c r="O1776" t="s">
        <v>65</v>
      </c>
      <c r="P1776">
        <f t="shared" si="193"/>
        <v>6</v>
      </c>
      <c r="Q1776" t="s">
        <v>75</v>
      </c>
      <c r="R1776">
        <f t="shared" si="194"/>
        <v>2035</v>
      </c>
      <c r="S1776" t="s">
        <v>4030</v>
      </c>
      <c r="T1776">
        <f t="shared" si="195"/>
        <v>12210</v>
      </c>
      <c r="U1776">
        <f>YEAR(Sales_Table[[#This Row],[Date_clean]])</f>
        <v>2024</v>
      </c>
      <c r="V1776" t="str">
        <f>TEXT(Sales_Table[[#This Row],[Date_clean]],"mmmm")</f>
        <v>March</v>
      </c>
      <c r="W1776">
        <f>WEEKNUM(Sales_Table[[#This Row],[Date_clean]],2)</f>
        <v>11</v>
      </c>
      <c r="X1776" t="str" cm="1">
        <f t="array" ref="X1776">_xlfn.IFS(Sales_Table[[#This Row],[Revenue]]&gt;=50000,"High",Sales_Table[[#This Row],[Revenue]]&gt;=20000,"Medium",Sales_Table[[#This Row],[Revenue]]&lt;20000,"Low")</f>
        <v>Low</v>
      </c>
      <c r="Y1776" t="str">
        <f>IF(Sales_Table[[#This Row],[Payment Method_clean]]="cash","Offline","Online")</f>
        <v>Online</v>
      </c>
      <c r="Z1776">
        <f>IFERROR(Sales_Table[[#This Row],[Revenue]],0)</f>
        <v>12210</v>
      </c>
    </row>
    <row r="1777" spans="1:26" x14ac:dyDescent="0.3">
      <c r="A1777">
        <v>1776</v>
      </c>
      <c r="B1777" s="2">
        <f t="shared" si="189"/>
        <v>45365.958333333336</v>
      </c>
      <c r="C1777" t="s">
        <v>4031</v>
      </c>
      <c r="D1777" t="s">
        <v>36</v>
      </c>
      <c r="E1777" t="str">
        <f>PROPER(TRIM(CLEAN(Sales_Table[[#This Row],[Region]])))</f>
        <v>West</v>
      </c>
      <c r="F1777" t="s">
        <v>37</v>
      </c>
      <c r="G1777" t="str">
        <f t="shared" si="190"/>
        <v>Home Appliances</v>
      </c>
      <c r="H1777" t="str">
        <f>PROPER(TRIM(CLEAN(Sales_Table[[#This Row],[Product Name]])))</f>
        <v>Mixer Grinder</v>
      </c>
      <c r="I1777" t="s">
        <v>29</v>
      </c>
      <c r="J1777" t="str">
        <f t="shared" si="191"/>
        <v>CUST0744</v>
      </c>
      <c r="K1777" t="s">
        <v>429</v>
      </c>
      <c r="L1777" t="str">
        <f>PROPER(TRIM(CLEAN(Sales_Table[[#This Row],[Salesperson]])))</f>
        <v>Meena</v>
      </c>
      <c r="M1777" t="s">
        <v>40</v>
      </c>
      <c r="N1777" t="str">
        <f t="shared" si="192"/>
        <v>Net Banking</v>
      </c>
      <c r="O1777" t="s">
        <v>60</v>
      </c>
      <c r="P1777">
        <f t="shared" si="193"/>
        <v>14</v>
      </c>
      <c r="Q1777" t="s">
        <v>55</v>
      </c>
      <c r="R1777">
        <f t="shared" si="194"/>
        <v>733</v>
      </c>
      <c r="S1777" t="s">
        <v>2067</v>
      </c>
      <c r="T1777">
        <f t="shared" si="195"/>
        <v>10262</v>
      </c>
      <c r="U1777">
        <f>YEAR(Sales_Table[[#This Row],[Date_clean]])</f>
        <v>2024</v>
      </c>
      <c r="V1777" t="str">
        <f>TEXT(Sales_Table[[#This Row],[Date_clean]],"mmmm")</f>
        <v>March</v>
      </c>
      <c r="W1777">
        <f>WEEKNUM(Sales_Table[[#This Row],[Date_clean]],2)</f>
        <v>11</v>
      </c>
      <c r="X1777" t="str" cm="1">
        <f t="array" ref="X1777">_xlfn.IFS(Sales_Table[[#This Row],[Revenue]]&gt;=50000,"High",Sales_Table[[#This Row],[Revenue]]&gt;=20000,"Medium",Sales_Table[[#This Row],[Revenue]]&lt;20000,"Low")</f>
        <v>Low</v>
      </c>
      <c r="Y1777" t="str">
        <f>IF(Sales_Table[[#This Row],[Payment Method_clean]]="cash","Offline","Online")</f>
        <v>Online</v>
      </c>
      <c r="Z1777">
        <f>IFERROR(Sales_Table[[#This Row],[Revenue]],0)</f>
        <v>10262</v>
      </c>
    </row>
    <row r="1778" spans="1:26" x14ac:dyDescent="0.3">
      <c r="A1778">
        <v>1777</v>
      </c>
      <c r="B1778" s="2">
        <f t="shared" si="189"/>
        <v>45366</v>
      </c>
      <c r="C1778" t="s">
        <v>4032</v>
      </c>
      <c r="D1778" t="s">
        <v>84</v>
      </c>
      <c r="E1778" t="str">
        <f>PROPER(TRIM(CLEAN(Sales_Table[[#This Row],[Region]])))</f>
        <v>South</v>
      </c>
      <c r="F1778" t="s">
        <v>78</v>
      </c>
      <c r="G1778" t="str">
        <f t="shared" si="190"/>
        <v>Grocery</v>
      </c>
      <c r="H1778" t="str">
        <f>PROPER(TRIM(CLEAN(Sales_Table[[#This Row],[Product Name]])))</f>
        <v>Laptop</v>
      </c>
      <c r="I1778" t="s">
        <v>52</v>
      </c>
      <c r="J1778" t="str">
        <f t="shared" si="191"/>
        <v>CUST0085</v>
      </c>
      <c r="K1778" t="s">
        <v>3698</v>
      </c>
      <c r="L1778" t="str">
        <f>PROPER(TRIM(CLEAN(Sales_Table[[#This Row],[Salesperson]])))</f>
        <v>Karthik</v>
      </c>
      <c r="M1778" t="s">
        <v>70</v>
      </c>
      <c r="N1778" t="str">
        <f t="shared" si="192"/>
        <v>Cash</v>
      </c>
      <c r="O1778" t="s">
        <v>32</v>
      </c>
      <c r="P1778">
        <f t="shared" si="193"/>
        <v>5</v>
      </c>
      <c r="Q1778" t="s">
        <v>89</v>
      </c>
      <c r="R1778">
        <f t="shared" si="194"/>
        <v>1353</v>
      </c>
      <c r="S1778" t="s">
        <v>1526</v>
      </c>
      <c r="T1778">
        <f t="shared" si="195"/>
        <v>6765</v>
      </c>
      <c r="U1778">
        <f>YEAR(Sales_Table[[#This Row],[Date_clean]])</f>
        <v>2024</v>
      </c>
      <c r="V1778" t="str">
        <f>TEXT(Sales_Table[[#This Row],[Date_clean]],"mmmm")</f>
        <v>March</v>
      </c>
      <c r="W1778">
        <f>WEEKNUM(Sales_Table[[#This Row],[Date_clean]],2)</f>
        <v>11</v>
      </c>
      <c r="X1778" t="str" cm="1">
        <f t="array" ref="X1778">_xlfn.IFS(Sales_Table[[#This Row],[Revenue]]&gt;=50000,"High",Sales_Table[[#This Row],[Revenue]]&gt;=20000,"Medium",Sales_Table[[#This Row],[Revenue]]&lt;20000,"Low")</f>
        <v>Low</v>
      </c>
      <c r="Y1778" t="str">
        <f>IF(Sales_Table[[#This Row],[Payment Method_clean]]="cash","Offline","Online")</f>
        <v>Offline</v>
      </c>
      <c r="Z1778">
        <f>IFERROR(Sales_Table[[#This Row],[Revenue]],0)</f>
        <v>6765</v>
      </c>
    </row>
    <row r="1779" spans="1:26" x14ac:dyDescent="0.3">
      <c r="A1779">
        <v>1778</v>
      </c>
      <c r="B1779" s="2">
        <f t="shared" si="189"/>
        <v>45366.041666666664</v>
      </c>
      <c r="C1779" t="s">
        <v>4033</v>
      </c>
      <c r="D1779" t="s">
        <v>27</v>
      </c>
      <c r="E1779" t="str">
        <f>PROPER(TRIM(CLEAN(Sales_Table[[#This Row],[Region]])))</f>
        <v>East</v>
      </c>
      <c r="F1779" t="s">
        <v>28</v>
      </c>
      <c r="G1779" t="str">
        <f t="shared" si="190"/>
        <v>Clothing</v>
      </c>
      <c r="H1779" t="str">
        <f>PROPER(TRIM(CLEAN(Sales_Table[[#This Row],[Product Name]])))</f>
        <v>Washing Machine</v>
      </c>
      <c r="I1779" t="s">
        <v>79</v>
      </c>
      <c r="J1779" t="str">
        <f t="shared" si="191"/>
        <v>CUST0489</v>
      </c>
      <c r="K1779" t="s">
        <v>3550</v>
      </c>
      <c r="L1779" t="str">
        <f>PROPER(TRIM(CLEAN(Sales_Table[[#This Row],[Salesperson]])))</f>
        <v>Meena</v>
      </c>
      <c r="M1779" t="s">
        <v>40</v>
      </c>
      <c r="N1779" t="str">
        <f t="shared" si="192"/>
        <v>Credit Card</v>
      </c>
      <c r="O1779" t="s">
        <v>65</v>
      </c>
      <c r="P1779">
        <f t="shared" si="193"/>
        <v>9</v>
      </c>
      <c r="Q1779" t="s">
        <v>130</v>
      </c>
      <c r="R1779">
        <f t="shared" si="194"/>
        <v>1182</v>
      </c>
      <c r="S1779" t="s">
        <v>4034</v>
      </c>
      <c r="T1779">
        <f t="shared" si="195"/>
        <v>10638</v>
      </c>
      <c r="U1779">
        <f>YEAR(Sales_Table[[#This Row],[Date_clean]])</f>
        <v>2024</v>
      </c>
      <c r="V1779" t="str">
        <f>TEXT(Sales_Table[[#This Row],[Date_clean]],"mmmm")</f>
        <v>March</v>
      </c>
      <c r="W1779">
        <f>WEEKNUM(Sales_Table[[#This Row],[Date_clean]],2)</f>
        <v>11</v>
      </c>
      <c r="X1779" t="str" cm="1">
        <f t="array" ref="X1779">_xlfn.IFS(Sales_Table[[#This Row],[Revenue]]&gt;=50000,"High",Sales_Table[[#This Row],[Revenue]]&gt;=20000,"Medium",Sales_Table[[#This Row],[Revenue]]&lt;20000,"Low")</f>
        <v>Low</v>
      </c>
      <c r="Y1779" t="str">
        <f>IF(Sales_Table[[#This Row],[Payment Method_clean]]="cash","Offline","Online")</f>
        <v>Online</v>
      </c>
      <c r="Z1779">
        <f>IFERROR(Sales_Table[[#This Row],[Revenue]],0)</f>
        <v>10638</v>
      </c>
    </row>
    <row r="1780" spans="1:26" x14ac:dyDescent="0.3">
      <c r="A1780">
        <v>1779</v>
      </c>
      <c r="B1780" s="2">
        <f t="shared" si="189"/>
        <v>45366.083333333336</v>
      </c>
      <c r="C1780" t="s">
        <v>4035</v>
      </c>
      <c r="D1780" t="s">
        <v>36</v>
      </c>
      <c r="E1780" t="str">
        <f>PROPER(TRIM(CLEAN(Sales_Table[[#This Row],[Region]])))</f>
        <v>West</v>
      </c>
      <c r="F1780" t="s">
        <v>78</v>
      </c>
      <c r="G1780" t="str">
        <f t="shared" si="190"/>
        <v>Grocery</v>
      </c>
      <c r="H1780" t="str">
        <f>PROPER(TRIM(CLEAN(Sales_Table[[#This Row],[Product Name]])))</f>
        <v>Men T-Shirt</v>
      </c>
      <c r="I1780" t="s">
        <v>38</v>
      </c>
      <c r="J1780" t="str">
        <f t="shared" si="191"/>
        <v>CUST0065</v>
      </c>
      <c r="K1780" t="s">
        <v>1086</v>
      </c>
      <c r="L1780" t="str">
        <f>PROPER(TRIM(CLEAN(Sales_Table[[#This Row],[Salesperson]])))</f>
        <v>Karthik</v>
      </c>
      <c r="M1780" t="s">
        <v>70</v>
      </c>
      <c r="N1780" t="str">
        <f t="shared" si="192"/>
        <v>Net Banking</v>
      </c>
      <c r="O1780" t="s">
        <v>60</v>
      </c>
      <c r="P1780">
        <f t="shared" si="193"/>
        <v>8</v>
      </c>
      <c r="Q1780" t="s">
        <v>42</v>
      </c>
      <c r="R1780">
        <f t="shared" si="194"/>
        <v>2243</v>
      </c>
      <c r="S1780" t="s">
        <v>4036</v>
      </c>
      <c r="T1780">
        <f t="shared" si="195"/>
        <v>17944</v>
      </c>
      <c r="U1780">
        <f>YEAR(Sales_Table[[#This Row],[Date_clean]])</f>
        <v>2024</v>
      </c>
      <c r="V1780" t="str">
        <f>TEXT(Sales_Table[[#This Row],[Date_clean]],"mmmm")</f>
        <v>March</v>
      </c>
      <c r="W1780">
        <f>WEEKNUM(Sales_Table[[#This Row],[Date_clean]],2)</f>
        <v>11</v>
      </c>
      <c r="X1780" t="str" cm="1">
        <f t="array" ref="X1780">_xlfn.IFS(Sales_Table[[#This Row],[Revenue]]&gt;=50000,"High",Sales_Table[[#This Row],[Revenue]]&gt;=20000,"Medium",Sales_Table[[#This Row],[Revenue]]&lt;20000,"Low")</f>
        <v>Low</v>
      </c>
      <c r="Y1780" t="str">
        <f>IF(Sales_Table[[#This Row],[Payment Method_clean]]="cash","Offline","Online")</f>
        <v>Online</v>
      </c>
      <c r="Z1780">
        <f>IFERROR(Sales_Table[[#This Row],[Revenue]],0)</f>
        <v>17944</v>
      </c>
    </row>
    <row r="1781" spans="1:26" x14ac:dyDescent="0.3">
      <c r="A1781">
        <v>1780</v>
      </c>
      <c r="B1781" s="2">
        <f t="shared" si="189"/>
        <v>45366.125</v>
      </c>
      <c r="C1781" t="s">
        <v>4037</v>
      </c>
      <c r="D1781" t="s">
        <v>36</v>
      </c>
      <c r="E1781" t="str">
        <f>PROPER(TRIM(CLEAN(Sales_Table[[#This Row],[Region]])))</f>
        <v>West</v>
      </c>
      <c r="F1781" t="s">
        <v>37</v>
      </c>
      <c r="G1781" t="str">
        <f t="shared" si="190"/>
        <v>Home Appliances</v>
      </c>
      <c r="H1781" t="str">
        <f>PROPER(TRIM(CLEAN(Sales_Table[[#This Row],[Product Name]])))</f>
        <v>Laptop</v>
      </c>
      <c r="I1781" t="s">
        <v>52</v>
      </c>
      <c r="J1781" t="str">
        <f t="shared" si="191"/>
        <v>CUST0646</v>
      </c>
      <c r="K1781" t="s">
        <v>4038</v>
      </c>
      <c r="L1781" t="str">
        <f>PROPER(TRIM(CLEAN(Sales_Table[[#This Row],[Salesperson]])))</f>
        <v>Anita</v>
      </c>
      <c r="M1781" t="s">
        <v>64</v>
      </c>
      <c r="N1781" t="str">
        <f t="shared" si="192"/>
        <v>Cash</v>
      </c>
      <c r="O1781" t="s">
        <v>32</v>
      </c>
      <c r="P1781">
        <f t="shared" si="193"/>
        <v>2</v>
      </c>
      <c r="Q1781" t="s">
        <v>196</v>
      </c>
      <c r="R1781">
        <f t="shared" si="194"/>
        <v>1385</v>
      </c>
      <c r="S1781" t="s">
        <v>4039</v>
      </c>
      <c r="T1781">
        <f t="shared" si="195"/>
        <v>2770</v>
      </c>
      <c r="U1781">
        <f>YEAR(Sales_Table[[#This Row],[Date_clean]])</f>
        <v>2024</v>
      </c>
      <c r="V1781" t="str">
        <f>TEXT(Sales_Table[[#This Row],[Date_clean]],"mmmm")</f>
        <v>March</v>
      </c>
      <c r="W1781">
        <f>WEEKNUM(Sales_Table[[#This Row],[Date_clean]],2)</f>
        <v>11</v>
      </c>
      <c r="X1781" t="str" cm="1">
        <f t="array" ref="X1781">_xlfn.IFS(Sales_Table[[#This Row],[Revenue]]&gt;=50000,"High",Sales_Table[[#This Row],[Revenue]]&gt;=20000,"Medium",Sales_Table[[#This Row],[Revenue]]&lt;20000,"Low")</f>
        <v>Low</v>
      </c>
      <c r="Y1781" t="str">
        <f>IF(Sales_Table[[#This Row],[Payment Method_clean]]="cash","Offline","Online")</f>
        <v>Offline</v>
      </c>
      <c r="Z1781">
        <f>IFERROR(Sales_Table[[#This Row],[Revenue]],0)</f>
        <v>2770</v>
      </c>
    </row>
    <row r="1782" spans="1:26" x14ac:dyDescent="0.3">
      <c r="A1782">
        <v>1781</v>
      </c>
      <c r="B1782" s="2">
        <f t="shared" si="189"/>
        <v>45366.166666666664</v>
      </c>
      <c r="C1782" t="s">
        <v>4040</v>
      </c>
      <c r="D1782" t="s">
        <v>84</v>
      </c>
      <c r="E1782" t="str">
        <f>PROPER(TRIM(CLEAN(Sales_Table[[#This Row],[Region]])))</f>
        <v>South</v>
      </c>
      <c r="F1782" t="s">
        <v>37</v>
      </c>
      <c r="G1782" t="str">
        <f t="shared" si="190"/>
        <v>Home Appliances</v>
      </c>
      <c r="H1782" t="str">
        <f>PROPER(TRIM(CLEAN(Sales_Table[[#This Row],[Product Name]])))</f>
        <v>Mixer Grinder</v>
      </c>
      <c r="I1782" t="s">
        <v>29</v>
      </c>
      <c r="J1782" t="str">
        <f t="shared" si="191"/>
        <v>CUST0663</v>
      </c>
      <c r="K1782" t="s">
        <v>1890</v>
      </c>
      <c r="L1782" t="str">
        <f>PROPER(TRIM(CLEAN(Sales_Table[[#This Row],[Salesperson]])))</f>
        <v>Rahul</v>
      </c>
      <c r="M1782" t="s">
        <v>31</v>
      </c>
      <c r="N1782" t="str">
        <f t="shared" si="192"/>
        <v>Cash</v>
      </c>
      <c r="O1782" t="s">
        <v>32</v>
      </c>
      <c r="P1782">
        <f t="shared" si="193"/>
        <v>12</v>
      </c>
      <c r="Q1782" t="s">
        <v>33</v>
      </c>
      <c r="R1782">
        <f t="shared" si="194"/>
        <v>453</v>
      </c>
      <c r="S1782" t="s">
        <v>4041</v>
      </c>
      <c r="T1782">
        <f t="shared" si="195"/>
        <v>5436</v>
      </c>
      <c r="U1782">
        <f>YEAR(Sales_Table[[#This Row],[Date_clean]])</f>
        <v>2024</v>
      </c>
      <c r="V1782" t="str">
        <f>TEXT(Sales_Table[[#This Row],[Date_clean]],"mmmm")</f>
        <v>March</v>
      </c>
      <c r="W1782">
        <f>WEEKNUM(Sales_Table[[#This Row],[Date_clean]],2)</f>
        <v>11</v>
      </c>
      <c r="X1782" t="str" cm="1">
        <f t="array" ref="X1782">_xlfn.IFS(Sales_Table[[#This Row],[Revenue]]&gt;=50000,"High",Sales_Table[[#This Row],[Revenue]]&gt;=20000,"Medium",Sales_Table[[#This Row],[Revenue]]&lt;20000,"Low")</f>
        <v>Low</v>
      </c>
      <c r="Y1782" t="str">
        <f>IF(Sales_Table[[#This Row],[Payment Method_clean]]="cash","Offline","Online")</f>
        <v>Offline</v>
      </c>
      <c r="Z1782">
        <f>IFERROR(Sales_Table[[#This Row],[Revenue]],0)</f>
        <v>5436</v>
      </c>
    </row>
    <row r="1783" spans="1:26" x14ac:dyDescent="0.3">
      <c r="A1783">
        <v>1782</v>
      </c>
      <c r="B1783" s="2">
        <f t="shared" si="189"/>
        <v>45366.208333333336</v>
      </c>
      <c r="C1783" t="s">
        <v>4042</v>
      </c>
      <c r="D1783" t="s">
        <v>36</v>
      </c>
      <c r="E1783" t="str">
        <f>PROPER(TRIM(CLEAN(Sales_Table[[#This Row],[Region]])))</f>
        <v>West</v>
      </c>
      <c r="F1783" t="s">
        <v>28</v>
      </c>
      <c r="G1783" t="str">
        <f t="shared" si="190"/>
        <v>Clothing</v>
      </c>
      <c r="H1783" t="str">
        <f>PROPER(TRIM(CLEAN(Sales_Table[[#This Row],[Product Name]])))</f>
        <v>Mixer Grinder</v>
      </c>
      <c r="I1783" t="s">
        <v>29</v>
      </c>
      <c r="J1783" t="str">
        <f t="shared" si="191"/>
        <v>CUST0627</v>
      </c>
      <c r="K1783" t="s">
        <v>3247</v>
      </c>
      <c r="L1783" t="str">
        <f>PROPER(TRIM(CLEAN(Sales_Table[[#This Row],[Salesperson]])))</f>
        <v>Meena</v>
      </c>
      <c r="M1783" t="s">
        <v>40</v>
      </c>
      <c r="N1783" t="str">
        <f t="shared" si="192"/>
        <v>Debit Card</v>
      </c>
      <c r="O1783" t="s">
        <v>41</v>
      </c>
      <c r="P1783">
        <f t="shared" si="193"/>
        <v>13</v>
      </c>
      <c r="Q1783" t="s">
        <v>81</v>
      </c>
      <c r="R1783">
        <f t="shared" si="194"/>
        <v>1985</v>
      </c>
      <c r="S1783" t="s">
        <v>403</v>
      </c>
      <c r="T1783">
        <f t="shared" si="195"/>
        <v>25805</v>
      </c>
      <c r="U1783">
        <f>YEAR(Sales_Table[[#This Row],[Date_clean]])</f>
        <v>2024</v>
      </c>
      <c r="V1783" t="str">
        <f>TEXT(Sales_Table[[#This Row],[Date_clean]],"mmmm")</f>
        <v>March</v>
      </c>
      <c r="W1783">
        <f>WEEKNUM(Sales_Table[[#This Row],[Date_clean]],2)</f>
        <v>11</v>
      </c>
      <c r="X1783" t="str" cm="1">
        <f t="array" ref="X1783">_xlfn.IFS(Sales_Table[[#This Row],[Revenue]]&gt;=50000,"High",Sales_Table[[#This Row],[Revenue]]&gt;=20000,"Medium",Sales_Table[[#This Row],[Revenue]]&lt;20000,"Low")</f>
        <v>Medium</v>
      </c>
      <c r="Y1783" t="str">
        <f>IF(Sales_Table[[#This Row],[Payment Method_clean]]="cash","Offline","Online")</f>
        <v>Online</v>
      </c>
      <c r="Z1783">
        <f>IFERROR(Sales_Table[[#This Row],[Revenue]],0)</f>
        <v>25805</v>
      </c>
    </row>
    <row r="1784" spans="1:26" x14ac:dyDescent="0.3">
      <c r="A1784">
        <v>1783</v>
      </c>
      <c r="B1784" s="2">
        <f t="shared" si="189"/>
        <v>45366.25</v>
      </c>
      <c r="C1784" t="s">
        <v>4043</v>
      </c>
      <c r="D1784" t="s">
        <v>36</v>
      </c>
      <c r="E1784" t="str">
        <f>PROPER(TRIM(CLEAN(Sales_Table[[#This Row],[Region]])))</f>
        <v>West</v>
      </c>
      <c r="F1784" t="s">
        <v>37</v>
      </c>
      <c r="G1784" t="str">
        <f t="shared" si="190"/>
        <v>Home Appliances</v>
      </c>
      <c r="H1784" t="str">
        <f>PROPER(TRIM(CLEAN(Sales_Table[[#This Row],[Product Name]])))</f>
        <v>Rice 5Kg</v>
      </c>
      <c r="I1784" t="s">
        <v>73</v>
      </c>
      <c r="J1784" t="str">
        <f t="shared" si="191"/>
        <v>CUST0064</v>
      </c>
      <c r="K1784" t="s">
        <v>707</v>
      </c>
      <c r="L1784" t="str">
        <f>PROPER(TRIM(CLEAN(Sales_Table[[#This Row],[Salesperson]])))</f>
        <v>Meena</v>
      </c>
      <c r="M1784" t="s">
        <v>40</v>
      </c>
      <c r="N1784" t="str">
        <f t="shared" si="192"/>
        <v>Net Banking</v>
      </c>
      <c r="O1784" t="s">
        <v>60</v>
      </c>
      <c r="P1784">
        <f t="shared" si="193"/>
        <v>7</v>
      </c>
      <c r="Q1784" t="s">
        <v>49</v>
      </c>
      <c r="R1784">
        <f t="shared" si="194"/>
        <v>1918</v>
      </c>
      <c r="S1784" t="s">
        <v>4044</v>
      </c>
      <c r="T1784">
        <f t="shared" si="195"/>
        <v>13426</v>
      </c>
      <c r="U1784">
        <f>YEAR(Sales_Table[[#This Row],[Date_clean]])</f>
        <v>2024</v>
      </c>
      <c r="V1784" t="str">
        <f>TEXT(Sales_Table[[#This Row],[Date_clean]],"mmmm")</f>
        <v>March</v>
      </c>
      <c r="W1784">
        <f>WEEKNUM(Sales_Table[[#This Row],[Date_clean]],2)</f>
        <v>11</v>
      </c>
      <c r="X1784" t="str" cm="1">
        <f t="array" ref="X1784">_xlfn.IFS(Sales_Table[[#This Row],[Revenue]]&gt;=50000,"High",Sales_Table[[#This Row],[Revenue]]&gt;=20000,"Medium",Sales_Table[[#This Row],[Revenue]]&lt;20000,"Low")</f>
        <v>Low</v>
      </c>
      <c r="Y1784" t="str">
        <f>IF(Sales_Table[[#This Row],[Payment Method_clean]]="cash","Offline","Online")</f>
        <v>Online</v>
      </c>
      <c r="Z1784">
        <f>IFERROR(Sales_Table[[#This Row],[Revenue]],0)</f>
        <v>13426</v>
      </c>
    </row>
    <row r="1785" spans="1:26" x14ac:dyDescent="0.3">
      <c r="A1785">
        <v>1784</v>
      </c>
      <c r="B1785" s="2">
        <f t="shared" si="189"/>
        <v>45366.291666666664</v>
      </c>
      <c r="C1785" t="s">
        <v>4045</v>
      </c>
      <c r="D1785" t="s">
        <v>84</v>
      </c>
      <c r="E1785" t="str">
        <f>PROPER(TRIM(CLEAN(Sales_Table[[#This Row],[Region]])))</f>
        <v>South</v>
      </c>
      <c r="F1785" t="s">
        <v>37</v>
      </c>
      <c r="G1785" t="str">
        <f t="shared" si="190"/>
        <v>Home Appliances</v>
      </c>
      <c r="H1785" t="str">
        <f>PROPER(TRIM(CLEAN(Sales_Table[[#This Row],[Product Name]])))</f>
        <v>Men T-Shirt</v>
      </c>
      <c r="I1785" t="s">
        <v>38</v>
      </c>
      <c r="J1785" t="str">
        <f t="shared" si="191"/>
        <v>CUST0343</v>
      </c>
      <c r="K1785" t="s">
        <v>692</v>
      </c>
      <c r="L1785" t="str">
        <f>PROPER(TRIM(CLEAN(Sales_Table[[#This Row],[Salesperson]])))</f>
        <v>Rahul</v>
      </c>
      <c r="M1785" t="s">
        <v>31</v>
      </c>
      <c r="N1785" t="str">
        <f t="shared" si="192"/>
        <v>Cash</v>
      </c>
      <c r="O1785" t="s">
        <v>32</v>
      </c>
      <c r="P1785">
        <f t="shared" si="193"/>
        <v>7</v>
      </c>
      <c r="Q1785" t="s">
        <v>49</v>
      </c>
      <c r="R1785">
        <f t="shared" si="194"/>
        <v>2620</v>
      </c>
      <c r="S1785" t="s">
        <v>4046</v>
      </c>
      <c r="T1785">
        <f t="shared" si="195"/>
        <v>18340</v>
      </c>
      <c r="U1785">
        <f>YEAR(Sales_Table[[#This Row],[Date_clean]])</f>
        <v>2024</v>
      </c>
      <c r="V1785" t="str">
        <f>TEXT(Sales_Table[[#This Row],[Date_clean]],"mmmm")</f>
        <v>March</v>
      </c>
      <c r="W1785">
        <f>WEEKNUM(Sales_Table[[#This Row],[Date_clean]],2)</f>
        <v>11</v>
      </c>
      <c r="X1785" t="str" cm="1">
        <f t="array" ref="X1785">_xlfn.IFS(Sales_Table[[#This Row],[Revenue]]&gt;=50000,"High",Sales_Table[[#This Row],[Revenue]]&gt;=20000,"Medium",Sales_Table[[#This Row],[Revenue]]&lt;20000,"Low")</f>
        <v>Low</v>
      </c>
      <c r="Y1785" t="str">
        <f>IF(Sales_Table[[#This Row],[Payment Method_clean]]="cash","Offline","Online")</f>
        <v>Offline</v>
      </c>
      <c r="Z1785">
        <f>IFERROR(Sales_Table[[#This Row],[Revenue]],0)</f>
        <v>18340</v>
      </c>
    </row>
    <row r="1786" spans="1:26" x14ac:dyDescent="0.3">
      <c r="A1786">
        <v>1785</v>
      </c>
      <c r="B1786" s="2">
        <f t="shared" si="189"/>
        <v>45366.333333333336</v>
      </c>
      <c r="C1786" t="s">
        <v>4047</v>
      </c>
      <c r="D1786" t="s">
        <v>27</v>
      </c>
      <c r="E1786" t="str">
        <f>PROPER(TRIM(CLEAN(Sales_Table[[#This Row],[Region]])))</f>
        <v>East</v>
      </c>
      <c r="F1786" t="s">
        <v>46</v>
      </c>
      <c r="G1786" t="str">
        <f t="shared" si="190"/>
        <v>Electronics</v>
      </c>
      <c r="H1786" t="str">
        <f>PROPER(TRIM(CLEAN(Sales_Table[[#This Row],[Product Name]])))</f>
        <v>Laptop</v>
      </c>
      <c r="I1786" t="s">
        <v>52</v>
      </c>
      <c r="J1786" t="str">
        <f t="shared" si="191"/>
        <v>CUST0352</v>
      </c>
      <c r="K1786" t="s">
        <v>4048</v>
      </c>
      <c r="L1786" t="str">
        <f>PROPER(TRIM(CLEAN(Sales_Table[[#This Row],[Salesperson]])))</f>
        <v>Meena</v>
      </c>
      <c r="M1786" t="s">
        <v>40</v>
      </c>
      <c r="N1786" t="str">
        <f t="shared" si="192"/>
        <v>Debit Card</v>
      </c>
      <c r="O1786" t="s">
        <v>41</v>
      </c>
      <c r="P1786">
        <f t="shared" si="193"/>
        <v>11</v>
      </c>
      <c r="Q1786" t="s">
        <v>97</v>
      </c>
      <c r="R1786">
        <f t="shared" si="194"/>
        <v>4108</v>
      </c>
      <c r="S1786" t="s">
        <v>860</v>
      </c>
      <c r="T1786">
        <f t="shared" si="195"/>
        <v>45188</v>
      </c>
      <c r="U1786">
        <f>YEAR(Sales_Table[[#This Row],[Date_clean]])</f>
        <v>2024</v>
      </c>
      <c r="V1786" t="str">
        <f>TEXT(Sales_Table[[#This Row],[Date_clean]],"mmmm")</f>
        <v>March</v>
      </c>
      <c r="W1786">
        <f>WEEKNUM(Sales_Table[[#This Row],[Date_clean]],2)</f>
        <v>11</v>
      </c>
      <c r="X1786" t="str" cm="1">
        <f t="array" ref="X1786">_xlfn.IFS(Sales_Table[[#This Row],[Revenue]]&gt;=50000,"High",Sales_Table[[#This Row],[Revenue]]&gt;=20000,"Medium",Sales_Table[[#This Row],[Revenue]]&lt;20000,"Low")</f>
        <v>Medium</v>
      </c>
      <c r="Y1786" t="str">
        <f>IF(Sales_Table[[#This Row],[Payment Method_clean]]="cash","Offline","Online")</f>
        <v>Online</v>
      </c>
      <c r="Z1786">
        <f>IFERROR(Sales_Table[[#This Row],[Revenue]],0)</f>
        <v>45188</v>
      </c>
    </row>
    <row r="1787" spans="1:26" x14ac:dyDescent="0.3">
      <c r="A1787">
        <v>1786</v>
      </c>
      <c r="B1787" s="2">
        <f t="shared" si="189"/>
        <v>45366.375</v>
      </c>
      <c r="C1787" t="s">
        <v>4049</v>
      </c>
      <c r="D1787" t="s">
        <v>36</v>
      </c>
      <c r="E1787" t="str">
        <f>PROPER(TRIM(CLEAN(Sales_Table[[#This Row],[Region]])))</f>
        <v>West</v>
      </c>
      <c r="F1787" t="s">
        <v>46</v>
      </c>
      <c r="G1787" t="str">
        <f t="shared" si="190"/>
        <v>Electronics</v>
      </c>
      <c r="H1787" t="str">
        <f>PROPER(TRIM(CLEAN(Sales_Table[[#This Row],[Product Name]])))</f>
        <v>Laptop</v>
      </c>
      <c r="I1787" t="s">
        <v>52</v>
      </c>
      <c r="J1787" t="str">
        <f t="shared" si="191"/>
        <v>CUST0158</v>
      </c>
      <c r="K1787" t="s">
        <v>4050</v>
      </c>
      <c r="L1787" t="str">
        <f>PROPER(TRIM(CLEAN(Sales_Table[[#This Row],[Salesperson]])))</f>
        <v>Meena</v>
      </c>
      <c r="M1787" t="s">
        <v>40</v>
      </c>
      <c r="N1787" t="str">
        <f t="shared" si="192"/>
        <v>Upi</v>
      </c>
      <c r="O1787" t="s">
        <v>48</v>
      </c>
      <c r="P1787">
        <f t="shared" si="193"/>
        <v>14</v>
      </c>
      <c r="Q1787" t="s">
        <v>55</v>
      </c>
      <c r="R1787">
        <f t="shared" si="194"/>
        <v>3122</v>
      </c>
      <c r="S1787" t="s">
        <v>4051</v>
      </c>
      <c r="T1787">
        <f t="shared" si="195"/>
        <v>43708</v>
      </c>
      <c r="U1787">
        <f>YEAR(Sales_Table[[#This Row],[Date_clean]])</f>
        <v>2024</v>
      </c>
      <c r="V1787" t="str">
        <f>TEXT(Sales_Table[[#This Row],[Date_clean]],"mmmm")</f>
        <v>March</v>
      </c>
      <c r="W1787">
        <f>WEEKNUM(Sales_Table[[#This Row],[Date_clean]],2)</f>
        <v>11</v>
      </c>
      <c r="X1787" t="str" cm="1">
        <f t="array" ref="X1787">_xlfn.IFS(Sales_Table[[#This Row],[Revenue]]&gt;=50000,"High",Sales_Table[[#This Row],[Revenue]]&gt;=20000,"Medium",Sales_Table[[#This Row],[Revenue]]&lt;20000,"Low")</f>
        <v>Medium</v>
      </c>
      <c r="Y1787" t="str">
        <f>IF(Sales_Table[[#This Row],[Payment Method_clean]]="cash","Offline","Online")</f>
        <v>Online</v>
      </c>
      <c r="Z1787">
        <f>IFERROR(Sales_Table[[#This Row],[Revenue]],0)</f>
        <v>43708</v>
      </c>
    </row>
    <row r="1788" spans="1:26" x14ac:dyDescent="0.3">
      <c r="A1788">
        <v>1787</v>
      </c>
      <c r="B1788" s="2">
        <f t="shared" si="189"/>
        <v>45366.416666666664</v>
      </c>
      <c r="C1788" t="s">
        <v>4052</v>
      </c>
      <c r="D1788" t="s">
        <v>36</v>
      </c>
      <c r="E1788" t="str">
        <f>PROPER(TRIM(CLEAN(Sales_Table[[#This Row],[Region]])))</f>
        <v>West</v>
      </c>
      <c r="F1788" t="s">
        <v>28</v>
      </c>
      <c r="G1788" t="str">
        <f t="shared" si="190"/>
        <v>Clothing</v>
      </c>
      <c r="H1788" t="str">
        <f>PROPER(TRIM(CLEAN(Sales_Table[[#This Row],[Product Name]])))</f>
        <v>Led Tv 42Inch</v>
      </c>
      <c r="I1788" t="s">
        <v>58</v>
      </c>
      <c r="J1788" t="str">
        <f t="shared" si="191"/>
        <v>CUST0589</v>
      </c>
      <c r="K1788" t="s">
        <v>1214</v>
      </c>
      <c r="L1788" t="str">
        <f>PROPER(TRIM(CLEAN(Sales_Table[[#This Row],[Salesperson]])))</f>
        <v>Karthik</v>
      </c>
      <c r="M1788" t="s">
        <v>70</v>
      </c>
      <c r="N1788" t="str">
        <f t="shared" si="192"/>
        <v>Net Banking</v>
      </c>
      <c r="O1788" t="s">
        <v>60</v>
      </c>
      <c r="P1788">
        <f t="shared" si="193"/>
        <v>14</v>
      </c>
      <c r="Q1788" t="s">
        <v>55</v>
      </c>
      <c r="R1788">
        <f t="shared" si="194"/>
        <v>2684</v>
      </c>
      <c r="S1788" t="s">
        <v>4053</v>
      </c>
      <c r="T1788">
        <f t="shared" si="195"/>
        <v>37576</v>
      </c>
      <c r="U1788">
        <f>YEAR(Sales_Table[[#This Row],[Date_clean]])</f>
        <v>2024</v>
      </c>
      <c r="V1788" t="str">
        <f>TEXT(Sales_Table[[#This Row],[Date_clean]],"mmmm")</f>
        <v>March</v>
      </c>
      <c r="W1788">
        <f>WEEKNUM(Sales_Table[[#This Row],[Date_clean]],2)</f>
        <v>11</v>
      </c>
      <c r="X1788" t="str" cm="1">
        <f t="array" ref="X1788">_xlfn.IFS(Sales_Table[[#This Row],[Revenue]]&gt;=50000,"High",Sales_Table[[#This Row],[Revenue]]&gt;=20000,"Medium",Sales_Table[[#This Row],[Revenue]]&lt;20000,"Low")</f>
        <v>Medium</v>
      </c>
      <c r="Y1788" t="str">
        <f>IF(Sales_Table[[#This Row],[Payment Method_clean]]="cash","Offline","Online")</f>
        <v>Online</v>
      </c>
      <c r="Z1788">
        <f>IFERROR(Sales_Table[[#This Row],[Revenue]],0)</f>
        <v>37576</v>
      </c>
    </row>
    <row r="1789" spans="1:26" x14ac:dyDescent="0.3">
      <c r="A1789">
        <v>1788</v>
      </c>
      <c r="B1789" s="2">
        <f t="shared" si="189"/>
        <v>45366.458333333336</v>
      </c>
      <c r="C1789" t="s">
        <v>4054</v>
      </c>
      <c r="D1789" t="s">
        <v>36</v>
      </c>
      <c r="E1789" t="str">
        <f>PROPER(TRIM(CLEAN(Sales_Table[[#This Row],[Region]])))</f>
        <v>West</v>
      </c>
      <c r="F1789" t="s">
        <v>78</v>
      </c>
      <c r="G1789" t="str">
        <f t="shared" si="190"/>
        <v>Grocery</v>
      </c>
      <c r="H1789" t="str">
        <f>PROPER(TRIM(CLEAN(Sales_Table[[#This Row],[Product Name]])))</f>
        <v>Rice 5Kg</v>
      </c>
      <c r="I1789" t="s">
        <v>73</v>
      </c>
      <c r="J1789" t="str">
        <f t="shared" si="191"/>
        <v>CUST0491</v>
      </c>
      <c r="K1789" t="s">
        <v>2157</v>
      </c>
      <c r="L1789" t="str">
        <f>PROPER(TRIM(CLEAN(Sales_Table[[#This Row],[Salesperson]])))</f>
        <v>Karthik</v>
      </c>
      <c r="M1789" t="s">
        <v>70</v>
      </c>
      <c r="N1789" t="str">
        <f t="shared" si="192"/>
        <v>Upi</v>
      </c>
      <c r="O1789" t="s">
        <v>48</v>
      </c>
      <c r="P1789">
        <f t="shared" si="193"/>
        <v>12</v>
      </c>
      <c r="Q1789" t="s">
        <v>33</v>
      </c>
      <c r="R1789">
        <f t="shared" si="194"/>
        <v>1647</v>
      </c>
      <c r="S1789" t="s">
        <v>4055</v>
      </c>
      <c r="T1789">
        <f t="shared" si="195"/>
        <v>19764</v>
      </c>
      <c r="U1789">
        <f>YEAR(Sales_Table[[#This Row],[Date_clean]])</f>
        <v>2024</v>
      </c>
      <c r="V1789" t="str">
        <f>TEXT(Sales_Table[[#This Row],[Date_clean]],"mmmm")</f>
        <v>March</v>
      </c>
      <c r="W1789">
        <f>WEEKNUM(Sales_Table[[#This Row],[Date_clean]],2)</f>
        <v>11</v>
      </c>
      <c r="X1789" t="str" cm="1">
        <f t="array" ref="X1789">_xlfn.IFS(Sales_Table[[#This Row],[Revenue]]&gt;=50000,"High",Sales_Table[[#This Row],[Revenue]]&gt;=20000,"Medium",Sales_Table[[#This Row],[Revenue]]&lt;20000,"Low")</f>
        <v>Low</v>
      </c>
      <c r="Y1789" t="str">
        <f>IF(Sales_Table[[#This Row],[Payment Method_clean]]="cash","Offline","Online")</f>
        <v>Online</v>
      </c>
      <c r="Z1789">
        <f>IFERROR(Sales_Table[[#This Row],[Revenue]],0)</f>
        <v>19764</v>
      </c>
    </row>
    <row r="1790" spans="1:26" x14ac:dyDescent="0.3">
      <c r="A1790">
        <v>1789</v>
      </c>
      <c r="B1790" s="2">
        <f t="shared" si="189"/>
        <v>45366.5</v>
      </c>
      <c r="C1790" t="s">
        <v>4056</v>
      </c>
      <c r="D1790" t="s">
        <v>45</v>
      </c>
      <c r="E1790" t="str">
        <f>PROPER(TRIM(CLEAN(Sales_Table[[#This Row],[Region]])))</f>
        <v>North</v>
      </c>
      <c r="F1790" t="s">
        <v>46</v>
      </c>
      <c r="G1790" t="str">
        <f t="shared" si="190"/>
        <v>Electronics</v>
      </c>
      <c r="H1790" t="str">
        <f>PROPER(TRIM(CLEAN(Sales_Table[[#This Row],[Product Name]])))</f>
        <v>Rice 5Kg</v>
      </c>
      <c r="I1790" t="s">
        <v>73</v>
      </c>
      <c r="J1790" t="str">
        <f t="shared" si="191"/>
        <v>CUST0658</v>
      </c>
      <c r="K1790" t="s">
        <v>291</v>
      </c>
      <c r="L1790" t="str">
        <f>PROPER(TRIM(CLEAN(Sales_Table[[#This Row],[Salesperson]])))</f>
        <v>Rahul</v>
      </c>
      <c r="M1790" t="s">
        <v>31</v>
      </c>
      <c r="N1790" t="str">
        <f t="shared" si="192"/>
        <v>Cash</v>
      </c>
      <c r="O1790" t="s">
        <v>32</v>
      </c>
      <c r="P1790">
        <f t="shared" si="193"/>
        <v>1</v>
      </c>
      <c r="Q1790" t="s">
        <v>93</v>
      </c>
      <c r="R1790">
        <f t="shared" si="194"/>
        <v>4118</v>
      </c>
      <c r="S1790" t="s">
        <v>4057</v>
      </c>
      <c r="T1790">
        <f t="shared" si="195"/>
        <v>4118</v>
      </c>
      <c r="U1790">
        <f>YEAR(Sales_Table[[#This Row],[Date_clean]])</f>
        <v>2024</v>
      </c>
      <c r="V1790" t="str">
        <f>TEXT(Sales_Table[[#This Row],[Date_clean]],"mmmm")</f>
        <v>March</v>
      </c>
      <c r="W1790">
        <f>WEEKNUM(Sales_Table[[#This Row],[Date_clean]],2)</f>
        <v>11</v>
      </c>
      <c r="X1790" t="str" cm="1">
        <f t="array" ref="X1790">_xlfn.IFS(Sales_Table[[#This Row],[Revenue]]&gt;=50000,"High",Sales_Table[[#This Row],[Revenue]]&gt;=20000,"Medium",Sales_Table[[#This Row],[Revenue]]&lt;20000,"Low")</f>
        <v>Low</v>
      </c>
      <c r="Y1790" t="str">
        <f>IF(Sales_Table[[#This Row],[Payment Method_clean]]="cash","Offline","Online")</f>
        <v>Offline</v>
      </c>
      <c r="Z1790">
        <f>IFERROR(Sales_Table[[#This Row],[Revenue]],0)</f>
        <v>4118</v>
      </c>
    </row>
    <row r="1791" spans="1:26" x14ac:dyDescent="0.3">
      <c r="A1791">
        <v>1790</v>
      </c>
      <c r="B1791" s="2">
        <f t="shared" si="189"/>
        <v>45366.541666666664</v>
      </c>
      <c r="C1791" t="s">
        <v>4058</v>
      </c>
      <c r="D1791" t="s">
        <v>84</v>
      </c>
      <c r="E1791" t="str">
        <f>PROPER(TRIM(CLEAN(Sales_Table[[#This Row],[Region]])))</f>
        <v>South</v>
      </c>
      <c r="F1791" t="s">
        <v>78</v>
      </c>
      <c r="G1791" t="str">
        <f t="shared" si="190"/>
        <v>Grocery</v>
      </c>
      <c r="H1791" t="str">
        <f>PROPER(TRIM(CLEAN(Sales_Table[[#This Row],[Product Name]])))</f>
        <v>Laptop</v>
      </c>
      <c r="I1791" t="s">
        <v>52</v>
      </c>
      <c r="J1791" t="str">
        <f t="shared" si="191"/>
        <v>CUST0463</v>
      </c>
      <c r="K1791" t="s">
        <v>2209</v>
      </c>
      <c r="L1791" t="str">
        <f>PROPER(TRIM(CLEAN(Sales_Table[[#This Row],[Salesperson]])))</f>
        <v>Anita</v>
      </c>
      <c r="M1791" t="s">
        <v>64</v>
      </c>
      <c r="N1791" t="str">
        <f t="shared" si="192"/>
        <v>Net Banking</v>
      </c>
      <c r="O1791" t="s">
        <v>60</v>
      </c>
      <c r="P1791">
        <f t="shared" si="193"/>
        <v>1</v>
      </c>
      <c r="Q1791" t="s">
        <v>93</v>
      </c>
      <c r="R1791">
        <f t="shared" si="194"/>
        <v>4304</v>
      </c>
      <c r="S1791" t="s">
        <v>4059</v>
      </c>
      <c r="T1791">
        <f t="shared" si="195"/>
        <v>4304</v>
      </c>
      <c r="U1791">
        <f>YEAR(Sales_Table[[#This Row],[Date_clean]])</f>
        <v>2024</v>
      </c>
      <c r="V1791" t="str">
        <f>TEXT(Sales_Table[[#This Row],[Date_clean]],"mmmm")</f>
        <v>March</v>
      </c>
      <c r="W1791">
        <f>WEEKNUM(Sales_Table[[#This Row],[Date_clean]],2)</f>
        <v>11</v>
      </c>
      <c r="X1791" t="str" cm="1">
        <f t="array" ref="X1791">_xlfn.IFS(Sales_Table[[#This Row],[Revenue]]&gt;=50000,"High",Sales_Table[[#This Row],[Revenue]]&gt;=20000,"Medium",Sales_Table[[#This Row],[Revenue]]&lt;20000,"Low")</f>
        <v>Low</v>
      </c>
      <c r="Y1791" t="str">
        <f>IF(Sales_Table[[#This Row],[Payment Method_clean]]="cash","Offline","Online")</f>
        <v>Online</v>
      </c>
      <c r="Z1791">
        <f>IFERROR(Sales_Table[[#This Row],[Revenue]],0)</f>
        <v>4304</v>
      </c>
    </row>
    <row r="1792" spans="1:26" x14ac:dyDescent="0.3">
      <c r="A1792">
        <v>1791</v>
      </c>
      <c r="B1792" s="2">
        <f t="shared" si="189"/>
        <v>45366.583333333336</v>
      </c>
      <c r="C1792" t="s">
        <v>4060</v>
      </c>
      <c r="D1792" t="s">
        <v>45</v>
      </c>
      <c r="E1792" t="str">
        <f>PROPER(TRIM(CLEAN(Sales_Table[[#This Row],[Region]])))</f>
        <v>North</v>
      </c>
      <c r="F1792" t="s">
        <v>37</v>
      </c>
      <c r="G1792" t="str">
        <f t="shared" si="190"/>
        <v>Home Appliances</v>
      </c>
      <c r="H1792" t="str">
        <f>PROPER(TRIM(CLEAN(Sales_Table[[#This Row],[Product Name]])))</f>
        <v>Laptop</v>
      </c>
      <c r="I1792" t="s">
        <v>52</v>
      </c>
      <c r="J1792" t="str">
        <f t="shared" si="191"/>
        <v>CUST0225</v>
      </c>
      <c r="K1792" t="s">
        <v>2398</v>
      </c>
      <c r="L1792" t="str">
        <f>PROPER(TRIM(CLEAN(Sales_Table[[#This Row],[Salesperson]])))</f>
        <v>Meena</v>
      </c>
      <c r="M1792" t="s">
        <v>40</v>
      </c>
      <c r="N1792" t="str">
        <f t="shared" si="192"/>
        <v>Debit Card</v>
      </c>
      <c r="O1792" t="s">
        <v>41</v>
      </c>
      <c r="P1792">
        <f t="shared" si="193"/>
        <v>12</v>
      </c>
      <c r="Q1792" t="s">
        <v>33</v>
      </c>
      <c r="R1792">
        <f t="shared" si="194"/>
        <v>1468</v>
      </c>
      <c r="S1792" t="s">
        <v>4061</v>
      </c>
      <c r="T1792">
        <f t="shared" si="195"/>
        <v>17616</v>
      </c>
      <c r="U1792">
        <f>YEAR(Sales_Table[[#This Row],[Date_clean]])</f>
        <v>2024</v>
      </c>
      <c r="V1792" t="str">
        <f>TEXT(Sales_Table[[#This Row],[Date_clean]],"mmmm")</f>
        <v>March</v>
      </c>
      <c r="W1792">
        <f>WEEKNUM(Sales_Table[[#This Row],[Date_clean]],2)</f>
        <v>11</v>
      </c>
      <c r="X1792" t="str" cm="1">
        <f t="array" ref="X1792">_xlfn.IFS(Sales_Table[[#This Row],[Revenue]]&gt;=50000,"High",Sales_Table[[#This Row],[Revenue]]&gt;=20000,"Medium",Sales_Table[[#This Row],[Revenue]]&lt;20000,"Low")</f>
        <v>Low</v>
      </c>
      <c r="Y1792" t="str">
        <f>IF(Sales_Table[[#This Row],[Payment Method_clean]]="cash","Offline","Online")</f>
        <v>Online</v>
      </c>
      <c r="Z1792">
        <f>IFERROR(Sales_Table[[#This Row],[Revenue]],0)</f>
        <v>17616</v>
      </c>
    </row>
    <row r="1793" spans="1:26" x14ac:dyDescent="0.3">
      <c r="A1793">
        <v>1792</v>
      </c>
      <c r="B1793" s="2">
        <f t="shared" si="189"/>
        <v>45366.625</v>
      </c>
      <c r="C1793" t="s">
        <v>4062</v>
      </c>
      <c r="D1793" t="s">
        <v>84</v>
      </c>
      <c r="E1793" t="str">
        <f>PROPER(TRIM(CLEAN(Sales_Table[[#This Row],[Region]])))</f>
        <v>South</v>
      </c>
      <c r="F1793" t="s">
        <v>46</v>
      </c>
      <c r="G1793" t="str">
        <f t="shared" si="190"/>
        <v>Electronics</v>
      </c>
      <c r="H1793" t="str">
        <f>PROPER(TRIM(CLEAN(Sales_Table[[#This Row],[Product Name]])))</f>
        <v>Washing Machine</v>
      </c>
      <c r="I1793" t="s">
        <v>79</v>
      </c>
      <c r="J1793" t="str">
        <f t="shared" si="191"/>
        <v>CUST0313</v>
      </c>
      <c r="K1793" t="s">
        <v>2271</v>
      </c>
      <c r="L1793" t="str">
        <f>PROPER(TRIM(CLEAN(Sales_Table[[#This Row],[Salesperson]])))</f>
        <v>Anita</v>
      </c>
      <c r="M1793" t="s">
        <v>64</v>
      </c>
      <c r="N1793" t="str">
        <f t="shared" si="192"/>
        <v>Cash</v>
      </c>
      <c r="O1793" t="s">
        <v>32</v>
      </c>
      <c r="P1793">
        <f t="shared" si="193"/>
        <v>4</v>
      </c>
      <c r="Q1793" t="s">
        <v>113</v>
      </c>
      <c r="R1793">
        <f t="shared" si="194"/>
        <v>3437</v>
      </c>
      <c r="S1793" t="s">
        <v>4063</v>
      </c>
      <c r="T1793">
        <f t="shared" si="195"/>
        <v>13748</v>
      </c>
      <c r="U1793">
        <f>YEAR(Sales_Table[[#This Row],[Date_clean]])</f>
        <v>2024</v>
      </c>
      <c r="V1793" t="str">
        <f>TEXT(Sales_Table[[#This Row],[Date_clean]],"mmmm")</f>
        <v>March</v>
      </c>
      <c r="W1793">
        <f>WEEKNUM(Sales_Table[[#This Row],[Date_clean]],2)</f>
        <v>11</v>
      </c>
      <c r="X1793" t="str" cm="1">
        <f t="array" ref="X1793">_xlfn.IFS(Sales_Table[[#This Row],[Revenue]]&gt;=50000,"High",Sales_Table[[#This Row],[Revenue]]&gt;=20000,"Medium",Sales_Table[[#This Row],[Revenue]]&lt;20000,"Low")</f>
        <v>Low</v>
      </c>
      <c r="Y1793" t="str">
        <f>IF(Sales_Table[[#This Row],[Payment Method_clean]]="cash","Offline","Online")</f>
        <v>Offline</v>
      </c>
      <c r="Z1793">
        <f>IFERROR(Sales_Table[[#This Row],[Revenue]],0)</f>
        <v>13748</v>
      </c>
    </row>
    <row r="1794" spans="1:26" x14ac:dyDescent="0.3">
      <c r="A1794">
        <v>1793</v>
      </c>
      <c r="B1794" s="2">
        <f t="shared" si="189"/>
        <v>45366.666666666664</v>
      </c>
      <c r="C1794" t="s">
        <v>4064</v>
      </c>
      <c r="D1794" t="s">
        <v>27</v>
      </c>
      <c r="E1794" t="str">
        <f>PROPER(TRIM(CLEAN(Sales_Table[[#This Row],[Region]])))</f>
        <v>East</v>
      </c>
      <c r="F1794" t="s">
        <v>28</v>
      </c>
      <c r="G1794" t="str">
        <f t="shared" si="190"/>
        <v>Clothing</v>
      </c>
      <c r="H1794" t="str">
        <f>PROPER(TRIM(CLEAN(Sales_Table[[#This Row],[Product Name]])))</f>
        <v>Washing Machine</v>
      </c>
      <c r="I1794" t="s">
        <v>79</v>
      </c>
      <c r="J1794" t="str">
        <f t="shared" si="191"/>
        <v>CUST0615</v>
      </c>
      <c r="K1794" t="s">
        <v>1563</v>
      </c>
      <c r="L1794" t="str">
        <f>PROPER(TRIM(CLEAN(Sales_Table[[#This Row],[Salesperson]])))</f>
        <v>Rahul</v>
      </c>
      <c r="M1794" t="s">
        <v>31</v>
      </c>
      <c r="N1794" t="str">
        <f t="shared" si="192"/>
        <v>Net Banking</v>
      </c>
      <c r="O1794" t="s">
        <v>60</v>
      </c>
      <c r="P1794">
        <f t="shared" si="193"/>
        <v>5</v>
      </c>
      <c r="Q1794" t="s">
        <v>89</v>
      </c>
      <c r="R1794">
        <f t="shared" si="194"/>
        <v>1857</v>
      </c>
      <c r="S1794" t="s">
        <v>4065</v>
      </c>
      <c r="T1794">
        <f t="shared" si="195"/>
        <v>9285</v>
      </c>
      <c r="U1794">
        <f>YEAR(Sales_Table[[#This Row],[Date_clean]])</f>
        <v>2024</v>
      </c>
      <c r="V1794" t="str">
        <f>TEXT(Sales_Table[[#This Row],[Date_clean]],"mmmm")</f>
        <v>March</v>
      </c>
      <c r="W1794">
        <f>WEEKNUM(Sales_Table[[#This Row],[Date_clean]],2)</f>
        <v>11</v>
      </c>
      <c r="X1794" t="str" cm="1">
        <f t="array" ref="X1794">_xlfn.IFS(Sales_Table[[#This Row],[Revenue]]&gt;=50000,"High",Sales_Table[[#This Row],[Revenue]]&gt;=20000,"Medium",Sales_Table[[#This Row],[Revenue]]&lt;20000,"Low")</f>
        <v>Low</v>
      </c>
      <c r="Y1794" t="str">
        <f>IF(Sales_Table[[#This Row],[Payment Method_clean]]="cash","Offline","Online")</f>
        <v>Online</v>
      </c>
      <c r="Z1794">
        <f>IFERROR(Sales_Table[[#This Row],[Revenue]],0)</f>
        <v>9285</v>
      </c>
    </row>
    <row r="1795" spans="1:26" x14ac:dyDescent="0.3">
      <c r="A1795">
        <v>1794</v>
      </c>
      <c r="B1795" s="2">
        <f t="shared" ref="B1795:B1858" si="196">DATEVALUE(LEFT(C1795,10))+TIMEVALUE(MID(C1795,12,8))</f>
        <v>45366.708333333336</v>
      </c>
      <c r="C1795" t="s">
        <v>4066</v>
      </c>
      <c r="D1795" t="s">
        <v>27</v>
      </c>
      <c r="E1795" t="str">
        <f>PROPER(TRIM(CLEAN(Sales_Table[[#This Row],[Region]])))</f>
        <v>East</v>
      </c>
      <c r="F1795" t="s">
        <v>28</v>
      </c>
      <c r="G1795" t="str">
        <f t="shared" ref="G1795:G1858" si="197">PROPER(TRIM(CLEAN(F1795)))</f>
        <v>Clothing</v>
      </c>
      <c r="H1795" t="str">
        <f>PROPER(TRIM(CLEAN(Sales_Table[[#This Row],[Product Name]])))</f>
        <v>Washing Machine</v>
      </c>
      <c r="I1795" t="s">
        <v>79</v>
      </c>
      <c r="J1795" t="str">
        <f t="shared" ref="J1795:J1858" si="198">TRIM(K1795)</f>
        <v>CUST0466</v>
      </c>
      <c r="K1795" t="s">
        <v>4067</v>
      </c>
      <c r="L1795" t="str">
        <f>PROPER(TRIM(CLEAN(Sales_Table[[#This Row],[Salesperson]])))</f>
        <v>Rahul</v>
      </c>
      <c r="M1795" t="s">
        <v>31</v>
      </c>
      <c r="N1795" t="str">
        <f t="shared" ref="N1795:N1858" si="199">PROPER(TRIM(O1795))</f>
        <v>Net Banking</v>
      </c>
      <c r="O1795" t="s">
        <v>60</v>
      </c>
      <c r="P1795">
        <f t="shared" ref="P1795:P1858" si="200">VALUE(Q1795)</f>
        <v>4</v>
      </c>
      <c r="Q1795" t="s">
        <v>113</v>
      </c>
      <c r="R1795">
        <f t="shared" ref="R1795:R1858" si="201">VALUE(S1795)</f>
        <v>1617</v>
      </c>
      <c r="S1795" t="s">
        <v>4068</v>
      </c>
      <c r="T1795">
        <f t="shared" ref="T1795:T1858" si="202">P1795*R1795</f>
        <v>6468</v>
      </c>
      <c r="U1795">
        <f>YEAR(Sales_Table[[#This Row],[Date_clean]])</f>
        <v>2024</v>
      </c>
      <c r="V1795" t="str">
        <f>TEXT(Sales_Table[[#This Row],[Date_clean]],"mmmm")</f>
        <v>March</v>
      </c>
      <c r="W1795">
        <f>WEEKNUM(Sales_Table[[#This Row],[Date_clean]],2)</f>
        <v>11</v>
      </c>
      <c r="X1795" t="str" cm="1">
        <f t="array" ref="X1795">_xlfn.IFS(Sales_Table[[#This Row],[Revenue]]&gt;=50000,"High",Sales_Table[[#This Row],[Revenue]]&gt;=20000,"Medium",Sales_Table[[#This Row],[Revenue]]&lt;20000,"Low")</f>
        <v>Low</v>
      </c>
      <c r="Y1795" t="str">
        <f>IF(Sales_Table[[#This Row],[Payment Method_clean]]="cash","Offline","Online")</f>
        <v>Online</v>
      </c>
      <c r="Z1795">
        <f>IFERROR(Sales_Table[[#This Row],[Revenue]],0)</f>
        <v>6468</v>
      </c>
    </row>
    <row r="1796" spans="1:26" x14ac:dyDescent="0.3">
      <c r="A1796">
        <v>1795</v>
      </c>
      <c r="B1796" s="2">
        <f t="shared" si="196"/>
        <v>45366.75</v>
      </c>
      <c r="C1796" t="s">
        <v>4069</v>
      </c>
      <c r="D1796" t="s">
        <v>36</v>
      </c>
      <c r="E1796" t="str">
        <f>PROPER(TRIM(CLEAN(Sales_Table[[#This Row],[Region]])))</f>
        <v>West</v>
      </c>
      <c r="F1796" t="s">
        <v>28</v>
      </c>
      <c r="G1796" t="str">
        <f t="shared" si="197"/>
        <v>Clothing</v>
      </c>
      <c r="H1796" t="str">
        <f>PROPER(TRIM(CLEAN(Sales_Table[[#This Row],[Product Name]])))</f>
        <v>Rice 5Kg</v>
      </c>
      <c r="I1796" t="s">
        <v>73</v>
      </c>
      <c r="J1796" t="str">
        <f t="shared" si="198"/>
        <v>CUST0088</v>
      </c>
      <c r="K1796" t="s">
        <v>852</v>
      </c>
      <c r="L1796" t="str">
        <f>PROPER(TRIM(CLEAN(Sales_Table[[#This Row],[Salesperson]])))</f>
        <v>Karthik</v>
      </c>
      <c r="M1796" t="s">
        <v>70</v>
      </c>
      <c r="N1796" t="str">
        <f t="shared" si="199"/>
        <v>Upi</v>
      </c>
      <c r="O1796" t="s">
        <v>48</v>
      </c>
      <c r="P1796">
        <f t="shared" si="200"/>
        <v>7</v>
      </c>
      <c r="Q1796" t="s">
        <v>49</v>
      </c>
      <c r="R1796">
        <f t="shared" si="201"/>
        <v>3584</v>
      </c>
      <c r="S1796" t="s">
        <v>4070</v>
      </c>
      <c r="T1796">
        <f t="shared" si="202"/>
        <v>25088</v>
      </c>
      <c r="U1796">
        <f>YEAR(Sales_Table[[#This Row],[Date_clean]])</f>
        <v>2024</v>
      </c>
      <c r="V1796" t="str">
        <f>TEXT(Sales_Table[[#This Row],[Date_clean]],"mmmm")</f>
        <v>March</v>
      </c>
      <c r="W1796">
        <f>WEEKNUM(Sales_Table[[#This Row],[Date_clean]],2)</f>
        <v>11</v>
      </c>
      <c r="X1796" t="str" cm="1">
        <f t="array" ref="X1796">_xlfn.IFS(Sales_Table[[#This Row],[Revenue]]&gt;=50000,"High",Sales_Table[[#This Row],[Revenue]]&gt;=20000,"Medium",Sales_Table[[#This Row],[Revenue]]&lt;20000,"Low")</f>
        <v>Medium</v>
      </c>
      <c r="Y1796" t="str">
        <f>IF(Sales_Table[[#This Row],[Payment Method_clean]]="cash","Offline","Online")</f>
        <v>Online</v>
      </c>
      <c r="Z1796">
        <f>IFERROR(Sales_Table[[#This Row],[Revenue]],0)</f>
        <v>25088</v>
      </c>
    </row>
    <row r="1797" spans="1:26" x14ac:dyDescent="0.3">
      <c r="A1797">
        <v>1796</v>
      </c>
      <c r="B1797" s="2">
        <f t="shared" si="196"/>
        <v>45366.791666666664</v>
      </c>
      <c r="C1797" t="s">
        <v>4071</v>
      </c>
      <c r="D1797" t="s">
        <v>84</v>
      </c>
      <c r="E1797" t="str">
        <f>PROPER(TRIM(CLEAN(Sales_Table[[#This Row],[Region]])))</f>
        <v>South</v>
      </c>
      <c r="F1797" t="s">
        <v>46</v>
      </c>
      <c r="G1797" t="str">
        <f t="shared" si="197"/>
        <v>Electronics</v>
      </c>
      <c r="H1797" t="str">
        <f>PROPER(TRIM(CLEAN(Sales_Table[[#This Row],[Product Name]])))</f>
        <v>Led Tv 42Inch</v>
      </c>
      <c r="I1797" t="s">
        <v>58</v>
      </c>
      <c r="J1797" t="str">
        <f t="shared" si="198"/>
        <v>CUST0303</v>
      </c>
      <c r="K1797" t="s">
        <v>1877</v>
      </c>
      <c r="L1797" t="str">
        <f>PROPER(TRIM(CLEAN(Sales_Table[[#This Row],[Salesperson]])))</f>
        <v>Meena</v>
      </c>
      <c r="M1797" t="s">
        <v>40</v>
      </c>
      <c r="N1797" t="str">
        <f t="shared" si="199"/>
        <v>Cash</v>
      </c>
      <c r="O1797" t="s">
        <v>32</v>
      </c>
      <c r="P1797">
        <f t="shared" si="200"/>
        <v>3</v>
      </c>
      <c r="Q1797" t="s">
        <v>66</v>
      </c>
      <c r="R1797">
        <f t="shared" si="201"/>
        <v>3785</v>
      </c>
      <c r="S1797" t="s">
        <v>4072</v>
      </c>
      <c r="T1797">
        <f t="shared" si="202"/>
        <v>11355</v>
      </c>
      <c r="U1797">
        <f>YEAR(Sales_Table[[#This Row],[Date_clean]])</f>
        <v>2024</v>
      </c>
      <c r="V1797" t="str">
        <f>TEXT(Sales_Table[[#This Row],[Date_clean]],"mmmm")</f>
        <v>March</v>
      </c>
      <c r="W1797">
        <f>WEEKNUM(Sales_Table[[#This Row],[Date_clean]],2)</f>
        <v>11</v>
      </c>
      <c r="X1797" t="str" cm="1">
        <f t="array" ref="X1797">_xlfn.IFS(Sales_Table[[#This Row],[Revenue]]&gt;=50000,"High",Sales_Table[[#This Row],[Revenue]]&gt;=20000,"Medium",Sales_Table[[#This Row],[Revenue]]&lt;20000,"Low")</f>
        <v>Low</v>
      </c>
      <c r="Y1797" t="str">
        <f>IF(Sales_Table[[#This Row],[Payment Method_clean]]="cash","Offline","Online")</f>
        <v>Offline</v>
      </c>
      <c r="Z1797">
        <f>IFERROR(Sales_Table[[#This Row],[Revenue]],0)</f>
        <v>11355</v>
      </c>
    </row>
    <row r="1798" spans="1:26" x14ac:dyDescent="0.3">
      <c r="A1798">
        <v>1797</v>
      </c>
      <c r="B1798" s="2">
        <f t="shared" si="196"/>
        <v>45366.833333333336</v>
      </c>
      <c r="C1798" t="s">
        <v>4073</v>
      </c>
      <c r="D1798" t="s">
        <v>27</v>
      </c>
      <c r="E1798" t="str">
        <f>PROPER(TRIM(CLEAN(Sales_Table[[#This Row],[Region]])))</f>
        <v>East</v>
      </c>
      <c r="F1798" t="s">
        <v>78</v>
      </c>
      <c r="G1798" t="str">
        <f t="shared" si="197"/>
        <v>Grocery</v>
      </c>
      <c r="H1798" t="str">
        <f>PROPER(TRIM(CLEAN(Sales_Table[[#This Row],[Product Name]])))</f>
        <v>Mixer Grinder</v>
      </c>
      <c r="I1798" t="s">
        <v>29</v>
      </c>
      <c r="J1798" t="str">
        <f t="shared" si="198"/>
        <v>CUST0680</v>
      </c>
      <c r="K1798" t="s">
        <v>4074</v>
      </c>
      <c r="L1798" t="str">
        <f>PROPER(TRIM(CLEAN(Sales_Table[[#This Row],[Salesperson]])))</f>
        <v>Suresh</v>
      </c>
      <c r="M1798" t="s">
        <v>54</v>
      </c>
      <c r="N1798" t="str">
        <f t="shared" si="199"/>
        <v>Debit Card</v>
      </c>
      <c r="O1798" t="s">
        <v>41</v>
      </c>
      <c r="P1798">
        <f t="shared" si="200"/>
        <v>7</v>
      </c>
      <c r="Q1798" t="s">
        <v>49</v>
      </c>
      <c r="R1798">
        <f t="shared" si="201"/>
        <v>3152</v>
      </c>
      <c r="S1798" t="s">
        <v>4075</v>
      </c>
      <c r="T1798">
        <f t="shared" si="202"/>
        <v>22064</v>
      </c>
      <c r="U1798">
        <f>YEAR(Sales_Table[[#This Row],[Date_clean]])</f>
        <v>2024</v>
      </c>
      <c r="V1798" t="str">
        <f>TEXT(Sales_Table[[#This Row],[Date_clean]],"mmmm")</f>
        <v>March</v>
      </c>
      <c r="W1798">
        <f>WEEKNUM(Sales_Table[[#This Row],[Date_clean]],2)</f>
        <v>11</v>
      </c>
      <c r="X1798" t="str" cm="1">
        <f t="array" ref="X1798">_xlfn.IFS(Sales_Table[[#This Row],[Revenue]]&gt;=50000,"High",Sales_Table[[#This Row],[Revenue]]&gt;=20000,"Medium",Sales_Table[[#This Row],[Revenue]]&lt;20000,"Low")</f>
        <v>Medium</v>
      </c>
      <c r="Y1798" t="str">
        <f>IF(Sales_Table[[#This Row],[Payment Method_clean]]="cash","Offline","Online")</f>
        <v>Online</v>
      </c>
      <c r="Z1798">
        <f>IFERROR(Sales_Table[[#This Row],[Revenue]],0)</f>
        <v>22064</v>
      </c>
    </row>
    <row r="1799" spans="1:26" x14ac:dyDescent="0.3">
      <c r="A1799">
        <v>1798</v>
      </c>
      <c r="B1799" s="2">
        <f t="shared" si="196"/>
        <v>45366.875</v>
      </c>
      <c r="C1799" t="s">
        <v>4076</v>
      </c>
      <c r="D1799" t="s">
        <v>84</v>
      </c>
      <c r="E1799" t="str">
        <f>PROPER(TRIM(CLEAN(Sales_Table[[#This Row],[Region]])))</f>
        <v>South</v>
      </c>
      <c r="F1799" t="s">
        <v>37</v>
      </c>
      <c r="G1799" t="str">
        <f t="shared" si="197"/>
        <v>Home Appliances</v>
      </c>
      <c r="H1799" t="str">
        <f>PROPER(TRIM(CLEAN(Sales_Table[[#This Row],[Product Name]])))</f>
        <v>Washing Machine</v>
      </c>
      <c r="I1799" t="s">
        <v>79</v>
      </c>
      <c r="J1799" t="str">
        <f t="shared" si="198"/>
        <v>CUST0435</v>
      </c>
      <c r="K1799" t="s">
        <v>2938</v>
      </c>
      <c r="L1799" t="str">
        <f>PROPER(TRIM(CLEAN(Sales_Table[[#This Row],[Salesperson]])))</f>
        <v>Rahul</v>
      </c>
      <c r="M1799" t="s">
        <v>31</v>
      </c>
      <c r="N1799" t="str">
        <f t="shared" si="199"/>
        <v>Debit Card</v>
      </c>
      <c r="O1799" t="s">
        <v>41</v>
      </c>
      <c r="P1799">
        <f t="shared" si="200"/>
        <v>13</v>
      </c>
      <c r="Q1799" t="s">
        <v>81</v>
      </c>
      <c r="R1799">
        <f t="shared" si="201"/>
        <v>2796</v>
      </c>
      <c r="S1799" t="s">
        <v>2324</v>
      </c>
      <c r="T1799">
        <f t="shared" si="202"/>
        <v>36348</v>
      </c>
      <c r="U1799">
        <f>YEAR(Sales_Table[[#This Row],[Date_clean]])</f>
        <v>2024</v>
      </c>
      <c r="V1799" t="str">
        <f>TEXT(Sales_Table[[#This Row],[Date_clean]],"mmmm")</f>
        <v>March</v>
      </c>
      <c r="W1799">
        <f>WEEKNUM(Sales_Table[[#This Row],[Date_clean]],2)</f>
        <v>11</v>
      </c>
      <c r="X1799" t="str" cm="1">
        <f t="array" ref="X1799">_xlfn.IFS(Sales_Table[[#This Row],[Revenue]]&gt;=50000,"High",Sales_Table[[#This Row],[Revenue]]&gt;=20000,"Medium",Sales_Table[[#This Row],[Revenue]]&lt;20000,"Low")</f>
        <v>Medium</v>
      </c>
      <c r="Y1799" t="str">
        <f>IF(Sales_Table[[#This Row],[Payment Method_clean]]="cash","Offline","Online")</f>
        <v>Online</v>
      </c>
      <c r="Z1799">
        <f>IFERROR(Sales_Table[[#This Row],[Revenue]],0)</f>
        <v>36348</v>
      </c>
    </row>
    <row r="1800" spans="1:26" x14ac:dyDescent="0.3">
      <c r="A1800">
        <v>1799</v>
      </c>
      <c r="B1800" s="2">
        <f t="shared" si="196"/>
        <v>45366.916666666664</v>
      </c>
      <c r="C1800" t="s">
        <v>4077</v>
      </c>
      <c r="D1800" t="s">
        <v>27</v>
      </c>
      <c r="E1800" t="str">
        <f>PROPER(TRIM(CLEAN(Sales_Table[[#This Row],[Region]])))</f>
        <v>East</v>
      </c>
      <c r="F1800" t="s">
        <v>78</v>
      </c>
      <c r="G1800" t="str">
        <f t="shared" si="197"/>
        <v>Grocery</v>
      </c>
      <c r="H1800" t="str">
        <f>PROPER(TRIM(CLEAN(Sales_Table[[#This Row],[Product Name]])))</f>
        <v>Led Tv 42Inch</v>
      </c>
      <c r="I1800" t="s">
        <v>58</v>
      </c>
      <c r="J1800" t="str">
        <f t="shared" si="198"/>
        <v>CUST0682</v>
      </c>
      <c r="K1800" t="s">
        <v>210</v>
      </c>
      <c r="L1800" t="str">
        <f>PROPER(TRIM(CLEAN(Sales_Table[[#This Row],[Salesperson]])))</f>
        <v>Meena</v>
      </c>
      <c r="M1800" t="s">
        <v>40</v>
      </c>
      <c r="N1800" t="str">
        <f t="shared" si="199"/>
        <v>Cash</v>
      </c>
      <c r="O1800" t="s">
        <v>32</v>
      </c>
      <c r="P1800">
        <f t="shared" si="200"/>
        <v>8</v>
      </c>
      <c r="Q1800" t="s">
        <v>42</v>
      </c>
      <c r="R1800">
        <f t="shared" si="201"/>
        <v>290</v>
      </c>
      <c r="S1800" t="s">
        <v>4078</v>
      </c>
      <c r="T1800">
        <f t="shared" si="202"/>
        <v>2320</v>
      </c>
      <c r="U1800">
        <f>YEAR(Sales_Table[[#This Row],[Date_clean]])</f>
        <v>2024</v>
      </c>
      <c r="V1800" t="str">
        <f>TEXT(Sales_Table[[#This Row],[Date_clean]],"mmmm")</f>
        <v>March</v>
      </c>
      <c r="W1800">
        <f>WEEKNUM(Sales_Table[[#This Row],[Date_clean]],2)</f>
        <v>11</v>
      </c>
      <c r="X1800" t="str" cm="1">
        <f t="array" ref="X1800">_xlfn.IFS(Sales_Table[[#This Row],[Revenue]]&gt;=50000,"High",Sales_Table[[#This Row],[Revenue]]&gt;=20000,"Medium",Sales_Table[[#This Row],[Revenue]]&lt;20000,"Low")</f>
        <v>Low</v>
      </c>
      <c r="Y1800" t="str">
        <f>IF(Sales_Table[[#This Row],[Payment Method_clean]]="cash","Offline","Online")</f>
        <v>Offline</v>
      </c>
      <c r="Z1800">
        <f>IFERROR(Sales_Table[[#This Row],[Revenue]],0)</f>
        <v>2320</v>
      </c>
    </row>
    <row r="1801" spans="1:26" x14ac:dyDescent="0.3">
      <c r="A1801">
        <v>1800</v>
      </c>
      <c r="B1801" s="2">
        <f t="shared" si="196"/>
        <v>45366.958333333336</v>
      </c>
      <c r="C1801" t="s">
        <v>4079</v>
      </c>
      <c r="D1801" t="s">
        <v>45</v>
      </c>
      <c r="E1801" t="str">
        <f>PROPER(TRIM(CLEAN(Sales_Table[[#This Row],[Region]])))</f>
        <v>North</v>
      </c>
      <c r="F1801" t="s">
        <v>78</v>
      </c>
      <c r="G1801" t="str">
        <f t="shared" si="197"/>
        <v>Grocery</v>
      </c>
      <c r="H1801" t="str">
        <f>PROPER(TRIM(CLEAN(Sales_Table[[#This Row],[Product Name]])))</f>
        <v>Men T-Shirt</v>
      </c>
      <c r="I1801" t="s">
        <v>38</v>
      </c>
      <c r="J1801" t="str">
        <f t="shared" si="198"/>
        <v>CUST0135</v>
      </c>
      <c r="K1801" t="s">
        <v>2722</v>
      </c>
      <c r="L1801" t="str">
        <f>PROPER(TRIM(CLEAN(Sales_Table[[#This Row],[Salesperson]])))</f>
        <v>Anita</v>
      </c>
      <c r="M1801" t="s">
        <v>64</v>
      </c>
      <c r="N1801" t="str">
        <f t="shared" si="199"/>
        <v>Cash</v>
      </c>
      <c r="O1801" t="s">
        <v>32</v>
      </c>
      <c r="P1801">
        <f t="shared" si="200"/>
        <v>6</v>
      </c>
      <c r="Q1801" t="s">
        <v>75</v>
      </c>
      <c r="R1801">
        <f t="shared" si="201"/>
        <v>1032</v>
      </c>
      <c r="S1801" t="s">
        <v>4080</v>
      </c>
      <c r="T1801">
        <f t="shared" si="202"/>
        <v>6192</v>
      </c>
      <c r="U1801">
        <f>YEAR(Sales_Table[[#This Row],[Date_clean]])</f>
        <v>2024</v>
      </c>
      <c r="V1801" t="str">
        <f>TEXT(Sales_Table[[#This Row],[Date_clean]],"mmmm")</f>
        <v>March</v>
      </c>
      <c r="W1801">
        <f>WEEKNUM(Sales_Table[[#This Row],[Date_clean]],2)</f>
        <v>11</v>
      </c>
      <c r="X1801" t="str" cm="1">
        <f t="array" ref="X1801">_xlfn.IFS(Sales_Table[[#This Row],[Revenue]]&gt;=50000,"High",Sales_Table[[#This Row],[Revenue]]&gt;=20000,"Medium",Sales_Table[[#This Row],[Revenue]]&lt;20000,"Low")</f>
        <v>Low</v>
      </c>
      <c r="Y1801" t="str">
        <f>IF(Sales_Table[[#This Row],[Payment Method_clean]]="cash","Offline","Online")</f>
        <v>Offline</v>
      </c>
      <c r="Z1801">
        <f>IFERROR(Sales_Table[[#This Row],[Revenue]],0)</f>
        <v>6192</v>
      </c>
    </row>
    <row r="1802" spans="1:26" x14ac:dyDescent="0.3">
      <c r="A1802">
        <v>1801</v>
      </c>
      <c r="B1802" s="2">
        <f t="shared" si="196"/>
        <v>45367</v>
      </c>
      <c r="C1802" t="s">
        <v>4081</v>
      </c>
      <c r="D1802" t="s">
        <v>27</v>
      </c>
      <c r="E1802" t="str">
        <f>PROPER(TRIM(CLEAN(Sales_Table[[#This Row],[Region]])))</f>
        <v>East</v>
      </c>
      <c r="F1802" t="s">
        <v>37</v>
      </c>
      <c r="G1802" t="str">
        <f t="shared" si="197"/>
        <v>Home Appliances</v>
      </c>
      <c r="H1802" t="str">
        <f>PROPER(TRIM(CLEAN(Sales_Table[[#This Row],[Product Name]])))</f>
        <v>Washing Machine</v>
      </c>
      <c r="I1802" t="s">
        <v>79</v>
      </c>
      <c r="J1802" t="str">
        <f t="shared" si="198"/>
        <v>CUST0050</v>
      </c>
      <c r="K1802" t="s">
        <v>939</v>
      </c>
      <c r="L1802" t="str">
        <f>PROPER(TRIM(CLEAN(Sales_Table[[#This Row],[Salesperson]])))</f>
        <v>Karthik</v>
      </c>
      <c r="M1802" t="s">
        <v>70</v>
      </c>
      <c r="N1802" t="str">
        <f t="shared" si="199"/>
        <v>Credit Card</v>
      </c>
      <c r="O1802" t="s">
        <v>65</v>
      </c>
      <c r="P1802">
        <f t="shared" si="200"/>
        <v>6</v>
      </c>
      <c r="Q1802" t="s">
        <v>75</v>
      </c>
      <c r="R1802">
        <f t="shared" si="201"/>
        <v>4337</v>
      </c>
      <c r="S1802" t="s">
        <v>2308</v>
      </c>
      <c r="T1802">
        <f t="shared" si="202"/>
        <v>26022</v>
      </c>
      <c r="U1802">
        <f>YEAR(Sales_Table[[#This Row],[Date_clean]])</f>
        <v>2024</v>
      </c>
      <c r="V1802" t="str">
        <f>TEXT(Sales_Table[[#This Row],[Date_clean]],"mmmm")</f>
        <v>March</v>
      </c>
      <c r="W1802">
        <f>WEEKNUM(Sales_Table[[#This Row],[Date_clean]],2)</f>
        <v>11</v>
      </c>
      <c r="X1802" t="str" cm="1">
        <f t="array" ref="X1802">_xlfn.IFS(Sales_Table[[#This Row],[Revenue]]&gt;=50000,"High",Sales_Table[[#This Row],[Revenue]]&gt;=20000,"Medium",Sales_Table[[#This Row],[Revenue]]&lt;20000,"Low")</f>
        <v>Medium</v>
      </c>
      <c r="Y1802" t="str">
        <f>IF(Sales_Table[[#This Row],[Payment Method_clean]]="cash","Offline","Online")</f>
        <v>Online</v>
      </c>
      <c r="Z1802">
        <f>IFERROR(Sales_Table[[#This Row],[Revenue]],0)</f>
        <v>26022</v>
      </c>
    </row>
    <row r="1803" spans="1:26" x14ac:dyDescent="0.3">
      <c r="A1803">
        <v>1802</v>
      </c>
      <c r="B1803" s="2">
        <f t="shared" si="196"/>
        <v>45367.041666666664</v>
      </c>
      <c r="C1803" t="s">
        <v>4082</v>
      </c>
      <c r="D1803" t="s">
        <v>45</v>
      </c>
      <c r="E1803" t="str">
        <f>PROPER(TRIM(CLEAN(Sales_Table[[#This Row],[Region]])))</f>
        <v>North</v>
      </c>
      <c r="F1803" t="s">
        <v>37</v>
      </c>
      <c r="G1803" t="str">
        <f t="shared" si="197"/>
        <v>Home Appliances</v>
      </c>
      <c r="H1803" t="str">
        <f>PROPER(TRIM(CLEAN(Sales_Table[[#This Row],[Product Name]])))</f>
        <v>Mixer Grinder</v>
      </c>
      <c r="I1803" t="s">
        <v>29</v>
      </c>
      <c r="J1803" t="str">
        <f t="shared" si="198"/>
        <v>CUST0432</v>
      </c>
      <c r="K1803" t="s">
        <v>2174</v>
      </c>
      <c r="L1803" t="str">
        <f>PROPER(TRIM(CLEAN(Sales_Table[[#This Row],[Salesperson]])))</f>
        <v>Anita</v>
      </c>
      <c r="M1803" t="s">
        <v>64</v>
      </c>
      <c r="N1803" t="str">
        <f t="shared" si="199"/>
        <v>Upi</v>
      </c>
      <c r="O1803" t="s">
        <v>48</v>
      </c>
      <c r="P1803">
        <f t="shared" si="200"/>
        <v>8</v>
      </c>
      <c r="Q1803" t="s">
        <v>42</v>
      </c>
      <c r="R1803">
        <f t="shared" si="201"/>
        <v>3338</v>
      </c>
      <c r="S1803" t="s">
        <v>4083</v>
      </c>
      <c r="T1803">
        <f t="shared" si="202"/>
        <v>26704</v>
      </c>
      <c r="U1803">
        <f>YEAR(Sales_Table[[#This Row],[Date_clean]])</f>
        <v>2024</v>
      </c>
      <c r="V1803" t="str">
        <f>TEXT(Sales_Table[[#This Row],[Date_clean]],"mmmm")</f>
        <v>March</v>
      </c>
      <c r="W1803">
        <f>WEEKNUM(Sales_Table[[#This Row],[Date_clean]],2)</f>
        <v>11</v>
      </c>
      <c r="X1803" t="str" cm="1">
        <f t="array" ref="X1803">_xlfn.IFS(Sales_Table[[#This Row],[Revenue]]&gt;=50000,"High",Sales_Table[[#This Row],[Revenue]]&gt;=20000,"Medium",Sales_Table[[#This Row],[Revenue]]&lt;20000,"Low")</f>
        <v>Medium</v>
      </c>
      <c r="Y1803" t="str">
        <f>IF(Sales_Table[[#This Row],[Payment Method_clean]]="cash","Offline","Online")</f>
        <v>Online</v>
      </c>
      <c r="Z1803">
        <f>IFERROR(Sales_Table[[#This Row],[Revenue]],0)</f>
        <v>26704</v>
      </c>
    </row>
    <row r="1804" spans="1:26" x14ac:dyDescent="0.3">
      <c r="A1804">
        <v>1803</v>
      </c>
      <c r="B1804" s="2">
        <f t="shared" si="196"/>
        <v>45367.083333333336</v>
      </c>
      <c r="C1804" t="s">
        <v>4084</v>
      </c>
      <c r="D1804" t="s">
        <v>27</v>
      </c>
      <c r="E1804" t="str">
        <f>PROPER(TRIM(CLEAN(Sales_Table[[#This Row],[Region]])))</f>
        <v>East</v>
      </c>
      <c r="F1804" t="s">
        <v>46</v>
      </c>
      <c r="G1804" t="str">
        <f t="shared" si="197"/>
        <v>Electronics</v>
      </c>
      <c r="H1804" t="str">
        <f>PROPER(TRIM(CLEAN(Sales_Table[[#This Row],[Product Name]])))</f>
        <v>Men T-Shirt</v>
      </c>
      <c r="I1804" t="s">
        <v>38</v>
      </c>
      <c r="J1804" t="str">
        <f t="shared" si="198"/>
        <v>CUST0340</v>
      </c>
      <c r="K1804" t="s">
        <v>362</v>
      </c>
      <c r="L1804" t="str">
        <f>PROPER(TRIM(CLEAN(Sales_Table[[#This Row],[Salesperson]])))</f>
        <v>Rahul</v>
      </c>
      <c r="M1804" t="s">
        <v>31</v>
      </c>
      <c r="N1804" t="str">
        <f t="shared" si="199"/>
        <v>Cash</v>
      </c>
      <c r="O1804" t="s">
        <v>32</v>
      </c>
      <c r="P1804">
        <f t="shared" si="200"/>
        <v>8</v>
      </c>
      <c r="Q1804" t="s">
        <v>42</v>
      </c>
      <c r="R1804">
        <f t="shared" si="201"/>
        <v>2315</v>
      </c>
      <c r="S1804" t="s">
        <v>964</v>
      </c>
      <c r="T1804">
        <f t="shared" si="202"/>
        <v>18520</v>
      </c>
      <c r="U1804">
        <f>YEAR(Sales_Table[[#This Row],[Date_clean]])</f>
        <v>2024</v>
      </c>
      <c r="V1804" t="str">
        <f>TEXT(Sales_Table[[#This Row],[Date_clean]],"mmmm")</f>
        <v>March</v>
      </c>
      <c r="W1804">
        <f>WEEKNUM(Sales_Table[[#This Row],[Date_clean]],2)</f>
        <v>11</v>
      </c>
      <c r="X1804" t="str" cm="1">
        <f t="array" ref="X1804">_xlfn.IFS(Sales_Table[[#This Row],[Revenue]]&gt;=50000,"High",Sales_Table[[#This Row],[Revenue]]&gt;=20000,"Medium",Sales_Table[[#This Row],[Revenue]]&lt;20000,"Low")</f>
        <v>Low</v>
      </c>
      <c r="Y1804" t="str">
        <f>IF(Sales_Table[[#This Row],[Payment Method_clean]]="cash","Offline","Online")</f>
        <v>Offline</v>
      </c>
      <c r="Z1804">
        <f>IFERROR(Sales_Table[[#This Row],[Revenue]],0)</f>
        <v>18520</v>
      </c>
    </row>
    <row r="1805" spans="1:26" x14ac:dyDescent="0.3">
      <c r="A1805">
        <v>1804</v>
      </c>
      <c r="B1805" s="2">
        <f t="shared" si="196"/>
        <v>45367.125</v>
      </c>
      <c r="C1805" t="s">
        <v>4085</v>
      </c>
      <c r="D1805" t="s">
        <v>36</v>
      </c>
      <c r="E1805" t="str">
        <f>PROPER(TRIM(CLEAN(Sales_Table[[#This Row],[Region]])))</f>
        <v>West</v>
      </c>
      <c r="F1805" t="s">
        <v>46</v>
      </c>
      <c r="G1805" t="str">
        <f t="shared" si="197"/>
        <v>Electronics</v>
      </c>
      <c r="H1805" t="str">
        <f>PROPER(TRIM(CLEAN(Sales_Table[[#This Row],[Product Name]])))</f>
        <v>Men T-Shirt</v>
      </c>
      <c r="I1805" t="s">
        <v>38</v>
      </c>
      <c r="J1805" t="str">
        <f t="shared" si="198"/>
        <v>CUST0347</v>
      </c>
      <c r="K1805" t="s">
        <v>4086</v>
      </c>
      <c r="L1805" t="str">
        <f>PROPER(TRIM(CLEAN(Sales_Table[[#This Row],[Salesperson]])))</f>
        <v>Rahul</v>
      </c>
      <c r="M1805" t="s">
        <v>31</v>
      </c>
      <c r="N1805" t="str">
        <f t="shared" si="199"/>
        <v>Cash</v>
      </c>
      <c r="O1805" t="s">
        <v>32</v>
      </c>
      <c r="P1805">
        <f t="shared" si="200"/>
        <v>7</v>
      </c>
      <c r="Q1805" t="s">
        <v>49</v>
      </c>
      <c r="R1805">
        <f t="shared" si="201"/>
        <v>665</v>
      </c>
      <c r="S1805" t="s">
        <v>4087</v>
      </c>
      <c r="T1805">
        <f t="shared" si="202"/>
        <v>4655</v>
      </c>
      <c r="U1805">
        <f>YEAR(Sales_Table[[#This Row],[Date_clean]])</f>
        <v>2024</v>
      </c>
      <c r="V1805" t="str">
        <f>TEXT(Sales_Table[[#This Row],[Date_clean]],"mmmm")</f>
        <v>March</v>
      </c>
      <c r="W1805">
        <f>WEEKNUM(Sales_Table[[#This Row],[Date_clean]],2)</f>
        <v>11</v>
      </c>
      <c r="X1805" t="str" cm="1">
        <f t="array" ref="X1805">_xlfn.IFS(Sales_Table[[#This Row],[Revenue]]&gt;=50000,"High",Sales_Table[[#This Row],[Revenue]]&gt;=20000,"Medium",Sales_Table[[#This Row],[Revenue]]&lt;20000,"Low")</f>
        <v>Low</v>
      </c>
      <c r="Y1805" t="str">
        <f>IF(Sales_Table[[#This Row],[Payment Method_clean]]="cash","Offline","Online")</f>
        <v>Offline</v>
      </c>
      <c r="Z1805">
        <f>IFERROR(Sales_Table[[#This Row],[Revenue]],0)</f>
        <v>4655</v>
      </c>
    </row>
    <row r="1806" spans="1:26" x14ac:dyDescent="0.3">
      <c r="A1806">
        <v>1805</v>
      </c>
      <c r="B1806" s="2">
        <f t="shared" si="196"/>
        <v>45367.166666666664</v>
      </c>
      <c r="C1806" t="s">
        <v>4088</v>
      </c>
      <c r="D1806" t="s">
        <v>45</v>
      </c>
      <c r="E1806" t="str">
        <f>PROPER(TRIM(CLEAN(Sales_Table[[#This Row],[Region]])))</f>
        <v>North</v>
      </c>
      <c r="F1806" t="s">
        <v>46</v>
      </c>
      <c r="G1806" t="str">
        <f t="shared" si="197"/>
        <v>Electronics</v>
      </c>
      <c r="H1806" t="str">
        <f>PROPER(TRIM(CLEAN(Sales_Table[[#This Row],[Product Name]])))</f>
        <v>Mixer Grinder</v>
      </c>
      <c r="I1806" t="s">
        <v>29</v>
      </c>
      <c r="J1806" t="str">
        <f t="shared" si="198"/>
        <v>CUST0646</v>
      </c>
      <c r="K1806" t="s">
        <v>4038</v>
      </c>
      <c r="L1806" t="str">
        <f>PROPER(TRIM(CLEAN(Sales_Table[[#This Row],[Salesperson]])))</f>
        <v>Anita</v>
      </c>
      <c r="M1806" t="s">
        <v>64</v>
      </c>
      <c r="N1806" t="str">
        <f t="shared" si="199"/>
        <v>Credit Card</v>
      </c>
      <c r="O1806" t="s">
        <v>65</v>
      </c>
      <c r="P1806">
        <f t="shared" si="200"/>
        <v>6</v>
      </c>
      <c r="Q1806" t="s">
        <v>75</v>
      </c>
      <c r="R1806">
        <f t="shared" si="201"/>
        <v>1234</v>
      </c>
      <c r="S1806" t="s">
        <v>2930</v>
      </c>
      <c r="T1806">
        <f t="shared" si="202"/>
        <v>7404</v>
      </c>
      <c r="U1806">
        <f>YEAR(Sales_Table[[#This Row],[Date_clean]])</f>
        <v>2024</v>
      </c>
      <c r="V1806" t="str">
        <f>TEXT(Sales_Table[[#This Row],[Date_clean]],"mmmm")</f>
        <v>March</v>
      </c>
      <c r="W1806">
        <f>WEEKNUM(Sales_Table[[#This Row],[Date_clean]],2)</f>
        <v>11</v>
      </c>
      <c r="X1806" t="str" cm="1">
        <f t="array" ref="X1806">_xlfn.IFS(Sales_Table[[#This Row],[Revenue]]&gt;=50000,"High",Sales_Table[[#This Row],[Revenue]]&gt;=20000,"Medium",Sales_Table[[#This Row],[Revenue]]&lt;20000,"Low")</f>
        <v>Low</v>
      </c>
      <c r="Y1806" t="str">
        <f>IF(Sales_Table[[#This Row],[Payment Method_clean]]="cash","Offline","Online")</f>
        <v>Online</v>
      </c>
      <c r="Z1806">
        <f>IFERROR(Sales_Table[[#This Row],[Revenue]],0)</f>
        <v>7404</v>
      </c>
    </row>
    <row r="1807" spans="1:26" x14ac:dyDescent="0.3">
      <c r="A1807">
        <v>1806</v>
      </c>
      <c r="B1807" s="2">
        <f t="shared" si="196"/>
        <v>45367.208333333336</v>
      </c>
      <c r="C1807" t="s">
        <v>4089</v>
      </c>
      <c r="D1807" t="s">
        <v>27</v>
      </c>
      <c r="E1807" t="str">
        <f>PROPER(TRIM(CLEAN(Sales_Table[[#This Row],[Region]])))</f>
        <v>East</v>
      </c>
      <c r="F1807" t="s">
        <v>46</v>
      </c>
      <c r="G1807" t="str">
        <f t="shared" si="197"/>
        <v>Electronics</v>
      </c>
      <c r="H1807" t="str">
        <f>PROPER(TRIM(CLEAN(Sales_Table[[#This Row],[Product Name]])))</f>
        <v>Washing Machine</v>
      </c>
      <c r="I1807" t="s">
        <v>79</v>
      </c>
      <c r="J1807" t="str">
        <f t="shared" si="198"/>
        <v>CUST0347</v>
      </c>
      <c r="K1807" t="s">
        <v>4086</v>
      </c>
      <c r="L1807" t="str">
        <f>PROPER(TRIM(CLEAN(Sales_Table[[#This Row],[Salesperson]])))</f>
        <v>Rahul</v>
      </c>
      <c r="M1807" t="s">
        <v>31</v>
      </c>
      <c r="N1807" t="str">
        <f t="shared" si="199"/>
        <v>Credit Card</v>
      </c>
      <c r="O1807" t="s">
        <v>65</v>
      </c>
      <c r="P1807">
        <f t="shared" si="200"/>
        <v>6</v>
      </c>
      <c r="Q1807" t="s">
        <v>75</v>
      </c>
      <c r="R1807">
        <f t="shared" si="201"/>
        <v>843</v>
      </c>
      <c r="S1807" t="s">
        <v>4090</v>
      </c>
      <c r="T1807">
        <f t="shared" si="202"/>
        <v>5058</v>
      </c>
      <c r="U1807">
        <f>YEAR(Sales_Table[[#This Row],[Date_clean]])</f>
        <v>2024</v>
      </c>
      <c r="V1807" t="str">
        <f>TEXT(Sales_Table[[#This Row],[Date_clean]],"mmmm")</f>
        <v>March</v>
      </c>
      <c r="W1807">
        <f>WEEKNUM(Sales_Table[[#This Row],[Date_clean]],2)</f>
        <v>11</v>
      </c>
      <c r="X1807" t="str" cm="1">
        <f t="array" ref="X1807">_xlfn.IFS(Sales_Table[[#This Row],[Revenue]]&gt;=50000,"High",Sales_Table[[#This Row],[Revenue]]&gt;=20000,"Medium",Sales_Table[[#This Row],[Revenue]]&lt;20000,"Low")</f>
        <v>Low</v>
      </c>
      <c r="Y1807" t="str">
        <f>IF(Sales_Table[[#This Row],[Payment Method_clean]]="cash","Offline","Online")</f>
        <v>Online</v>
      </c>
      <c r="Z1807">
        <f>IFERROR(Sales_Table[[#This Row],[Revenue]],0)</f>
        <v>5058</v>
      </c>
    </row>
    <row r="1808" spans="1:26" x14ac:dyDescent="0.3">
      <c r="A1808">
        <v>1807</v>
      </c>
      <c r="B1808" s="2">
        <f t="shared" si="196"/>
        <v>45367.25</v>
      </c>
      <c r="C1808" t="s">
        <v>4091</v>
      </c>
      <c r="D1808" t="s">
        <v>36</v>
      </c>
      <c r="E1808" t="str">
        <f>PROPER(TRIM(CLEAN(Sales_Table[[#This Row],[Region]])))</f>
        <v>West</v>
      </c>
      <c r="F1808" t="s">
        <v>46</v>
      </c>
      <c r="G1808" t="str">
        <f t="shared" si="197"/>
        <v>Electronics</v>
      </c>
      <c r="H1808" t="str">
        <f>PROPER(TRIM(CLEAN(Sales_Table[[#This Row],[Product Name]])))</f>
        <v>Rice 5Kg</v>
      </c>
      <c r="I1808" t="s">
        <v>73</v>
      </c>
      <c r="J1808" t="str">
        <f t="shared" si="198"/>
        <v>CUST0649</v>
      </c>
      <c r="K1808" t="s">
        <v>1504</v>
      </c>
      <c r="L1808" t="str">
        <f>PROPER(TRIM(CLEAN(Sales_Table[[#This Row],[Salesperson]])))</f>
        <v>Meena</v>
      </c>
      <c r="M1808" t="s">
        <v>40</v>
      </c>
      <c r="N1808" t="str">
        <f t="shared" si="199"/>
        <v>Net Banking</v>
      </c>
      <c r="O1808" t="s">
        <v>60</v>
      </c>
      <c r="P1808">
        <f t="shared" si="200"/>
        <v>10</v>
      </c>
      <c r="Q1808" t="s">
        <v>117</v>
      </c>
      <c r="R1808">
        <f t="shared" si="201"/>
        <v>772</v>
      </c>
      <c r="S1808" t="s">
        <v>4092</v>
      </c>
      <c r="T1808">
        <f t="shared" si="202"/>
        <v>7720</v>
      </c>
      <c r="U1808">
        <f>YEAR(Sales_Table[[#This Row],[Date_clean]])</f>
        <v>2024</v>
      </c>
      <c r="V1808" t="str">
        <f>TEXT(Sales_Table[[#This Row],[Date_clean]],"mmmm")</f>
        <v>March</v>
      </c>
      <c r="W1808">
        <f>WEEKNUM(Sales_Table[[#This Row],[Date_clean]],2)</f>
        <v>11</v>
      </c>
      <c r="X1808" t="str" cm="1">
        <f t="array" ref="X1808">_xlfn.IFS(Sales_Table[[#This Row],[Revenue]]&gt;=50000,"High",Sales_Table[[#This Row],[Revenue]]&gt;=20000,"Medium",Sales_Table[[#This Row],[Revenue]]&lt;20000,"Low")</f>
        <v>Low</v>
      </c>
      <c r="Y1808" t="str">
        <f>IF(Sales_Table[[#This Row],[Payment Method_clean]]="cash","Offline","Online")</f>
        <v>Online</v>
      </c>
      <c r="Z1808">
        <f>IFERROR(Sales_Table[[#This Row],[Revenue]],0)</f>
        <v>7720</v>
      </c>
    </row>
    <row r="1809" spans="1:26" x14ac:dyDescent="0.3">
      <c r="A1809">
        <v>1808</v>
      </c>
      <c r="B1809" s="2">
        <f t="shared" si="196"/>
        <v>45367.291666666664</v>
      </c>
      <c r="C1809" t="s">
        <v>4093</v>
      </c>
      <c r="D1809" t="s">
        <v>45</v>
      </c>
      <c r="E1809" t="str">
        <f>PROPER(TRIM(CLEAN(Sales_Table[[#This Row],[Region]])))</f>
        <v>North</v>
      </c>
      <c r="F1809" t="s">
        <v>37</v>
      </c>
      <c r="G1809" t="str">
        <f t="shared" si="197"/>
        <v>Home Appliances</v>
      </c>
      <c r="H1809" t="str">
        <f>PROPER(TRIM(CLEAN(Sales_Table[[#This Row],[Product Name]])))</f>
        <v>Mixer Grinder</v>
      </c>
      <c r="I1809" t="s">
        <v>29</v>
      </c>
      <c r="J1809" t="str">
        <f t="shared" si="198"/>
        <v>CUST0245</v>
      </c>
      <c r="K1809" t="s">
        <v>2100</v>
      </c>
      <c r="L1809" t="str">
        <f>PROPER(TRIM(CLEAN(Sales_Table[[#This Row],[Salesperson]])))</f>
        <v>Rahul</v>
      </c>
      <c r="M1809" t="s">
        <v>31</v>
      </c>
      <c r="N1809" t="str">
        <f t="shared" si="199"/>
        <v>Debit Card</v>
      </c>
      <c r="O1809" t="s">
        <v>41</v>
      </c>
      <c r="P1809">
        <f t="shared" si="200"/>
        <v>11</v>
      </c>
      <c r="Q1809" t="s">
        <v>97</v>
      </c>
      <c r="R1809">
        <f t="shared" si="201"/>
        <v>3011</v>
      </c>
      <c r="S1809" t="s">
        <v>4094</v>
      </c>
      <c r="T1809">
        <f t="shared" si="202"/>
        <v>33121</v>
      </c>
      <c r="U1809">
        <f>YEAR(Sales_Table[[#This Row],[Date_clean]])</f>
        <v>2024</v>
      </c>
      <c r="V1809" t="str">
        <f>TEXT(Sales_Table[[#This Row],[Date_clean]],"mmmm")</f>
        <v>March</v>
      </c>
      <c r="W1809">
        <f>WEEKNUM(Sales_Table[[#This Row],[Date_clean]],2)</f>
        <v>11</v>
      </c>
      <c r="X1809" t="str" cm="1">
        <f t="array" ref="X1809">_xlfn.IFS(Sales_Table[[#This Row],[Revenue]]&gt;=50000,"High",Sales_Table[[#This Row],[Revenue]]&gt;=20000,"Medium",Sales_Table[[#This Row],[Revenue]]&lt;20000,"Low")</f>
        <v>Medium</v>
      </c>
      <c r="Y1809" t="str">
        <f>IF(Sales_Table[[#This Row],[Payment Method_clean]]="cash","Offline","Online")</f>
        <v>Online</v>
      </c>
      <c r="Z1809">
        <f>IFERROR(Sales_Table[[#This Row],[Revenue]],0)</f>
        <v>33121</v>
      </c>
    </row>
    <row r="1810" spans="1:26" x14ac:dyDescent="0.3">
      <c r="A1810">
        <v>1809</v>
      </c>
      <c r="B1810" s="2">
        <f t="shared" si="196"/>
        <v>45367.333333333336</v>
      </c>
      <c r="C1810" t="s">
        <v>4095</v>
      </c>
      <c r="D1810" t="s">
        <v>36</v>
      </c>
      <c r="E1810" t="str">
        <f>PROPER(TRIM(CLEAN(Sales_Table[[#This Row],[Region]])))</f>
        <v>West</v>
      </c>
      <c r="F1810" t="s">
        <v>78</v>
      </c>
      <c r="G1810" t="str">
        <f t="shared" si="197"/>
        <v>Grocery</v>
      </c>
      <c r="H1810" t="str">
        <f>PROPER(TRIM(CLEAN(Sales_Table[[#This Row],[Product Name]])))</f>
        <v>Mixer Grinder</v>
      </c>
      <c r="I1810" t="s">
        <v>29</v>
      </c>
      <c r="J1810" t="str">
        <f t="shared" si="198"/>
        <v>CUST0109</v>
      </c>
      <c r="K1810" t="s">
        <v>1389</v>
      </c>
      <c r="L1810" t="str">
        <f>PROPER(TRIM(CLEAN(Sales_Table[[#This Row],[Salesperson]])))</f>
        <v>Karthik</v>
      </c>
      <c r="M1810" t="s">
        <v>70</v>
      </c>
      <c r="N1810" t="str">
        <f t="shared" si="199"/>
        <v>Upi</v>
      </c>
      <c r="O1810" t="s">
        <v>48</v>
      </c>
      <c r="P1810">
        <f t="shared" si="200"/>
        <v>13</v>
      </c>
      <c r="Q1810" t="s">
        <v>81</v>
      </c>
      <c r="R1810">
        <f t="shared" si="201"/>
        <v>630</v>
      </c>
      <c r="S1810" t="s">
        <v>1907</v>
      </c>
      <c r="T1810">
        <f t="shared" si="202"/>
        <v>8190</v>
      </c>
      <c r="U1810">
        <f>YEAR(Sales_Table[[#This Row],[Date_clean]])</f>
        <v>2024</v>
      </c>
      <c r="V1810" t="str">
        <f>TEXT(Sales_Table[[#This Row],[Date_clean]],"mmmm")</f>
        <v>March</v>
      </c>
      <c r="W1810">
        <f>WEEKNUM(Sales_Table[[#This Row],[Date_clean]],2)</f>
        <v>11</v>
      </c>
      <c r="X1810" t="str" cm="1">
        <f t="array" ref="X1810">_xlfn.IFS(Sales_Table[[#This Row],[Revenue]]&gt;=50000,"High",Sales_Table[[#This Row],[Revenue]]&gt;=20000,"Medium",Sales_Table[[#This Row],[Revenue]]&lt;20000,"Low")</f>
        <v>Low</v>
      </c>
      <c r="Y1810" t="str">
        <f>IF(Sales_Table[[#This Row],[Payment Method_clean]]="cash","Offline","Online")</f>
        <v>Online</v>
      </c>
      <c r="Z1810">
        <f>IFERROR(Sales_Table[[#This Row],[Revenue]],0)</f>
        <v>8190</v>
      </c>
    </row>
    <row r="1811" spans="1:26" x14ac:dyDescent="0.3">
      <c r="A1811">
        <v>1810</v>
      </c>
      <c r="B1811" s="2">
        <f t="shared" si="196"/>
        <v>45367.375</v>
      </c>
      <c r="C1811" t="s">
        <v>4096</v>
      </c>
      <c r="D1811" t="s">
        <v>84</v>
      </c>
      <c r="E1811" t="str">
        <f>PROPER(TRIM(CLEAN(Sales_Table[[#This Row],[Region]])))</f>
        <v>South</v>
      </c>
      <c r="F1811" t="s">
        <v>46</v>
      </c>
      <c r="G1811" t="str">
        <f t="shared" si="197"/>
        <v>Electronics</v>
      </c>
      <c r="H1811" t="str">
        <f>PROPER(TRIM(CLEAN(Sales_Table[[#This Row],[Product Name]])))</f>
        <v>Mixer Grinder</v>
      </c>
      <c r="I1811" t="s">
        <v>29</v>
      </c>
      <c r="J1811" t="str">
        <f t="shared" si="198"/>
        <v>CUST0799</v>
      </c>
      <c r="K1811" t="s">
        <v>479</v>
      </c>
      <c r="L1811" t="str">
        <f>PROPER(TRIM(CLEAN(Sales_Table[[#This Row],[Salesperson]])))</f>
        <v>Meena</v>
      </c>
      <c r="M1811" t="s">
        <v>40</v>
      </c>
      <c r="N1811" t="str">
        <f t="shared" si="199"/>
        <v>Net Banking</v>
      </c>
      <c r="O1811" t="s">
        <v>60</v>
      </c>
      <c r="P1811">
        <f t="shared" si="200"/>
        <v>13</v>
      </c>
      <c r="Q1811" t="s">
        <v>81</v>
      </c>
      <c r="R1811">
        <f t="shared" si="201"/>
        <v>3121</v>
      </c>
      <c r="S1811" t="s">
        <v>3257</v>
      </c>
      <c r="T1811">
        <f t="shared" si="202"/>
        <v>40573</v>
      </c>
      <c r="U1811">
        <f>YEAR(Sales_Table[[#This Row],[Date_clean]])</f>
        <v>2024</v>
      </c>
      <c r="V1811" t="str">
        <f>TEXT(Sales_Table[[#This Row],[Date_clean]],"mmmm")</f>
        <v>March</v>
      </c>
      <c r="W1811">
        <f>WEEKNUM(Sales_Table[[#This Row],[Date_clean]],2)</f>
        <v>11</v>
      </c>
      <c r="X1811" t="str" cm="1">
        <f t="array" ref="X1811">_xlfn.IFS(Sales_Table[[#This Row],[Revenue]]&gt;=50000,"High",Sales_Table[[#This Row],[Revenue]]&gt;=20000,"Medium",Sales_Table[[#This Row],[Revenue]]&lt;20000,"Low")</f>
        <v>Medium</v>
      </c>
      <c r="Y1811" t="str">
        <f>IF(Sales_Table[[#This Row],[Payment Method_clean]]="cash","Offline","Online")</f>
        <v>Online</v>
      </c>
      <c r="Z1811">
        <f>IFERROR(Sales_Table[[#This Row],[Revenue]],0)</f>
        <v>40573</v>
      </c>
    </row>
    <row r="1812" spans="1:26" x14ac:dyDescent="0.3">
      <c r="A1812">
        <v>1811</v>
      </c>
      <c r="B1812" s="2">
        <f t="shared" si="196"/>
        <v>45367.416666666664</v>
      </c>
      <c r="C1812" t="s">
        <v>4097</v>
      </c>
      <c r="D1812" t="s">
        <v>84</v>
      </c>
      <c r="E1812" t="str">
        <f>PROPER(TRIM(CLEAN(Sales_Table[[#This Row],[Region]])))</f>
        <v>South</v>
      </c>
      <c r="F1812" t="s">
        <v>46</v>
      </c>
      <c r="G1812" t="str">
        <f t="shared" si="197"/>
        <v>Electronics</v>
      </c>
      <c r="H1812" t="str">
        <f>PROPER(TRIM(CLEAN(Sales_Table[[#This Row],[Product Name]])))</f>
        <v>Men T-Shirt</v>
      </c>
      <c r="I1812" t="s">
        <v>38</v>
      </c>
      <c r="J1812" t="str">
        <f t="shared" si="198"/>
        <v>CUST0533</v>
      </c>
      <c r="K1812" t="s">
        <v>4098</v>
      </c>
      <c r="L1812" t="str">
        <f>PROPER(TRIM(CLEAN(Sales_Table[[#This Row],[Salesperson]])))</f>
        <v>Suresh</v>
      </c>
      <c r="M1812" t="s">
        <v>54</v>
      </c>
      <c r="N1812" t="str">
        <f t="shared" si="199"/>
        <v>Cash</v>
      </c>
      <c r="O1812" t="s">
        <v>32</v>
      </c>
      <c r="P1812">
        <f t="shared" si="200"/>
        <v>6</v>
      </c>
      <c r="Q1812" t="s">
        <v>75</v>
      </c>
      <c r="R1812">
        <f t="shared" si="201"/>
        <v>661</v>
      </c>
      <c r="S1812" t="s">
        <v>4099</v>
      </c>
      <c r="T1812">
        <f t="shared" si="202"/>
        <v>3966</v>
      </c>
      <c r="U1812">
        <f>YEAR(Sales_Table[[#This Row],[Date_clean]])</f>
        <v>2024</v>
      </c>
      <c r="V1812" t="str">
        <f>TEXT(Sales_Table[[#This Row],[Date_clean]],"mmmm")</f>
        <v>March</v>
      </c>
      <c r="W1812">
        <f>WEEKNUM(Sales_Table[[#This Row],[Date_clean]],2)</f>
        <v>11</v>
      </c>
      <c r="X1812" t="str" cm="1">
        <f t="array" ref="X1812">_xlfn.IFS(Sales_Table[[#This Row],[Revenue]]&gt;=50000,"High",Sales_Table[[#This Row],[Revenue]]&gt;=20000,"Medium",Sales_Table[[#This Row],[Revenue]]&lt;20000,"Low")</f>
        <v>Low</v>
      </c>
      <c r="Y1812" t="str">
        <f>IF(Sales_Table[[#This Row],[Payment Method_clean]]="cash","Offline","Online")</f>
        <v>Offline</v>
      </c>
      <c r="Z1812">
        <f>IFERROR(Sales_Table[[#This Row],[Revenue]],0)</f>
        <v>3966</v>
      </c>
    </row>
    <row r="1813" spans="1:26" x14ac:dyDescent="0.3">
      <c r="A1813">
        <v>1812</v>
      </c>
      <c r="B1813" s="2">
        <f t="shared" si="196"/>
        <v>45367.458333333336</v>
      </c>
      <c r="C1813" t="s">
        <v>4100</v>
      </c>
      <c r="D1813" t="s">
        <v>45</v>
      </c>
      <c r="E1813" t="str">
        <f>PROPER(TRIM(CLEAN(Sales_Table[[#This Row],[Region]])))</f>
        <v>North</v>
      </c>
      <c r="F1813" t="s">
        <v>78</v>
      </c>
      <c r="G1813" t="str">
        <f t="shared" si="197"/>
        <v>Grocery</v>
      </c>
      <c r="H1813" t="str">
        <f>PROPER(TRIM(CLEAN(Sales_Table[[#This Row],[Product Name]])))</f>
        <v>Led Tv 42Inch</v>
      </c>
      <c r="I1813" t="s">
        <v>58</v>
      </c>
      <c r="J1813" t="str">
        <f t="shared" si="198"/>
        <v>CUST0090</v>
      </c>
      <c r="K1813" t="s">
        <v>784</v>
      </c>
      <c r="L1813" t="str">
        <f>PROPER(TRIM(CLEAN(Sales_Table[[#This Row],[Salesperson]])))</f>
        <v>Rahul</v>
      </c>
      <c r="M1813" t="s">
        <v>31</v>
      </c>
      <c r="N1813" t="str">
        <f t="shared" si="199"/>
        <v>Credit Card</v>
      </c>
      <c r="O1813" t="s">
        <v>65</v>
      </c>
      <c r="P1813">
        <f t="shared" si="200"/>
        <v>8</v>
      </c>
      <c r="Q1813" t="s">
        <v>42</v>
      </c>
      <c r="R1813">
        <f t="shared" si="201"/>
        <v>401</v>
      </c>
      <c r="S1813" t="s">
        <v>4101</v>
      </c>
      <c r="T1813">
        <f t="shared" si="202"/>
        <v>3208</v>
      </c>
      <c r="U1813">
        <f>YEAR(Sales_Table[[#This Row],[Date_clean]])</f>
        <v>2024</v>
      </c>
      <c r="V1813" t="str">
        <f>TEXT(Sales_Table[[#This Row],[Date_clean]],"mmmm")</f>
        <v>March</v>
      </c>
      <c r="W1813">
        <f>WEEKNUM(Sales_Table[[#This Row],[Date_clean]],2)</f>
        <v>11</v>
      </c>
      <c r="X1813" t="str" cm="1">
        <f t="array" ref="X1813">_xlfn.IFS(Sales_Table[[#This Row],[Revenue]]&gt;=50000,"High",Sales_Table[[#This Row],[Revenue]]&gt;=20000,"Medium",Sales_Table[[#This Row],[Revenue]]&lt;20000,"Low")</f>
        <v>Low</v>
      </c>
      <c r="Y1813" t="str">
        <f>IF(Sales_Table[[#This Row],[Payment Method_clean]]="cash","Offline","Online")</f>
        <v>Online</v>
      </c>
      <c r="Z1813">
        <f>IFERROR(Sales_Table[[#This Row],[Revenue]],0)</f>
        <v>3208</v>
      </c>
    </row>
    <row r="1814" spans="1:26" x14ac:dyDescent="0.3">
      <c r="A1814">
        <v>1813</v>
      </c>
      <c r="B1814" s="2">
        <f t="shared" si="196"/>
        <v>45367.5</v>
      </c>
      <c r="C1814" t="s">
        <v>4102</v>
      </c>
      <c r="D1814" t="s">
        <v>27</v>
      </c>
      <c r="E1814" t="str">
        <f>PROPER(TRIM(CLEAN(Sales_Table[[#This Row],[Region]])))</f>
        <v>East</v>
      </c>
      <c r="F1814" t="s">
        <v>46</v>
      </c>
      <c r="G1814" t="str">
        <f t="shared" si="197"/>
        <v>Electronics</v>
      </c>
      <c r="H1814" t="str">
        <f>PROPER(TRIM(CLEAN(Sales_Table[[#This Row],[Product Name]])))</f>
        <v>Rice 5Kg</v>
      </c>
      <c r="I1814" t="s">
        <v>73</v>
      </c>
      <c r="J1814" t="str">
        <f t="shared" si="198"/>
        <v>CUST0296</v>
      </c>
      <c r="K1814" t="s">
        <v>763</v>
      </c>
      <c r="L1814" t="str">
        <f>PROPER(TRIM(CLEAN(Sales_Table[[#This Row],[Salesperson]])))</f>
        <v>Rahul</v>
      </c>
      <c r="M1814" t="s">
        <v>31</v>
      </c>
      <c r="N1814" t="str">
        <f t="shared" si="199"/>
        <v>Debit Card</v>
      </c>
      <c r="O1814" t="s">
        <v>41</v>
      </c>
      <c r="P1814">
        <f t="shared" si="200"/>
        <v>1</v>
      </c>
      <c r="Q1814" t="s">
        <v>93</v>
      </c>
      <c r="R1814">
        <f t="shared" si="201"/>
        <v>3867</v>
      </c>
      <c r="S1814" t="s">
        <v>4103</v>
      </c>
      <c r="T1814">
        <f t="shared" si="202"/>
        <v>3867</v>
      </c>
      <c r="U1814">
        <f>YEAR(Sales_Table[[#This Row],[Date_clean]])</f>
        <v>2024</v>
      </c>
      <c r="V1814" t="str">
        <f>TEXT(Sales_Table[[#This Row],[Date_clean]],"mmmm")</f>
        <v>March</v>
      </c>
      <c r="W1814">
        <f>WEEKNUM(Sales_Table[[#This Row],[Date_clean]],2)</f>
        <v>11</v>
      </c>
      <c r="X1814" t="str" cm="1">
        <f t="array" ref="X1814">_xlfn.IFS(Sales_Table[[#This Row],[Revenue]]&gt;=50000,"High",Sales_Table[[#This Row],[Revenue]]&gt;=20000,"Medium",Sales_Table[[#This Row],[Revenue]]&lt;20000,"Low")</f>
        <v>Low</v>
      </c>
      <c r="Y1814" t="str">
        <f>IF(Sales_Table[[#This Row],[Payment Method_clean]]="cash","Offline","Online")</f>
        <v>Online</v>
      </c>
      <c r="Z1814">
        <f>IFERROR(Sales_Table[[#This Row],[Revenue]],0)</f>
        <v>3867</v>
      </c>
    </row>
    <row r="1815" spans="1:26" x14ac:dyDescent="0.3">
      <c r="A1815">
        <v>1814</v>
      </c>
      <c r="B1815" s="2">
        <f t="shared" si="196"/>
        <v>45367.541666666664</v>
      </c>
      <c r="C1815" t="s">
        <v>4104</v>
      </c>
      <c r="D1815" t="s">
        <v>45</v>
      </c>
      <c r="E1815" t="str">
        <f>PROPER(TRIM(CLEAN(Sales_Table[[#This Row],[Region]])))</f>
        <v>North</v>
      </c>
      <c r="F1815" t="s">
        <v>78</v>
      </c>
      <c r="G1815" t="str">
        <f t="shared" si="197"/>
        <v>Grocery</v>
      </c>
      <c r="H1815" t="str">
        <f>PROPER(TRIM(CLEAN(Sales_Table[[#This Row],[Product Name]])))</f>
        <v>Washing Machine</v>
      </c>
      <c r="I1815" t="s">
        <v>79</v>
      </c>
      <c r="J1815" t="str">
        <f t="shared" si="198"/>
        <v>CUST0112</v>
      </c>
      <c r="K1815" t="s">
        <v>748</v>
      </c>
      <c r="L1815" t="str">
        <f>PROPER(TRIM(CLEAN(Sales_Table[[#This Row],[Salesperson]])))</f>
        <v>Karthik</v>
      </c>
      <c r="M1815" t="s">
        <v>70</v>
      </c>
      <c r="N1815" t="str">
        <f t="shared" si="199"/>
        <v>Net Banking</v>
      </c>
      <c r="O1815" t="s">
        <v>60</v>
      </c>
      <c r="P1815">
        <f t="shared" si="200"/>
        <v>5</v>
      </c>
      <c r="Q1815" t="s">
        <v>89</v>
      </c>
      <c r="R1815">
        <f t="shared" si="201"/>
        <v>4380</v>
      </c>
      <c r="S1815" t="s">
        <v>4105</v>
      </c>
      <c r="T1815">
        <f t="shared" si="202"/>
        <v>21900</v>
      </c>
      <c r="U1815">
        <f>YEAR(Sales_Table[[#This Row],[Date_clean]])</f>
        <v>2024</v>
      </c>
      <c r="V1815" t="str">
        <f>TEXT(Sales_Table[[#This Row],[Date_clean]],"mmmm")</f>
        <v>March</v>
      </c>
      <c r="W1815">
        <f>WEEKNUM(Sales_Table[[#This Row],[Date_clean]],2)</f>
        <v>11</v>
      </c>
      <c r="X1815" t="str" cm="1">
        <f t="array" ref="X1815">_xlfn.IFS(Sales_Table[[#This Row],[Revenue]]&gt;=50000,"High",Sales_Table[[#This Row],[Revenue]]&gt;=20000,"Medium",Sales_Table[[#This Row],[Revenue]]&lt;20000,"Low")</f>
        <v>Medium</v>
      </c>
      <c r="Y1815" t="str">
        <f>IF(Sales_Table[[#This Row],[Payment Method_clean]]="cash","Offline","Online")</f>
        <v>Online</v>
      </c>
      <c r="Z1815">
        <f>IFERROR(Sales_Table[[#This Row],[Revenue]],0)</f>
        <v>21900</v>
      </c>
    </row>
    <row r="1816" spans="1:26" x14ac:dyDescent="0.3">
      <c r="A1816">
        <v>1815</v>
      </c>
      <c r="B1816" s="2">
        <f t="shared" si="196"/>
        <v>45367.583333333336</v>
      </c>
      <c r="C1816" t="s">
        <v>4106</v>
      </c>
      <c r="D1816" t="s">
        <v>36</v>
      </c>
      <c r="E1816" t="str">
        <f>PROPER(TRIM(CLEAN(Sales_Table[[#This Row],[Region]])))</f>
        <v>West</v>
      </c>
      <c r="F1816" t="s">
        <v>78</v>
      </c>
      <c r="G1816" t="str">
        <f t="shared" si="197"/>
        <v>Grocery</v>
      </c>
      <c r="H1816" t="str">
        <f>PROPER(TRIM(CLEAN(Sales_Table[[#This Row],[Product Name]])))</f>
        <v>Washing Machine</v>
      </c>
      <c r="I1816" t="s">
        <v>79</v>
      </c>
      <c r="J1816" t="str">
        <f t="shared" si="198"/>
        <v>CUST0589</v>
      </c>
      <c r="K1816" t="s">
        <v>1214</v>
      </c>
      <c r="L1816" t="str">
        <f>PROPER(TRIM(CLEAN(Sales_Table[[#This Row],[Salesperson]])))</f>
        <v>Karthik</v>
      </c>
      <c r="M1816" t="s">
        <v>70</v>
      </c>
      <c r="N1816" t="str">
        <f t="shared" si="199"/>
        <v>Debit Card</v>
      </c>
      <c r="O1816" t="s">
        <v>41</v>
      </c>
      <c r="P1816">
        <f t="shared" si="200"/>
        <v>3</v>
      </c>
      <c r="Q1816" t="s">
        <v>66</v>
      </c>
      <c r="R1816">
        <f t="shared" si="201"/>
        <v>609</v>
      </c>
      <c r="S1816" t="s">
        <v>4107</v>
      </c>
      <c r="T1816">
        <f t="shared" si="202"/>
        <v>1827</v>
      </c>
      <c r="U1816">
        <f>YEAR(Sales_Table[[#This Row],[Date_clean]])</f>
        <v>2024</v>
      </c>
      <c r="V1816" t="str">
        <f>TEXT(Sales_Table[[#This Row],[Date_clean]],"mmmm")</f>
        <v>March</v>
      </c>
      <c r="W1816">
        <f>WEEKNUM(Sales_Table[[#This Row],[Date_clean]],2)</f>
        <v>11</v>
      </c>
      <c r="X1816" t="str" cm="1">
        <f t="array" ref="X1816">_xlfn.IFS(Sales_Table[[#This Row],[Revenue]]&gt;=50000,"High",Sales_Table[[#This Row],[Revenue]]&gt;=20000,"Medium",Sales_Table[[#This Row],[Revenue]]&lt;20000,"Low")</f>
        <v>Low</v>
      </c>
      <c r="Y1816" t="str">
        <f>IF(Sales_Table[[#This Row],[Payment Method_clean]]="cash","Offline","Online")</f>
        <v>Online</v>
      </c>
      <c r="Z1816">
        <f>IFERROR(Sales_Table[[#This Row],[Revenue]],0)</f>
        <v>1827</v>
      </c>
    </row>
    <row r="1817" spans="1:26" x14ac:dyDescent="0.3">
      <c r="A1817">
        <v>1816</v>
      </c>
      <c r="B1817" s="2">
        <f t="shared" si="196"/>
        <v>45367.625</v>
      </c>
      <c r="C1817" t="s">
        <v>4108</v>
      </c>
      <c r="D1817" t="s">
        <v>27</v>
      </c>
      <c r="E1817" t="str">
        <f>PROPER(TRIM(CLEAN(Sales_Table[[#This Row],[Region]])))</f>
        <v>East</v>
      </c>
      <c r="F1817" t="s">
        <v>37</v>
      </c>
      <c r="G1817" t="str">
        <f t="shared" si="197"/>
        <v>Home Appliances</v>
      </c>
      <c r="H1817" t="str">
        <f>PROPER(TRIM(CLEAN(Sales_Table[[#This Row],[Product Name]])))</f>
        <v>Led Tv 42Inch</v>
      </c>
      <c r="I1817" t="s">
        <v>58</v>
      </c>
      <c r="J1817" t="str">
        <f t="shared" si="198"/>
        <v>CUST0177</v>
      </c>
      <c r="K1817" t="s">
        <v>1312</v>
      </c>
      <c r="L1817" t="str">
        <f>PROPER(TRIM(CLEAN(Sales_Table[[#This Row],[Salesperson]])))</f>
        <v>Anita</v>
      </c>
      <c r="M1817" t="s">
        <v>64</v>
      </c>
      <c r="N1817" t="str">
        <f t="shared" si="199"/>
        <v>Credit Card</v>
      </c>
      <c r="O1817" t="s">
        <v>65</v>
      </c>
      <c r="P1817">
        <f t="shared" si="200"/>
        <v>12</v>
      </c>
      <c r="Q1817" t="s">
        <v>33</v>
      </c>
      <c r="R1817">
        <f t="shared" si="201"/>
        <v>3545</v>
      </c>
      <c r="S1817" t="s">
        <v>4109</v>
      </c>
      <c r="T1817">
        <f t="shared" si="202"/>
        <v>42540</v>
      </c>
      <c r="U1817">
        <f>YEAR(Sales_Table[[#This Row],[Date_clean]])</f>
        <v>2024</v>
      </c>
      <c r="V1817" t="str">
        <f>TEXT(Sales_Table[[#This Row],[Date_clean]],"mmmm")</f>
        <v>March</v>
      </c>
      <c r="W1817">
        <f>WEEKNUM(Sales_Table[[#This Row],[Date_clean]],2)</f>
        <v>11</v>
      </c>
      <c r="X1817" t="str" cm="1">
        <f t="array" ref="X1817">_xlfn.IFS(Sales_Table[[#This Row],[Revenue]]&gt;=50000,"High",Sales_Table[[#This Row],[Revenue]]&gt;=20000,"Medium",Sales_Table[[#This Row],[Revenue]]&lt;20000,"Low")</f>
        <v>Medium</v>
      </c>
      <c r="Y1817" t="str">
        <f>IF(Sales_Table[[#This Row],[Payment Method_clean]]="cash","Offline","Online")</f>
        <v>Online</v>
      </c>
      <c r="Z1817">
        <f>IFERROR(Sales_Table[[#This Row],[Revenue]],0)</f>
        <v>42540</v>
      </c>
    </row>
    <row r="1818" spans="1:26" x14ac:dyDescent="0.3">
      <c r="A1818">
        <v>1817</v>
      </c>
      <c r="B1818" s="2">
        <f t="shared" si="196"/>
        <v>45367.666666666664</v>
      </c>
      <c r="C1818" t="s">
        <v>4110</v>
      </c>
      <c r="D1818" t="s">
        <v>84</v>
      </c>
      <c r="E1818" t="str">
        <f>PROPER(TRIM(CLEAN(Sales_Table[[#This Row],[Region]])))</f>
        <v>South</v>
      </c>
      <c r="F1818" t="s">
        <v>28</v>
      </c>
      <c r="G1818" t="str">
        <f t="shared" si="197"/>
        <v>Clothing</v>
      </c>
      <c r="H1818" t="str">
        <f>PROPER(TRIM(CLEAN(Sales_Table[[#This Row],[Product Name]])))</f>
        <v>Mixer Grinder</v>
      </c>
      <c r="I1818" t="s">
        <v>29</v>
      </c>
      <c r="J1818" t="str">
        <f t="shared" si="198"/>
        <v>CUST0343</v>
      </c>
      <c r="K1818" t="s">
        <v>692</v>
      </c>
      <c r="L1818" t="str">
        <f>PROPER(TRIM(CLEAN(Sales_Table[[#This Row],[Salesperson]])))</f>
        <v>Anita</v>
      </c>
      <c r="M1818" t="s">
        <v>64</v>
      </c>
      <c r="N1818" t="str">
        <f t="shared" si="199"/>
        <v>Net Banking</v>
      </c>
      <c r="O1818" t="s">
        <v>60</v>
      </c>
      <c r="P1818">
        <f t="shared" si="200"/>
        <v>8</v>
      </c>
      <c r="Q1818" t="s">
        <v>42</v>
      </c>
      <c r="R1818">
        <f t="shared" si="201"/>
        <v>2303</v>
      </c>
      <c r="S1818" t="s">
        <v>4111</v>
      </c>
      <c r="T1818">
        <f t="shared" si="202"/>
        <v>18424</v>
      </c>
      <c r="U1818">
        <f>YEAR(Sales_Table[[#This Row],[Date_clean]])</f>
        <v>2024</v>
      </c>
      <c r="V1818" t="str">
        <f>TEXT(Sales_Table[[#This Row],[Date_clean]],"mmmm")</f>
        <v>March</v>
      </c>
      <c r="W1818">
        <f>WEEKNUM(Sales_Table[[#This Row],[Date_clean]],2)</f>
        <v>11</v>
      </c>
      <c r="X1818" t="str" cm="1">
        <f t="array" ref="X1818">_xlfn.IFS(Sales_Table[[#This Row],[Revenue]]&gt;=50000,"High",Sales_Table[[#This Row],[Revenue]]&gt;=20000,"Medium",Sales_Table[[#This Row],[Revenue]]&lt;20000,"Low")</f>
        <v>Low</v>
      </c>
      <c r="Y1818" t="str">
        <f>IF(Sales_Table[[#This Row],[Payment Method_clean]]="cash","Offline","Online")</f>
        <v>Online</v>
      </c>
      <c r="Z1818">
        <f>IFERROR(Sales_Table[[#This Row],[Revenue]],0)</f>
        <v>18424</v>
      </c>
    </row>
    <row r="1819" spans="1:26" x14ac:dyDescent="0.3">
      <c r="A1819">
        <v>1818</v>
      </c>
      <c r="B1819" s="2">
        <f t="shared" si="196"/>
        <v>45367.708333333336</v>
      </c>
      <c r="C1819" t="s">
        <v>4112</v>
      </c>
      <c r="D1819" t="s">
        <v>27</v>
      </c>
      <c r="E1819" t="str">
        <f>PROPER(TRIM(CLEAN(Sales_Table[[#This Row],[Region]])))</f>
        <v>East</v>
      </c>
      <c r="F1819" t="s">
        <v>37</v>
      </c>
      <c r="G1819" t="str">
        <f t="shared" si="197"/>
        <v>Home Appliances</v>
      </c>
      <c r="H1819" t="str">
        <f>PROPER(TRIM(CLEAN(Sales_Table[[#This Row],[Product Name]])))</f>
        <v>Rice 5Kg</v>
      </c>
      <c r="I1819" t="s">
        <v>73</v>
      </c>
      <c r="J1819" t="str">
        <f t="shared" si="198"/>
        <v>CUST0660</v>
      </c>
      <c r="K1819" t="s">
        <v>808</v>
      </c>
      <c r="L1819" t="str">
        <f>PROPER(TRIM(CLEAN(Sales_Table[[#This Row],[Salesperson]])))</f>
        <v>Anita</v>
      </c>
      <c r="M1819" t="s">
        <v>64</v>
      </c>
      <c r="N1819" t="str">
        <f t="shared" si="199"/>
        <v>Net Banking</v>
      </c>
      <c r="O1819" t="s">
        <v>60</v>
      </c>
      <c r="P1819">
        <f t="shared" si="200"/>
        <v>11</v>
      </c>
      <c r="Q1819" t="s">
        <v>97</v>
      </c>
      <c r="R1819">
        <f t="shared" si="201"/>
        <v>2934</v>
      </c>
      <c r="S1819" t="s">
        <v>4113</v>
      </c>
      <c r="T1819">
        <f t="shared" si="202"/>
        <v>32274</v>
      </c>
      <c r="U1819">
        <f>YEAR(Sales_Table[[#This Row],[Date_clean]])</f>
        <v>2024</v>
      </c>
      <c r="V1819" t="str">
        <f>TEXT(Sales_Table[[#This Row],[Date_clean]],"mmmm")</f>
        <v>March</v>
      </c>
      <c r="W1819">
        <f>WEEKNUM(Sales_Table[[#This Row],[Date_clean]],2)</f>
        <v>11</v>
      </c>
      <c r="X1819" t="str" cm="1">
        <f t="array" ref="X1819">_xlfn.IFS(Sales_Table[[#This Row],[Revenue]]&gt;=50000,"High",Sales_Table[[#This Row],[Revenue]]&gt;=20000,"Medium",Sales_Table[[#This Row],[Revenue]]&lt;20000,"Low")</f>
        <v>Medium</v>
      </c>
      <c r="Y1819" t="str">
        <f>IF(Sales_Table[[#This Row],[Payment Method_clean]]="cash","Offline","Online")</f>
        <v>Online</v>
      </c>
      <c r="Z1819">
        <f>IFERROR(Sales_Table[[#This Row],[Revenue]],0)</f>
        <v>32274</v>
      </c>
    </row>
    <row r="1820" spans="1:26" x14ac:dyDescent="0.3">
      <c r="A1820">
        <v>1819</v>
      </c>
      <c r="B1820" s="2">
        <f t="shared" si="196"/>
        <v>45367.75</v>
      </c>
      <c r="C1820" t="s">
        <v>4114</v>
      </c>
      <c r="D1820" t="s">
        <v>84</v>
      </c>
      <c r="E1820" t="str">
        <f>PROPER(TRIM(CLEAN(Sales_Table[[#This Row],[Region]])))</f>
        <v>South</v>
      </c>
      <c r="F1820" t="s">
        <v>28</v>
      </c>
      <c r="G1820" t="str">
        <f t="shared" si="197"/>
        <v>Clothing</v>
      </c>
      <c r="H1820" t="str">
        <f>PROPER(TRIM(CLEAN(Sales_Table[[#This Row],[Product Name]])))</f>
        <v>Washing Machine</v>
      </c>
      <c r="I1820" t="s">
        <v>79</v>
      </c>
      <c r="J1820" t="str">
        <f t="shared" si="198"/>
        <v>CUST0101</v>
      </c>
      <c r="K1820" t="s">
        <v>1007</v>
      </c>
      <c r="L1820" t="str">
        <f>PROPER(TRIM(CLEAN(Sales_Table[[#This Row],[Salesperson]])))</f>
        <v>Karthik</v>
      </c>
      <c r="M1820" t="s">
        <v>70</v>
      </c>
      <c r="N1820" t="str">
        <f t="shared" si="199"/>
        <v>Debit Card</v>
      </c>
      <c r="O1820" t="s">
        <v>41</v>
      </c>
      <c r="P1820">
        <f t="shared" si="200"/>
        <v>6</v>
      </c>
      <c r="Q1820" t="s">
        <v>75</v>
      </c>
      <c r="R1820">
        <f t="shared" si="201"/>
        <v>894</v>
      </c>
      <c r="S1820" t="s">
        <v>3235</v>
      </c>
      <c r="T1820">
        <f t="shared" si="202"/>
        <v>5364</v>
      </c>
      <c r="U1820">
        <f>YEAR(Sales_Table[[#This Row],[Date_clean]])</f>
        <v>2024</v>
      </c>
      <c r="V1820" t="str">
        <f>TEXT(Sales_Table[[#This Row],[Date_clean]],"mmmm")</f>
        <v>March</v>
      </c>
      <c r="W1820">
        <f>WEEKNUM(Sales_Table[[#This Row],[Date_clean]],2)</f>
        <v>11</v>
      </c>
      <c r="X1820" t="str" cm="1">
        <f t="array" ref="X1820">_xlfn.IFS(Sales_Table[[#This Row],[Revenue]]&gt;=50000,"High",Sales_Table[[#This Row],[Revenue]]&gt;=20000,"Medium",Sales_Table[[#This Row],[Revenue]]&lt;20000,"Low")</f>
        <v>Low</v>
      </c>
      <c r="Y1820" t="str">
        <f>IF(Sales_Table[[#This Row],[Payment Method_clean]]="cash","Offline","Online")</f>
        <v>Online</v>
      </c>
      <c r="Z1820">
        <f>IFERROR(Sales_Table[[#This Row],[Revenue]],0)</f>
        <v>5364</v>
      </c>
    </row>
    <row r="1821" spans="1:26" x14ac:dyDescent="0.3">
      <c r="A1821">
        <v>1820</v>
      </c>
      <c r="B1821" s="2">
        <f t="shared" si="196"/>
        <v>45367.791666666664</v>
      </c>
      <c r="C1821" t="s">
        <v>4115</v>
      </c>
      <c r="D1821" t="s">
        <v>27</v>
      </c>
      <c r="E1821" t="str">
        <f>PROPER(TRIM(CLEAN(Sales_Table[[#This Row],[Region]])))</f>
        <v>East</v>
      </c>
      <c r="F1821" t="s">
        <v>28</v>
      </c>
      <c r="G1821" t="str">
        <f t="shared" si="197"/>
        <v>Clothing</v>
      </c>
      <c r="H1821" t="str">
        <f>PROPER(TRIM(CLEAN(Sales_Table[[#This Row],[Product Name]])))</f>
        <v>Laptop</v>
      </c>
      <c r="I1821" t="s">
        <v>52</v>
      </c>
      <c r="J1821" t="str">
        <f t="shared" si="198"/>
        <v>CUST0758</v>
      </c>
      <c r="K1821" t="s">
        <v>643</v>
      </c>
      <c r="L1821" t="str">
        <f>PROPER(TRIM(CLEAN(Sales_Table[[#This Row],[Salesperson]])))</f>
        <v>Anita</v>
      </c>
      <c r="M1821" t="s">
        <v>64</v>
      </c>
      <c r="N1821" t="str">
        <f t="shared" si="199"/>
        <v>Credit Card</v>
      </c>
      <c r="O1821" t="s">
        <v>65</v>
      </c>
      <c r="P1821">
        <f t="shared" si="200"/>
        <v>14</v>
      </c>
      <c r="Q1821" t="s">
        <v>55</v>
      </c>
      <c r="R1821">
        <f t="shared" si="201"/>
        <v>2579</v>
      </c>
      <c r="S1821" t="s">
        <v>4116</v>
      </c>
      <c r="T1821">
        <f t="shared" si="202"/>
        <v>36106</v>
      </c>
      <c r="U1821">
        <f>YEAR(Sales_Table[[#This Row],[Date_clean]])</f>
        <v>2024</v>
      </c>
      <c r="V1821" t="str">
        <f>TEXT(Sales_Table[[#This Row],[Date_clean]],"mmmm")</f>
        <v>March</v>
      </c>
      <c r="W1821">
        <f>WEEKNUM(Sales_Table[[#This Row],[Date_clean]],2)</f>
        <v>11</v>
      </c>
      <c r="X1821" t="str" cm="1">
        <f t="array" ref="X1821">_xlfn.IFS(Sales_Table[[#This Row],[Revenue]]&gt;=50000,"High",Sales_Table[[#This Row],[Revenue]]&gt;=20000,"Medium",Sales_Table[[#This Row],[Revenue]]&lt;20000,"Low")</f>
        <v>Medium</v>
      </c>
      <c r="Y1821" t="str">
        <f>IF(Sales_Table[[#This Row],[Payment Method_clean]]="cash","Offline","Online")</f>
        <v>Online</v>
      </c>
      <c r="Z1821">
        <f>IFERROR(Sales_Table[[#This Row],[Revenue]],0)</f>
        <v>36106</v>
      </c>
    </row>
    <row r="1822" spans="1:26" x14ac:dyDescent="0.3">
      <c r="A1822">
        <v>1821</v>
      </c>
      <c r="B1822" s="2">
        <f t="shared" si="196"/>
        <v>45367.833333333336</v>
      </c>
      <c r="C1822" t="s">
        <v>4117</v>
      </c>
      <c r="D1822" t="s">
        <v>27</v>
      </c>
      <c r="E1822" t="str">
        <f>PROPER(TRIM(CLEAN(Sales_Table[[#This Row],[Region]])))</f>
        <v>East</v>
      </c>
      <c r="F1822" t="s">
        <v>28</v>
      </c>
      <c r="G1822" t="str">
        <f t="shared" si="197"/>
        <v>Clothing</v>
      </c>
      <c r="H1822" t="str">
        <f>PROPER(TRIM(CLEAN(Sales_Table[[#This Row],[Product Name]])))</f>
        <v>Washing Machine</v>
      </c>
      <c r="I1822" t="s">
        <v>79</v>
      </c>
      <c r="J1822" t="str">
        <f t="shared" si="198"/>
        <v>CUST0629</v>
      </c>
      <c r="K1822" t="s">
        <v>3323</v>
      </c>
      <c r="L1822" t="str">
        <f>PROPER(TRIM(CLEAN(Sales_Table[[#This Row],[Salesperson]])))</f>
        <v>Anita</v>
      </c>
      <c r="M1822" t="s">
        <v>64</v>
      </c>
      <c r="N1822" t="str">
        <f t="shared" si="199"/>
        <v>Cash</v>
      </c>
      <c r="O1822" t="s">
        <v>32</v>
      </c>
      <c r="P1822">
        <f t="shared" si="200"/>
        <v>2</v>
      </c>
      <c r="Q1822" t="s">
        <v>196</v>
      </c>
      <c r="R1822">
        <f t="shared" si="201"/>
        <v>1623</v>
      </c>
      <c r="S1822" t="s">
        <v>4118</v>
      </c>
      <c r="T1822">
        <f t="shared" si="202"/>
        <v>3246</v>
      </c>
      <c r="U1822">
        <f>YEAR(Sales_Table[[#This Row],[Date_clean]])</f>
        <v>2024</v>
      </c>
      <c r="V1822" t="str">
        <f>TEXT(Sales_Table[[#This Row],[Date_clean]],"mmmm")</f>
        <v>March</v>
      </c>
      <c r="W1822">
        <f>WEEKNUM(Sales_Table[[#This Row],[Date_clean]],2)</f>
        <v>11</v>
      </c>
      <c r="X1822" t="str" cm="1">
        <f t="array" ref="X1822">_xlfn.IFS(Sales_Table[[#This Row],[Revenue]]&gt;=50000,"High",Sales_Table[[#This Row],[Revenue]]&gt;=20000,"Medium",Sales_Table[[#This Row],[Revenue]]&lt;20000,"Low")</f>
        <v>Low</v>
      </c>
      <c r="Y1822" t="str">
        <f>IF(Sales_Table[[#This Row],[Payment Method_clean]]="cash","Offline","Online")</f>
        <v>Offline</v>
      </c>
      <c r="Z1822">
        <f>IFERROR(Sales_Table[[#This Row],[Revenue]],0)</f>
        <v>3246</v>
      </c>
    </row>
    <row r="1823" spans="1:26" x14ac:dyDescent="0.3">
      <c r="A1823">
        <v>1822</v>
      </c>
      <c r="B1823" s="2">
        <f t="shared" si="196"/>
        <v>45367.875</v>
      </c>
      <c r="C1823" t="s">
        <v>4119</v>
      </c>
      <c r="D1823" t="s">
        <v>27</v>
      </c>
      <c r="E1823" t="str">
        <f>PROPER(TRIM(CLEAN(Sales_Table[[#This Row],[Region]])))</f>
        <v>East</v>
      </c>
      <c r="F1823" t="s">
        <v>46</v>
      </c>
      <c r="G1823" t="str">
        <f t="shared" si="197"/>
        <v>Electronics</v>
      </c>
      <c r="H1823" t="str">
        <f>PROPER(TRIM(CLEAN(Sales_Table[[#This Row],[Product Name]])))</f>
        <v>Mixer Grinder</v>
      </c>
      <c r="I1823" t="s">
        <v>29</v>
      </c>
      <c r="J1823" t="str">
        <f t="shared" si="198"/>
        <v>CUST0604</v>
      </c>
      <c r="K1823" t="s">
        <v>4120</v>
      </c>
      <c r="L1823" t="str">
        <f>PROPER(TRIM(CLEAN(Sales_Table[[#This Row],[Salesperson]])))</f>
        <v>Suresh</v>
      </c>
      <c r="M1823" t="s">
        <v>54</v>
      </c>
      <c r="N1823" t="str">
        <f t="shared" si="199"/>
        <v>Net Banking</v>
      </c>
      <c r="O1823" t="s">
        <v>60</v>
      </c>
      <c r="P1823">
        <f t="shared" si="200"/>
        <v>13</v>
      </c>
      <c r="Q1823" t="s">
        <v>81</v>
      </c>
      <c r="R1823">
        <f t="shared" si="201"/>
        <v>4956</v>
      </c>
      <c r="S1823" t="s">
        <v>4121</v>
      </c>
      <c r="T1823">
        <f t="shared" si="202"/>
        <v>64428</v>
      </c>
      <c r="U1823">
        <f>YEAR(Sales_Table[[#This Row],[Date_clean]])</f>
        <v>2024</v>
      </c>
      <c r="V1823" t="str">
        <f>TEXT(Sales_Table[[#This Row],[Date_clean]],"mmmm")</f>
        <v>March</v>
      </c>
      <c r="W1823">
        <f>WEEKNUM(Sales_Table[[#This Row],[Date_clean]],2)</f>
        <v>11</v>
      </c>
      <c r="X1823" t="str" cm="1">
        <f t="array" ref="X1823">_xlfn.IFS(Sales_Table[[#This Row],[Revenue]]&gt;=50000,"High",Sales_Table[[#This Row],[Revenue]]&gt;=20000,"Medium",Sales_Table[[#This Row],[Revenue]]&lt;20000,"Low")</f>
        <v>High</v>
      </c>
      <c r="Y1823" t="str">
        <f>IF(Sales_Table[[#This Row],[Payment Method_clean]]="cash","Offline","Online")</f>
        <v>Online</v>
      </c>
      <c r="Z1823">
        <f>IFERROR(Sales_Table[[#This Row],[Revenue]],0)</f>
        <v>64428</v>
      </c>
    </row>
    <row r="1824" spans="1:26" x14ac:dyDescent="0.3">
      <c r="A1824">
        <v>1823</v>
      </c>
      <c r="B1824" s="2">
        <f t="shared" si="196"/>
        <v>45367.916666666664</v>
      </c>
      <c r="C1824" t="s">
        <v>4122</v>
      </c>
      <c r="D1824" t="s">
        <v>36</v>
      </c>
      <c r="E1824" t="str">
        <f>PROPER(TRIM(CLEAN(Sales_Table[[#This Row],[Region]])))</f>
        <v>West</v>
      </c>
      <c r="F1824" t="s">
        <v>37</v>
      </c>
      <c r="G1824" t="str">
        <f t="shared" si="197"/>
        <v>Home Appliances</v>
      </c>
      <c r="H1824" t="str">
        <f>PROPER(TRIM(CLEAN(Sales_Table[[#This Row],[Product Name]])))</f>
        <v>Laptop</v>
      </c>
      <c r="I1824" t="s">
        <v>52</v>
      </c>
      <c r="J1824" t="str">
        <f t="shared" si="198"/>
        <v>CUST0401</v>
      </c>
      <c r="K1824" t="s">
        <v>180</v>
      </c>
      <c r="L1824" t="str">
        <f>PROPER(TRIM(CLEAN(Sales_Table[[#This Row],[Salesperson]])))</f>
        <v>Anita</v>
      </c>
      <c r="M1824" t="s">
        <v>64</v>
      </c>
      <c r="N1824" t="str">
        <f t="shared" si="199"/>
        <v>Cash</v>
      </c>
      <c r="O1824" t="s">
        <v>32</v>
      </c>
      <c r="P1824">
        <f t="shared" si="200"/>
        <v>7</v>
      </c>
      <c r="Q1824" t="s">
        <v>49</v>
      </c>
      <c r="R1824">
        <f t="shared" si="201"/>
        <v>2294</v>
      </c>
      <c r="S1824" t="s">
        <v>3215</v>
      </c>
      <c r="T1824">
        <f t="shared" si="202"/>
        <v>16058</v>
      </c>
      <c r="U1824">
        <f>YEAR(Sales_Table[[#This Row],[Date_clean]])</f>
        <v>2024</v>
      </c>
      <c r="V1824" t="str">
        <f>TEXT(Sales_Table[[#This Row],[Date_clean]],"mmmm")</f>
        <v>March</v>
      </c>
      <c r="W1824">
        <f>WEEKNUM(Sales_Table[[#This Row],[Date_clean]],2)</f>
        <v>11</v>
      </c>
      <c r="X1824" t="str" cm="1">
        <f t="array" ref="X1824">_xlfn.IFS(Sales_Table[[#This Row],[Revenue]]&gt;=50000,"High",Sales_Table[[#This Row],[Revenue]]&gt;=20000,"Medium",Sales_Table[[#This Row],[Revenue]]&lt;20000,"Low")</f>
        <v>Low</v>
      </c>
      <c r="Y1824" t="str">
        <f>IF(Sales_Table[[#This Row],[Payment Method_clean]]="cash","Offline","Online")</f>
        <v>Offline</v>
      </c>
      <c r="Z1824">
        <f>IFERROR(Sales_Table[[#This Row],[Revenue]],0)</f>
        <v>16058</v>
      </c>
    </row>
    <row r="1825" spans="1:26" x14ac:dyDescent="0.3">
      <c r="A1825">
        <v>1824</v>
      </c>
      <c r="B1825" s="2">
        <f t="shared" si="196"/>
        <v>45367.958333333336</v>
      </c>
      <c r="C1825" t="s">
        <v>4123</v>
      </c>
      <c r="D1825" t="s">
        <v>36</v>
      </c>
      <c r="E1825" t="str">
        <f>PROPER(TRIM(CLEAN(Sales_Table[[#This Row],[Region]])))</f>
        <v>West</v>
      </c>
      <c r="F1825" t="s">
        <v>28</v>
      </c>
      <c r="G1825" t="str">
        <f t="shared" si="197"/>
        <v>Clothing</v>
      </c>
      <c r="H1825" t="str">
        <f>PROPER(TRIM(CLEAN(Sales_Table[[#This Row],[Product Name]])))</f>
        <v>Led Tv 42Inch</v>
      </c>
      <c r="I1825" t="s">
        <v>58</v>
      </c>
      <c r="J1825" t="str">
        <f t="shared" si="198"/>
        <v>CUST0028</v>
      </c>
      <c r="K1825" t="s">
        <v>1633</v>
      </c>
      <c r="L1825" t="str">
        <f>PROPER(TRIM(CLEAN(Sales_Table[[#This Row],[Salesperson]])))</f>
        <v>Rahul</v>
      </c>
      <c r="M1825" t="s">
        <v>31</v>
      </c>
      <c r="N1825" t="str">
        <f t="shared" si="199"/>
        <v>Credit Card</v>
      </c>
      <c r="O1825" t="s">
        <v>65</v>
      </c>
      <c r="P1825">
        <f t="shared" si="200"/>
        <v>7</v>
      </c>
      <c r="Q1825" t="s">
        <v>49</v>
      </c>
      <c r="R1825">
        <f t="shared" si="201"/>
        <v>2628</v>
      </c>
      <c r="S1825" t="s">
        <v>4124</v>
      </c>
      <c r="T1825">
        <f t="shared" si="202"/>
        <v>18396</v>
      </c>
      <c r="U1825">
        <f>YEAR(Sales_Table[[#This Row],[Date_clean]])</f>
        <v>2024</v>
      </c>
      <c r="V1825" t="str">
        <f>TEXT(Sales_Table[[#This Row],[Date_clean]],"mmmm")</f>
        <v>March</v>
      </c>
      <c r="W1825">
        <f>WEEKNUM(Sales_Table[[#This Row],[Date_clean]],2)</f>
        <v>11</v>
      </c>
      <c r="X1825" t="str" cm="1">
        <f t="array" ref="X1825">_xlfn.IFS(Sales_Table[[#This Row],[Revenue]]&gt;=50000,"High",Sales_Table[[#This Row],[Revenue]]&gt;=20000,"Medium",Sales_Table[[#This Row],[Revenue]]&lt;20000,"Low")</f>
        <v>Low</v>
      </c>
      <c r="Y1825" t="str">
        <f>IF(Sales_Table[[#This Row],[Payment Method_clean]]="cash","Offline","Online")</f>
        <v>Online</v>
      </c>
      <c r="Z1825">
        <f>IFERROR(Sales_Table[[#This Row],[Revenue]],0)</f>
        <v>18396</v>
      </c>
    </row>
    <row r="1826" spans="1:26" x14ac:dyDescent="0.3">
      <c r="A1826">
        <v>1825</v>
      </c>
      <c r="B1826" s="2">
        <f t="shared" si="196"/>
        <v>45368</v>
      </c>
      <c r="C1826" t="s">
        <v>4125</v>
      </c>
      <c r="D1826" t="s">
        <v>45</v>
      </c>
      <c r="E1826" t="str">
        <f>PROPER(TRIM(CLEAN(Sales_Table[[#This Row],[Region]])))</f>
        <v>North</v>
      </c>
      <c r="F1826" t="s">
        <v>78</v>
      </c>
      <c r="G1826" t="str">
        <f t="shared" si="197"/>
        <v>Grocery</v>
      </c>
      <c r="H1826" t="str">
        <f>PROPER(TRIM(CLEAN(Sales_Table[[#This Row],[Product Name]])))</f>
        <v>Rice 5Kg</v>
      </c>
      <c r="I1826" t="s">
        <v>73</v>
      </c>
      <c r="J1826" t="str">
        <f t="shared" si="198"/>
        <v>CUST0537</v>
      </c>
      <c r="K1826" t="s">
        <v>581</v>
      </c>
      <c r="L1826" t="str">
        <f>PROPER(TRIM(CLEAN(Sales_Table[[#This Row],[Salesperson]])))</f>
        <v>Karthik</v>
      </c>
      <c r="M1826" t="s">
        <v>70</v>
      </c>
      <c r="N1826" t="str">
        <f t="shared" si="199"/>
        <v>Net Banking</v>
      </c>
      <c r="O1826" t="s">
        <v>60</v>
      </c>
      <c r="P1826">
        <f t="shared" si="200"/>
        <v>13</v>
      </c>
      <c r="Q1826" t="s">
        <v>81</v>
      </c>
      <c r="R1826">
        <f t="shared" si="201"/>
        <v>534</v>
      </c>
      <c r="S1826" t="s">
        <v>4126</v>
      </c>
      <c r="T1826">
        <f t="shared" si="202"/>
        <v>6942</v>
      </c>
      <c r="U1826">
        <f>YEAR(Sales_Table[[#This Row],[Date_clean]])</f>
        <v>2024</v>
      </c>
      <c r="V1826" t="str">
        <f>TEXT(Sales_Table[[#This Row],[Date_clean]],"mmmm")</f>
        <v>March</v>
      </c>
      <c r="W1826">
        <f>WEEKNUM(Sales_Table[[#This Row],[Date_clean]],2)</f>
        <v>11</v>
      </c>
      <c r="X1826" t="str" cm="1">
        <f t="array" ref="X1826">_xlfn.IFS(Sales_Table[[#This Row],[Revenue]]&gt;=50000,"High",Sales_Table[[#This Row],[Revenue]]&gt;=20000,"Medium",Sales_Table[[#This Row],[Revenue]]&lt;20000,"Low")</f>
        <v>Low</v>
      </c>
      <c r="Y1826" t="str">
        <f>IF(Sales_Table[[#This Row],[Payment Method_clean]]="cash","Offline","Online")</f>
        <v>Online</v>
      </c>
      <c r="Z1826">
        <f>IFERROR(Sales_Table[[#This Row],[Revenue]],0)</f>
        <v>6942</v>
      </c>
    </row>
    <row r="1827" spans="1:26" x14ac:dyDescent="0.3">
      <c r="A1827">
        <v>1826</v>
      </c>
      <c r="B1827" s="2">
        <f t="shared" si="196"/>
        <v>45368.041666666664</v>
      </c>
      <c r="C1827" t="s">
        <v>4127</v>
      </c>
      <c r="D1827" t="s">
        <v>45</v>
      </c>
      <c r="E1827" t="str">
        <f>PROPER(TRIM(CLEAN(Sales_Table[[#This Row],[Region]])))</f>
        <v>North</v>
      </c>
      <c r="F1827" t="s">
        <v>46</v>
      </c>
      <c r="G1827" t="str">
        <f t="shared" si="197"/>
        <v>Electronics</v>
      </c>
      <c r="H1827" t="str">
        <f>PROPER(TRIM(CLEAN(Sales_Table[[#This Row],[Product Name]])))</f>
        <v>Led Tv 42Inch</v>
      </c>
      <c r="I1827" t="s">
        <v>58</v>
      </c>
      <c r="J1827" t="str">
        <f t="shared" si="198"/>
        <v>CUST0058</v>
      </c>
      <c r="K1827" t="s">
        <v>1381</v>
      </c>
      <c r="L1827" t="str">
        <f>PROPER(TRIM(CLEAN(Sales_Table[[#This Row],[Salesperson]])))</f>
        <v>Meena</v>
      </c>
      <c r="M1827" t="s">
        <v>40</v>
      </c>
      <c r="N1827" t="str">
        <f t="shared" si="199"/>
        <v>Net Banking</v>
      </c>
      <c r="O1827" t="s">
        <v>60</v>
      </c>
      <c r="P1827">
        <f t="shared" si="200"/>
        <v>5</v>
      </c>
      <c r="Q1827" t="s">
        <v>89</v>
      </c>
      <c r="R1827">
        <f t="shared" si="201"/>
        <v>2138</v>
      </c>
      <c r="S1827" t="s">
        <v>4128</v>
      </c>
      <c r="T1827">
        <f t="shared" si="202"/>
        <v>10690</v>
      </c>
      <c r="U1827">
        <f>YEAR(Sales_Table[[#This Row],[Date_clean]])</f>
        <v>2024</v>
      </c>
      <c r="V1827" t="str">
        <f>TEXT(Sales_Table[[#This Row],[Date_clean]],"mmmm")</f>
        <v>March</v>
      </c>
      <c r="W1827">
        <f>WEEKNUM(Sales_Table[[#This Row],[Date_clean]],2)</f>
        <v>11</v>
      </c>
      <c r="X1827" t="str" cm="1">
        <f t="array" ref="X1827">_xlfn.IFS(Sales_Table[[#This Row],[Revenue]]&gt;=50000,"High",Sales_Table[[#This Row],[Revenue]]&gt;=20000,"Medium",Sales_Table[[#This Row],[Revenue]]&lt;20000,"Low")</f>
        <v>Low</v>
      </c>
      <c r="Y1827" t="str">
        <f>IF(Sales_Table[[#This Row],[Payment Method_clean]]="cash","Offline","Online")</f>
        <v>Online</v>
      </c>
      <c r="Z1827">
        <f>IFERROR(Sales_Table[[#This Row],[Revenue]],0)</f>
        <v>10690</v>
      </c>
    </row>
    <row r="1828" spans="1:26" x14ac:dyDescent="0.3">
      <c r="A1828">
        <v>1827</v>
      </c>
      <c r="B1828" s="2">
        <f t="shared" si="196"/>
        <v>45368.083333333336</v>
      </c>
      <c r="C1828" t="s">
        <v>4129</v>
      </c>
      <c r="D1828" t="s">
        <v>84</v>
      </c>
      <c r="E1828" t="str">
        <f>PROPER(TRIM(CLEAN(Sales_Table[[#This Row],[Region]])))</f>
        <v>South</v>
      </c>
      <c r="F1828" t="s">
        <v>37</v>
      </c>
      <c r="G1828" t="str">
        <f t="shared" si="197"/>
        <v>Home Appliances</v>
      </c>
      <c r="H1828" t="str">
        <f>PROPER(TRIM(CLEAN(Sales_Table[[#This Row],[Product Name]])))</f>
        <v>Led Tv 42Inch</v>
      </c>
      <c r="I1828" t="s">
        <v>58</v>
      </c>
      <c r="J1828" t="str">
        <f t="shared" si="198"/>
        <v>CUST0498</v>
      </c>
      <c r="K1828" t="s">
        <v>1446</v>
      </c>
      <c r="L1828" t="str">
        <f>PROPER(TRIM(CLEAN(Sales_Table[[#This Row],[Salesperson]])))</f>
        <v>Suresh</v>
      </c>
      <c r="M1828" t="s">
        <v>54</v>
      </c>
      <c r="N1828" t="str">
        <f t="shared" si="199"/>
        <v>Cash</v>
      </c>
      <c r="O1828" t="s">
        <v>32</v>
      </c>
      <c r="P1828">
        <f t="shared" si="200"/>
        <v>8</v>
      </c>
      <c r="Q1828" t="s">
        <v>42</v>
      </c>
      <c r="R1828">
        <f t="shared" si="201"/>
        <v>1806</v>
      </c>
      <c r="S1828" t="s">
        <v>4130</v>
      </c>
      <c r="T1828">
        <f t="shared" si="202"/>
        <v>14448</v>
      </c>
      <c r="U1828">
        <f>YEAR(Sales_Table[[#This Row],[Date_clean]])</f>
        <v>2024</v>
      </c>
      <c r="V1828" t="str">
        <f>TEXT(Sales_Table[[#This Row],[Date_clean]],"mmmm")</f>
        <v>March</v>
      </c>
      <c r="W1828">
        <f>WEEKNUM(Sales_Table[[#This Row],[Date_clean]],2)</f>
        <v>11</v>
      </c>
      <c r="X1828" t="str" cm="1">
        <f t="array" ref="X1828">_xlfn.IFS(Sales_Table[[#This Row],[Revenue]]&gt;=50000,"High",Sales_Table[[#This Row],[Revenue]]&gt;=20000,"Medium",Sales_Table[[#This Row],[Revenue]]&lt;20000,"Low")</f>
        <v>Low</v>
      </c>
      <c r="Y1828" t="str">
        <f>IF(Sales_Table[[#This Row],[Payment Method_clean]]="cash","Offline","Online")</f>
        <v>Offline</v>
      </c>
      <c r="Z1828">
        <f>IFERROR(Sales_Table[[#This Row],[Revenue]],0)</f>
        <v>14448</v>
      </c>
    </row>
    <row r="1829" spans="1:26" x14ac:dyDescent="0.3">
      <c r="A1829">
        <v>1828</v>
      </c>
      <c r="B1829" s="2">
        <f t="shared" si="196"/>
        <v>45368.125</v>
      </c>
      <c r="C1829" t="s">
        <v>4131</v>
      </c>
      <c r="D1829" t="s">
        <v>36</v>
      </c>
      <c r="E1829" t="str">
        <f>PROPER(TRIM(CLEAN(Sales_Table[[#This Row],[Region]])))</f>
        <v>West</v>
      </c>
      <c r="F1829" t="s">
        <v>28</v>
      </c>
      <c r="G1829" t="str">
        <f t="shared" si="197"/>
        <v>Clothing</v>
      </c>
      <c r="H1829" t="str">
        <f>PROPER(TRIM(CLEAN(Sales_Table[[#This Row],[Product Name]])))</f>
        <v>Rice 5Kg</v>
      </c>
      <c r="I1829" t="s">
        <v>73</v>
      </c>
      <c r="J1829" t="str">
        <f t="shared" si="198"/>
        <v>CUST0297</v>
      </c>
      <c r="K1829" t="s">
        <v>4132</v>
      </c>
      <c r="L1829" t="str">
        <f>PROPER(TRIM(CLEAN(Sales_Table[[#This Row],[Salesperson]])))</f>
        <v>Karthik</v>
      </c>
      <c r="M1829" t="s">
        <v>70</v>
      </c>
      <c r="N1829" t="str">
        <f t="shared" si="199"/>
        <v>Upi</v>
      </c>
      <c r="O1829" t="s">
        <v>48</v>
      </c>
      <c r="P1829">
        <f t="shared" si="200"/>
        <v>14</v>
      </c>
      <c r="Q1829" t="s">
        <v>55</v>
      </c>
      <c r="R1829">
        <f t="shared" si="201"/>
        <v>168</v>
      </c>
      <c r="S1829" t="s">
        <v>4133</v>
      </c>
      <c r="T1829">
        <f t="shared" si="202"/>
        <v>2352</v>
      </c>
      <c r="U1829">
        <f>YEAR(Sales_Table[[#This Row],[Date_clean]])</f>
        <v>2024</v>
      </c>
      <c r="V1829" t="str">
        <f>TEXT(Sales_Table[[#This Row],[Date_clean]],"mmmm")</f>
        <v>March</v>
      </c>
      <c r="W1829">
        <f>WEEKNUM(Sales_Table[[#This Row],[Date_clean]],2)</f>
        <v>11</v>
      </c>
      <c r="X1829" t="str" cm="1">
        <f t="array" ref="X1829">_xlfn.IFS(Sales_Table[[#This Row],[Revenue]]&gt;=50000,"High",Sales_Table[[#This Row],[Revenue]]&gt;=20000,"Medium",Sales_Table[[#This Row],[Revenue]]&lt;20000,"Low")</f>
        <v>Low</v>
      </c>
      <c r="Y1829" t="str">
        <f>IF(Sales_Table[[#This Row],[Payment Method_clean]]="cash","Offline","Online")</f>
        <v>Online</v>
      </c>
      <c r="Z1829">
        <f>IFERROR(Sales_Table[[#This Row],[Revenue]],0)</f>
        <v>2352</v>
      </c>
    </row>
    <row r="1830" spans="1:26" x14ac:dyDescent="0.3">
      <c r="A1830">
        <v>1829</v>
      </c>
      <c r="B1830" s="2">
        <f t="shared" si="196"/>
        <v>45368.166666666664</v>
      </c>
      <c r="C1830" t="s">
        <v>4134</v>
      </c>
      <c r="D1830" t="s">
        <v>84</v>
      </c>
      <c r="E1830" t="str">
        <f>PROPER(TRIM(CLEAN(Sales_Table[[#This Row],[Region]])))</f>
        <v>South</v>
      </c>
      <c r="F1830" t="s">
        <v>78</v>
      </c>
      <c r="G1830" t="str">
        <f t="shared" si="197"/>
        <v>Grocery</v>
      </c>
      <c r="H1830" t="str">
        <f>PROPER(TRIM(CLEAN(Sales_Table[[#This Row],[Product Name]])))</f>
        <v>Rice 5Kg</v>
      </c>
      <c r="I1830" t="s">
        <v>73</v>
      </c>
      <c r="J1830" t="str">
        <f t="shared" si="198"/>
        <v>CUST0134</v>
      </c>
      <c r="K1830" t="s">
        <v>3688</v>
      </c>
      <c r="L1830" t="str">
        <f>PROPER(TRIM(CLEAN(Sales_Table[[#This Row],[Salesperson]])))</f>
        <v>Karthik</v>
      </c>
      <c r="M1830" t="s">
        <v>70</v>
      </c>
      <c r="N1830" t="str">
        <f t="shared" si="199"/>
        <v>Cash</v>
      </c>
      <c r="O1830" t="s">
        <v>32</v>
      </c>
      <c r="P1830">
        <f t="shared" si="200"/>
        <v>5</v>
      </c>
      <c r="Q1830" t="s">
        <v>89</v>
      </c>
      <c r="R1830">
        <f t="shared" si="201"/>
        <v>2004</v>
      </c>
      <c r="S1830" t="s">
        <v>1481</v>
      </c>
      <c r="T1830">
        <f t="shared" si="202"/>
        <v>10020</v>
      </c>
      <c r="U1830">
        <f>YEAR(Sales_Table[[#This Row],[Date_clean]])</f>
        <v>2024</v>
      </c>
      <c r="V1830" t="str">
        <f>TEXT(Sales_Table[[#This Row],[Date_clean]],"mmmm")</f>
        <v>March</v>
      </c>
      <c r="W1830">
        <f>WEEKNUM(Sales_Table[[#This Row],[Date_clean]],2)</f>
        <v>11</v>
      </c>
      <c r="X1830" t="str" cm="1">
        <f t="array" ref="X1830">_xlfn.IFS(Sales_Table[[#This Row],[Revenue]]&gt;=50000,"High",Sales_Table[[#This Row],[Revenue]]&gt;=20000,"Medium",Sales_Table[[#This Row],[Revenue]]&lt;20000,"Low")</f>
        <v>Low</v>
      </c>
      <c r="Y1830" t="str">
        <f>IF(Sales_Table[[#This Row],[Payment Method_clean]]="cash","Offline","Online")</f>
        <v>Offline</v>
      </c>
      <c r="Z1830">
        <f>IFERROR(Sales_Table[[#This Row],[Revenue]],0)</f>
        <v>10020</v>
      </c>
    </row>
    <row r="1831" spans="1:26" x14ac:dyDescent="0.3">
      <c r="A1831">
        <v>1830</v>
      </c>
      <c r="B1831" s="2">
        <f t="shared" si="196"/>
        <v>45368.208333333336</v>
      </c>
      <c r="C1831" t="s">
        <v>4135</v>
      </c>
      <c r="D1831" t="s">
        <v>45</v>
      </c>
      <c r="E1831" t="str">
        <f>PROPER(TRIM(CLEAN(Sales_Table[[#This Row],[Region]])))</f>
        <v>North</v>
      </c>
      <c r="F1831" t="s">
        <v>37</v>
      </c>
      <c r="G1831" t="str">
        <f t="shared" si="197"/>
        <v>Home Appliances</v>
      </c>
      <c r="H1831" t="str">
        <f>PROPER(TRIM(CLEAN(Sales_Table[[#This Row],[Product Name]])))</f>
        <v>Washing Machine</v>
      </c>
      <c r="I1831" t="s">
        <v>79</v>
      </c>
      <c r="J1831" t="str">
        <f t="shared" si="198"/>
        <v>CUST0331</v>
      </c>
      <c r="K1831" t="s">
        <v>453</v>
      </c>
      <c r="L1831" t="str">
        <f>PROPER(TRIM(CLEAN(Sales_Table[[#This Row],[Salesperson]])))</f>
        <v>Rahul</v>
      </c>
      <c r="M1831" t="s">
        <v>31</v>
      </c>
      <c r="N1831" t="str">
        <f t="shared" si="199"/>
        <v>Cash</v>
      </c>
      <c r="O1831" t="s">
        <v>32</v>
      </c>
      <c r="P1831">
        <f t="shared" si="200"/>
        <v>1</v>
      </c>
      <c r="Q1831" t="s">
        <v>93</v>
      </c>
      <c r="R1831">
        <f t="shared" si="201"/>
        <v>4059</v>
      </c>
      <c r="S1831" t="s">
        <v>4136</v>
      </c>
      <c r="T1831">
        <f t="shared" si="202"/>
        <v>4059</v>
      </c>
      <c r="U1831">
        <f>YEAR(Sales_Table[[#This Row],[Date_clean]])</f>
        <v>2024</v>
      </c>
      <c r="V1831" t="str">
        <f>TEXT(Sales_Table[[#This Row],[Date_clean]],"mmmm")</f>
        <v>March</v>
      </c>
      <c r="W1831">
        <f>WEEKNUM(Sales_Table[[#This Row],[Date_clean]],2)</f>
        <v>11</v>
      </c>
      <c r="X1831" t="str" cm="1">
        <f t="array" ref="X1831">_xlfn.IFS(Sales_Table[[#This Row],[Revenue]]&gt;=50000,"High",Sales_Table[[#This Row],[Revenue]]&gt;=20000,"Medium",Sales_Table[[#This Row],[Revenue]]&lt;20000,"Low")</f>
        <v>Low</v>
      </c>
      <c r="Y1831" t="str">
        <f>IF(Sales_Table[[#This Row],[Payment Method_clean]]="cash","Offline","Online")</f>
        <v>Offline</v>
      </c>
      <c r="Z1831">
        <f>IFERROR(Sales_Table[[#This Row],[Revenue]],0)</f>
        <v>4059</v>
      </c>
    </row>
    <row r="1832" spans="1:26" x14ac:dyDescent="0.3">
      <c r="A1832">
        <v>1831</v>
      </c>
      <c r="B1832" s="2">
        <f t="shared" si="196"/>
        <v>45368.25</v>
      </c>
      <c r="C1832" t="s">
        <v>4137</v>
      </c>
      <c r="D1832" t="s">
        <v>84</v>
      </c>
      <c r="E1832" t="str">
        <f>PROPER(TRIM(CLEAN(Sales_Table[[#This Row],[Region]])))</f>
        <v>South</v>
      </c>
      <c r="F1832" t="s">
        <v>37</v>
      </c>
      <c r="G1832" t="str">
        <f t="shared" si="197"/>
        <v>Home Appliances</v>
      </c>
      <c r="H1832" t="str">
        <f>PROPER(TRIM(CLEAN(Sales_Table[[#This Row],[Product Name]])))</f>
        <v>Washing Machine</v>
      </c>
      <c r="I1832" t="s">
        <v>79</v>
      </c>
      <c r="J1832" t="str">
        <f t="shared" si="198"/>
        <v>CUST0249</v>
      </c>
      <c r="K1832" t="s">
        <v>2138</v>
      </c>
      <c r="L1832" t="str">
        <f>PROPER(TRIM(CLEAN(Sales_Table[[#This Row],[Salesperson]])))</f>
        <v>Anita</v>
      </c>
      <c r="M1832" t="s">
        <v>64</v>
      </c>
      <c r="N1832" t="str">
        <f t="shared" si="199"/>
        <v>Upi</v>
      </c>
      <c r="O1832" t="s">
        <v>48</v>
      </c>
      <c r="P1832">
        <f t="shared" si="200"/>
        <v>9</v>
      </c>
      <c r="Q1832" t="s">
        <v>130</v>
      </c>
      <c r="R1832">
        <f t="shared" si="201"/>
        <v>3051</v>
      </c>
      <c r="S1832" t="s">
        <v>4138</v>
      </c>
      <c r="T1832">
        <f t="shared" si="202"/>
        <v>27459</v>
      </c>
      <c r="U1832">
        <f>YEAR(Sales_Table[[#This Row],[Date_clean]])</f>
        <v>2024</v>
      </c>
      <c r="V1832" t="str">
        <f>TEXT(Sales_Table[[#This Row],[Date_clean]],"mmmm")</f>
        <v>March</v>
      </c>
      <c r="W1832">
        <f>WEEKNUM(Sales_Table[[#This Row],[Date_clean]],2)</f>
        <v>11</v>
      </c>
      <c r="X1832" t="str" cm="1">
        <f t="array" ref="X1832">_xlfn.IFS(Sales_Table[[#This Row],[Revenue]]&gt;=50000,"High",Sales_Table[[#This Row],[Revenue]]&gt;=20000,"Medium",Sales_Table[[#This Row],[Revenue]]&lt;20000,"Low")</f>
        <v>Medium</v>
      </c>
      <c r="Y1832" t="str">
        <f>IF(Sales_Table[[#This Row],[Payment Method_clean]]="cash","Offline","Online")</f>
        <v>Online</v>
      </c>
      <c r="Z1832">
        <f>IFERROR(Sales_Table[[#This Row],[Revenue]],0)</f>
        <v>27459</v>
      </c>
    </row>
    <row r="1833" spans="1:26" x14ac:dyDescent="0.3">
      <c r="A1833">
        <v>1832</v>
      </c>
      <c r="B1833" s="2">
        <f t="shared" si="196"/>
        <v>45368.291666666664</v>
      </c>
      <c r="C1833" t="s">
        <v>4139</v>
      </c>
      <c r="D1833" t="s">
        <v>45</v>
      </c>
      <c r="E1833" t="str">
        <f>PROPER(TRIM(CLEAN(Sales_Table[[#This Row],[Region]])))</f>
        <v>North</v>
      </c>
      <c r="F1833" t="s">
        <v>46</v>
      </c>
      <c r="G1833" t="str">
        <f t="shared" si="197"/>
        <v>Electronics</v>
      </c>
      <c r="H1833" t="str">
        <f>PROPER(TRIM(CLEAN(Sales_Table[[#This Row],[Product Name]])))</f>
        <v>Rice 5Kg</v>
      </c>
      <c r="I1833" t="s">
        <v>73</v>
      </c>
      <c r="J1833" t="str">
        <f t="shared" si="198"/>
        <v>CUST0550</v>
      </c>
      <c r="K1833" t="s">
        <v>462</v>
      </c>
      <c r="L1833" t="str">
        <f>PROPER(TRIM(CLEAN(Sales_Table[[#This Row],[Salesperson]])))</f>
        <v>Rahul</v>
      </c>
      <c r="M1833" t="s">
        <v>31</v>
      </c>
      <c r="N1833" t="str">
        <f t="shared" si="199"/>
        <v>Credit Card</v>
      </c>
      <c r="O1833" t="s">
        <v>65</v>
      </c>
      <c r="P1833">
        <f t="shared" si="200"/>
        <v>4</v>
      </c>
      <c r="Q1833" t="s">
        <v>113</v>
      </c>
      <c r="R1833">
        <f t="shared" si="201"/>
        <v>4749</v>
      </c>
      <c r="S1833" t="s">
        <v>746</v>
      </c>
      <c r="T1833">
        <f t="shared" si="202"/>
        <v>18996</v>
      </c>
      <c r="U1833">
        <f>YEAR(Sales_Table[[#This Row],[Date_clean]])</f>
        <v>2024</v>
      </c>
      <c r="V1833" t="str">
        <f>TEXT(Sales_Table[[#This Row],[Date_clean]],"mmmm")</f>
        <v>March</v>
      </c>
      <c r="W1833">
        <f>WEEKNUM(Sales_Table[[#This Row],[Date_clean]],2)</f>
        <v>11</v>
      </c>
      <c r="X1833" t="str" cm="1">
        <f t="array" ref="X1833">_xlfn.IFS(Sales_Table[[#This Row],[Revenue]]&gt;=50000,"High",Sales_Table[[#This Row],[Revenue]]&gt;=20000,"Medium",Sales_Table[[#This Row],[Revenue]]&lt;20000,"Low")</f>
        <v>Low</v>
      </c>
      <c r="Y1833" t="str">
        <f>IF(Sales_Table[[#This Row],[Payment Method_clean]]="cash","Offline","Online")</f>
        <v>Online</v>
      </c>
      <c r="Z1833">
        <f>IFERROR(Sales_Table[[#This Row],[Revenue]],0)</f>
        <v>18996</v>
      </c>
    </row>
    <row r="1834" spans="1:26" x14ac:dyDescent="0.3">
      <c r="A1834">
        <v>1833</v>
      </c>
      <c r="B1834" s="2">
        <f t="shared" si="196"/>
        <v>45368.333333333336</v>
      </c>
      <c r="C1834" t="s">
        <v>4140</v>
      </c>
      <c r="D1834" t="s">
        <v>36</v>
      </c>
      <c r="E1834" t="str">
        <f>PROPER(TRIM(CLEAN(Sales_Table[[#This Row],[Region]])))</f>
        <v>West</v>
      </c>
      <c r="F1834" t="s">
        <v>37</v>
      </c>
      <c r="G1834" t="str">
        <f t="shared" si="197"/>
        <v>Home Appliances</v>
      </c>
      <c r="H1834" t="str">
        <f>PROPER(TRIM(CLEAN(Sales_Table[[#This Row],[Product Name]])))</f>
        <v>Laptop</v>
      </c>
      <c r="I1834" t="s">
        <v>52</v>
      </c>
      <c r="J1834" t="str">
        <f t="shared" si="198"/>
        <v>CUST0075</v>
      </c>
      <c r="K1834" t="s">
        <v>683</v>
      </c>
      <c r="L1834" t="str">
        <f>PROPER(TRIM(CLEAN(Sales_Table[[#This Row],[Salesperson]])))</f>
        <v>Anita</v>
      </c>
      <c r="M1834" t="s">
        <v>64</v>
      </c>
      <c r="N1834" t="str">
        <f t="shared" si="199"/>
        <v>Credit Card</v>
      </c>
      <c r="O1834" t="s">
        <v>65</v>
      </c>
      <c r="P1834">
        <f t="shared" si="200"/>
        <v>13</v>
      </c>
      <c r="Q1834" t="s">
        <v>81</v>
      </c>
      <c r="R1834">
        <f t="shared" si="201"/>
        <v>2813</v>
      </c>
      <c r="S1834" t="s">
        <v>2713</v>
      </c>
      <c r="T1834">
        <f t="shared" si="202"/>
        <v>36569</v>
      </c>
      <c r="U1834">
        <f>YEAR(Sales_Table[[#This Row],[Date_clean]])</f>
        <v>2024</v>
      </c>
      <c r="V1834" t="str">
        <f>TEXT(Sales_Table[[#This Row],[Date_clean]],"mmmm")</f>
        <v>March</v>
      </c>
      <c r="W1834">
        <f>WEEKNUM(Sales_Table[[#This Row],[Date_clean]],2)</f>
        <v>11</v>
      </c>
      <c r="X1834" t="str" cm="1">
        <f t="array" ref="X1834">_xlfn.IFS(Sales_Table[[#This Row],[Revenue]]&gt;=50000,"High",Sales_Table[[#This Row],[Revenue]]&gt;=20000,"Medium",Sales_Table[[#This Row],[Revenue]]&lt;20000,"Low")</f>
        <v>Medium</v>
      </c>
      <c r="Y1834" t="str">
        <f>IF(Sales_Table[[#This Row],[Payment Method_clean]]="cash","Offline","Online")</f>
        <v>Online</v>
      </c>
      <c r="Z1834">
        <f>IFERROR(Sales_Table[[#This Row],[Revenue]],0)</f>
        <v>36569</v>
      </c>
    </row>
    <row r="1835" spans="1:26" x14ac:dyDescent="0.3">
      <c r="A1835">
        <v>1834</v>
      </c>
      <c r="B1835" s="2">
        <f t="shared" si="196"/>
        <v>45368.375</v>
      </c>
      <c r="C1835" t="s">
        <v>4141</v>
      </c>
      <c r="D1835" t="s">
        <v>27</v>
      </c>
      <c r="E1835" t="str">
        <f>PROPER(TRIM(CLEAN(Sales_Table[[#This Row],[Region]])))</f>
        <v>East</v>
      </c>
      <c r="F1835" t="s">
        <v>46</v>
      </c>
      <c r="G1835" t="str">
        <f t="shared" si="197"/>
        <v>Electronics</v>
      </c>
      <c r="H1835" t="str">
        <f>PROPER(TRIM(CLEAN(Sales_Table[[#This Row],[Product Name]])))</f>
        <v>Men T-Shirt</v>
      </c>
      <c r="I1835" t="s">
        <v>38</v>
      </c>
      <c r="J1835" t="str">
        <f t="shared" si="198"/>
        <v>CUST0654</v>
      </c>
      <c r="K1835" t="s">
        <v>737</v>
      </c>
      <c r="L1835" t="str">
        <f>PROPER(TRIM(CLEAN(Sales_Table[[#This Row],[Salesperson]])))</f>
        <v>Anita</v>
      </c>
      <c r="M1835" t="s">
        <v>64</v>
      </c>
      <c r="N1835" t="str">
        <f t="shared" si="199"/>
        <v>Net Banking</v>
      </c>
      <c r="O1835" t="s">
        <v>60</v>
      </c>
      <c r="P1835">
        <f t="shared" si="200"/>
        <v>2</v>
      </c>
      <c r="Q1835" t="s">
        <v>196</v>
      </c>
      <c r="R1835">
        <f t="shared" si="201"/>
        <v>3469</v>
      </c>
      <c r="S1835" t="s">
        <v>4142</v>
      </c>
      <c r="T1835">
        <f t="shared" si="202"/>
        <v>6938</v>
      </c>
      <c r="U1835">
        <f>YEAR(Sales_Table[[#This Row],[Date_clean]])</f>
        <v>2024</v>
      </c>
      <c r="V1835" t="str">
        <f>TEXT(Sales_Table[[#This Row],[Date_clean]],"mmmm")</f>
        <v>March</v>
      </c>
      <c r="W1835">
        <f>WEEKNUM(Sales_Table[[#This Row],[Date_clean]],2)</f>
        <v>11</v>
      </c>
      <c r="X1835" t="str" cm="1">
        <f t="array" ref="X1835">_xlfn.IFS(Sales_Table[[#This Row],[Revenue]]&gt;=50000,"High",Sales_Table[[#This Row],[Revenue]]&gt;=20000,"Medium",Sales_Table[[#This Row],[Revenue]]&lt;20000,"Low")</f>
        <v>Low</v>
      </c>
      <c r="Y1835" t="str">
        <f>IF(Sales_Table[[#This Row],[Payment Method_clean]]="cash","Offline","Online")</f>
        <v>Online</v>
      </c>
      <c r="Z1835">
        <f>IFERROR(Sales_Table[[#This Row],[Revenue]],0)</f>
        <v>6938</v>
      </c>
    </row>
    <row r="1836" spans="1:26" x14ac:dyDescent="0.3">
      <c r="A1836">
        <v>1835</v>
      </c>
      <c r="B1836" s="2">
        <f t="shared" si="196"/>
        <v>45368.416666666664</v>
      </c>
      <c r="C1836" t="s">
        <v>4143</v>
      </c>
      <c r="D1836" t="s">
        <v>36</v>
      </c>
      <c r="E1836" t="str">
        <f>PROPER(TRIM(CLEAN(Sales_Table[[#This Row],[Region]])))</f>
        <v>West</v>
      </c>
      <c r="F1836" t="s">
        <v>28</v>
      </c>
      <c r="G1836" t="str">
        <f t="shared" si="197"/>
        <v>Clothing</v>
      </c>
      <c r="H1836" t="str">
        <f>PROPER(TRIM(CLEAN(Sales_Table[[#This Row],[Product Name]])))</f>
        <v>Washing Machine</v>
      </c>
      <c r="I1836" t="s">
        <v>79</v>
      </c>
      <c r="J1836" t="str">
        <f t="shared" si="198"/>
        <v>CUST0168</v>
      </c>
      <c r="K1836" t="s">
        <v>3998</v>
      </c>
      <c r="L1836" t="str">
        <f>PROPER(TRIM(CLEAN(Sales_Table[[#This Row],[Salesperson]])))</f>
        <v>Karthik</v>
      </c>
      <c r="M1836" t="s">
        <v>70</v>
      </c>
      <c r="N1836" t="str">
        <f t="shared" si="199"/>
        <v>Debit Card</v>
      </c>
      <c r="O1836" t="s">
        <v>41</v>
      </c>
      <c r="P1836">
        <f t="shared" si="200"/>
        <v>4</v>
      </c>
      <c r="Q1836" t="s">
        <v>113</v>
      </c>
      <c r="R1836">
        <f t="shared" si="201"/>
        <v>4695</v>
      </c>
      <c r="S1836" t="s">
        <v>3999</v>
      </c>
      <c r="T1836">
        <f t="shared" si="202"/>
        <v>18780</v>
      </c>
      <c r="U1836">
        <f>YEAR(Sales_Table[[#This Row],[Date_clean]])</f>
        <v>2024</v>
      </c>
      <c r="V1836" t="str">
        <f>TEXT(Sales_Table[[#This Row],[Date_clean]],"mmmm")</f>
        <v>March</v>
      </c>
      <c r="W1836">
        <f>WEEKNUM(Sales_Table[[#This Row],[Date_clean]],2)</f>
        <v>11</v>
      </c>
      <c r="X1836" t="str" cm="1">
        <f t="array" ref="X1836">_xlfn.IFS(Sales_Table[[#This Row],[Revenue]]&gt;=50000,"High",Sales_Table[[#This Row],[Revenue]]&gt;=20000,"Medium",Sales_Table[[#This Row],[Revenue]]&lt;20000,"Low")</f>
        <v>Low</v>
      </c>
      <c r="Y1836" t="str">
        <f>IF(Sales_Table[[#This Row],[Payment Method_clean]]="cash","Offline","Online")</f>
        <v>Online</v>
      </c>
      <c r="Z1836">
        <f>IFERROR(Sales_Table[[#This Row],[Revenue]],0)</f>
        <v>18780</v>
      </c>
    </row>
    <row r="1837" spans="1:26" x14ac:dyDescent="0.3">
      <c r="A1837">
        <v>1836</v>
      </c>
      <c r="B1837" s="2">
        <f t="shared" si="196"/>
        <v>45368.458333333336</v>
      </c>
      <c r="C1837" t="s">
        <v>4144</v>
      </c>
      <c r="D1837" t="s">
        <v>84</v>
      </c>
      <c r="E1837" t="str">
        <f>PROPER(TRIM(CLEAN(Sales_Table[[#This Row],[Region]])))</f>
        <v>South</v>
      </c>
      <c r="F1837" t="s">
        <v>46</v>
      </c>
      <c r="G1837" t="str">
        <f t="shared" si="197"/>
        <v>Electronics</v>
      </c>
      <c r="H1837" t="str">
        <f>PROPER(TRIM(CLEAN(Sales_Table[[#This Row],[Product Name]])))</f>
        <v>Men T-Shirt</v>
      </c>
      <c r="I1837" t="s">
        <v>38</v>
      </c>
      <c r="J1837" t="str">
        <f t="shared" si="198"/>
        <v>CUST0771</v>
      </c>
      <c r="K1837" t="s">
        <v>2236</v>
      </c>
      <c r="L1837" t="str">
        <f>PROPER(TRIM(CLEAN(Sales_Table[[#This Row],[Salesperson]])))</f>
        <v>Anita</v>
      </c>
      <c r="M1837" t="s">
        <v>64</v>
      </c>
      <c r="N1837" t="str">
        <f t="shared" si="199"/>
        <v>Debit Card</v>
      </c>
      <c r="O1837" t="s">
        <v>41</v>
      </c>
      <c r="P1837">
        <f t="shared" si="200"/>
        <v>14</v>
      </c>
      <c r="Q1837" t="s">
        <v>55</v>
      </c>
      <c r="R1837">
        <f t="shared" si="201"/>
        <v>3827</v>
      </c>
      <c r="S1837" t="s">
        <v>4145</v>
      </c>
      <c r="T1837">
        <f t="shared" si="202"/>
        <v>53578</v>
      </c>
      <c r="U1837">
        <f>YEAR(Sales_Table[[#This Row],[Date_clean]])</f>
        <v>2024</v>
      </c>
      <c r="V1837" t="str">
        <f>TEXT(Sales_Table[[#This Row],[Date_clean]],"mmmm")</f>
        <v>March</v>
      </c>
      <c r="W1837">
        <f>WEEKNUM(Sales_Table[[#This Row],[Date_clean]],2)</f>
        <v>11</v>
      </c>
      <c r="X1837" t="str" cm="1">
        <f t="array" ref="X1837">_xlfn.IFS(Sales_Table[[#This Row],[Revenue]]&gt;=50000,"High",Sales_Table[[#This Row],[Revenue]]&gt;=20000,"Medium",Sales_Table[[#This Row],[Revenue]]&lt;20000,"Low")</f>
        <v>High</v>
      </c>
      <c r="Y1837" t="str">
        <f>IF(Sales_Table[[#This Row],[Payment Method_clean]]="cash","Offline","Online")</f>
        <v>Online</v>
      </c>
      <c r="Z1837">
        <f>IFERROR(Sales_Table[[#This Row],[Revenue]],0)</f>
        <v>53578</v>
      </c>
    </row>
    <row r="1838" spans="1:26" x14ac:dyDescent="0.3">
      <c r="A1838">
        <v>1837</v>
      </c>
      <c r="B1838" s="2">
        <f t="shared" si="196"/>
        <v>45368.5</v>
      </c>
      <c r="C1838" t="s">
        <v>4146</v>
      </c>
      <c r="D1838" t="s">
        <v>84</v>
      </c>
      <c r="E1838" t="str">
        <f>PROPER(TRIM(CLEAN(Sales_Table[[#This Row],[Region]])))</f>
        <v>South</v>
      </c>
      <c r="F1838" t="s">
        <v>78</v>
      </c>
      <c r="G1838" t="str">
        <f t="shared" si="197"/>
        <v>Grocery</v>
      </c>
      <c r="H1838" t="str">
        <f>PROPER(TRIM(CLEAN(Sales_Table[[#This Row],[Product Name]])))</f>
        <v>Laptop</v>
      </c>
      <c r="I1838" t="s">
        <v>52</v>
      </c>
      <c r="J1838" t="str">
        <f t="shared" si="198"/>
        <v>CUST0503</v>
      </c>
      <c r="K1838" t="s">
        <v>1131</v>
      </c>
      <c r="L1838" t="str">
        <f>PROPER(TRIM(CLEAN(Sales_Table[[#This Row],[Salesperson]])))</f>
        <v>Suresh</v>
      </c>
      <c r="M1838" t="s">
        <v>54</v>
      </c>
      <c r="N1838" t="str">
        <f t="shared" si="199"/>
        <v>Net Banking</v>
      </c>
      <c r="O1838" t="s">
        <v>60</v>
      </c>
      <c r="P1838">
        <f t="shared" si="200"/>
        <v>13</v>
      </c>
      <c r="Q1838" t="s">
        <v>81</v>
      </c>
      <c r="R1838">
        <f t="shared" si="201"/>
        <v>2504</v>
      </c>
      <c r="S1838" t="s">
        <v>4147</v>
      </c>
      <c r="T1838">
        <f t="shared" si="202"/>
        <v>32552</v>
      </c>
      <c r="U1838">
        <f>YEAR(Sales_Table[[#This Row],[Date_clean]])</f>
        <v>2024</v>
      </c>
      <c r="V1838" t="str">
        <f>TEXT(Sales_Table[[#This Row],[Date_clean]],"mmmm")</f>
        <v>March</v>
      </c>
      <c r="W1838">
        <f>WEEKNUM(Sales_Table[[#This Row],[Date_clean]],2)</f>
        <v>11</v>
      </c>
      <c r="X1838" t="str" cm="1">
        <f t="array" ref="X1838">_xlfn.IFS(Sales_Table[[#This Row],[Revenue]]&gt;=50000,"High",Sales_Table[[#This Row],[Revenue]]&gt;=20000,"Medium",Sales_Table[[#This Row],[Revenue]]&lt;20000,"Low")</f>
        <v>Medium</v>
      </c>
      <c r="Y1838" t="str">
        <f>IF(Sales_Table[[#This Row],[Payment Method_clean]]="cash","Offline","Online")</f>
        <v>Online</v>
      </c>
      <c r="Z1838">
        <f>IFERROR(Sales_Table[[#This Row],[Revenue]],0)</f>
        <v>32552</v>
      </c>
    </row>
    <row r="1839" spans="1:26" x14ac:dyDescent="0.3">
      <c r="A1839">
        <v>1838</v>
      </c>
      <c r="B1839" s="2">
        <f t="shared" si="196"/>
        <v>45368.541666666664</v>
      </c>
      <c r="C1839" t="s">
        <v>4148</v>
      </c>
      <c r="D1839" t="s">
        <v>36</v>
      </c>
      <c r="E1839" t="str">
        <f>PROPER(TRIM(CLEAN(Sales_Table[[#This Row],[Region]])))</f>
        <v>West</v>
      </c>
      <c r="F1839" t="s">
        <v>46</v>
      </c>
      <c r="G1839" t="str">
        <f t="shared" si="197"/>
        <v>Electronics</v>
      </c>
      <c r="H1839" t="str">
        <f>PROPER(TRIM(CLEAN(Sales_Table[[#This Row],[Product Name]])))</f>
        <v>Rice 5Kg</v>
      </c>
      <c r="I1839" t="s">
        <v>73</v>
      </c>
      <c r="J1839" t="str">
        <f t="shared" si="198"/>
        <v>CUST0355</v>
      </c>
      <c r="K1839" t="s">
        <v>144</v>
      </c>
      <c r="L1839" t="str">
        <f>PROPER(TRIM(CLEAN(Sales_Table[[#This Row],[Salesperson]])))</f>
        <v>Suresh</v>
      </c>
      <c r="M1839" t="s">
        <v>54</v>
      </c>
      <c r="N1839" t="str">
        <f t="shared" si="199"/>
        <v>Debit Card</v>
      </c>
      <c r="O1839" t="s">
        <v>41</v>
      </c>
      <c r="P1839">
        <f t="shared" si="200"/>
        <v>9</v>
      </c>
      <c r="Q1839" t="s">
        <v>130</v>
      </c>
      <c r="R1839">
        <f t="shared" si="201"/>
        <v>3425</v>
      </c>
      <c r="S1839" t="s">
        <v>1851</v>
      </c>
      <c r="T1839">
        <f t="shared" si="202"/>
        <v>30825</v>
      </c>
      <c r="U1839">
        <f>YEAR(Sales_Table[[#This Row],[Date_clean]])</f>
        <v>2024</v>
      </c>
      <c r="V1839" t="str">
        <f>TEXT(Sales_Table[[#This Row],[Date_clean]],"mmmm")</f>
        <v>March</v>
      </c>
      <c r="W1839">
        <f>WEEKNUM(Sales_Table[[#This Row],[Date_clean]],2)</f>
        <v>11</v>
      </c>
      <c r="X1839" t="str" cm="1">
        <f t="array" ref="X1839">_xlfn.IFS(Sales_Table[[#This Row],[Revenue]]&gt;=50000,"High",Sales_Table[[#This Row],[Revenue]]&gt;=20000,"Medium",Sales_Table[[#This Row],[Revenue]]&lt;20000,"Low")</f>
        <v>Medium</v>
      </c>
      <c r="Y1839" t="str">
        <f>IF(Sales_Table[[#This Row],[Payment Method_clean]]="cash","Offline","Online")</f>
        <v>Online</v>
      </c>
      <c r="Z1839">
        <f>IFERROR(Sales_Table[[#This Row],[Revenue]],0)</f>
        <v>30825</v>
      </c>
    </row>
    <row r="1840" spans="1:26" x14ac:dyDescent="0.3">
      <c r="A1840">
        <v>1839</v>
      </c>
      <c r="B1840" s="2">
        <f t="shared" si="196"/>
        <v>45368.583333333336</v>
      </c>
      <c r="C1840" t="s">
        <v>4149</v>
      </c>
      <c r="D1840" t="s">
        <v>36</v>
      </c>
      <c r="E1840" t="str">
        <f>PROPER(TRIM(CLEAN(Sales_Table[[#This Row],[Region]])))</f>
        <v>West</v>
      </c>
      <c r="F1840" t="s">
        <v>78</v>
      </c>
      <c r="G1840" t="str">
        <f t="shared" si="197"/>
        <v>Grocery</v>
      </c>
      <c r="H1840" t="str">
        <f>PROPER(TRIM(CLEAN(Sales_Table[[#This Row],[Product Name]])))</f>
        <v>Laptop</v>
      </c>
      <c r="I1840" t="s">
        <v>52</v>
      </c>
      <c r="J1840" t="str">
        <f t="shared" si="198"/>
        <v>CUST0225</v>
      </c>
      <c r="K1840" t="s">
        <v>2398</v>
      </c>
      <c r="L1840" t="str">
        <f>PROPER(TRIM(CLEAN(Sales_Table[[#This Row],[Salesperson]])))</f>
        <v>Suresh</v>
      </c>
      <c r="M1840" t="s">
        <v>54</v>
      </c>
      <c r="N1840" t="str">
        <f t="shared" si="199"/>
        <v>Cash</v>
      </c>
      <c r="O1840" t="s">
        <v>32</v>
      </c>
      <c r="P1840">
        <f t="shared" si="200"/>
        <v>2</v>
      </c>
      <c r="Q1840" t="s">
        <v>196</v>
      </c>
      <c r="R1840">
        <f t="shared" si="201"/>
        <v>3646</v>
      </c>
      <c r="S1840" t="s">
        <v>4150</v>
      </c>
      <c r="T1840">
        <f t="shared" si="202"/>
        <v>7292</v>
      </c>
      <c r="U1840">
        <f>YEAR(Sales_Table[[#This Row],[Date_clean]])</f>
        <v>2024</v>
      </c>
      <c r="V1840" t="str">
        <f>TEXT(Sales_Table[[#This Row],[Date_clean]],"mmmm")</f>
        <v>March</v>
      </c>
      <c r="W1840">
        <f>WEEKNUM(Sales_Table[[#This Row],[Date_clean]],2)</f>
        <v>11</v>
      </c>
      <c r="X1840" t="str" cm="1">
        <f t="array" ref="X1840">_xlfn.IFS(Sales_Table[[#This Row],[Revenue]]&gt;=50000,"High",Sales_Table[[#This Row],[Revenue]]&gt;=20000,"Medium",Sales_Table[[#This Row],[Revenue]]&lt;20000,"Low")</f>
        <v>Low</v>
      </c>
      <c r="Y1840" t="str">
        <f>IF(Sales_Table[[#This Row],[Payment Method_clean]]="cash","Offline","Online")</f>
        <v>Offline</v>
      </c>
      <c r="Z1840">
        <f>IFERROR(Sales_Table[[#This Row],[Revenue]],0)</f>
        <v>7292</v>
      </c>
    </row>
    <row r="1841" spans="1:26" x14ac:dyDescent="0.3">
      <c r="A1841">
        <v>1840</v>
      </c>
      <c r="B1841" s="2">
        <f t="shared" si="196"/>
        <v>45368.625</v>
      </c>
      <c r="C1841" t="s">
        <v>4151</v>
      </c>
      <c r="D1841" t="s">
        <v>45</v>
      </c>
      <c r="E1841" t="str">
        <f>PROPER(TRIM(CLEAN(Sales_Table[[#This Row],[Region]])))</f>
        <v>North</v>
      </c>
      <c r="F1841" t="s">
        <v>46</v>
      </c>
      <c r="G1841" t="str">
        <f t="shared" si="197"/>
        <v>Electronics</v>
      </c>
      <c r="H1841" t="str">
        <f>PROPER(TRIM(CLEAN(Sales_Table[[#This Row],[Product Name]])))</f>
        <v>Washing Machine</v>
      </c>
      <c r="I1841" t="s">
        <v>79</v>
      </c>
      <c r="J1841" t="str">
        <f t="shared" si="198"/>
        <v>CUST0664</v>
      </c>
      <c r="K1841" t="s">
        <v>3600</v>
      </c>
      <c r="L1841" t="str">
        <f>PROPER(TRIM(CLEAN(Sales_Table[[#This Row],[Salesperson]])))</f>
        <v>Karthik</v>
      </c>
      <c r="M1841" t="s">
        <v>70</v>
      </c>
      <c r="N1841" t="str">
        <f t="shared" si="199"/>
        <v>Cash</v>
      </c>
      <c r="O1841" t="s">
        <v>32</v>
      </c>
      <c r="P1841">
        <f t="shared" si="200"/>
        <v>4</v>
      </c>
      <c r="Q1841" t="s">
        <v>113</v>
      </c>
      <c r="R1841">
        <f t="shared" si="201"/>
        <v>2403</v>
      </c>
      <c r="S1841" t="s">
        <v>4152</v>
      </c>
      <c r="T1841">
        <f t="shared" si="202"/>
        <v>9612</v>
      </c>
      <c r="U1841">
        <f>YEAR(Sales_Table[[#This Row],[Date_clean]])</f>
        <v>2024</v>
      </c>
      <c r="V1841" t="str">
        <f>TEXT(Sales_Table[[#This Row],[Date_clean]],"mmmm")</f>
        <v>March</v>
      </c>
      <c r="W1841">
        <f>WEEKNUM(Sales_Table[[#This Row],[Date_clean]],2)</f>
        <v>11</v>
      </c>
      <c r="X1841" t="str" cm="1">
        <f t="array" ref="X1841">_xlfn.IFS(Sales_Table[[#This Row],[Revenue]]&gt;=50000,"High",Sales_Table[[#This Row],[Revenue]]&gt;=20000,"Medium",Sales_Table[[#This Row],[Revenue]]&lt;20000,"Low")</f>
        <v>Low</v>
      </c>
      <c r="Y1841" t="str">
        <f>IF(Sales_Table[[#This Row],[Payment Method_clean]]="cash","Offline","Online")</f>
        <v>Offline</v>
      </c>
      <c r="Z1841">
        <f>IFERROR(Sales_Table[[#This Row],[Revenue]],0)</f>
        <v>9612</v>
      </c>
    </row>
    <row r="1842" spans="1:26" x14ac:dyDescent="0.3">
      <c r="A1842">
        <v>1841</v>
      </c>
      <c r="B1842" s="2">
        <f t="shared" si="196"/>
        <v>45368.666666666664</v>
      </c>
      <c r="C1842" t="s">
        <v>4153</v>
      </c>
      <c r="D1842" t="s">
        <v>84</v>
      </c>
      <c r="E1842" t="str">
        <f>PROPER(TRIM(CLEAN(Sales_Table[[#This Row],[Region]])))</f>
        <v>South</v>
      </c>
      <c r="F1842" t="s">
        <v>37</v>
      </c>
      <c r="G1842" t="str">
        <f t="shared" si="197"/>
        <v>Home Appliances</v>
      </c>
      <c r="H1842" t="str">
        <f>PROPER(TRIM(CLEAN(Sales_Table[[#This Row],[Product Name]])))</f>
        <v>Led Tv 42Inch</v>
      </c>
      <c r="I1842" t="s">
        <v>58</v>
      </c>
      <c r="J1842" t="str">
        <f t="shared" si="198"/>
        <v>CUST0531</v>
      </c>
      <c r="K1842" t="s">
        <v>2821</v>
      </c>
      <c r="L1842" t="str">
        <f>PROPER(TRIM(CLEAN(Sales_Table[[#This Row],[Salesperson]])))</f>
        <v>Rahul</v>
      </c>
      <c r="M1842" t="s">
        <v>31</v>
      </c>
      <c r="N1842" t="str">
        <f t="shared" si="199"/>
        <v>Upi</v>
      </c>
      <c r="O1842" t="s">
        <v>48</v>
      </c>
      <c r="P1842">
        <f t="shared" si="200"/>
        <v>2</v>
      </c>
      <c r="Q1842" t="s">
        <v>196</v>
      </c>
      <c r="R1842">
        <f t="shared" si="201"/>
        <v>3781</v>
      </c>
      <c r="S1842" t="s">
        <v>4154</v>
      </c>
      <c r="T1842">
        <f t="shared" si="202"/>
        <v>7562</v>
      </c>
      <c r="U1842">
        <f>YEAR(Sales_Table[[#This Row],[Date_clean]])</f>
        <v>2024</v>
      </c>
      <c r="V1842" t="str">
        <f>TEXT(Sales_Table[[#This Row],[Date_clean]],"mmmm")</f>
        <v>March</v>
      </c>
      <c r="W1842">
        <f>WEEKNUM(Sales_Table[[#This Row],[Date_clean]],2)</f>
        <v>11</v>
      </c>
      <c r="X1842" t="str" cm="1">
        <f t="array" ref="X1842">_xlfn.IFS(Sales_Table[[#This Row],[Revenue]]&gt;=50000,"High",Sales_Table[[#This Row],[Revenue]]&gt;=20000,"Medium",Sales_Table[[#This Row],[Revenue]]&lt;20000,"Low")</f>
        <v>Low</v>
      </c>
      <c r="Y1842" t="str">
        <f>IF(Sales_Table[[#This Row],[Payment Method_clean]]="cash","Offline","Online")</f>
        <v>Online</v>
      </c>
      <c r="Z1842">
        <f>IFERROR(Sales_Table[[#This Row],[Revenue]],0)</f>
        <v>7562</v>
      </c>
    </row>
    <row r="1843" spans="1:26" x14ac:dyDescent="0.3">
      <c r="A1843">
        <v>1842</v>
      </c>
      <c r="B1843" s="2">
        <f t="shared" si="196"/>
        <v>45368.708333333336</v>
      </c>
      <c r="C1843" t="s">
        <v>4155</v>
      </c>
      <c r="D1843" t="s">
        <v>84</v>
      </c>
      <c r="E1843" t="str">
        <f>PROPER(TRIM(CLEAN(Sales_Table[[#This Row],[Region]])))</f>
        <v>South</v>
      </c>
      <c r="F1843" t="s">
        <v>28</v>
      </c>
      <c r="G1843" t="str">
        <f t="shared" si="197"/>
        <v>Clothing</v>
      </c>
      <c r="H1843" t="str">
        <f>PROPER(TRIM(CLEAN(Sales_Table[[#This Row],[Product Name]])))</f>
        <v>Rice 5Kg</v>
      </c>
      <c r="I1843" t="s">
        <v>73</v>
      </c>
      <c r="J1843" t="str">
        <f t="shared" si="198"/>
        <v>CUST0146</v>
      </c>
      <c r="K1843" t="s">
        <v>2131</v>
      </c>
      <c r="L1843" t="str">
        <f>PROPER(TRIM(CLEAN(Sales_Table[[#This Row],[Salesperson]])))</f>
        <v>Meena</v>
      </c>
      <c r="M1843" t="s">
        <v>40</v>
      </c>
      <c r="N1843" t="str">
        <f t="shared" si="199"/>
        <v>Upi</v>
      </c>
      <c r="O1843" t="s">
        <v>48</v>
      </c>
      <c r="P1843">
        <f t="shared" si="200"/>
        <v>5</v>
      </c>
      <c r="Q1843" t="s">
        <v>89</v>
      </c>
      <c r="R1843">
        <f t="shared" si="201"/>
        <v>3321</v>
      </c>
      <c r="S1843" t="s">
        <v>4156</v>
      </c>
      <c r="T1843">
        <f t="shared" si="202"/>
        <v>16605</v>
      </c>
      <c r="U1843">
        <f>YEAR(Sales_Table[[#This Row],[Date_clean]])</f>
        <v>2024</v>
      </c>
      <c r="V1843" t="str">
        <f>TEXT(Sales_Table[[#This Row],[Date_clean]],"mmmm")</f>
        <v>March</v>
      </c>
      <c r="W1843">
        <f>WEEKNUM(Sales_Table[[#This Row],[Date_clean]],2)</f>
        <v>11</v>
      </c>
      <c r="X1843" t="str" cm="1">
        <f t="array" ref="X1843">_xlfn.IFS(Sales_Table[[#This Row],[Revenue]]&gt;=50000,"High",Sales_Table[[#This Row],[Revenue]]&gt;=20000,"Medium",Sales_Table[[#This Row],[Revenue]]&lt;20000,"Low")</f>
        <v>Low</v>
      </c>
      <c r="Y1843" t="str">
        <f>IF(Sales_Table[[#This Row],[Payment Method_clean]]="cash","Offline","Online")</f>
        <v>Online</v>
      </c>
      <c r="Z1843">
        <f>IFERROR(Sales_Table[[#This Row],[Revenue]],0)</f>
        <v>16605</v>
      </c>
    </row>
    <row r="1844" spans="1:26" x14ac:dyDescent="0.3">
      <c r="A1844">
        <v>1843</v>
      </c>
      <c r="B1844" s="2">
        <f t="shared" si="196"/>
        <v>45368.75</v>
      </c>
      <c r="C1844" t="s">
        <v>4157</v>
      </c>
      <c r="D1844" t="s">
        <v>36</v>
      </c>
      <c r="E1844" t="str">
        <f>PROPER(TRIM(CLEAN(Sales_Table[[#This Row],[Region]])))</f>
        <v>West</v>
      </c>
      <c r="F1844" t="s">
        <v>78</v>
      </c>
      <c r="G1844" t="str">
        <f t="shared" si="197"/>
        <v>Grocery</v>
      </c>
      <c r="H1844" t="str">
        <f>PROPER(TRIM(CLEAN(Sales_Table[[#This Row],[Product Name]])))</f>
        <v>Mixer Grinder</v>
      </c>
      <c r="I1844" t="s">
        <v>29</v>
      </c>
      <c r="J1844" t="str">
        <f t="shared" si="198"/>
        <v>CUST0241</v>
      </c>
      <c r="K1844" t="s">
        <v>2508</v>
      </c>
      <c r="L1844" t="str">
        <f>PROPER(TRIM(CLEAN(Sales_Table[[#This Row],[Salesperson]])))</f>
        <v>Anita</v>
      </c>
      <c r="M1844" t="s">
        <v>64</v>
      </c>
      <c r="N1844" t="str">
        <f t="shared" si="199"/>
        <v>Net Banking</v>
      </c>
      <c r="O1844" t="s">
        <v>60</v>
      </c>
      <c r="P1844">
        <f t="shared" si="200"/>
        <v>3</v>
      </c>
      <c r="Q1844" t="s">
        <v>66</v>
      </c>
      <c r="R1844">
        <f t="shared" si="201"/>
        <v>4474</v>
      </c>
      <c r="S1844" t="s">
        <v>1041</v>
      </c>
      <c r="T1844">
        <f t="shared" si="202"/>
        <v>13422</v>
      </c>
      <c r="U1844">
        <f>YEAR(Sales_Table[[#This Row],[Date_clean]])</f>
        <v>2024</v>
      </c>
      <c r="V1844" t="str">
        <f>TEXT(Sales_Table[[#This Row],[Date_clean]],"mmmm")</f>
        <v>March</v>
      </c>
      <c r="W1844">
        <f>WEEKNUM(Sales_Table[[#This Row],[Date_clean]],2)</f>
        <v>11</v>
      </c>
      <c r="X1844" t="str" cm="1">
        <f t="array" ref="X1844">_xlfn.IFS(Sales_Table[[#This Row],[Revenue]]&gt;=50000,"High",Sales_Table[[#This Row],[Revenue]]&gt;=20000,"Medium",Sales_Table[[#This Row],[Revenue]]&lt;20000,"Low")</f>
        <v>Low</v>
      </c>
      <c r="Y1844" t="str">
        <f>IF(Sales_Table[[#This Row],[Payment Method_clean]]="cash","Offline","Online")</f>
        <v>Online</v>
      </c>
      <c r="Z1844">
        <f>IFERROR(Sales_Table[[#This Row],[Revenue]],0)</f>
        <v>13422</v>
      </c>
    </row>
    <row r="1845" spans="1:26" x14ac:dyDescent="0.3">
      <c r="A1845">
        <v>1844</v>
      </c>
      <c r="B1845" s="2">
        <f t="shared" si="196"/>
        <v>45368.791666666664</v>
      </c>
      <c r="C1845" t="s">
        <v>4158</v>
      </c>
      <c r="D1845" t="s">
        <v>27</v>
      </c>
      <c r="E1845" t="str">
        <f>PROPER(TRIM(CLEAN(Sales_Table[[#This Row],[Region]])))</f>
        <v>East</v>
      </c>
      <c r="F1845" t="s">
        <v>46</v>
      </c>
      <c r="G1845" t="str">
        <f t="shared" si="197"/>
        <v>Electronics</v>
      </c>
      <c r="H1845" t="str">
        <f>PROPER(TRIM(CLEAN(Sales_Table[[#This Row],[Product Name]])))</f>
        <v>Men T-Shirt</v>
      </c>
      <c r="I1845" t="s">
        <v>38</v>
      </c>
      <c r="J1845" t="str">
        <f t="shared" si="198"/>
        <v>CUST0344</v>
      </c>
      <c r="K1845" t="s">
        <v>3156</v>
      </c>
      <c r="L1845" t="str">
        <f>PROPER(TRIM(CLEAN(Sales_Table[[#This Row],[Salesperson]])))</f>
        <v>Meena</v>
      </c>
      <c r="M1845" t="s">
        <v>40</v>
      </c>
      <c r="N1845" t="str">
        <f t="shared" si="199"/>
        <v>Net Banking</v>
      </c>
      <c r="O1845" t="s">
        <v>60</v>
      </c>
      <c r="P1845">
        <f t="shared" si="200"/>
        <v>10</v>
      </c>
      <c r="Q1845" t="s">
        <v>117</v>
      </c>
      <c r="R1845">
        <f t="shared" si="201"/>
        <v>1182</v>
      </c>
      <c r="S1845" t="s">
        <v>4034</v>
      </c>
      <c r="T1845">
        <f t="shared" si="202"/>
        <v>11820</v>
      </c>
      <c r="U1845">
        <f>YEAR(Sales_Table[[#This Row],[Date_clean]])</f>
        <v>2024</v>
      </c>
      <c r="V1845" t="str">
        <f>TEXT(Sales_Table[[#This Row],[Date_clean]],"mmmm")</f>
        <v>March</v>
      </c>
      <c r="W1845">
        <f>WEEKNUM(Sales_Table[[#This Row],[Date_clean]],2)</f>
        <v>11</v>
      </c>
      <c r="X1845" t="str" cm="1">
        <f t="array" ref="X1845">_xlfn.IFS(Sales_Table[[#This Row],[Revenue]]&gt;=50000,"High",Sales_Table[[#This Row],[Revenue]]&gt;=20000,"Medium",Sales_Table[[#This Row],[Revenue]]&lt;20000,"Low")</f>
        <v>Low</v>
      </c>
      <c r="Y1845" t="str">
        <f>IF(Sales_Table[[#This Row],[Payment Method_clean]]="cash","Offline","Online")</f>
        <v>Online</v>
      </c>
      <c r="Z1845">
        <f>IFERROR(Sales_Table[[#This Row],[Revenue]],0)</f>
        <v>11820</v>
      </c>
    </row>
    <row r="1846" spans="1:26" x14ac:dyDescent="0.3">
      <c r="A1846">
        <v>1845</v>
      </c>
      <c r="B1846" s="2">
        <f t="shared" si="196"/>
        <v>45368.833333333336</v>
      </c>
      <c r="C1846" t="s">
        <v>4159</v>
      </c>
      <c r="D1846" t="s">
        <v>84</v>
      </c>
      <c r="E1846" t="str">
        <f>PROPER(TRIM(CLEAN(Sales_Table[[#This Row],[Region]])))</f>
        <v>South</v>
      </c>
      <c r="F1846" t="s">
        <v>46</v>
      </c>
      <c r="G1846" t="str">
        <f t="shared" si="197"/>
        <v>Electronics</v>
      </c>
      <c r="H1846" t="str">
        <f>PROPER(TRIM(CLEAN(Sales_Table[[#This Row],[Product Name]])))</f>
        <v>Laptop</v>
      </c>
      <c r="I1846" t="s">
        <v>52</v>
      </c>
      <c r="J1846" t="str">
        <f t="shared" si="198"/>
        <v>CUST0749</v>
      </c>
      <c r="K1846" t="s">
        <v>1741</v>
      </c>
      <c r="L1846" t="str">
        <f>PROPER(TRIM(CLEAN(Sales_Table[[#This Row],[Salesperson]])))</f>
        <v>Rahul</v>
      </c>
      <c r="M1846" t="s">
        <v>31</v>
      </c>
      <c r="N1846" t="str">
        <f t="shared" si="199"/>
        <v>Net Banking</v>
      </c>
      <c r="O1846" t="s">
        <v>60</v>
      </c>
      <c r="P1846">
        <f t="shared" si="200"/>
        <v>2</v>
      </c>
      <c r="Q1846" t="s">
        <v>196</v>
      </c>
      <c r="R1846">
        <f t="shared" si="201"/>
        <v>545</v>
      </c>
      <c r="S1846" t="s">
        <v>4160</v>
      </c>
      <c r="T1846">
        <f t="shared" si="202"/>
        <v>1090</v>
      </c>
      <c r="U1846">
        <f>YEAR(Sales_Table[[#This Row],[Date_clean]])</f>
        <v>2024</v>
      </c>
      <c r="V1846" t="str">
        <f>TEXT(Sales_Table[[#This Row],[Date_clean]],"mmmm")</f>
        <v>March</v>
      </c>
      <c r="W1846">
        <f>WEEKNUM(Sales_Table[[#This Row],[Date_clean]],2)</f>
        <v>11</v>
      </c>
      <c r="X1846" t="str" cm="1">
        <f t="array" ref="X1846">_xlfn.IFS(Sales_Table[[#This Row],[Revenue]]&gt;=50000,"High",Sales_Table[[#This Row],[Revenue]]&gt;=20000,"Medium",Sales_Table[[#This Row],[Revenue]]&lt;20000,"Low")</f>
        <v>Low</v>
      </c>
      <c r="Y1846" t="str">
        <f>IF(Sales_Table[[#This Row],[Payment Method_clean]]="cash","Offline","Online")</f>
        <v>Online</v>
      </c>
      <c r="Z1846">
        <f>IFERROR(Sales_Table[[#This Row],[Revenue]],0)</f>
        <v>1090</v>
      </c>
    </row>
    <row r="1847" spans="1:26" x14ac:dyDescent="0.3">
      <c r="A1847">
        <v>1846</v>
      </c>
      <c r="B1847" s="2">
        <f t="shared" si="196"/>
        <v>45368.875</v>
      </c>
      <c r="C1847" t="s">
        <v>4161</v>
      </c>
      <c r="D1847" t="s">
        <v>27</v>
      </c>
      <c r="E1847" t="str">
        <f>PROPER(TRIM(CLEAN(Sales_Table[[#This Row],[Region]])))</f>
        <v>East</v>
      </c>
      <c r="F1847" t="s">
        <v>46</v>
      </c>
      <c r="G1847" t="str">
        <f t="shared" si="197"/>
        <v>Electronics</v>
      </c>
      <c r="H1847" t="str">
        <f>PROPER(TRIM(CLEAN(Sales_Table[[#This Row],[Product Name]])))</f>
        <v>Rice 5Kg</v>
      </c>
      <c r="I1847" t="s">
        <v>73</v>
      </c>
      <c r="J1847" t="str">
        <f t="shared" si="198"/>
        <v>CUST0035</v>
      </c>
      <c r="K1847" t="s">
        <v>3756</v>
      </c>
      <c r="L1847" t="str">
        <f>PROPER(TRIM(CLEAN(Sales_Table[[#This Row],[Salesperson]])))</f>
        <v>Rahul</v>
      </c>
      <c r="M1847" t="s">
        <v>31</v>
      </c>
      <c r="N1847" t="str">
        <f t="shared" si="199"/>
        <v>Cash</v>
      </c>
      <c r="O1847" t="s">
        <v>32</v>
      </c>
      <c r="P1847">
        <f t="shared" si="200"/>
        <v>14</v>
      </c>
      <c r="Q1847" t="s">
        <v>55</v>
      </c>
      <c r="R1847">
        <f t="shared" si="201"/>
        <v>4950</v>
      </c>
      <c r="S1847" t="s">
        <v>4162</v>
      </c>
      <c r="T1847">
        <f t="shared" si="202"/>
        <v>69300</v>
      </c>
      <c r="U1847">
        <f>YEAR(Sales_Table[[#This Row],[Date_clean]])</f>
        <v>2024</v>
      </c>
      <c r="V1847" t="str">
        <f>TEXT(Sales_Table[[#This Row],[Date_clean]],"mmmm")</f>
        <v>March</v>
      </c>
      <c r="W1847">
        <f>WEEKNUM(Sales_Table[[#This Row],[Date_clean]],2)</f>
        <v>11</v>
      </c>
      <c r="X1847" t="str" cm="1">
        <f t="array" ref="X1847">_xlfn.IFS(Sales_Table[[#This Row],[Revenue]]&gt;=50000,"High",Sales_Table[[#This Row],[Revenue]]&gt;=20000,"Medium",Sales_Table[[#This Row],[Revenue]]&lt;20000,"Low")</f>
        <v>High</v>
      </c>
      <c r="Y1847" t="str">
        <f>IF(Sales_Table[[#This Row],[Payment Method_clean]]="cash","Offline","Online")</f>
        <v>Offline</v>
      </c>
      <c r="Z1847">
        <f>IFERROR(Sales_Table[[#This Row],[Revenue]],0)</f>
        <v>69300</v>
      </c>
    </row>
    <row r="1848" spans="1:26" x14ac:dyDescent="0.3">
      <c r="A1848">
        <v>1847</v>
      </c>
      <c r="B1848" s="2">
        <f t="shared" si="196"/>
        <v>45368.916666666664</v>
      </c>
      <c r="C1848" t="s">
        <v>4163</v>
      </c>
      <c r="D1848" t="s">
        <v>36</v>
      </c>
      <c r="E1848" t="str">
        <f>PROPER(TRIM(CLEAN(Sales_Table[[#This Row],[Region]])))</f>
        <v>West</v>
      </c>
      <c r="F1848" t="s">
        <v>37</v>
      </c>
      <c r="G1848" t="str">
        <f t="shared" si="197"/>
        <v>Home Appliances</v>
      </c>
      <c r="H1848" t="str">
        <f>PROPER(TRIM(CLEAN(Sales_Table[[#This Row],[Product Name]])))</f>
        <v>Laptop</v>
      </c>
      <c r="I1848" t="s">
        <v>52</v>
      </c>
      <c r="J1848" t="str">
        <f t="shared" si="198"/>
        <v>CUST0702</v>
      </c>
      <c r="K1848" t="s">
        <v>1323</v>
      </c>
      <c r="L1848" t="str">
        <f>PROPER(TRIM(CLEAN(Sales_Table[[#This Row],[Salesperson]])))</f>
        <v>Karthik</v>
      </c>
      <c r="M1848" t="s">
        <v>70</v>
      </c>
      <c r="N1848" t="str">
        <f t="shared" si="199"/>
        <v>Debit Card</v>
      </c>
      <c r="O1848" t="s">
        <v>41</v>
      </c>
      <c r="P1848">
        <f t="shared" si="200"/>
        <v>9</v>
      </c>
      <c r="Q1848" t="s">
        <v>130</v>
      </c>
      <c r="R1848">
        <f t="shared" si="201"/>
        <v>1692</v>
      </c>
      <c r="S1848" t="s">
        <v>4164</v>
      </c>
      <c r="T1848">
        <f t="shared" si="202"/>
        <v>15228</v>
      </c>
      <c r="U1848">
        <f>YEAR(Sales_Table[[#This Row],[Date_clean]])</f>
        <v>2024</v>
      </c>
      <c r="V1848" t="str">
        <f>TEXT(Sales_Table[[#This Row],[Date_clean]],"mmmm")</f>
        <v>March</v>
      </c>
      <c r="W1848">
        <f>WEEKNUM(Sales_Table[[#This Row],[Date_clean]],2)</f>
        <v>11</v>
      </c>
      <c r="X1848" t="str" cm="1">
        <f t="array" ref="X1848">_xlfn.IFS(Sales_Table[[#This Row],[Revenue]]&gt;=50000,"High",Sales_Table[[#This Row],[Revenue]]&gt;=20000,"Medium",Sales_Table[[#This Row],[Revenue]]&lt;20000,"Low")</f>
        <v>Low</v>
      </c>
      <c r="Y1848" t="str">
        <f>IF(Sales_Table[[#This Row],[Payment Method_clean]]="cash","Offline","Online")</f>
        <v>Online</v>
      </c>
      <c r="Z1848">
        <f>IFERROR(Sales_Table[[#This Row],[Revenue]],0)</f>
        <v>15228</v>
      </c>
    </row>
    <row r="1849" spans="1:26" x14ac:dyDescent="0.3">
      <c r="A1849">
        <v>1848</v>
      </c>
      <c r="B1849" s="2">
        <f t="shared" si="196"/>
        <v>45368.958333333336</v>
      </c>
      <c r="C1849" t="s">
        <v>4165</v>
      </c>
      <c r="D1849" t="s">
        <v>36</v>
      </c>
      <c r="E1849" t="str">
        <f>PROPER(TRIM(CLEAN(Sales_Table[[#This Row],[Region]])))</f>
        <v>West</v>
      </c>
      <c r="F1849" t="s">
        <v>37</v>
      </c>
      <c r="G1849" t="str">
        <f t="shared" si="197"/>
        <v>Home Appliances</v>
      </c>
      <c r="H1849" t="str">
        <f>PROPER(TRIM(CLEAN(Sales_Table[[#This Row],[Product Name]])))</f>
        <v>Rice 5Kg</v>
      </c>
      <c r="I1849" t="s">
        <v>73</v>
      </c>
      <c r="J1849" t="str">
        <f t="shared" si="198"/>
        <v>CUST0001</v>
      </c>
      <c r="K1849" t="s">
        <v>1512</v>
      </c>
      <c r="L1849" t="str">
        <f>PROPER(TRIM(CLEAN(Sales_Table[[#This Row],[Salesperson]])))</f>
        <v>Suresh</v>
      </c>
      <c r="M1849" t="s">
        <v>54</v>
      </c>
      <c r="N1849" t="str">
        <f t="shared" si="199"/>
        <v>Net Banking</v>
      </c>
      <c r="O1849" t="s">
        <v>60</v>
      </c>
      <c r="P1849">
        <f t="shared" si="200"/>
        <v>5</v>
      </c>
      <c r="Q1849" t="s">
        <v>89</v>
      </c>
      <c r="R1849">
        <f t="shared" si="201"/>
        <v>2875</v>
      </c>
      <c r="S1849" t="s">
        <v>3408</v>
      </c>
      <c r="T1849">
        <f t="shared" si="202"/>
        <v>14375</v>
      </c>
      <c r="U1849">
        <f>YEAR(Sales_Table[[#This Row],[Date_clean]])</f>
        <v>2024</v>
      </c>
      <c r="V1849" t="str">
        <f>TEXT(Sales_Table[[#This Row],[Date_clean]],"mmmm")</f>
        <v>March</v>
      </c>
      <c r="W1849">
        <f>WEEKNUM(Sales_Table[[#This Row],[Date_clean]],2)</f>
        <v>11</v>
      </c>
      <c r="X1849" t="str" cm="1">
        <f t="array" ref="X1849">_xlfn.IFS(Sales_Table[[#This Row],[Revenue]]&gt;=50000,"High",Sales_Table[[#This Row],[Revenue]]&gt;=20000,"Medium",Sales_Table[[#This Row],[Revenue]]&lt;20000,"Low")</f>
        <v>Low</v>
      </c>
      <c r="Y1849" t="str">
        <f>IF(Sales_Table[[#This Row],[Payment Method_clean]]="cash","Offline","Online")</f>
        <v>Online</v>
      </c>
      <c r="Z1849">
        <f>IFERROR(Sales_Table[[#This Row],[Revenue]],0)</f>
        <v>14375</v>
      </c>
    </row>
    <row r="1850" spans="1:26" x14ac:dyDescent="0.3">
      <c r="A1850">
        <v>1849</v>
      </c>
      <c r="B1850" s="2">
        <f t="shared" si="196"/>
        <v>45369</v>
      </c>
      <c r="C1850" t="s">
        <v>4166</v>
      </c>
      <c r="D1850" t="s">
        <v>45</v>
      </c>
      <c r="E1850" t="str">
        <f>PROPER(TRIM(CLEAN(Sales_Table[[#This Row],[Region]])))</f>
        <v>North</v>
      </c>
      <c r="F1850" t="s">
        <v>78</v>
      </c>
      <c r="G1850" t="str">
        <f t="shared" si="197"/>
        <v>Grocery</v>
      </c>
      <c r="H1850" t="str">
        <f>PROPER(TRIM(CLEAN(Sales_Table[[#This Row],[Product Name]])))</f>
        <v>Washing Machine</v>
      </c>
      <c r="I1850" t="s">
        <v>79</v>
      </c>
      <c r="J1850" t="str">
        <f t="shared" si="198"/>
        <v>CUST0153</v>
      </c>
      <c r="K1850" t="s">
        <v>4167</v>
      </c>
      <c r="L1850" t="str">
        <f>PROPER(TRIM(CLEAN(Sales_Table[[#This Row],[Salesperson]])))</f>
        <v>Suresh</v>
      </c>
      <c r="M1850" t="s">
        <v>54</v>
      </c>
      <c r="N1850" t="str">
        <f t="shared" si="199"/>
        <v>Net Banking</v>
      </c>
      <c r="O1850" t="s">
        <v>60</v>
      </c>
      <c r="P1850">
        <f t="shared" si="200"/>
        <v>10</v>
      </c>
      <c r="Q1850" t="s">
        <v>117</v>
      </c>
      <c r="R1850">
        <f t="shared" si="201"/>
        <v>3916</v>
      </c>
      <c r="S1850" t="s">
        <v>4168</v>
      </c>
      <c r="T1850">
        <f t="shared" si="202"/>
        <v>39160</v>
      </c>
      <c r="U1850">
        <f>YEAR(Sales_Table[[#This Row],[Date_clean]])</f>
        <v>2024</v>
      </c>
      <c r="V1850" t="str">
        <f>TEXT(Sales_Table[[#This Row],[Date_clean]],"mmmm")</f>
        <v>March</v>
      </c>
      <c r="W1850">
        <f>WEEKNUM(Sales_Table[[#This Row],[Date_clean]],2)</f>
        <v>12</v>
      </c>
      <c r="X1850" t="str" cm="1">
        <f t="array" ref="X1850">_xlfn.IFS(Sales_Table[[#This Row],[Revenue]]&gt;=50000,"High",Sales_Table[[#This Row],[Revenue]]&gt;=20000,"Medium",Sales_Table[[#This Row],[Revenue]]&lt;20000,"Low")</f>
        <v>Medium</v>
      </c>
      <c r="Y1850" t="str">
        <f>IF(Sales_Table[[#This Row],[Payment Method_clean]]="cash","Offline","Online")</f>
        <v>Online</v>
      </c>
      <c r="Z1850">
        <f>IFERROR(Sales_Table[[#This Row],[Revenue]],0)</f>
        <v>39160</v>
      </c>
    </row>
    <row r="1851" spans="1:26" x14ac:dyDescent="0.3">
      <c r="A1851">
        <v>1850</v>
      </c>
      <c r="B1851" s="2">
        <f t="shared" si="196"/>
        <v>45369.041666666664</v>
      </c>
      <c r="C1851" t="s">
        <v>4169</v>
      </c>
      <c r="D1851" t="s">
        <v>84</v>
      </c>
      <c r="E1851" t="str">
        <f>PROPER(TRIM(CLEAN(Sales_Table[[#This Row],[Region]])))</f>
        <v>South</v>
      </c>
      <c r="F1851" t="s">
        <v>78</v>
      </c>
      <c r="G1851" t="str">
        <f t="shared" si="197"/>
        <v>Grocery</v>
      </c>
      <c r="H1851" t="str">
        <f>PROPER(TRIM(CLEAN(Sales_Table[[#This Row],[Product Name]])))</f>
        <v>Washing Machine</v>
      </c>
      <c r="I1851" t="s">
        <v>79</v>
      </c>
      <c r="J1851" t="str">
        <f t="shared" si="198"/>
        <v>CUST0429</v>
      </c>
      <c r="K1851" t="s">
        <v>129</v>
      </c>
      <c r="L1851" t="str">
        <f>PROPER(TRIM(CLEAN(Sales_Table[[#This Row],[Salesperson]])))</f>
        <v>Rahul</v>
      </c>
      <c r="M1851" t="s">
        <v>31</v>
      </c>
      <c r="N1851" t="str">
        <f t="shared" si="199"/>
        <v>Cash</v>
      </c>
      <c r="O1851" t="s">
        <v>32</v>
      </c>
      <c r="P1851">
        <f t="shared" si="200"/>
        <v>5</v>
      </c>
      <c r="Q1851" t="s">
        <v>89</v>
      </c>
      <c r="R1851">
        <f t="shared" si="201"/>
        <v>3153</v>
      </c>
      <c r="S1851" t="s">
        <v>4170</v>
      </c>
      <c r="T1851">
        <f t="shared" si="202"/>
        <v>15765</v>
      </c>
      <c r="U1851">
        <f>YEAR(Sales_Table[[#This Row],[Date_clean]])</f>
        <v>2024</v>
      </c>
      <c r="V1851" t="str">
        <f>TEXT(Sales_Table[[#This Row],[Date_clean]],"mmmm")</f>
        <v>March</v>
      </c>
      <c r="W1851">
        <f>WEEKNUM(Sales_Table[[#This Row],[Date_clean]],2)</f>
        <v>12</v>
      </c>
      <c r="X1851" t="str" cm="1">
        <f t="array" ref="X1851">_xlfn.IFS(Sales_Table[[#This Row],[Revenue]]&gt;=50000,"High",Sales_Table[[#This Row],[Revenue]]&gt;=20000,"Medium",Sales_Table[[#This Row],[Revenue]]&lt;20000,"Low")</f>
        <v>Low</v>
      </c>
      <c r="Y1851" t="str">
        <f>IF(Sales_Table[[#This Row],[Payment Method_clean]]="cash","Offline","Online")</f>
        <v>Offline</v>
      </c>
      <c r="Z1851">
        <f>IFERROR(Sales_Table[[#This Row],[Revenue]],0)</f>
        <v>15765</v>
      </c>
    </row>
    <row r="1852" spans="1:26" x14ac:dyDescent="0.3">
      <c r="A1852">
        <v>1851</v>
      </c>
      <c r="B1852" s="2">
        <f t="shared" si="196"/>
        <v>45369.083333333336</v>
      </c>
      <c r="C1852" t="s">
        <v>4171</v>
      </c>
      <c r="D1852" t="s">
        <v>27</v>
      </c>
      <c r="E1852" t="str">
        <f>PROPER(TRIM(CLEAN(Sales_Table[[#This Row],[Region]])))</f>
        <v>East</v>
      </c>
      <c r="F1852" t="s">
        <v>37</v>
      </c>
      <c r="G1852" t="str">
        <f t="shared" si="197"/>
        <v>Home Appliances</v>
      </c>
      <c r="H1852" t="str">
        <f>PROPER(TRIM(CLEAN(Sales_Table[[#This Row],[Product Name]])))</f>
        <v>Washing Machine</v>
      </c>
      <c r="I1852" t="s">
        <v>79</v>
      </c>
      <c r="J1852" t="str">
        <f t="shared" si="198"/>
        <v>CUST0508</v>
      </c>
      <c r="K1852" t="s">
        <v>521</v>
      </c>
      <c r="L1852" t="str">
        <f>PROPER(TRIM(CLEAN(Sales_Table[[#This Row],[Salesperson]])))</f>
        <v>Karthik</v>
      </c>
      <c r="M1852" t="s">
        <v>70</v>
      </c>
      <c r="N1852" t="str">
        <f t="shared" si="199"/>
        <v>Cash</v>
      </c>
      <c r="O1852" t="s">
        <v>32</v>
      </c>
      <c r="P1852">
        <f t="shared" si="200"/>
        <v>1</v>
      </c>
      <c r="Q1852" t="s">
        <v>93</v>
      </c>
      <c r="R1852">
        <f t="shared" si="201"/>
        <v>1690</v>
      </c>
      <c r="S1852" t="s">
        <v>4172</v>
      </c>
      <c r="T1852">
        <f t="shared" si="202"/>
        <v>1690</v>
      </c>
      <c r="U1852">
        <f>YEAR(Sales_Table[[#This Row],[Date_clean]])</f>
        <v>2024</v>
      </c>
      <c r="V1852" t="str">
        <f>TEXT(Sales_Table[[#This Row],[Date_clean]],"mmmm")</f>
        <v>March</v>
      </c>
      <c r="W1852">
        <f>WEEKNUM(Sales_Table[[#This Row],[Date_clean]],2)</f>
        <v>12</v>
      </c>
      <c r="X1852" t="str" cm="1">
        <f t="array" ref="X1852">_xlfn.IFS(Sales_Table[[#This Row],[Revenue]]&gt;=50000,"High",Sales_Table[[#This Row],[Revenue]]&gt;=20000,"Medium",Sales_Table[[#This Row],[Revenue]]&lt;20000,"Low")</f>
        <v>Low</v>
      </c>
      <c r="Y1852" t="str">
        <f>IF(Sales_Table[[#This Row],[Payment Method_clean]]="cash","Offline","Online")</f>
        <v>Offline</v>
      </c>
      <c r="Z1852">
        <f>IFERROR(Sales_Table[[#This Row],[Revenue]],0)</f>
        <v>1690</v>
      </c>
    </row>
    <row r="1853" spans="1:26" x14ac:dyDescent="0.3">
      <c r="A1853">
        <v>1852</v>
      </c>
      <c r="B1853" s="2">
        <f t="shared" si="196"/>
        <v>45369.125</v>
      </c>
      <c r="C1853" t="s">
        <v>4173</v>
      </c>
      <c r="D1853" t="s">
        <v>45</v>
      </c>
      <c r="E1853" t="str">
        <f>PROPER(TRIM(CLEAN(Sales_Table[[#This Row],[Region]])))</f>
        <v>North</v>
      </c>
      <c r="F1853" t="s">
        <v>78</v>
      </c>
      <c r="G1853" t="str">
        <f t="shared" si="197"/>
        <v>Grocery</v>
      </c>
      <c r="H1853" t="str">
        <f>PROPER(TRIM(CLEAN(Sales_Table[[#This Row],[Product Name]])))</f>
        <v>Laptop</v>
      </c>
      <c r="I1853" t="s">
        <v>52</v>
      </c>
      <c r="J1853" t="str">
        <f t="shared" si="198"/>
        <v>CUST0126</v>
      </c>
      <c r="K1853" t="s">
        <v>3982</v>
      </c>
      <c r="L1853" t="str">
        <f>PROPER(TRIM(CLEAN(Sales_Table[[#This Row],[Salesperson]])))</f>
        <v>Karthik</v>
      </c>
      <c r="M1853" t="s">
        <v>70</v>
      </c>
      <c r="N1853" t="str">
        <f t="shared" si="199"/>
        <v>Cash</v>
      </c>
      <c r="O1853" t="s">
        <v>32</v>
      </c>
      <c r="P1853">
        <f t="shared" si="200"/>
        <v>6</v>
      </c>
      <c r="Q1853" t="s">
        <v>75</v>
      </c>
      <c r="R1853">
        <f t="shared" si="201"/>
        <v>2331</v>
      </c>
      <c r="S1853" t="s">
        <v>4174</v>
      </c>
      <c r="T1853">
        <f t="shared" si="202"/>
        <v>13986</v>
      </c>
      <c r="U1853">
        <f>YEAR(Sales_Table[[#This Row],[Date_clean]])</f>
        <v>2024</v>
      </c>
      <c r="V1853" t="str">
        <f>TEXT(Sales_Table[[#This Row],[Date_clean]],"mmmm")</f>
        <v>March</v>
      </c>
      <c r="W1853">
        <f>WEEKNUM(Sales_Table[[#This Row],[Date_clean]],2)</f>
        <v>12</v>
      </c>
      <c r="X1853" t="str" cm="1">
        <f t="array" ref="X1853">_xlfn.IFS(Sales_Table[[#This Row],[Revenue]]&gt;=50000,"High",Sales_Table[[#This Row],[Revenue]]&gt;=20000,"Medium",Sales_Table[[#This Row],[Revenue]]&lt;20000,"Low")</f>
        <v>Low</v>
      </c>
      <c r="Y1853" t="str">
        <f>IF(Sales_Table[[#This Row],[Payment Method_clean]]="cash","Offline","Online")</f>
        <v>Offline</v>
      </c>
      <c r="Z1853">
        <f>IFERROR(Sales_Table[[#This Row],[Revenue]],0)</f>
        <v>13986</v>
      </c>
    </row>
    <row r="1854" spans="1:26" x14ac:dyDescent="0.3">
      <c r="A1854">
        <v>1853</v>
      </c>
      <c r="B1854" s="2">
        <f t="shared" si="196"/>
        <v>45369.166666666664</v>
      </c>
      <c r="C1854" t="s">
        <v>4175</v>
      </c>
      <c r="D1854" t="s">
        <v>84</v>
      </c>
      <c r="E1854" t="str">
        <f>PROPER(TRIM(CLEAN(Sales_Table[[#This Row],[Region]])))</f>
        <v>South</v>
      </c>
      <c r="F1854" t="s">
        <v>28</v>
      </c>
      <c r="G1854" t="str">
        <f t="shared" si="197"/>
        <v>Clothing</v>
      </c>
      <c r="H1854" t="str">
        <f>PROPER(TRIM(CLEAN(Sales_Table[[#This Row],[Product Name]])))</f>
        <v>Mixer Grinder</v>
      </c>
      <c r="I1854" t="s">
        <v>29</v>
      </c>
      <c r="J1854" t="str">
        <f t="shared" si="198"/>
        <v>CUST0491</v>
      </c>
      <c r="K1854" t="s">
        <v>2157</v>
      </c>
      <c r="L1854" t="str">
        <f>PROPER(TRIM(CLEAN(Sales_Table[[#This Row],[Salesperson]])))</f>
        <v>Anita</v>
      </c>
      <c r="M1854" t="s">
        <v>64</v>
      </c>
      <c r="N1854" t="str">
        <f t="shared" si="199"/>
        <v>Debit Card</v>
      </c>
      <c r="O1854" t="s">
        <v>41</v>
      </c>
      <c r="P1854">
        <f t="shared" si="200"/>
        <v>13</v>
      </c>
      <c r="Q1854" t="s">
        <v>81</v>
      </c>
      <c r="R1854">
        <f t="shared" si="201"/>
        <v>1661</v>
      </c>
      <c r="S1854" t="s">
        <v>2365</v>
      </c>
      <c r="T1854">
        <f t="shared" si="202"/>
        <v>21593</v>
      </c>
      <c r="U1854">
        <f>YEAR(Sales_Table[[#This Row],[Date_clean]])</f>
        <v>2024</v>
      </c>
      <c r="V1854" t="str">
        <f>TEXT(Sales_Table[[#This Row],[Date_clean]],"mmmm")</f>
        <v>March</v>
      </c>
      <c r="W1854">
        <f>WEEKNUM(Sales_Table[[#This Row],[Date_clean]],2)</f>
        <v>12</v>
      </c>
      <c r="X1854" t="str" cm="1">
        <f t="array" ref="X1854">_xlfn.IFS(Sales_Table[[#This Row],[Revenue]]&gt;=50000,"High",Sales_Table[[#This Row],[Revenue]]&gt;=20000,"Medium",Sales_Table[[#This Row],[Revenue]]&lt;20000,"Low")</f>
        <v>Medium</v>
      </c>
      <c r="Y1854" t="str">
        <f>IF(Sales_Table[[#This Row],[Payment Method_clean]]="cash","Offline","Online")</f>
        <v>Online</v>
      </c>
      <c r="Z1854">
        <f>IFERROR(Sales_Table[[#This Row],[Revenue]],0)</f>
        <v>21593</v>
      </c>
    </row>
    <row r="1855" spans="1:26" x14ac:dyDescent="0.3">
      <c r="A1855">
        <v>1854</v>
      </c>
      <c r="B1855" s="2">
        <f t="shared" si="196"/>
        <v>45369.208333333336</v>
      </c>
      <c r="C1855" t="s">
        <v>4176</v>
      </c>
      <c r="D1855" t="s">
        <v>45</v>
      </c>
      <c r="E1855" t="str">
        <f>PROPER(TRIM(CLEAN(Sales_Table[[#This Row],[Region]])))</f>
        <v>North</v>
      </c>
      <c r="F1855" t="s">
        <v>28</v>
      </c>
      <c r="G1855" t="str">
        <f t="shared" si="197"/>
        <v>Clothing</v>
      </c>
      <c r="H1855" t="str">
        <f>PROPER(TRIM(CLEAN(Sales_Table[[#This Row],[Product Name]])))</f>
        <v>Washing Machine</v>
      </c>
      <c r="I1855" t="s">
        <v>79</v>
      </c>
      <c r="J1855" t="str">
        <f t="shared" si="198"/>
        <v>CUST0482</v>
      </c>
      <c r="K1855" t="s">
        <v>92</v>
      </c>
      <c r="L1855" t="str">
        <f>PROPER(TRIM(CLEAN(Sales_Table[[#This Row],[Salesperson]])))</f>
        <v>Suresh</v>
      </c>
      <c r="M1855" t="s">
        <v>54</v>
      </c>
      <c r="N1855" t="str">
        <f t="shared" si="199"/>
        <v>Net Banking</v>
      </c>
      <c r="O1855" t="s">
        <v>60</v>
      </c>
      <c r="P1855">
        <f t="shared" si="200"/>
        <v>7</v>
      </c>
      <c r="Q1855" t="s">
        <v>49</v>
      </c>
      <c r="R1855">
        <f t="shared" si="201"/>
        <v>4372</v>
      </c>
      <c r="S1855" t="s">
        <v>4177</v>
      </c>
      <c r="T1855">
        <f t="shared" si="202"/>
        <v>30604</v>
      </c>
      <c r="U1855">
        <f>YEAR(Sales_Table[[#This Row],[Date_clean]])</f>
        <v>2024</v>
      </c>
      <c r="V1855" t="str">
        <f>TEXT(Sales_Table[[#This Row],[Date_clean]],"mmmm")</f>
        <v>March</v>
      </c>
      <c r="W1855">
        <f>WEEKNUM(Sales_Table[[#This Row],[Date_clean]],2)</f>
        <v>12</v>
      </c>
      <c r="X1855" t="str" cm="1">
        <f t="array" ref="X1855">_xlfn.IFS(Sales_Table[[#This Row],[Revenue]]&gt;=50000,"High",Sales_Table[[#This Row],[Revenue]]&gt;=20000,"Medium",Sales_Table[[#This Row],[Revenue]]&lt;20000,"Low")</f>
        <v>Medium</v>
      </c>
      <c r="Y1855" t="str">
        <f>IF(Sales_Table[[#This Row],[Payment Method_clean]]="cash","Offline","Online")</f>
        <v>Online</v>
      </c>
      <c r="Z1855">
        <f>IFERROR(Sales_Table[[#This Row],[Revenue]],0)</f>
        <v>30604</v>
      </c>
    </row>
    <row r="1856" spans="1:26" x14ac:dyDescent="0.3">
      <c r="A1856">
        <v>1855</v>
      </c>
      <c r="B1856" s="2">
        <f t="shared" si="196"/>
        <v>45369.25</v>
      </c>
      <c r="C1856" t="s">
        <v>4178</v>
      </c>
      <c r="D1856" t="s">
        <v>36</v>
      </c>
      <c r="E1856" t="str">
        <f>PROPER(TRIM(CLEAN(Sales_Table[[#This Row],[Region]])))</f>
        <v>West</v>
      </c>
      <c r="F1856" t="s">
        <v>37</v>
      </c>
      <c r="G1856" t="str">
        <f t="shared" si="197"/>
        <v>Home Appliances</v>
      </c>
      <c r="H1856" t="str">
        <f>PROPER(TRIM(CLEAN(Sales_Table[[#This Row],[Product Name]])))</f>
        <v>Rice 5Kg</v>
      </c>
      <c r="I1856" t="s">
        <v>73</v>
      </c>
      <c r="J1856" t="str">
        <f t="shared" si="198"/>
        <v>CUST0345</v>
      </c>
      <c r="K1856" t="s">
        <v>1199</v>
      </c>
      <c r="L1856" t="str">
        <f>PROPER(TRIM(CLEAN(Sales_Table[[#This Row],[Salesperson]])))</f>
        <v>Rahul</v>
      </c>
      <c r="M1856" t="s">
        <v>31</v>
      </c>
      <c r="N1856" t="str">
        <f t="shared" si="199"/>
        <v>Credit Card</v>
      </c>
      <c r="O1856" t="s">
        <v>65</v>
      </c>
      <c r="P1856">
        <f t="shared" si="200"/>
        <v>1</v>
      </c>
      <c r="Q1856" t="s">
        <v>93</v>
      </c>
      <c r="R1856">
        <f t="shared" si="201"/>
        <v>3746</v>
      </c>
      <c r="S1856" t="s">
        <v>2695</v>
      </c>
      <c r="T1856">
        <f t="shared" si="202"/>
        <v>3746</v>
      </c>
      <c r="U1856">
        <f>YEAR(Sales_Table[[#This Row],[Date_clean]])</f>
        <v>2024</v>
      </c>
      <c r="V1856" t="str">
        <f>TEXT(Sales_Table[[#This Row],[Date_clean]],"mmmm")</f>
        <v>March</v>
      </c>
      <c r="W1856">
        <f>WEEKNUM(Sales_Table[[#This Row],[Date_clean]],2)</f>
        <v>12</v>
      </c>
      <c r="X1856" t="str" cm="1">
        <f t="array" ref="X1856">_xlfn.IFS(Sales_Table[[#This Row],[Revenue]]&gt;=50000,"High",Sales_Table[[#This Row],[Revenue]]&gt;=20000,"Medium",Sales_Table[[#This Row],[Revenue]]&lt;20000,"Low")</f>
        <v>Low</v>
      </c>
      <c r="Y1856" t="str">
        <f>IF(Sales_Table[[#This Row],[Payment Method_clean]]="cash","Offline","Online")</f>
        <v>Online</v>
      </c>
      <c r="Z1856">
        <f>IFERROR(Sales_Table[[#This Row],[Revenue]],0)</f>
        <v>3746</v>
      </c>
    </row>
    <row r="1857" spans="1:26" x14ac:dyDescent="0.3">
      <c r="A1857">
        <v>1856</v>
      </c>
      <c r="B1857" s="2">
        <f t="shared" si="196"/>
        <v>45369.291666666664</v>
      </c>
      <c r="C1857" t="s">
        <v>4179</v>
      </c>
      <c r="D1857" t="s">
        <v>84</v>
      </c>
      <c r="E1857" t="str">
        <f>PROPER(TRIM(CLEAN(Sales_Table[[#This Row],[Region]])))</f>
        <v>South</v>
      </c>
      <c r="F1857" t="s">
        <v>78</v>
      </c>
      <c r="G1857" t="str">
        <f t="shared" si="197"/>
        <v>Grocery</v>
      </c>
      <c r="H1857" t="str">
        <f>PROPER(TRIM(CLEAN(Sales_Table[[#This Row],[Product Name]])))</f>
        <v>Washing Machine</v>
      </c>
      <c r="I1857" t="s">
        <v>79</v>
      </c>
      <c r="J1857" t="str">
        <f t="shared" si="198"/>
        <v>CUST0738</v>
      </c>
      <c r="K1857" t="s">
        <v>1270</v>
      </c>
      <c r="L1857" t="str">
        <f>PROPER(TRIM(CLEAN(Sales_Table[[#This Row],[Salesperson]])))</f>
        <v>Meena</v>
      </c>
      <c r="M1857" t="s">
        <v>40</v>
      </c>
      <c r="N1857" t="str">
        <f t="shared" si="199"/>
        <v>Credit Card</v>
      </c>
      <c r="O1857" t="s">
        <v>65</v>
      </c>
      <c r="P1857">
        <f t="shared" si="200"/>
        <v>9</v>
      </c>
      <c r="Q1857" t="s">
        <v>130</v>
      </c>
      <c r="R1857">
        <f t="shared" si="201"/>
        <v>3338</v>
      </c>
      <c r="S1857" t="s">
        <v>4083</v>
      </c>
      <c r="T1857">
        <f t="shared" si="202"/>
        <v>30042</v>
      </c>
      <c r="U1857">
        <f>YEAR(Sales_Table[[#This Row],[Date_clean]])</f>
        <v>2024</v>
      </c>
      <c r="V1857" t="str">
        <f>TEXT(Sales_Table[[#This Row],[Date_clean]],"mmmm")</f>
        <v>March</v>
      </c>
      <c r="W1857">
        <f>WEEKNUM(Sales_Table[[#This Row],[Date_clean]],2)</f>
        <v>12</v>
      </c>
      <c r="X1857" t="str" cm="1">
        <f t="array" ref="X1857">_xlfn.IFS(Sales_Table[[#This Row],[Revenue]]&gt;=50000,"High",Sales_Table[[#This Row],[Revenue]]&gt;=20000,"Medium",Sales_Table[[#This Row],[Revenue]]&lt;20000,"Low")</f>
        <v>Medium</v>
      </c>
      <c r="Y1857" t="str">
        <f>IF(Sales_Table[[#This Row],[Payment Method_clean]]="cash","Offline","Online")</f>
        <v>Online</v>
      </c>
      <c r="Z1857">
        <f>IFERROR(Sales_Table[[#This Row],[Revenue]],0)</f>
        <v>30042</v>
      </c>
    </row>
    <row r="1858" spans="1:26" x14ac:dyDescent="0.3">
      <c r="A1858">
        <v>1857</v>
      </c>
      <c r="B1858" s="2">
        <f t="shared" si="196"/>
        <v>45369.333333333336</v>
      </c>
      <c r="C1858" t="s">
        <v>4180</v>
      </c>
      <c r="D1858" t="s">
        <v>45</v>
      </c>
      <c r="E1858" t="str">
        <f>PROPER(TRIM(CLEAN(Sales_Table[[#This Row],[Region]])))</f>
        <v>North</v>
      </c>
      <c r="F1858" t="s">
        <v>46</v>
      </c>
      <c r="G1858" t="str">
        <f t="shared" si="197"/>
        <v>Electronics</v>
      </c>
      <c r="H1858" t="str">
        <f>PROPER(TRIM(CLEAN(Sales_Table[[#This Row],[Product Name]])))</f>
        <v>Led Tv 42Inch</v>
      </c>
      <c r="I1858" t="s">
        <v>58</v>
      </c>
      <c r="J1858" t="str">
        <f t="shared" si="198"/>
        <v>CUST0221</v>
      </c>
      <c r="K1858" t="s">
        <v>2670</v>
      </c>
      <c r="L1858" t="str">
        <f>PROPER(TRIM(CLEAN(Sales_Table[[#This Row],[Salesperson]])))</f>
        <v>Suresh</v>
      </c>
      <c r="M1858" t="s">
        <v>54</v>
      </c>
      <c r="N1858" t="str">
        <f t="shared" si="199"/>
        <v>Net Banking</v>
      </c>
      <c r="O1858" t="s">
        <v>60</v>
      </c>
      <c r="P1858">
        <f t="shared" si="200"/>
        <v>8</v>
      </c>
      <c r="Q1858" t="s">
        <v>42</v>
      </c>
      <c r="R1858">
        <f t="shared" si="201"/>
        <v>1700</v>
      </c>
      <c r="S1858" t="s">
        <v>4181</v>
      </c>
      <c r="T1858">
        <f t="shared" si="202"/>
        <v>13600</v>
      </c>
      <c r="U1858">
        <f>YEAR(Sales_Table[[#This Row],[Date_clean]])</f>
        <v>2024</v>
      </c>
      <c r="V1858" t="str">
        <f>TEXT(Sales_Table[[#This Row],[Date_clean]],"mmmm")</f>
        <v>March</v>
      </c>
      <c r="W1858">
        <f>WEEKNUM(Sales_Table[[#This Row],[Date_clean]],2)</f>
        <v>12</v>
      </c>
      <c r="X1858" t="str" cm="1">
        <f t="array" ref="X1858">_xlfn.IFS(Sales_Table[[#This Row],[Revenue]]&gt;=50000,"High",Sales_Table[[#This Row],[Revenue]]&gt;=20000,"Medium",Sales_Table[[#This Row],[Revenue]]&lt;20000,"Low")</f>
        <v>Low</v>
      </c>
      <c r="Y1858" t="str">
        <f>IF(Sales_Table[[#This Row],[Payment Method_clean]]="cash","Offline","Online")</f>
        <v>Online</v>
      </c>
      <c r="Z1858">
        <f>IFERROR(Sales_Table[[#This Row],[Revenue]],0)</f>
        <v>13600</v>
      </c>
    </row>
    <row r="1859" spans="1:26" x14ac:dyDescent="0.3">
      <c r="A1859">
        <v>1858</v>
      </c>
      <c r="B1859" s="2">
        <f t="shared" ref="B1859:B1922" si="203">DATEVALUE(LEFT(C1859,10))+TIMEVALUE(MID(C1859,12,8))</f>
        <v>45369.375</v>
      </c>
      <c r="C1859" t="s">
        <v>4182</v>
      </c>
      <c r="D1859" t="s">
        <v>45</v>
      </c>
      <c r="E1859" t="str">
        <f>PROPER(TRIM(CLEAN(Sales_Table[[#This Row],[Region]])))</f>
        <v>North</v>
      </c>
      <c r="F1859" t="s">
        <v>28</v>
      </c>
      <c r="G1859" t="str">
        <f t="shared" ref="G1859:G1922" si="204">PROPER(TRIM(CLEAN(F1859)))</f>
        <v>Clothing</v>
      </c>
      <c r="H1859" t="str">
        <f>PROPER(TRIM(CLEAN(Sales_Table[[#This Row],[Product Name]])))</f>
        <v>Washing Machine</v>
      </c>
      <c r="I1859" t="s">
        <v>79</v>
      </c>
      <c r="J1859" t="str">
        <f t="shared" ref="J1859:J1922" si="205">TRIM(K1859)</f>
        <v>CUST0723</v>
      </c>
      <c r="K1859" t="s">
        <v>4183</v>
      </c>
      <c r="L1859" t="str">
        <f>PROPER(TRIM(CLEAN(Sales_Table[[#This Row],[Salesperson]])))</f>
        <v>Anita</v>
      </c>
      <c r="M1859" t="s">
        <v>64</v>
      </c>
      <c r="N1859" t="str">
        <f t="shared" ref="N1859:N1922" si="206">PROPER(TRIM(O1859))</f>
        <v>Net Banking</v>
      </c>
      <c r="O1859" t="s">
        <v>60</v>
      </c>
      <c r="P1859">
        <f t="shared" ref="P1859:P1922" si="207">VALUE(Q1859)</f>
        <v>12</v>
      </c>
      <c r="Q1859" t="s">
        <v>33</v>
      </c>
      <c r="R1859">
        <f t="shared" ref="R1859:R1922" si="208">VALUE(S1859)</f>
        <v>2156</v>
      </c>
      <c r="S1859" t="s">
        <v>2453</v>
      </c>
      <c r="T1859">
        <f t="shared" ref="T1859:T1922" si="209">P1859*R1859</f>
        <v>25872</v>
      </c>
      <c r="U1859">
        <f>YEAR(Sales_Table[[#This Row],[Date_clean]])</f>
        <v>2024</v>
      </c>
      <c r="V1859" t="str">
        <f>TEXT(Sales_Table[[#This Row],[Date_clean]],"mmmm")</f>
        <v>March</v>
      </c>
      <c r="W1859">
        <f>WEEKNUM(Sales_Table[[#This Row],[Date_clean]],2)</f>
        <v>12</v>
      </c>
      <c r="X1859" t="str" cm="1">
        <f t="array" ref="X1859">_xlfn.IFS(Sales_Table[[#This Row],[Revenue]]&gt;=50000,"High",Sales_Table[[#This Row],[Revenue]]&gt;=20000,"Medium",Sales_Table[[#This Row],[Revenue]]&lt;20000,"Low")</f>
        <v>Medium</v>
      </c>
      <c r="Y1859" t="str">
        <f>IF(Sales_Table[[#This Row],[Payment Method_clean]]="cash","Offline","Online")</f>
        <v>Online</v>
      </c>
      <c r="Z1859">
        <f>IFERROR(Sales_Table[[#This Row],[Revenue]],0)</f>
        <v>25872</v>
      </c>
    </row>
    <row r="1860" spans="1:26" x14ac:dyDescent="0.3">
      <c r="A1860">
        <v>1859</v>
      </c>
      <c r="B1860" s="2">
        <f t="shared" si="203"/>
        <v>45369.416666666664</v>
      </c>
      <c r="C1860" t="s">
        <v>4184</v>
      </c>
      <c r="D1860" t="s">
        <v>27</v>
      </c>
      <c r="E1860" t="str">
        <f>PROPER(TRIM(CLEAN(Sales_Table[[#This Row],[Region]])))</f>
        <v>East</v>
      </c>
      <c r="F1860" t="s">
        <v>37</v>
      </c>
      <c r="G1860" t="str">
        <f t="shared" si="204"/>
        <v>Home Appliances</v>
      </c>
      <c r="H1860" t="str">
        <f>PROPER(TRIM(CLEAN(Sales_Table[[#This Row],[Product Name]])))</f>
        <v>Laptop</v>
      </c>
      <c r="I1860" t="s">
        <v>52</v>
      </c>
      <c r="J1860" t="str">
        <f t="shared" si="205"/>
        <v>CUST0025</v>
      </c>
      <c r="K1860" t="s">
        <v>1864</v>
      </c>
      <c r="L1860" t="str">
        <f>PROPER(TRIM(CLEAN(Sales_Table[[#This Row],[Salesperson]])))</f>
        <v>Karthik</v>
      </c>
      <c r="M1860" t="s">
        <v>70</v>
      </c>
      <c r="N1860" t="str">
        <f t="shared" si="206"/>
        <v>Net Banking</v>
      </c>
      <c r="O1860" t="s">
        <v>60</v>
      </c>
      <c r="P1860">
        <f t="shared" si="207"/>
        <v>14</v>
      </c>
      <c r="Q1860" t="s">
        <v>55</v>
      </c>
      <c r="R1860">
        <f t="shared" si="208"/>
        <v>4431</v>
      </c>
      <c r="S1860" t="s">
        <v>4185</v>
      </c>
      <c r="T1860">
        <f t="shared" si="209"/>
        <v>62034</v>
      </c>
      <c r="U1860">
        <f>YEAR(Sales_Table[[#This Row],[Date_clean]])</f>
        <v>2024</v>
      </c>
      <c r="V1860" t="str">
        <f>TEXT(Sales_Table[[#This Row],[Date_clean]],"mmmm")</f>
        <v>March</v>
      </c>
      <c r="W1860">
        <f>WEEKNUM(Sales_Table[[#This Row],[Date_clean]],2)</f>
        <v>12</v>
      </c>
      <c r="X1860" t="str" cm="1">
        <f t="array" ref="X1860">_xlfn.IFS(Sales_Table[[#This Row],[Revenue]]&gt;=50000,"High",Sales_Table[[#This Row],[Revenue]]&gt;=20000,"Medium",Sales_Table[[#This Row],[Revenue]]&lt;20000,"Low")</f>
        <v>High</v>
      </c>
      <c r="Y1860" t="str">
        <f>IF(Sales_Table[[#This Row],[Payment Method_clean]]="cash","Offline","Online")</f>
        <v>Online</v>
      </c>
      <c r="Z1860">
        <f>IFERROR(Sales_Table[[#This Row],[Revenue]],0)</f>
        <v>62034</v>
      </c>
    </row>
    <row r="1861" spans="1:26" x14ac:dyDescent="0.3">
      <c r="A1861">
        <v>1860</v>
      </c>
      <c r="B1861" s="2">
        <f t="shared" si="203"/>
        <v>45369.458333333336</v>
      </c>
      <c r="C1861" t="s">
        <v>4186</v>
      </c>
      <c r="D1861" t="s">
        <v>45</v>
      </c>
      <c r="E1861" t="str">
        <f>PROPER(TRIM(CLEAN(Sales_Table[[#This Row],[Region]])))</f>
        <v>North</v>
      </c>
      <c r="F1861" t="s">
        <v>78</v>
      </c>
      <c r="G1861" t="str">
        <f t="shared" si="204"/>
        <v>Grocery</v>
      </c>
      <c r="H1861" t="str">
        <f>PROPER(TRIM(CLEAN(Sales_Table[[#This Row],[Product Name]])))</f>
        <v>Mixer Grinder</v>
      </c>
      <c r="I1861" t="s">
        <v>29</v>
      </c>
      <c r="J1861" t="str">
        <f t="shared" si="205"/>
        <v>CUST0528</v>
      </c>
      <c r="K1861" t="s">
        <v>225</v>
      </c>
      <c r="L1861" t="str">
        <f>PROPER(TRIM(CLEAN(Sales_Table[[#This Row],[Salesperson]])))</f>
        <v>Rahul</v>
      </c>
      <c r="M1861" t="s">
        <v>31</v>
      </c>
      <c r="N1861" t="str">
        <f t="shared" si="206"/>
        <v>Net Banking</v>
      </c>
      <c r="O1861" t="s">
        <v>60</v>
      </c>
      <c r="P1861">
        <f t="shared" si="207"/>
        <v>14</v>
      </c>
      <c r="Q1861" t="s">
        <v>55</v>
      </c>
      <c r="R1861">
        <f t="shared" si="208"/>
        <v>809</v>
      </c>
      <c r="S1861" t="s">
        <v>4187</v>
      </c>
      <c r="T1861">
        <f t="shared" si="209"/>
        <v>11326</v>
      </c>
      <c r="U1861">
        <f>YEAR(Sales_Table[[#This Row],[Date_clean]])</f>
        <v>2024</v>
      </c>
      <c r="V1861" t="str">
        <f>TEXT(Sales_Table[[#This Row],[Date_clean]],"mmmm")</f>
        <v>March</v>
      </c>
      <c r="W1861">
        <f>WEEKNUM(Sales_Table[[#This Row],[Date_clean]],2)</f>
        <v>12</v>
      </c>
      <c r="X1861" t="str" cm="1">
        <f t="array" ref="X1861">_xlfn.IFS(Sales_Table[[#This Row],[Revenue]]&gt;=50000,"High",Sales_Table[[#This Row],[Revenue]]&gt;=20000,"Medium",Sales_Table[[#This Row],[Revenue]]&lt;20000,"Low")</f>
        <v>Low</v>
      </c>
      <c r="Y1861" t="str">
        <f>IF(Sales_Table[[#This Row],[Payment Method_clean]]="cash","Offline","Online")</f>
        <v>Online</v>
      </c>
      <c r="Z1861">
        <f>IFERROR(Sales_Table[[#This Row],[Revenue]],0)</f>
        <v>11326</v>
      </c>
    </row>
    <row r="1862" spans="1:26" x14ac:dyDescent="0.3">
      <c r="A1862">
        <v>1861</v>
      </c>
      <c r="B1862" s="2">
        <f t="shared" si="203"/>
        <v>45369.5</v>
      </c>
      <c r="C1862" t="s">
        <v>4188</v>
      </c>
      <c r="D1862" t="s">
        <v>84</v>
      </c>
      <c r="E1862" t="str">
        <f>PROPER(TRIM(CLEAN(Sales_Table[[#This Row],[Region]])))</f>
        <v>South</v>
      </c>
      <c r="F1862" t="s">
        <v>37</v>
      </c>
      <c r="G1862" t="str">
        <f t="shared" si="204"/>
        <v>Home Appliances</v>
      </c>
      <c r="H1862" t="str">
        <f>PROPER(TRIM(CLEAN(Sales_Table[[#This Row],[Product Name]])))</f>
        <v>Led Tv 42Inch</v>
      </c>
      <c r="I1862" t="s">
        <v>58</v>
      </c>
      <c r="J1862" t="str">
        <f t="shared" si="205"/>
        <v>CUST0182</v>
      </c>
      <c r="K1862" t="s">
        <v>456</v>
      </c>
      <c r="L1862" t="str">
        <f>PROPER(TRIM(CLEAN(Sales_Table[[#This Row],[Salesperson]])))</f>
        <v>Suresh</v>
      </c>
      <c r="M1862" t="s">
        <v>54</v>
      </c>
      <c r="N1862" t="str">
        <f t="shared" si="206"/>
        <v>Debit Card</v>
      </c>
      <c r="O1862" t="s">
        <v>41</v>
      </c>
      <c r="P1862">
        <f t="shared" si="207"/>
        <v>8</v>
      </c>
      <c r="Q1862" t="s">
        <v>42</v>
      </c>
      <c r="R1862">
        <f t="shared" si="208"/>
        <v>3071</v>
      </c>
      <c r="S1862" t="s">
        <v>4189</v>
      </c>
      <c r="T1862">
        <f t="shared" si="209"/>
        <v>24568</v>
      </c>
      <c r="U1862">
        <f>YEAR(Sales_Table[[#This Row],[Date_clean]])</f>
        <v>2024</v>
      </c>
      <c r="V1862" t="str">
        <f>TEXT(Sales_Table[[#This Row],[Date_clean]],"mmmm")</f>
        <v>March</v>
      </c>
      <c r="W1862">
        <f>WEEKNUM(Sales_Table[[#This Row],[Date_clean]],2)</f>
        <v>12</v>
      </c>
      <c r="X1862" t="str" cm="1">
        <f t="array" ref="X1862">_xlfn.IFS(Sales_Table[[#This Row],[Revenue]]&gt;=50000,"High",Sales_Table[[#This Row],[Revenue]]&gt;=20000,"Medium",Sales_Table[[#This Row],[Revenue]]&lt;20000,"Low")</f>
        <v>Medium</v>
      </c>
      <c r="Y1862" t="str">
        <f>IF(Sales_Table[[#This Row],[Payment Method_clean]]="cash","Offline","Online")</f>
        <v>Online</v>
      </c>
      <c r="Z1862">
        <f>IFERROR(Sales_Table[[#This Row],[Revenue]],0)</f>
        <v>24568</v>
      </c>
    </row>
    <row r="1863" spans="1:26" x14ac:dyDescent="0.3">
      <c r="A1863">
        <v>1862</v>
      </c>
      <c r="B1863" s="2">
        <f t="shared" si="203"/>
        <v>45369.541666666664</v>
      </c>
      <c r="C1863" t="s">
        <v>4190</v>
      </c>
      <c r="D1863" t="s">
        <v>84</v>
      </c>
      <c r="E1863" t="str">
        <f>PROPER(TRIM(CLEAN(Sales_Table[[#This Row],[Region]])))</f>
        <v>South</v>
      </c>
      <c r="F1863" t="s">
        <v>46</v>
      </c>
      <c r="G1863" t="str">
        <f t="shared" si="204"/>
        <v>Electronics</v>
      </c>
      <c r="H1863" t="str">
        <f>PROPER(TRIM(CLEAN(Sales_Table[[#This Row],[Product Name]])))</f>
        <v>Laptop</v>
      </c>
      <c r="I1863" t="s">
        <v>52</v>
      </c>
      <c r="J1863" t="str">
        <f t="shared" si="205"/>
        <v>CUST0499</v>
      </c>
      <c r="K1863" t="s">
        <v>518</v>
      </c>
      <c r="L1863" t="str">
        <f>PROPER(TRIM(CLEAN(Sales_Table[[#This Row],[Salesperson]])))</f>
        <v>Meena</v>
      </c>
      <c r="M1863" t="s">
        <v>40</v>
      </c>
      <c r="N1863" t="str">
        <f t="shared" si="206"/>
        <v>Credit Card</v>
      </c>
      <c r="O1863" t="s">
        <v>65</v>
      </c>
      <c r="P1863">
        <f t="shared" si="207"/>
        <v>7</v>
      </c>
      <c r="Q1863" t="s">
        <v>49</v>
      </c>
      <c r="R1863">
        <f t="shared" si="208"/>
        <v>2832</v>
      </c>
      <c r="S1863" t="s">
        <v>4191</v>
      </c>
      <c r="T1863">
        <f t="shared" si="209"/>
        <v>19824</v>
      </c>
      <c r="U1863">
        <f>YEAR(Sales_Table[[#This Row],[Date_clean]])</f>
        <v>2024</v>
      </c>
      <c r="V1863" t="str">
        <f>TEXT(Sales_Table[[#This Row],[Date_clean]],"mmmm")</f>
        <v>March</v>
      </c>
      <c r="W1863">
        <f>WEEKNUM(Sales_Table[[#This Row],[Date_clean]],2)</f>
        <v>12</v>
      </c>
      <c r="X1863" t="str" cm="1">
        <f t="array" ref="X1863">_xlfn.IFS(Sales_Table[[#This Row],[Revenue]]&gt;=50000,"High",Sales_Table[[#This Row],[Revenue]]&gt;=20000,"Medium",Sales_Table[[#This Row],[Revenue]]&lt;20000,"Low")</f>
        <v>Low</v>
      </c>
      <c r="Y1863" t="str">
        <f>IF(Sales_Table[[#This Row],[Payment Method_clean]]="cash","Offline","Online")</f>
        <v>Online</v>
      </c>
      <c r="Z1863">
        <f>IFERROR(Sales_Table[[#This Row],[Revenue]],0)</f>
        <v>19824</v>
      </c>
    </row>
    <row r="1864" spans="1:26" x14ac:dyDescent="0.3">
      <c r="A1864">
        <v>1863</v>
      </c>
      <c r="B1864" s="2">
        <f t="shared" si="203"/>
        <v>45369.583333333336</v>
      </c>
      <c r="C1864" t="s">
        <v>4192</v>
      </c>
      <c r="D1864" t="s">
        <v>27</v>
      </c>
      <c r="E1864" t="str">
        <f>PROPER(TRIM(CLEAN(Sales_Table[[#This Row],[Region]])))</f>
        <v>East</v>
      </c>
      <c r="F1864" t="s">
        <v>28</v>
      </c>
      <c r="G1864" t="str">
        <f t="shared" si="204"/>
        <v>Clothing</v>
      </c>
      <c r="H1864" t="str">
        <f>PROPER(TRIM(CLEAN(Sales_Table[[#This Row],[Product Name]])))</f>
        <v>Laptop</v>
      </c>
      <c r="I1864" t="s">
        <v>52</v>
      </c>
      <c r="J1864" t="str">
        <f t="shared" si="205"/>
        <v>CUST0641</v>
      </c>
      <c r="K1864" t="s">
        <v>3145</v>
      </c>
      <c r="L1864" t="str">
        <f>PROPER(TRIM(CLEAN(Sales_Table[[#This Row],[Salesperson]])))</f>
        <v>Anita</v>
      </c>
      <c r="M1864" t="s">
        <v>64</v>
      </c>
      <c r="N1864" t="str">
        <f t="shared" si="206"/>
        <v>Upi</v>
      </c>
      <c r="O1864" t="s">
        <v>48</v>
      </c>
      <c r="P1864">
        <f t="shared" si="207"/>
        <v>5</v>
      </c>
      <c r="Q1864" t="s">
        <v>89</v>
      </c>
      <c r="R1864">
        <f t="shared" si="208"/>
        <v>893</v>
      </c>
      <c r="S1864" t="s">
        <v>4193</v>
      </c>
      <c r="T1864">
        <f t="shared" si="209"/>
        <v>4465</v>
      </c>
      <c r="U1864">
        <f>YEAR(Sales_Table[[#This Row],[Date_clean]])</f>
        <v>2024</v>
      </c>
      <c r="V1864" t="str">
        <f>TEXT(Sales_Table[[#This Row],[Date_clean]],"mmmm")</f>
        <v>March</v>
      </c>
      <c r="W1864">
        <f>WEEKNUM(Sales_Table[[#This Row],[Date_clean]],2)</f>
        <v>12</v>
      </c>
      <c r="X1864" t="str" cm="1">
        <f t="array" ref="X1864">_xlfn.IFS(Sales_Table[[#This Row],[Revenue]]&gt;=50000,"High",Sales_Table[[#This Row],[Revenue]]&gt;=20000,"Medium",Sales_Table[[#This Row],[Revenue]]&lt;20000,"Low")</f>
        <v>Low</v>
      </c>
      <c r="Y1864" t="str">
        <f>IF(Sales_Table[[#This Row],[Payment Method_clean]]="cash","Offline","Online")</f>
        <v>Online</v>
      </c>
      <c r="Z1864">
        <f>IFERROR(Sales_Table[[#This Row],[Revenue]],0)</f>
        <v>4465</v>
      </c>
    </row>
    <row r="1865" spans="1:26" x14ac:dyDescent="0.3">
      <c r="A1865">
        <v>1864</v>
      </c>
      <c r="B1865" s="2">
        <f t="shared" si="203"/>
        <v>45369.625</v>
      </c>
      <c r="C1865" t="s">
        <v>4194</v>
      </c>
      <c r="D1865" t="s">
        <v>84</v>
      </c>
      <c r="E1865" t="str">
        <f>PROPER(TRIM(CLEAN(Sales_Table[[#This Row],[Region]])))</f>
        <v>South</v>
      </c>
      <c r="F1865" t="s">
        <v>37</v>
      </c>
      <c r="G1865" t="str">
        <f t="shared" si="204"/>
        <v>Home Appliances</v>
      </c>
      <c r="H1865" t="str">
        <f>PROPER(TRIM(CLEAN(Sales_Table[[#This Row],[Product Name]])))</f>
        <v>Laptop</v>
      </c>
      <c r="I1865" t="s">
        <v>52</v>
      </c>
      <c r="J1865" t="str">
        <f t="shared" si="205"/>
        <v>CUST0042</v>
      </c>
      <c r="K1865" t="s">
        <v>1555</v>
      </c>
      <c r="L1865" t="str">
        <f>PROPER(TRIM(CLEAN(Sales_Table[[#This Row],[Salesperson]])))</f>
        <v>Anita</v>
      </c>
      <c r="M1865" t="s">
        <v>64</v>
      </c>
      <c r="N1865" t="str">
        <f t="shared" si="206"/>
        <v>Credit Card</v>
      </c>
      <c r="O1865" t="s">
        <v>65</v>
      </c>
      <c r="P1865">
        <f t="shared" si="207"/>
        <v>3</v>
      </c>
      <c r="Q1865" t="s">
        <v>66</v>
      </c>
      <c r="R1865">
        <f t="shared" si="208"/>
        <v>3199</v>
      </c>
      <c r="S1865" t="s">
        <v>4195</v>
      </c>
      <c r="T1865">
        <f t="shared" si="209"/>
        <v>9597</v>
      </c>
      <c r="U1865">
        <f>YEAR(Sales_Table[[#This Row],[Date_clean]])</f>
        <v>2024</v>
      </c>
      <c r="V1865" t="str">
        <f>TEXT(Sales_Table[[#This Row],[Date_clean]],"mmmm")</f>
        <v>March</v>
      </c>
      <c r="W1865">
        <f>WEEKNUM(Sales_Table[[#This Row],[Date_clean]],2)</f>
        <v>12</v>
      </c>
      <c r="X1865" t="str" cm="1">
        <f t="array" ref="X1865">_xlfn.IFS(Sales_Table[[#This Row],[Revenue]]&gt;=50000,"High",Sales_Table[[#This Row],[Revenue]]&gt;=20000,"Medium",Sales_Table[[#This Row],[Revenue]]&lt;20000,"Low")</f>
        <v>Low</v>
      </c>
      <c r="Y1865" t="str">
        <f>IF(Sales_Table[[#This Row],[Payment Method_clean]]="cash","Offline","Online")</f>
        <v>Online</v>
      </c>
      <c r="Z1865">
        <f>IFERROR(Sales_Table[[#This Row],[Revenue]],0)</f>
        <v>9597</v>
      </c>
    </row>
    <row r="1866" spans="1:26" x14ac:dyDescent="0.3">
      <c r="A1866">
        <v>1865</v>
      </c>
      <c r="B1866" s="2">
        <f t="shared" si="203"/>
        <v>45369.666666666664</v>
      </c>
      <c r="C1866" t="s">
        <v>4196</v>
      </c>
      <c r="D1866" t="s">
        <v>36</v>
      </c>
      <c r="E1866" t="str">
        <f>PROPER(TRIM(CLEAN(Sales_Table[[#This Row],[Region]])))</f>
        <v>West</v>
      </c>
      <c r="F1866" t="s">
        <v>37</v>
      </c>
      <c r="G1866" t="str">
        <f t="shared" si="204"/>
        <v>Home Appliances</v>
      </c>
      <c r="H1866" t="str">
        <f>PROPER(TRIM(CLEAN(Sales_Table[[#This Row],[Product Name]])))</f>
        <v>Rice 5Kg</v>
      </c>
      <c r="I1866" t="s">
        <v>73</v>
      </c>
      <c r="J1866" t="str">
        <f t="shared" si="205"/>
        <v>CUST0481</v>
      </c>
      <c r="K1866" t="s">
        <v>1375</v>
      </c>
      <c r="L1866" t="str">
        <f>PROPER(TRIM(CLEAN(Sales_Table[[#This Row],[Salesperson]])))</f>
        <v>Suresh</v>
      </c>
      <c r="M1866" t="s">
        <v>54</v>
      </c>
      <c r="N1866" t="str">
        <f t="shared" si="206"/>
        <v>Credit Card</v>
      </c>
      <c r="O1866" t="s">
        <v>65</v>
      </c>
      <c r="P1866">
        <f t="shared" si="207"/>
        <v>12</v>
      </c>
      <c r="Q1866" t="s">
        <v>33</v>
      </c>
      <c r="R1866">
        <f t="shared" si="208"/>
        <v>2955</v>
      </c>
      <c r="S1866" t="s">
        <v>4197</v>
      </c>
      <c r="T1866">
        <f t="shared" si="209"/>
        <v>35460</v>
      </c>
      <c r="U1866">
        <f>YEAR(Sales_Table[[#This Row],[Date_clean]])</f>
        <v>2024</v>
      </c>
      <c r="V1866" t="str">
        <f>TEXT(Sales_Table[[#This Row],[Date_clean]],"mmmm")</f>
        <v>March</v>
      </c>
      <c r="W1866">
        <f>WEEKNUM(Sales_Table[[#This Row],[Date_clean]],2)</f>
        <v>12</v>
      </c>
      <c r="X1866" t="str" cm="1">
        <f t="array" ref="X1866">_xlfn.IFS(Sales_Table[[#This Row],[Revenue]]&gt;=50000,"High",Sales_Table[[#This Row],[Revenue]]&gt;=20000,"Medium",Sales_Table[[#This Row],[Revenue]]&lt;20000,"Low")</f>
        <v>Medium</v>
      </c>
      <c r="Y1866" t="str">
        <f>IF(Sales_Table[[#This Row],[Payment Method_clean]]="cash","Offline","Online")</f>
        <v>Online</v>
      </c>
      <c r="Z1866">
        <f>IFERROR(Sales_Table[[#This Row],[Revenue]],0)</f>
        <v>35460</v>
      </c>
    </row>
    <row r="1867" spans="1:26" x14ac:dyDescent="0.3">
      <c r="A1867">
        <v>1866</v>
      </c>
      <c r="B1867" s="2">
        <f t="shared" si="203"/>
        <v>45369.708333333336</v>
      </c>
      <c r="C1867" t="s">
        <v>4198</v>
      </c>
      <c r="D1867" t="s">
        <v>84</v>
      </c>
      <c r="E1867" t="str">
        <f>PROPER(TRIM(CLEAN(Sales_Table[[#This Row],[Region]])))</f>
        <v>South</v>
      </c>
      <c r="F1867" t="s">
        <v>37</v>
      </c>
      <c r="G1867" t="str">
        <f t="shared" si="204"/>
        <v>Home Appliances</v>
      </c>
      <c r="H1867" t="str">
        <f>PROPER(TRIM(CLEAN(Sales_Table[[#This Row],[Product Name]])))</f>
        <v>Laptop</v>
      </c>
      <c r="I1867" t="s">
        <v>52</v>
      </c>
      <c r="J1867" t="str">
        <f t="shared" si="205"/>
        <v>CUST0748</v>
      </c>
      <c r="K1867" t="s">
        <v>3475</v>
      </c>
      <c r="L1867" t="str">
        <f>PROPER(TRIM(CLEAN(Sales_Table[[#This Row],[Salesperson]])))</f>
        <v>Meena</v>
      </c>
      <c r="M1867" t="s">
        <v>40</v>
      </c>
      <c r="N1867" t="str">
        <f t="shared" si="206"/>
        <v>Cash</v>
      </c>
      <c r="O1867" t="s">
        <v>32</v>
      </c>
      <c r="P1867">
        <f t="shared" si="207"/>
        <v>14</v>
      </c>
      <c r="Q1867" t="s">
        <v>55</v>
      </c>
      <c r="R1867">
        <f t="shared" si="208"/>
        <v>126</v>
      </c>
      <c r="S1867" t="s">
        <v>4199</v>
      </c>
      <c r="T1867">
        <f t="shared" si="209"/>
        <v>1764</v>
      </c>
      <c r="U1867">
        <f>YEAR(Sales_Table[[#This Row],[Date_clean]])</f>
        <v>2024</v>
      </c>
      <c r="V1867" t="str">
        <f>TEXT(Sales_Table[[#This Row],[Date_clean]],"mmmm")</f>
        <v>March</v>
      </c>
      <c r="W1867">
        <f>WEEKNUM(Sales_Table[[#This Row],[Date_clean]],2)</f>
        <v>12</v>
      </c>
      <c r="X1867" t="str" cm="1">
        <f t="array" ref="X1867">_xlfn.IFS(Sales_Table[[#This Row],[Revenue]]&gt;=50000,"High",Sales_Table[[#This Row],[Revenue]]&gt;=20000,"Medium",Sales_Table[[#This Row],[Revenue]]&lt;20000,"Low")</f>
        <v>Low</v>
      </c>
      <c r="Y1867" t="str">
        <f>IF(Sales_Table[[#This Row],[Payment Method_clean]]="cash","Offline","Online")</f>
        <v>Offline</v>
      </c>
      <c r="Z1867">
        <f>IFERROR(Sales_Table[[#This Row],[Revenue]],0)</f>
        <v>1764</v>
      </c>
    </row>
    <row r="1868" spans="1:26" x14ac:dyDescent="0.3">
      <c r="A1868">
        <v>1867</v>
      </c>
      <c r="B1868" s="2">
        <f t="shared" si="203"/>
        <v>45369.75</v>
      </c>
      <c r="C1868" t="s">
        <v>4200</v>
      </c>
      <c r="D1868" t="s">
        <v>84</v>
      </c>
      <c r="E1868" t="str">
        <f>PROPER(TRIM(CLEAN(Sales_Table[[#This Row],[Region]])))</f>
        <v>South</v>
      </c>
      <c r="F1868" t="s">
        <v>46</v>
      </c>
      <c r="G1868" t="str">
        <f t="shared" si="204"/>
        <v>Electronics</v>
      </c>
      <c r="H1868" t="str">
        <f>PROPER(TRIM(CLEAN(Sales_Table[[#This Row],[Product Name]])))</f>
        <v>Rice 5Kg</v>
      </c>
      <c r="I1868" t="s">
        <v>73</v>
      </c>
      <c r="J1868" t="str">
        <f t="shared" si="205"/>
        <v>CUST0439</v>
      </c>
      <c r="K1868" t="s">
        <v>828</v>
      </c>
      <c r="L1868" t="str">
        <f>PROPER(TRIM(CLEAN(Sales_Table[[#This Row],[Salesperson]])))</f>
        <v>Anita</v>
      </c>
      <c r="M1868" t="s">
        <v>64</v>
      </c>
      <c r="N1868" t="str">
        <f t="shared" si="206"/>
        <v>Net Banking</v>
      </c>
      <c r="O1868" t="s">
        <v>60</v>
      </c>
      <c r="P1868">
        <f t="shared" si="207"/>
        <v>9</v>
      </c>
      <c r="Q1868" t="s">
        <v>130</v>
      </c>
      <c r="R1868">
        <f t="shared" si="208"/>
        <v>3367</v>
      </c>
      <c r="S1868" t="s">
        <v>4201</v>
      </c>
      <c r="T1868">
        <f t="shared" si="209"/>
        <v>30303</v>
      </c>
      <c r="U1868">
        <f>YEAR(Sales_Table[[#This Row],[Date_clean]])</f>
        <v>2024</v>
      </c>
      <c r="V1868" t="str">
        <f>TEXT(Sales_Table[[#This Row],[Date_clean]],"mmmm")</f>
        <v>March</v>
      </c>
      <c r="W1868">
        <f>WEEKNUM(Sales_Table[[#This Row],[Date_clean]],2)</f>
        <v>12</v>
      </c>
      <c r="X1868" t="str" cm="1">
        <f t="array" ref="X1868">_xlfn.IFS(Sales_Table[[#This Row],[Revenue]]&gt;=50000,"High",Sales_Table[[#This Row],[Revenue]]&gt;=20000,"Medium",Sales_Table[[#This Row],[Revenue]]&lt;20000,"Low")</f>
        <v>Medium</v>
      </c>
      <c r="Y1868" t="str">
        <f>IF(Sales_Table[[#This Row],[Payment Method_clean]]="cash","Offline","Online")</f>
        <v>Online</v>
      </c>
      <c r="Z1868">
        <f>IFERROR(Sales_Table[[#This Row],[Revenue]],0)</f>
        <v>30303</v>
      </c>
    </row>
    <row r="1869" spans="1:26" x14ac:dyDescent="0.3">
      <c r="A1869">
        <v>1868</v>
      </c>
      <c r="B1869" s="2">
        <f t="shared" si="203"/>
        <v>45369.791666666664</v>
      </c>
      <c r="C1869" t="s">
        <v>4202</v>
      </c>
      <c r="D1869" t="s">
        <v>45</v>
      </c>
      <c r="E1869" t="str">
        <f>PROPER(TRIM(CLEAN(Sales_Table[[#This Row],[Region]])))</f>
        <v>North</v>
      </c>
      <c r="F1869" t="s">
        <v>37</v>
      </c>
      <c r="G1869" t="str">
        <f t="shared" si="204"/>
        <v>Home Appliances</v>
      </c>
      <c r="H1869" t="str">
        <f>PROPER(TRIM(CLEAN(Sales_Table[[#This Row],[Product Name]])))</f>
        <v>Laptop</v>
      </c>
      <c r="I1869" t="s">
        <v>52</v>
      </c>
      <c r="J1869" t="str">
        <f t="shared" si="205"/>
        <v>CUST0402</v>
      </c>
      <c r="K1869" t="s">
        <v>4203</v>
      </c>
      <c r="L1869" t="str">
        <f>PROPER(TRIM(CLEAN(Sales_Table[[#This Row],[Salesperson]])))</f>
        <v>Rahul</v>
      </c>
      <c r="M1869" t="s">
        <v>31</v>
      </c>
      <c r="N1869" t="str">
        <f t="shared" si="206"/>
        <v>Net Banking</v>
      </c>
      <c r="O1869" t="s">
        <v>60</v>
      </c>
      <c r="P1869">
        <f t="shared" si="207"/>
        <v>14</v>
      </c>
      <c r="Q1869" t="s">
        <v>55</v>
      </c>
      <c r="R1869">
        <f t="shared" si="208"/>
        <v>184</v>
      </c>
      <c r="S1869" t="s">
        <v>4204</v>
      </c>
      <c r="T1869">
        <f t="shared" si="209"/>
        <v>2576</v>
      </c>
      <c r="U1869">
        <f>YEAR(Sales_Table[[#This Row],[Date_clean]])</f>
        <v>2024</v>
      </c>
      <c r="V1869" t="str">
        <f>TEXT(Sales_Table[[#This Row],[Date_clean]],"mmmm")</f>
        <v>March</v>
      </c>
      <c r="W1869">
        <f>WEEKNUM(Sales_Table[[#This Row],[Date_clean]],2)</f>
        <v>12</v>
      </c>
      <c r="X1869" t="str" cm="1">
        <f t="array" ref="X1869">_xlfn.IFS(Sales_Table[[#This Row],[Revenue]]&gt;=50000,"High",Sales_Table[[#This Row],[Revenue]]&gt;=20000,"Medium",Sales_Table[[#This Row],[Revenue]]&lt;20000,"Low")</f>
        <v>Low</v>
      </c>
      <c r="Y1869" t="str">
        <f>IF(Sales_Table[[#This Row],[Payment Method_clean]]="cash","Offline","Online")</f>
        <v>Online</v>
      </c>
      <c r="Z1869">
        <f>IFERROR(Sales_Table[[#This Row],[Revenue]],0)</f>
        <v>2576</v>
      </c>
    </row>
    <row r="1870" spans="1:26" x14ac:dyDescent="0.3">
      <c r="A1870">
        <v>1869</v>
      </c>
      <c r="B1870" s="2">
        <f t="shared" si="203"/>
        <v>45369.833333333336</v>
      </c>
      <c r="C1870" t="s">
        <v>4205</v>
      </c>
      <c r="D1870" t="s">
        <v>45</v>
      </c>
      <c r="E1870" t="str">
        <f>PROPER(TRIM(CLEAN(Sales_Table[[#This Row],[Region]])))</f>
        <v>North</v>
      </c>
      <c r="F1870" t="s">
        <v>46</v>
      </c>
      <c r="G1870" t="str">
        <f t="shared" si="204"/>
        <v>Electronics</v>
      </c>
      <c r="H1870" t="str">
        <f>PROPER(TRIM(CLEAN(Sales_Table[[#This Row],[Product Name]])))</f>
        <v>Men T-Shirt</v>
      </c>
      <c r="I1870" t="s">
        <v>38</v>
      </c>
      <c r="J1870" t="str">
        <f t="shared" si="205"/>
        <v>CUST0546</v>
      </c>
      <c r="K1870" t="s">
        <v>4206</v>
      </c>
      <c r="L1870" t="str">
        <f>PROPER(TRIM(CLEAN(Sales_Table[[#This Row],[Salesperson]])))</f>
        <v>Anita</v>
      </c>
      <c r="M1870" t="s">
        <v>64</v>
      </c>
      <c r="N1870" t="str">
        <f t="shared" si="206"/>
        <v>Net Banking</v>
      </c>
      <c r="O1870" t="s">
        <v>60</v>
      </c>
      <c r="P1870">
        <f t="shared" si="207"/>
        <v>7</v>
      </c>
      <c r="Q1870" t="s">
        <v>49</v>
      </c>
      <c r="R1870">
        <f t="shared" si="208"/>
        <v>3201</v>
      </c>
      <c r="S1870" t="s">
        <v>4207</v>
      </c>
      <c r="T1870">
        <f t="shared" si="209"/>
        <v>22407</v>
      </c>
      <c r="U1870">
        <f>YEAR(Sales_Table[[#This Row],[Date_clean]])</f>
        <v>2024</v>
      </c>
      <c r="V1870" t="str">
        <f>TEXT(Sales_Table[[#This Row],[Date_clean]],"mmmm")</f>
        <v>March</v>
      </c>
      <c r="W1870">
        <f>WEEKNUM(Sales_Table[[#This Row],[Date_clean]],2)</f>
        <v>12</v>
      </c>
      <c r="X1870" t="str" cm="1">
        <f t="array" ref="X1870">_xlfn.IFS(Sales_Table[[#This Row],[Revenue]]&gt;=50000,"High",Sales_Table[[#This Row],[Revenue]]&gt;=20000,"Medium",Sales_Table[[#This Row],[Revenue]]&lt;20000,"Low")</f>
        <v>Medium</v>
      </c>
      <c r="Y1870" t="str">
        <f>IF(Sales_Table[[#This Row],[Payment Method_clean]]="cash","Offline","Online")</f>
        <v>Online</v>
      </c>
      <c r="Z1870">
        <f>IFERROR(Sales_Table[[#This Row],[Revenue]],0)</f>
        <v>22407</v>
      </c>
    </row>
    <row r="1871" spans="1:26" x14ac:dyDescent="0.3">
      <c r="A1871">
        <v>1870</v>
      </c>
      <c r="B1871" s="2">
        <f t="shared" si="203"/>
        <v>45369.875</v>
      </c>
      <c r="C1871" t="s">
        <v>4208</v>
      </c>
      <c r="D1871" t="s">
        <v>84</v>
      </c>
      <c r="E1871" t="str">
        <f>PROPER(TRIM(CLEAN(Sales_Table[[#This Row],[Region]])))</f>
        <v>South</v>
      </c>
      <c r="F1871" t="s">
        <v>46</v>
      </c>
      <c r="G1871" t="str">
        <f t="shared" si="204"/>
        <v>Electronics</v>
      </c>
      <c r="H1871" t="str">
        <f>PROPER(TRIM(CLEAN(Sales_Table[[#This Row],[Product Name]])))</f>
        <v>Led Tv 42Inch</v>
      </c>
      <c r="I1871" t="s">
        <v>58</v>
      </c>
      <c r="J1871" t="str">
        <f t="shared" si="205"/>
        <v>CUST0345</v>
      </c>
      <c r="K1871" t="s">
        <v>1199</v>
      </c>
      <c r="L1871" t="str">
        <f>PROPER(TRIM(CLEAN(Sales_Table[[#This Row],[Salesperson]])))</f>
        <v>Meena</v>
      </c>
      <c r="M1871" t="s">
        <v>40</v>
      </c>
      <c r="N1871" t="str">
        <f t="shared" si="206"/>
        <v>Cash</v>
      </c>
      <c r="O1871" t="s">
        <v>32</v>
      </c>
      <c r="P1871">
        <f t="shared" si="207"/>
        <v>11</v>
      </c>
      <c r="Q1871" t="s">
        <v>97</v>
      </c>
      <c r="R1871">
        <f t="shared" si="208"/>
        <v>1222</v>
      </c>
      <c r="S1871" t="s">
        <v>4209</v>
      </c>
      <c r="T1871">
        <f t="shared" si="209"/>
        <v>13442</v>
      </c>
      <c r="U1871">
        <f>YEAR(Sales_Table[[#This Row],[Date_clean]])</f>
        <v>2024</v>
      </c>
      <c r="V1871" t="str">
        <f>TEXT(Sales_Table[[#This Row],[Date_clean]],"mmmm")</f>
        <v>March</v>
      </c>
      <c r="W1871">
        <f>WEEKNUM(Sales_Table[[#This Row],[Date_clean]],2)</f>
        <v>12</v>
      </c>
      <c r="X1871" t="str" cm="1">
        <f t="array" ref="X1871">_xlfn.IFS(Sales_Table[[#This Row],[Revenue]]&gt;=50000,"High",Sales_Table[[#This Row],[Revenue]]&gt;=20000,"Medium",Sales_Table[[#This Row],[Revenue]]&lt;20000,"Low")</f>
        <v>Low</v>
      </c>
      <c r="Y1871" t="str">
        <f>IF(Sales_Table[[#This Row],[Payment Method_clean]]="cash","Offline","Online")</f>
        <v>Offline</v>
      </c>
      <c r="Z1871">
        <f>IFERROR(Sales_Table[[#This Row],[Revenue]],0)</f>
        <v>13442</v>
      </c>
    </row>
    <row r="1872" spans="1:26" x14ac:dyDescent="0.3">
      <c r="A1872">
        <v>1871</v>
      </c>
      <c r="B1872" s="2">
        <f t="shared" si="203"/>
        <v>45369.916666666664</v>
      </c>
      <c r="C1872" t="s">
        <v>4210</v>
      </c>
      <c r="D1872" t="s">
        <v>27</v>
      </c>
      <c r="E1872" t="str">
        <f>PROPER(TRIM(CLEAN(Sales_Table[[#This Row],[Region]])))</f>
        <v>East</v>
      </c>
      <c r="F1872" t="s">
        <v>46</v>
      </c>
      <c r="G1872" t="str">
        <f t="shared" si="204"/>
        <v>Electronics</v>
      </c>
      <c r="H1872" t="str">
        <f>PROPER(TRIM(CLEAN(Sales_Table[[#This Row],[Product Name]])))</f>
        <v>Men T-Shirt</v>
      </c>
      <c r="I1872" t="s">
        <v>38</v>
      </c>
      <c r="J1872" t="str">
        <f t="shared" si="205"/>
        <v>CUST0045</v>
      </c>
      <c r="K1872" t="s">
        <v>840</v>
      </c>
      <c r="L1872" t="str">
        <f>PROPER(TRIM(CLEAN(Sales_Table[[#This Row],[Salesperson]])))</f>
        <v>Karthik</v>
      </c>
      <c r="M1872" t="s">
        <v>70</v>
      </c>
      <c r="N1872" t="str">
        <f t="shared" si="206"/>
        <v>Debit Card</v>
      </c>
      <c r="O1872" t="s">
        <v>41</v>
      </c>
      <c r="P1872">
        <f t="shared" si="207"/>
        <v>10</v>
      </c>
      <c r="Q1872" t="s">
        <v>117</v>
      </c>
      <c r="R1872">
        <f t="shared" si="208"/>
        <v>111</v>
      </c>
      <c r="S1872" t="s">
        <v>4211</v>
      </c>
      <c r="T1872">
        <f t="shared" si="209"/>
        <v>1110</v>
      </c>
      <c r="U1872">
        <f>YEAR(Sales_Table[[#This Row],[Date_clean]])</f>
        <v>2024</v>
      </c>
      <c r="V1872" t="str">
        <f>TEXT(Sales_Table[[#This Row],[Date_clean]],"mmmm")</f>
        <v>March</v>
      </c>
      <c r="W1872">
        <f>WEEKNUM(Sales_Table[[#This Row],[Date_clean]],2)</f>
        <v>12</v>
      </c>
      <c r="X1872" t="str" cm="1">
        <f t="array" ref="X1872">_xlfn.IFS(Sales_Table[[#This Row],[Revenue]]&gt;=50000,"High",Sales_Table[[#This Row],[Revenue]]&gt;=20000,"Medium",Sales_Table[[#This Row],[Revenue]]&lt;20000,"Low")</f>
        <v>Low</v>
      </c>
      <c r="Y1872" t="str">
        <f>IF(Sales_Table[[#This Row],[Payment Method_clean]]="cash","Offline","Online")</f>
        <v>Online</v>
      </c>
      <c r="Z1872">
        <f>IFERROR(Sales_Table[[#This Row],[Revenue]],0)</f>
        <v>1110</v>
      </c>
    </row>
    <row r="1873" spans="1:26" x14ac:dyDescent="0.3">
      <c r="A1873">
        <v>1872</v>
      </c>
      <c r="B1873" s="2">
        <f t="shared" si="203"/>
        <v>45369.958333333336</v>
      </c>
      <c r="C1873" t="s">
        <v>4212</v>
      </c>
      <c r="D1873" t="s">
        <v>45</v>
      </c>
      <c r="E1873" t="str">
        <f>PROPER(TRIM(CLEAN(Sales_Table[[#This Row],[Region]])))</f>
        <v>North</v>
      </c>
      <c r="F1873" t="s">
        <v>28</v>
      </c>
      <c r="G1873" t="str">
        <f t="shared" si="204"/>
        <v>Clothing</v>
      </c>
      <c r="H1873" t="str">
        <f>PROPER(TRIM(CLEAN(Sales_Table[[#This Row],[Product Name]])))</f>
        <v>Laptop</v>
      </c>
      <c r="I1873" t="s">
        <v>52</v>
      </c>
      <c r="J1873" t="str">
        <f t="shared" si="205"/>
        <v>CUST0646</v>
      </c>
      <c r="K1873" t="s">
        <v>4038</v>
      </c>
      <c r="L1873" t="str">
        <f>PROPER(TRIM(CLEAN(Sales_Table[[#This Row],[Salesperson]])))</f>
        <v>Karthik</v>
      </c>
      <c r="M1873" t="s">
        <v>70</v>
      </c>
      <c r="N1873" t="str">
        <f t="shared" si="206"/>
        <v>Debit Card</v>
      </c>
      <c r="O1873" t="s">
        <v>41</v>
      </c>
      <c r="P1873">
        <f t="shared" si="207"/>
        <v>10</v>
      </c>
      <c r="Q1873" t="s">
        <v>117</v>
      </c>
      <c r="R1873">
        <f t="shared" si="208"/>
        <v>1848</v>
      </c>
      <c r="S1873" t="s">
        <v>4213</v>
      </c>
      <c r="T1873">
        <f t="shared" si="209"/>
        <v>18480</v>
      </c>
      <c r="U1873">
        <f>YEAR(Sales_Table[[#This Row],[Date_clean]])</f>
        <v>2024</v>
      </c>
      <c r="V1873" t="str">
        <f>TEXT(Sales_Table[[#This Row],[Date_clean]],"mmmm")</f>
        <v>March</v>
      </c>
      <c r="W1873">
        <f>WEEKNUM(Sales_Table[[#This Row],[Date_clean]],2)</f>
        <v>12</v>
      </c>
      <c r="X1873" t="str" cm="1">
        <f t="array" ref="X1873">_xlfn.IFS(Sales_Table[[#This Row],[Revenue]]&gt;=50000,"High",Sales_Table[[#This Row],[Revenue]]&gt;=20000,"Medium",Sales_Table[[#This Row],[Revenue]]&lt;20000,"Low")</f>
        <v>Low</v>
      </c>
      <c r="Y1873" t="str">
        <f>IF(Sales_Table[[#This Row],[Payment Method_clean]]="cash","Offline","Online")</f>
        <v>Online</v>
      </c>
      <c r="Z1873">
        <f>IFERROR(Sales_Table[[#This Row],[Revenue]],0)</f>
        <v>18480</v>
      </c>
    </row>
    <row r="1874" spans="1:26" x14ac:dyDescent="0.3">
      <c r="A1874">
        <v>1873</v>
      </c>
      <c r="B1874" s="2">
        <f t="shared" si="203"/>
        <v>45370</v>
      </c>
      <c r="C1874" t="s">
        <v>4214</v>
      </c>
      <c r="D1874" t="s">
        <v>27</v>
      </c>
      <c r="E1874" t="str">
        <f>PROPER(TRIM(CLEAN(Sales_Table[[#This Row],[Region]])))</f>
        <v>East</v>
      </c>
      <c r="F1874" t="s">
        <v>28</v>
      </c>
      <c r="G1874" t="str">
        <f t="shared" si="204"/>
        <v>Clothing</v>
      </c>
      <c r="H1874" t="str">
        <f>PROPER(TRIM(CLEAN(Sales_Table[[#This Row],[Product Name]])))</f>
        <v>Led Tv 42Inch</v>
      </c>
      <c r="I1874" t="s">
        <v>58</v>
      </c>
      <c r="J1874" t="str">
        <f t="shared" si="205"/>
        <v>CUST0021</v>
      </c>
      <c r="K1874" t="s">
        <v>2633</v>
      </c>
      <c r="L1874" t="str">
        <f>PROPER(TRIM(CLEAN(Sales_Table[[#This Row],[Salesperson]])))</f>
        <v>Suresh</v>
      </c>
      <c r="M1874" t="s">
        <v>54</v>
      </c>
      <c r="N1874" t="str">
        <f t="shared" si="206"/>
        <v>Upi</v>
      </c>
      <c r="O1874" t="s">
        <v>48</v>
      </c>
      <c r="P1874">
        <f t="shared" si="207"/>
        <v>8</v>
      </c>
      <c r="Q1874" t="s">
        <v>42</v>
      </c>
      <c r="R1874">
        <f t="shared" si="208"/>
        <v>3209</v>
      </c>
      <c r="S1874" t="s">
        <v>4215</v>
      </c>
      <c r="T1874">
        <f t="shared" si="209"/>
        <v>25672</v>
      </c>
      <c r="U1874">
        <f>YEAR(Sales_Table[[#This Row],[Date_clean]])</f>
        <v>2024</v>
      </c>
      <c r="V1874" t="str">
        <f>TEXT(Sales_Table[[#This Row],[Date_clean]],"mmmm")</f>
        <v>March</v>
      </c>
      <c r="W1874">
        <f>WEEKNUM(Sales_Table[[#This Row],[Date_clean]],2)</f>
        <v>12</v>
      </c>
      <c r="X1874" t="str" cm="1">
        <f t="array" ref="X1874">_xlfn.IFS(Sales_Table[[#This Row],[Revenue]]&gt;=50000,"High",Sales_Table[[#This Row],[Revenue]]&gt;=20000,"Medium",Sales_Table[[#This Row],[Revenue]]&lt;20000,"Low")</f>
        <v>Medium</v>
      </c>
      <c r="Y1874" t="str">
        <f>IF(Sales_Table[[#This Row],[Payment Method_clean]]="cash","Offline","Online")</f>
        <v>Online</v>
      </c>
      <c r="Z1874">
        <f>IFERROR(Sales_Table[[#This Row],[Revenue]],0)</f>
        <v>25672</v>
      </c>
    </row>
    <row r="1875" spans="1:26" x14ac:dyDescent="0.3">
      <c r="A1875">
        <v>1874</v>
      </c>
      <c r="B1875" s="2">
        <f t="shared" si="203"/>
        <v>45370.041666666664</v>
      </c>
      <c r="C1875" t="s">
        <v>4216</v>
      </c>
      <c r="D1875" t="s">
        <v>84</v>
      </c>
      <c r="E1875" t="str">
        <f>PROPER(TRIM(CLEAN(Sales_Table[[#This Row],[Region]])))</f>
        <v>South</v>
      </c>
      <c r="F1875" t="s">
        <v>37</v>
      </c>
      <c r="G1875" t="str">
        <f t="shared" si="204"/>
        <v>Home Appliances</v>
      </c>
      <c r="H1875" t="str">
        <f>PROPER(TRIM(CLEAN(Sales_Table[[#This Row],[Product Name]])))</f>
        <v>Led Tv 42Inch</v>
      </c>
      <c r="I1875" t="s">
        <v>58</v>
      </c>
      <c r="J1875" t="str">
        <f t="shared" si="205"/>
        <v>CUST0634</v>
      </c>
      <c r="K1875" t="s">
        <v>2307</v>
      </c>
      <c r="L1875" t="str">
        <f>PROPER(TRIM(CLEAN(Sales_Table[[#This Row],[Salesperson]])))</f>
        <v>Meena</v>
      </c>
      <c r="M1875" t="s">
        <v>40</v>
      </c>
      <c r="N1875" t="str">
        <f t="shared" si="206"/>
        <v>Debit Card</v>
      </c>
      <c r="O1875" t="s">
        <v>41</v>
      </c>
      <c r="P1875">
        <f t="shared" si="207"/>
        <v>14</v>
      </c>
      <c r="Q1875" t="s">
        <v>55</v>
      </c>
      <c r="R1875">
        <f t="shared" si="208"/>
        <v>1976</v>
      </c>
      <c r="S1875" t="s">
        <v>3499</v>
      </c>
      <c r="T1875">
        <f t="shared" si="209"/>
        <v>27664</v>
      </c>
      <c r="U1875">
        <f>YEAR(Sales_Table[[#This Row],[Date_clean]])</f>
        <v>2024</v>
      </c>
      <c r="V1875" t="str">
        <f>TEXT(Sales_Table[[#This Row],[Date_clean]],"mmmm")</f>
        <v>March</v>
      </c>
      <c r="W1875">
        <f>WEEKNUM(Sales_Table[[#This Row],[Date_clean]],2)</f>
        <v>12</v>
      </c>
      <c r="X1875" t="str" cm="1">
        <f t="array" ref="X1875">_xlfn.IFS(Sales_Table[[#This Row],[Revenue]]&gt;=50000,"High",Sales_Table[[#This Row],[Revenue]]&gt;=20000,"Medium",Sales_Table[[#This Row],[Revenue]]&lt;20000,"Low")</f>
        <v>Medium</v>
      </c>
      <c r="Y1875" t="str">
        <f>IF(Sales_Table[[#This Row],[Payment Method_clean]]="cash","Offline","Online")</f>
        <v>Online</v>
      </c>
      <c r="Z1875">
        <f>IFERROR(Sales_Table[[#This Row],[Revenue]],0)</f>
        <v>27664</v>
      </c>
    </row>
    <row r="1876" spans="1:26" x14ac:dyDescent="0.3">
      <c r="A1876">
        <v>1875</v>
      </c>
      <c r="B1876" s="2">
        <f t="shared" si="203"/>
        <v>45370.083333333336</v>
      </c>
      <c r="C1876" t="s">
        <v>4217</v>
      </c>
      <c r="D1876" t="s">
        <v>84</v>
      </c>
      <c r="E1876" t="str">
        <f>PROPER(TRIM(CLEAN(Sales_Table[[#This Row],[Region]])))</f>
        <v>South</v>
      </c>
      <c r="F1876" t="s">
        <v>37</v>
      </c>
      <c r="G1876" t="str">
        <f t="shared" si="204"/>
        <v>Home Appliances</v>
      </c>
      <c r="H1876" t="str">
        <f>PROPER(TRIM(CLEAN(Sales_Table[[#This Row],[Product Name]])))</f>
        <v>Mixer Grinder</v>
      </c>
      <c r="I1876" t="s">
        <v>29</v>
      </c>
      <c r="J1876" t="str">
        <f t="shared" si="205"/>
        <v>CUST0070</v>
      </c>
      <c r="K1876" t="s">
        <v>390</v>
      </c>
      <c r="L1876" t="str">
        <f>PROPER(TRIM(CLEAN(Sales_Table[[#This Row],[Salesperson]])))</f>
        <v>Anita</v>
      </c>
      <c r="M1876" t="s">
        <v>64</v>
      </c>
      <c r="N1876" t="str">
        <f t="shared" si="206"/>
        <v>Debit Card</v>
      </c>
      <c r="O1876" t="s">
        <v>41</v>
      </c>
      <c r="P1876">
        <f t="shared" si="207"/>
        <v>6</v>
      </c>
      <c r="Q1876" t="s">
        <v>75</v>
      </c>
      <c r="R1876">
        <f t="shared" si="208"/>
        <v>2719</v>
      </c>
      <c r="S1876" t="s">
        <v>4218</v>
      </c>
      <c r="T1876">
        <f t="shared" si="209"/>
        <v>16314</v>
      </c>
      <c r="U1876">
        <f>YEAR(Sales_Table[[#This Row],[Date_clean]])</f>
        <v>2024</v>
      </c>
      <c r="V1876" t="str">
        <f>TEXT(Sales_Table[[#This Row],[Date_clean]],"mmmm")</f>
        <v>March</v>
      </c>
      <c r="W1876">
        <f>WEEKNUM(Sales_Table[[#This Row],[Date_clean]],2)</f>
        <v>12</v>
      </c>
      <c r="X1876" t="str" cm="1">
        <f t="array" ref="X1876">_xlfn.IFS(Sales_Table[[#This Row],[Revenue]]&gt;=50000,"High",Sales_Table[[#This Row],[Revenue]]&gt;=20000,"Medium",Sales_Table[[#This Row],[Revenue]]&lt;20000,"Low")</f>
        <v>Low</v>
      </c>
      <c r="Y1876" t="str">
        <f>IF(Sales_Table[[#This Row],[Payment Method_clean]]="cash","Offline","Online")</f>
        <v>Online</v>
      </c>
      <c r="Z1876">
        <f>IFERROR(Sales_Table[[#This Row],[Revenue]],0)</f>
        <v>16314</v>
      </c>
    </row>
    <row r="1877" spans="1:26" x14ac:dyDescent="0.3">
      <c r="A1877">
        <v>1876</v>
      </c>
      <c r="B1877" s="2">
        <f t="shared" si="203"/>
        <v>45370.125</v>
      </c>
      <c r="C1877" t="s">
        <v>4219</v>
      </c>
      <c r="D1877" t="s">
        <v>36</v>
      </c>
      <c r="E1877" t="str">
        <f>PROPER(TRIM(CLEAN(Sales_Table[[#This Row],[Region]])))</f>
        <v>West</v>
      </c>
      <c r="F1877" t="s">
        <v>28</v>
      </c>
      <c r="G1877" t="str">
        <f t="shared" si="204"/>
        <v>Clothing</v>
      </c>
      <c r="H1877" t="str">
        <f>PROPER(TRIM(CLEAN(Sales_Table[[#This Row],[Product Name]])))</f>
        <v>Men T-Shirt</v>
      </c>
      <c r="I1877" t="s">
        <v>38</v>
      </c>
      <c r="J1877" t="str">
        <f t="shared" si="205"/>
        <v>CUST0048</v>
      </c>
      <c r="K1877" t="s">
        <v>106</v>
      </c>
      <c r="L1877" t="str">
        <f>PROPER(TRIM(CLEAN(Sales_Table[[#This Row],[Salesperson]])))</f>
        <v>Anita</v>
      </c>
      <c r="M1877" t="s">
        <v>64</v>
      </c>
      <c r="N1877" t="str">
        <f t="shared" si="206"/>
        <v>Net Banking</v>
      </c>
      <c r="O1877" t="s">
        <v>60</v>
      </c>
      <c r="P1877">
        <f t="shared" si="207"/>
        <v>12</v>
      </c>
      <c r="Q1877" t="s">
        <v>33</v>
      </c>
      <c r="R1877">
        <f t="shared" si="208"/>
        <v>279</v>
      </c>
      <c r="S1877" t="s">
        <v>4220</v>
      </c>
      <c r="T1877">
        <f t="shared" si="209"/>
        <v>3348</v>
      </c>
      <c r="U1877">
        <f>YEAR(Sales_Table[[#This Row],[Date_clean]])</f>
        <v>2024</v>
      </c>
      <c r="V1877" t="str">
        <f>TEXT(Sales_Table[[#This Row],[Date_clean]],"mmmm")</f>
        <v>March</v>
      </c>
      <c r="W1877">
        <f>WEEKNUM(Sales_Table[[#This Row],[Date_clean]],2)</f>
        <v>12</v>
      </c>
      <c r="X1877" t="str" cm="1">
        <f t="array" ref="X1877">_xlfn.IFS(Sales_Table[[#This Row],[Revenue]]&gt;=50000,"High",Sales_Table[[#This Row],[Revenue]]&gt;=20000,"Medium",Sales_Table[[#This Row],[Revenue]]&lt;20000,"Low")</f>
        <v>Low</v>
      </c>
      <c r="Y1877" t="str">
        <f>IF(Sales_Table[[#This Row],[Payment Method_clean]]="cash","Offline","Online")</f>
        <v>Online</v>
      </c>
      <c r="Z1877">
        <f>IFERROR(Sales_Table[[#This Row],[Revenue]],0)</f>
        <v>3348</v>
      </c>
    </row>
    <row r="1878" spans="1:26" x14ac:dyDescent="0.3">
      <c r="A1878">
        <v>1877</v>
      </c>
      <c r="B1878" s="2">
        <f t="shared" si="203"/>
        <v>45370.166666666664</v>
      </c>
      <c r="C1878" t="s">
        <v>4221</v>
      </c>
      <c r="D1878" t="s">
        <v>45</v>
      </c>
      <c r="E1878" t="str">
        <f>PROPER(TRIM(CLEAN(Sales_Table[[#This Row],[Region]])))</f>
        <v>North</v>
      </c>
      <c r="F1878" t="s">
        <v>78</v>
      </c>
      <c r="G1878" t="str">
        <f t="shared" si="204"/>
        <v>Grocery</v>
      </c>
      <c r="H1878" t="str">
        <f>PROPER(TRIM(CLEAN(Sales_Table[[#This Row],[Product Name]])))</f>
        <v>Mixer Grinder</v>
      </c>
      <c r="I1878" t="s">
        <v>29</v>
      </c>
      <c r="J1878" t="str">
        <f t="shared" si="205"/>
        <v>CUST0491</v>
      </c>
      <c r="K1878" t="s">
        <v>2157</v>
      </c>
      <c r="L1878" t="str">
        <f>PROPER(TRIM(CLEAN(Sales_Table[[#This Row],[Salesperson]])))</f>
        <v>Karthik</v>
      </c>
      <c r="M1878" t="s">
        <v>70</v>
      </c>
      <c r="N1878" t="str">
        <f t="shared" si="206"/>
        <v>Credit Card</v>
      </c>
      <c r="O1878" t="s">
        <v>65</v>
      </c>
      <c r="P1878">
        <f t="shared" si="207"/>
        <v>14</v>
      </c>
      <c r="Q1878" t="s">
        <v>55</v>
      </c>
      <c r="R1878">
        <f t="shared" si="208"/>
        <v>896</v>
      </c>
      <c r="S1878" t="s">
        <v>4222</v>
      </c>
      <c r="T1878">
        <f t="shared" si="209"/>
        <v>12544</v>
      </c>
      <c r="U1878">
        <f>YEAR(Sales_Table[[#This Row],[Date_clean]])</f>
        <v>2024</v>
      </c>
      <c r="V1878" t="str">
        <f>TEXT(Sales_Table[[#This Row],[Date_clean]],"mmmm")</f>
        <v>March</v>
      </c>
      <c r="W1878">
        <f>WEEKNUM(Sales_Table[[#This Row],[Date_clean]],2)</f>
        <v>12</v>
      </c>
      <c r="X1878" t="str" cm="1">
        <f t="array" ref="X1878">_xlfn.IFS(Sales_Table[[#This Row],[Revenue]]&gt;=50000,"High",Sales_Table[[#This Row],[Revenue]]&gt;=20000,"Medium",Sales_Table[[#This Row],[Revenue]]&lt;20000,"Low")</f>
        <v>Low</v>
      </c>
      <c r="Y1878" t="str">
        <f>IF(Sales_Table[[#This Row],[Payment Method_clean]]="cash","Offline","Online")</f>
        <v>Online</v>
      </c>
      <c r="Z1878">
        <f>IFERROR(Sales_Table[[#This Row],[Revenue]],0)</f>
        <v>12544</v>
      </c>
    </row>
    <row r="1879" spans="1:26" x14ac:dyDescent="0.3">
      <c r="A1879">
        <v>1878</v>
      </c>
      <c r="B1879" s="2">
        <f t="shared" si="203"/>
        <v>45370.208333333336</v>
      </c>
      <c r="C1879" t="s">
        <v>4223</v>
      </c>
      <c r="D1879" t="s">
        <v>84</v>
      </c>
      <c r="E1879" t="str">
        <f>PROPER(TRIM(CLEAN(Sales_Table[[#This Row],[Region]])))</f>
        <v>South</v>
      </c>
      <c r="F1879" t="s">
        <v>28</v>
      </c>
      <c r="G1879" t="str">
        <f t="shared" si="204"/>
        <v>Clothing</v>
      </c>
      <c r="H1879" t="str">
        <f>PROPER(TRIM(CLEAN(Sales_Table[[#This Row],[Product Name]])))</f>
        <v>Led Tv 42Inch</v>
      </c>
      <c r="I1879" t="s">
        <v>58</v>
      </c>
      <c r="J1879" t="str">
        <f t="shared" si="205"/>
        <v>CUST0551</v>
      </c>
      <c r="K1879" t="s">
        <v>1231</v>
      </c>
      <c r="L1879" t="str">
        <f>PROPER(TRIM(CLEAN(Sales_Table[[#This Row],[Salesperson]])))</f>
        <v>Karthik</v>
      </c>
      <c r="M1879" t="s">
        <v>70</v>
      </c>
      <c r="N1879" t="str">
        <f t="shared" si="206"/>
        <v>Debit Card</v>
      </c>
      <c r="O1879" t="s">
        <v>41</v>
      </c>
      <c r="P1879">
        <f t="shared" si="207"/>
        <v>11</v>
      </c>
      <c r="Q1879" t="s">
        <v>97</v>
      </c>
      <c r="R1879">
        <f t="shared" si="208"/>
        <v>3913</v>
      </c>
      <c r="S1879" t="s">
        <v>4224</v>
      </c>
      <c r="T1879">
        <f t="shared" si="209"/>
        <v>43043</v>
      </c>
      <c r="U1879">
        <f>YEAR(Sales_Table[[#This Row],[Date_clean]])</f>
        <v>2024</v>
      </c>
      <c r="V1879" t="str">
        <f>TEXT(Sales_Table[[#This Row],[Date_clean]],"mmmm")</f>
        <v>March</v>
      </c>
      <c r="W1879">
        <f>WEEKNUM(Sales_Table[[#This Row],[Date_clean]],2)</f>
        <v>12</v>
      </c>
      <c r="X1879" t="str" cm="1">
        <f t="array" ref="X1879">_xlfn.IFS(Sales_Table[[#This Row],[Revenue]]&gt;=50000,"High",Sales_Table[[#This Row],[Revenue]]&gt;=20000,"Medium",Sales_Table[[#This Row],[Revenue]]&lt;20000,"Low")</f>
        <v>Medium</v>
      </c>
      <c r="Y1879" t="str">
        <f>IF(Sales_Table[[#This Row],[Payment Method_clean]]="cash","Offline","Online")</f>
        <v>Online</v>
      </c>
      <c r="Z1879">
        <f>IFERROR(Sales_Table[[#This Row],[Revenue]],0)</f>
        <v>43043</v>
      </c>
    </row>
    <row r="1880" spans="1:26" x14ac:dyDescent="0.3">
      <c r="A1880">
        <v>1879</v>
      </c>
      <c r="B1880" s="2">
        <f t="shared" si="203"/>
        <v>45370.25</v>
      </c>
      <c r="C1880" t="s">
        <v>4225</v>
      </c>
      <c r="D1880" t="s">
        <v>36</v>
      </c>
      <c r="E1880" t="str">
        <f>PROPER(TRIM(CLEAN(Sales_Table[[#This Row],[Region]])))</f>
        <v>West</v>
      </c>
      <c r="F1880" t="s">
        <v>46</v>
      </c>
      <c r="G1880" t="str">
        <f t="shared" si="204"/>
        <v>Electronics</v>
      </c>
      <c r="H1880" t="str">
        <f>PROPER(TRIM(CLEAN(Sales_Table[[#This Row],[Product Name]])))</f>
        <v>Rice 5Kg</v>
      </c>
      <c r="I1880" t="s">
        <v>73</v>
      </c>
      <c r="J1880" t="str">
        <f t="shared" si="205"/>
        <v>CUST0287</v>
      </c>
      <c r="K1880" t="s">
        <v>1333</v>
      </c>
      <c r="L1880" t="str">
        <f>PROPER(TRIM(CLEAN(Sales_Table[[#This Row],[Salesperson]])))</f>
        <v>Rahul</v>
      </c>
      <c r="M1880" t="s">
        <v>31</v>
      </c>
      <c r="N1880" t="str">
        <f t="shared" si="206"/>
        <v>Debit Card</v>
      </c>
      <c r="O1880" t="s">
        <v>41</v>
      </c>
      <c r="P1880">
        <f t="shared" si="207"/>
        <v>14</v>
      </c>
      <c r="Q1880" t="s">
        <v>55</v>
      </c>
      <c r="R1880">
        <f t="shared" si="208"/>
        <v>2124</v>
      </c>
      <c r="S1880" t="s">
        <v>2676</v>
      </c>
      <c r="T1880">
        <f t="shared" si="209"/>
        <v>29736</v>
      </c>
      <c r="U1880">
        <f>YEAR(Sales_Table[[#This Row],[Date_clean]])</f>
        <v>2024</v>
      </c>
      <c r="V1880" t="str">
        <f>TEXT(Sales_Table[[#This Row],[Date_clean]],"mmmm")</f>
        <v>March</v>
      </c>
      <c r="W1880">
        <f>WEEKNUM(Sales_Table[[#This Row],[Date_clean]],2)</f>
        <v>12</v>
      </c>
      <c r="X1880" t="str" cm="1">
        <f t="array" ref="X1880">_xlfn.IFS(Sales_Table[[#This Row],[Revenue]]&gt;=50000,"High",Sales_Table[[#This Row],[Revenue]]&gt;=20000,"Medium",Sales_Table[[#This Row],[Revenue]]&lt;20000,"Low")</f>
        <v>Medium</v>
      </c>
      <c r="Y1880" t="str">
        <f>IF(Sales_Table[[#This Row],[Payment Method_clean]]="cash","Offline","Online")</f>
        <v>Online</v>
      </c>
      <c r="Z1880">
        <f>IFERROR(Sales_Table[[#This Row],[Revenue]],0)</f>
        <v>29736</v>
      </c>
    </row>
    <row r="1881" spans="1:26" x14ac:dyDescent="0.3">
      <c r="A1881">
        <v>1880</v>
      </c>
      <c r="B1881" s="2">
        <f t="shared" si="203"/>
        <v>45370.291666666664</v>
      </c>
      <c r="C1881" t="s">
        <v>4226</v>
      </c>
      <c r="D1881" t="s">
        <v>45</v>
      </c>
      <c r="E1881" t="str">
        <f>PROPER(TRIM(CLEAN(Sales_Table[[#This Row],[Region]])))</f>
        <v>North</v>
      </c>
      <c r="F1881" t="s">
        <v>28</v>
      </c>
      <c r="G1881" t="str">
        <f t="shared" si="204"/>
        <v>Clothing</v>
      </c>
      <c r="H1881" t="str">
        <f>PROPER(TRIM(CLEAN(Sales_Table[[#This Row],[Product Name]])))</f>
        <v>Led Tv 42Inch</v>
      </c>
      <c r="I1881" t="s">
        <v>58</v>
      </c>
      <c r="J1881" t="str">
        <f t="shared" si="205"/>
        <v>CUST0010</v>
      </c>
      <c r="K1881" t="s">
        <v>1763</v>
      </c>
      <c r="L1881" t="str">
        <f>PROPER(TRIM(CLEAN(Sales_Table[[#This Row],[Salesperson]])))</f>
        <v>Karthik</v>
      </c>
      <c r="M1881" t="s">
        <v>70</v>
      </c>
      <c r="N1881" t="str">
        <f t="shared" si="206"/>
        <v>Cash</v>
      </c>
      <c r="O1881" t="s">
        <v>32</v>
      </c>
      <c r="P1881">
        <f t="shared" si="207"/>
        <v>5</v>
      </c>
      <c r="Q1881" t="s">
        <v>89</v>
      </c>
      <c r="R1881">
        <f t="shared" si="208"/>
        <v>3317</v>
      </c>
      <c r="S1881" t="s">
        <v>4227</v>
      </c>
      <c r="T1881">
        <f t="shared" si="209"/>
        <v>16585</v>
      </c>
      <c r="U1881">
        <f>YEAR(Sales_Table[[#This Row],[Date_clean]])</f>
        <v>2024</v>
      </c>
      <c r="V1881" t="str">
        <f>TEXT(Sales_Table[[#This Row],[Date_clean]],"mmmm")</f>
        <v>March</v>
      </c>
      <c r="W1881">
        <f>WEEKNUM(Sales_Table[[#This Row],[Date_clean]],2)</f>
        <v>12</v>
      </c>
      <c r="X1881" t="str" cm="1">
        <f t="array" ref="X1881">_xlfn.IFS(Sales_Table[[#This Row],[Revenue]]&gt;=50000,"High",Sales_Table[[#This Row],[Revenue]]&gt;=20000,"Medium",Sales_Table[[#This Row],[Revenue]]&lt;20000,"Low")</f>
        <v>Low</v>
      </c>
      <c r="Y1881" t="str">
        <f>IF(Sales_Table[[#This Row],[Payment Method_clean]]="cash","Offline","Online")</f>
        <v>Offline</v>
      </c>
      <c r="Z1881">
        <f>IFERROR(Sales_Table[[#This Row],[Revenue]],0)</f>
        <v>16585</v>
      </c>
    </row>
    <row r="1882" spans="1:26" x14ac:dyDescent="0.3">
      <c r="A1882">
        <v>1881</v>
      </c>
      <c r="B1882" s="2">
        <f t="shared" si="203"/>
        <v>45370.333333333336</v>
      </c>
      <c r="C1882" t="s">
        <v>4228</v>
      </c>
      <c r="D1882" t="s">
        <v>84</v>
      </c>
      <c r="E1882" t="str">
        <f>PROPER(TRIM(CLEAN(Sales_Table[[#This Row],[Region]])))</f>
        <v>South</v>
      </c>
      <c r="F1882" t="s">
        <v>46</v>
      </c>
      <c r="G1882" t="str">
        <f t="shared" si="204"/>
        <v>Electronics</v>
      </c>
      <c r="H1882" t="str">
        <f>PROPER(TRIM(CLEAN(Sales_Table[[#This Row],[Product Name]])))</f>
        <v>Mixer Grinder</v>
      </c>
      <c r="I1882" t="s">
        <v>29</v>
      </c>
      <c r="J1882" t="str">
        <f t="shared" si="205"/>
        <v>CUST0542</v>
      </c>
      <c r="K1882" t="s">
        <v>3554</v>
      </c>
      <c r="L1882" t="str">
        <f>PROPER(TRIM(CLEAN(Sales_Table[[#This Row],[Salesperson]])))</f>
        <v>Rahul</v>
      </c>
      <c r="M1882" t="s">
        <v>31</v>
      </c>
      <c r="N1882" t="str">
        <f t="shared" si="206"/>
        <v>Upi</v>
      </c>
      <c r="O1882" t="s">
        <v>48</v>
      </c>
      <c r="P1882">
        <f t="shared" si="207"/>
        <v>8</v>
      </c>
      <c r="Q1882" t="s">
        <v>42</v>
      </c>
      <c r="R1882">
        <f t="shared" si="208"/>
        <v>986</v>
      </c>
      <c r="S1882" t="s">
        <v>2459</v>
      </c>
      <c r="T1882">
        <f t="shared" si="209"/>
        <v>7888</v>
      </c>
      <c r="U1882">
        <f>YEAR(Sales_Table[[#This Row],[Date_clean]])</f>
        <v>2024</v>
      </c>
      <c r="V1882" t="str">
        <f>TEXT(Sales_Table[[#This Row],[Date_clean]],"mmmm")</f>
        <v>March</v>
      </c>
      <c r="W1882">
        <f>WEEKNUM(Sales_Table[[#This Row],[Date_clean]],2)</f>
        <v>12</v>
      </c>
      <c r="X1882" t="str" cm="1">
        <f t="array" ref="X1882">_xlfn.IFS(Sales_Table[[#This Row],[Revenue]]&gt;=50000,"High",Sales_Table[[#This Row],[Revenue]]&gt;=20000,"Medium",Sales_Table[[#This Row],[Revenue]]&lt;20000,"Low")</f>
        <v>Low</v>
      </c>
      <c r="Y1882" t="str">
        <f>IF(Sales_Table[[#This Row],[Payment Method_clean]]="cash","Offline","Online")</f>
        <v>Online</v>
      </c>
      <c r="Z1882">
        <f>IFERROR(Sales_Table[[#This Row],[Revenue]],0)</f>
        <v>7888</v>
      </c>
    </row>
    <row r="1883" spans="1:26" x14ac:dyDescent="0.3">
      <c r="A1883">
        <v>1882</v>
      </c>
      <c r="B1883" s="2">
        <f t="shared" si="203"/>
        <v>45370.375</v>
      </c>
      <c r="C1883" t="s">
        <v>4229</v>
      </c>
      <c r="D1883" t="s">
        <v>84</v>
      </c>
      <c r="E1883" t="str">
        <f>PROPER(TRIM(CLEAN(Sales_Table[[#This Row],[Region]])))</f>
        <v>South</v>
      </c>
      <c r="F1883" t="s">
        <v>37</v>
      </c>
      <c r="G1883" t="str">
        <f t="shared" si="204"/>
        <v>Home Appliances</v>
      </c>
      <c r="H1883" t="str">
        <f>PROPER(TRIM(CLEAN(Sales_Table[[#This Row],[Product Name]])))</f>
        <v>Men T-Shirt</v>
      </c>
      <c r="I1883" t="s">
        <v>38</v>
      </c>
      <c r="J1883" t="str">
        <f t="shared" si="205"/>
        <v>CUST0756</v>
      </c>
      <c r="K1883" t="s">
        <v>3513</v>
      </c>
      <c r="L1883" t="str">
        <f>PROPER(TRIM(CLEAN(Sales_Table[[#This Row],[Salesperson]])))</f>
        <v>Anita</v>
      </c>
      <c r="M1883" t="s">
        <v>64</v>
      </c>
      <c r="N1883" t="str">
        <f t="shared" si="206"/>
        <v>Cash</v>
      </c>
      <c r="O1883" t="s">
        <v>32</v>
      </c>
      <c r="P1883">
        <f t="shared" si="207"/>
        <v>3</v>
      </c>
      <c r="Q1883" t="s">
        <v>66</v>
      </c>
      <c r="R1883">
        <f t="shared" si="208"/>
        <v>2568</v>
      </c>
      <c r="S1883" t="s">
        <v>4230</v>
      </c>
      <c r="T1883">
        <f t="shared" si="209"/>
        <v>7704</v>
      </c>
      <c r="U1883">
        <f>YEAR(Sales_Table[[#This Row],[Date_clean]])</f>
        <v>2024</v>
      </c>
      <c r="V1883" t="str">
        <f>TEXT(Sales_Table[[#This Row],[Date_clean]],"mmmm")</f>
        <v>March</v>
      </c>
      <c r="W1883">
        <f>WEEKNUM(Sales_Table[[#This Row],[Date_clean]],2)</f>
        <v>12</v>
      </c>
      <c r="X1883" t="str" cm="1">
        <f t="array" ref="X1883">_xlfn.IFS(Sales_Table[[#This Row],[Revenue]]&gt;=50000,"High",Sales_Table[[#This Row],[Revenue]]&gt;=20000,"Medium",Sales_Table[[#This Row],[Revenue]]&lt;20000,"Low")</f>
        <v>Low</v>
      </c>
      <c r="Y1883" t="str">
        <f>IF(Sales_Table[[#This Row],[Payment Method_clean]]="cash","Offline","Online")</f>
        <v>Offline</v>
      </c>
      <c r="Z1883">
        <f>IFERROR(Sales_Table[[#This Row],[Revenue]],0)</f>
        <v>7704</v>
      </c>
    </row>
    <row r="1884" spans="1:26" x14ac:dyDescent="0.3">
      <c r="A1884">
        <v>1883</v>
      </c>
      <c r="B1884" s="2">
        <f t="shared" si="203"/>
        <v>45370.416666666664</v>
      </c>
      <c r="C1884" t="s">
        <v>4231</v>
      </c>
      <c r="D1884" t="s">
        <v>45</v>
      </c>
      <c r="E1884" t="str">
        <f>PROPER(TRIM(CLEAN(Sales_Table[[#This Row],[Region]])))</f>
        <v>North</v>
      </c>
      <c r="F1884" t="s">
        <v>78</v>
      </c>
      <c r="G1884" t="str">
        <f t="shared" si="204"/>
        <v>Grocery</v>
      </c>
      <c r="H1884" t="str">
        <f>PROPER(TRIM(CLEAN(Sales_Table[[#This Row],[Product Name]])))</f>
        <v>Laptop</v>
      </c>
      <c r="I1884" t="s">
        <v>52</v>
      </c>
      <c r="J1884" t="str">
        <f t="shared" si="205"/>
        <v>CUST0274</v>
      </c>
      <c r="K1884" t="s">
        <v>3650</v>
      </c>
      <c r="L1884" t="str">
        <f>PROPER(TRIM(CLEAN(Sales_Table[[#This Row],[Salesperson]])))</f>
        <v>Rahul</v>
      </c>
      <c r="M1884" t="s">
        <v>31</v>
      </c>
      <c r="N1884" t="str">
        <f t="shared" si="206"/>
        <v>Net Banking</v>
      </c>
      <c r="O1884" t="s">
        <v>60</v>
      </c>
      <c r="P1884">
        <f t="shared" si="207"/>
        <v>12</v>
      </c>
      <c r="Q1884" t="s">
        <v>33</v>
      </c>
      <c r="R1884">
        <f t="shared" si="208"/>
        <v>3487</v>
      </c>
      <c r="S1884" t="s">
        <v>4232</v>
      </c>
      <c r="T1884">
        <f t="shared" si="209"/>
        <v>41844</v>
      </c>
      <c r="U1884">
        <f>YEAR(Sales_Table[[#This Row],[Date_clean]])</f>
        <v>2024</v>
      </c>
      <c r="V1884" t="str">
        <f>TEXT(Sales_Table[[#This Row],[Date_clean]],"mmmm")</f>
        <v>March</v>
      </c>
      <c r="W1884">
        <f>WEEKNUM(Sales_Table[[#This Row],[Date_clean]],2)</f>
        <v>12</v>
      </c>
      <c r="X1884" t="str" cm="1">
        <f t="array" ref="X1884">_xlfn.IFS(Sales_Table[[#This Row],[Revenue]]&gt;=50000,"High",Sales_Table[[#This Row],[Revenue]]&gt;=20000,"Medium",Sales_Table[[#This Row],[Revenue]]&lt;20000,"Low")</f>
        <v>Medium</v>
      </c>
      <c r="Y1884" t="str">
        <f>IF(Sales_Table[[#This Row],[Payment Method_clean]]="cash","Offline","Online")</f>
        <v>Online</v>
      </c>
      <c r="Z1884">
        <f>IFERROR(Sales_Table[[#This Row],[Revenue]],0)</f>
        <v>41844</v>
      </c>
    </row>
    <row r="1885" spans="1:26" x14ac:dyDescent="0.3">
      <c r="A1885">
        <v>1884</v>
      </c>
      <c r="B1885" s="2">
        <f t="shared" si="203"/>
        <v>45370.458333333336</v>
      </c>
      <c r="C1885" t="s">
        <v>4233</v>
      </c>
      <c r="D1885" t="s">
        <v>45</v>
      </c>
      <c r="E1885" t="str">
        <f>PROPER(TRIM(CLEAN(Sales_Table[[#This Row],[Region]])))</f>
        <v>North</v>
      </c>
      <c r="F1885" t="s">
        <v>37</v>
      </c>
      <c r="G1885" t="str">
        <f t="shared" si="204"/>
        <v>Home Appliances</v>
      </c>
      <c r="H1885" t="str">
        <f>PROPER(TRIM(CLEAN(Sales_Table[[#This Row],[Product Name]])))</f>
        <v>Laptop</v>
      </c>
      <c r="I1885" t="s">
        <v>52</v>
      </c>
      <c r="J1885" t="str">
        <f t="shared" si="205"/>
        <v>CUST0600</v>
      </c>
      <c r="K1885" t="s">
        <v>3331</v>
      </c>
      <c r="L1885" t="str">
        <f>PROPER(TRIM(CLEAN(Sales_Table[[#This Row],[Salesperson]])))</f>
        <v>Rahul</v>
      </c>
      <c r="M1885" t="s">
        <v>31</v>
      </c>
      <c r="N1885" t="str">
        <f t="shared" si="206"/>
        <v>Credit Card</v>
      </c>
      <c r="O1885" t="s">
        <v>65</v>
      </c>
      <c r="P1885">
        <f t="shared" si="207"/>
        <v>13</v>
      </c>
      <c r="Q1885" t="s">
        <v>81</v>
      </c>
      <c r="R1885">
        <f t="shared" si="208"/>
        <v>1619</v>
      </c>
      <c r="S1885" t="s">
        <v>4234</v>
      </c>
      <c r="T1885">
        <f t="shared" si="209"/>
        <v>21047</v>
      </c>
      <c r="U1885">
        <f>YEAR(Sales_Table[[#This Row],[Date_clean]])</f>
        <v>2024</v>
      </c>
      <c r="V1885" t="str">
        <f>TEXT(Sales_Table[[#This Row],[Date_clean]],"mmmm")</f>
        <v>March</v>
      </c>
      <c r="W1885">
        <f>WEEKNUM(Sales_Table[[#This Row],[Date_clean]],2)</f>
        <v>12</v>
      </c>
      <c r="X1885" t="str" cm="1">
        <f t="array" ref="X1885">_xlfn.IFS(Sales_Table[[#This Row],[Revenue]]&gt;=50000,"High",Sales_Table[[#This Row],[Revenue]]&gt;=20000,"Medium",Sales_Table[[#This Row],[Revenue]]&lt;20000,"Low")</f>
        <v>Medium</v>
      </c>
      <c r="Y1885" t="str">
        <f>IF(Sales_Table[[#This Row],[Payment Method_clean]]="cash","Offline","Online")</f>
        <v>Online</v>
      </c>
      <c r="Z1885">
        <f>IFERROR(Sales_Table[[#This Row],[Revenue]],0)</f>
        <v>21047</v>
      </c>
    </row>
    <row r="1886" spans="1:26" x14ac:dyDescent="0.3">
      <c r="A1886">
        <v>1885</v>
      </c>
      <c r="B1886" s="2">
        <f t="shared" si="203"/>
        <v>45370.5</v>
      </c>
      <c r="C1886" t="s">
        <v>4235</v>
      </c>
      <c r="D1886" t="s">
        <v>45</v>
      </c>
      <c r="E1886" t="str">
        <f>PROPER(TRIM(CLEAN(Sales_Table[[#This Row],[Region]])))</f>
        <v>North</v>
      </c>
      <c r="F1886" t="s">
        <v>46</v>
      </c>
      <c r="G1886" t="str">
        <f t="shared" si="204"/>
        <v>Electronics</v>
      </c>
      <c r="H1886" t="str">
        <f>PROPER(TRIM(CLEAN(Sales_Table[[#This Row],[Product Name]])))</f>
        <v>Men T-Shirt</v>
      </c>
      <c r="I1886" t="s">
        <v>38</v>
      </c>
      <c r="J1886" t="str">
        <f t="shared" si="205"/>
        <v>CUST0756</v>
      </c>
      <c r="K1886" t="s">
        <v>3513</v>
      </c>
      <c r="L1886" t="str">
        <f>PROPER(TRIM(CLEAN(Sales_Table[[#This Row],[Salesperson]])))</f>
        <v>Suresh</v>
      </c>
      <c r="M1886" t="s">
        <v>54</v>
      </c>
      <c r="N1886" t="str">
        <f t="shared" si="206"/>
        <v>Upi</v>
      </c>
      <c r="O1886" t="s">
        <v>48</v>
      </c>
      <c r="P1886">
        <f t="shared" si="207"/>
        <v>13</v>
      </c>
      <c r="Q1886" t="s">
        <v>81</v>
      </c>
      <c r="R1886">
        <f t="shared" si="208"/>
        <v>2532</v>
      </c>
      <c r="S1886" t="s">
        <v>4236</v>
      </c>
      <c r="T1886">
        <f t="shared" si="209"/>
        <v>32916</v>
      </c>
      <c r="U1886">
        <f>YEAR(Sales_Table[[#This Row],[Date_clean]])</f>
        <v>2024</v>
      </c>
      <c r="V1886" t="str">
        <f>TEXT(Sales_Table[[#This Row],[Date_clean]],"mmmm")</f>
        <v>March</v>
      </c>
      <c r="W1886">
        <f>WEEKNUM(Sales_Table[[#This Row],[Date_clean]],2)</f>
        <v>12</v>
      </c>
      <c r="X1886" t="str" cm="1">
        <f t="array" ref="X1886">_xlfn.IFS(Sales_Table[[#This Row],[Revenue]]&gt;=50000,"High",Sales_Table[[#This Row],[Revenue]]&gt;=20000,"Medium",Sales_Table[[#This Row],[Revenue]]&lt;20000,"Low")</f>
        <v>Medium</v>
      </c>
      <c r="Y1886" t="str">
        <f>IF(Sales_Table[[#This Row],[Payment Method_clean]]="cash","Offline","Online")</f>
        <v>Online</v>
      </c>
      <c r="Z1886">
        <f>IFERROR(Sales_Table[[#This Row],[Revenue]],0)</f>
        <v>32916</v>
      </c>
    </row>
    <row r="1887" spans="1:26" x14ac:dyDescent="0.3">
      <c r="A1887">
        <v>1886</v>
      </c>
      <c r="B1887" s="2">
        <f t="shared" si="203"/>
        <v>45370.541666666664</v>
      </c>
      <c r="C1887" t="s">
        <v>4237</v>
      </c>
      <c r="D1887" t="s">
        <v>84</v>
      </c>
      <c r="E1887" t="str">
        <f>PROPER(TRIM(CLEAN(Sales_Table[[#This Row],[Region]])))</f>
        <v>South</v>
      </c>
      <c r="F1887" t="s">
        <v>46</v>
      </c>
      <c r="G1887" t="str">
        <f t="shared" si="204"/>
        <v>Electronics</v>
      </c>
      <c r="H1887" t="str">
        <f>PROPER(TRIM(CLEAN(Sales_Table[[#This Row],[Product Name]])))</f>
        <v>Laptop</v>
      </c>
      <c r="I1887" t="s">
        <v>52</v>
      </c>
      <c r="J1887" t="str">
        <f t="shared" si="205"/>
        <v>CUST0381</v>
      </c>
      <c r="K1887" t="s">
        <v>2180</v>
      </c>
      <c r="L1887" t="str">
        <f>PROPER(TRIM(CLEAN(Sales_Table[[#This Row],[Salesperson]])))</f>
        <v>Karthik</v>
      </c>
      <c r="M1887" t="s">
        <v>70</v>
      </c>
      <c r="N1887" t="str">
        <f t="shared" si="206"/>
        <v>Cash</v>
      </c>
      <c r="O1887" t="s">
        <v>32</v>
      </c>
      <c r="P1887">
        <f t="shared" si="207"/>
        <v>7</v>
      </c>
      <c r="Q1887" t="s">
        <v>49</v>
      </c>
      <c r="R1887">
        <f t="shared" si="208"/>
        <v>4966</v>
      </c>
      <c r="S1887" t="s">
        <v>1497</v>
      </c>
      <c r="T1887">
        <f t="shared" si="209"/>
        <v>34762</v>
      </c>
      <c r="U1887">
        <f>YEAR(Sales_Table[[#This Row],[Date_clean]])</f>
        <v>2024</v>
      </c>
      <c r="V1887" t="str">
        <f>TEXT(Sales_Table[[#This Row],[Date_clean]],"mmmm")</f>
        <v>March</v>
      </c>
      <c r="W1887">
        <f>WEEKNUM(Sales_Table[[#This Row],[Date_clean]],2)</f>
        <v>12</v>
      </c>
      <c r="X1887" t="str" cm="1">
        <f t="array" ref="X1887">_xlfn.IFS(Sales_Table[[#This Row],[Revenue]]&gt;=50000,"High",Sales_Table[[#This Row],[Revenue]]&gt;=20000,"Medium",Sales_Table[[#This Row],[Revenue]]&lt;20000,"Low")</f>
        <v>Medium</v>
      </c>
      <c r="Y1887" t="str">
        <f>IF(Sales_Table[[#This Row],[Payment Method_clean]]="cash","Offline","Online")</f>
        <v>Offline</v>
      </c>
      <c r="Z1887">
        <f>IFERROR(Sales_Table[[#This Row],[Revenue]],0)</f>
        <v>34762</v>
      </c>
    </row>
    <row r="1888" spans="1:26" x14ac:dyDescent="0.3">
      <c r="A1888">
        <v>1887</v>
      </c>
      <c r="B1888" s="2">
        <f t="shared" si="203"/>
        <v>45370.583333333336</v>
      </c>
      <c r="C1888" t="s">
        <v>4238</v>
      </c>
      <c r="D1888" t="s">
        <v>84</v>
      </c>
      <c r="E1888" t="str">
        <f>PROPER(TRIM(CLEAN(Sales_Table[[#This Row],[Region]])))</f>
        <v>South</v>
      </c>
      <c r="F1888" t="s">
        <v>46</v>
      </c>
      <c r="G1888" t="str">
        <f t="shared" si="204"/>
        <v>Electronics</v>
      </c>
      <c r="H1888" t="str">
        <f>PROPER(TRIM(CLEAN(Sales_Table[[#This Row],[Product Name]])))</f>
        <v>Laptop</v>
      </c>
      <c r="I1888" t="s">
        <v>52</v>
      </c>
      <c r="J1888" t="str">
        <f t="shared" si="205"/>
        <v>CUST0329</v>
      </c>
      <c r="K1888" t="s">
        <v>4239</v>
      </c>
      <c r="L1888" t="str">
        <f>PROPER(TRIM(CLEAN(Sales_Table[[#This Row],[Salesperson]])))</f>
        <v>Rahul</v>
      </c>
      <c r="M1888" t="s">
        <v>31</v>
      </c>
      <c r="N1888" t="str">
        <f t="shared" si="206"/>
        <v>Debit Card</v>
      </c>
      <c r="O1888" t="s">
        <v>41</v>
      </c>
      <c r="P1888">
        <f t="shared" si="207"/>
        <v>2</v>
      </c>
      <c r="Q1888" t="s">
        <v>196</v>
      </c>
      <c r="R1888">
        <f t="shared" si="208"/>
        <v>1016</v>
      </c>
      <c r="S1888" t="s">
        <v>4240</v>
      </c>
      <c r="T1888">
        <f t="shared" si="209"/>
        <v>2032</v>
      </c>
      <c r="U1888">
        <f>YEAR(Sales_Table[[#This Row],[Date_clean]])</f>
        <v>2024</v>
      </c>
      <c r="V1888" t="str">
        <f>TEXT(Sales_Table[[#This Row],[Date_clean]],"mmmm")</f>
        <v>March</v>
      </c>
      <c r="W1888">
        <f>WEEKNUM(Sales_Table[[#This Row],[Date_clean]],2)</f>
        <v>12</v>
      </c>
      <c r="X1888" t="str" cm="1">
        <f t="array" ref="X1888">_xlfn.IFS(Sales_Table[[#This Row],[Revenue]]&gt;=50000,"High",Sales_Table[[#This Row],[Revenue]]&gt;=20000,"Medium",Sales_Table[[#This Row],[Revenue]]&lt;20000,"Low")</f>
        <v>Low</v>
      </c>
      <c r="Y1888" t="str">
        <f>IF(Sales_Table[[#This Row],[Payment Method_clean]]="cash","Offline","Online")</f>
        <v>Online</v>
      </c>
      <c r="Z1888">
        <f>IFERROR(Sales_Table[[#This Row],[Revenue]],0)</f>
        <v>2032</v>
      </c>
    </row>
    <row r="1889" spans="1:26" x14ac:dyDescent="0.3">
      <c r="A1889">
        <v>1888</v>
      </c>
      <c r="B1889" s="2">
        <f t="shared" si="203"/>
        <v>45370.625</v>
      </c>
      <c r="C1889" t="s">
        <v>4241</v>
      </c>
      <c r="D1889" t="s">
        <v>36</v>
      </c>
      <c r="E1889" t="str">
        <f>PROPER(TRIM(CLEAN(Sales_Table[[#This Row],[Region]])))</f>
        <v>West</v>
      </c>
      <c r="F1889" t="s">
        <v>78</v>
      </c>
      <c r="G1889" t="str">
        <f t="shared" si="204"/>
        <v>Grocery</v>
      </c>
      <c r="H1889" t="str">
        <f>PROPER(TRIM(CLEAN(Sales_Table[[#This Row],[Product Name]])))</f>
        <v>Mixer Grinder</v>
      </c>
      <c r="I1889" t="s">
        <v>29</v>
      </c>
      <c r="J1889" t="str">
        <f t="shared" si="205"/>
        <v>CUST0479</v>
      </c>
      <c r="K1889" t="s">
        <v>30</v>
      </c>
      <c r="L1889" t="str">
        <f>PROPER(TRIM(CLEAN(Sales_Table[[#This Row],[Salesperson]])))</f>
        <v>Anita</v>
      </c>
      <c r="M1889" t="s">
        <v>64</v>
      </c>
      <c r="N1889" t="str">
        <f t="shared" si="206"/>
        <v>Debit Card</v>
      </c>
      <c r="O1889" t="s">
        <v>41</v>
      </c>
      <c r="P1889">
        <f t="shared" si="207"/>
        <v>3</v>
      </c>
      <c r="Q1889" t="s">
        <v>66</v>
      </c>
      <c r="R1889">
        <f t="shared" si="208"/>
        <v>2170</v>
      </c>
      <c r="S1889" t="s">
        <v>3969</v>
      </c>
      <c r="T1889">
        <f t="shared" si="209"/>
        <v>6510</v>
      </c>
      <c r="U1889">
        <f>YEAR(Sales_Table[[#This Row],[Date_clean]])</f>
        <v>2024</v>
      </c>
      <c r="V1889" t="str">
        <f>TEXT(Sales_Table[[#This Row],[Date_clean]],"mmmm")</f>
        <v>March</v>
      </c>
      <c r="W1889">
        <f>WEEKNUM(Sales_Table[[#This Row],[Date_clean]],2)</f>
        <v>12</v>
      </c>
      <c r="X1889" t="str" cm="1">
        <f t="array" ref="X1889">_xlfn.IFS(Sales_Table[[#This Row],[Revenue]]&gt;=50000,"High",Sales_Table[[#This Row],[Revenue]]&gt;=20000,"Medium",Sales_Table[[#This Row],[Revenue]]&lt;20000,"Low")</f>
        <v>Low</v>
      </c>
      <c r="Y1889" t="str">
        <f>IF(Sales_Table[[#This Row],[Payment Method_clean]]="cash","Offline","Online")</f>
        <v>Online</v>
      </c>
      <c r="Z1889">
        <f>IFERROR(Sales_Table[[#This Row],[Revenue]],0)</f>
        <v>6510</v>
      </c>
    </row>
    <row r="1890" spans="1:26" x14ac:dyDescent="0.3">
      <c r="A1890">
        <v>1889</v>
      </c>
      <c r="B1890" s="2">
        <f t="shared" si="203"/>
        <v>45370.666666666664</v>
      </c>
      <c r="C1890" t="s">
        <v>4242</v>
      </c>
      <c r="D1890" t="s">
        <v>27</v>
      </c>
      <c r="E1890" t="str">
        <f>PROPER(TRIM(CLEAN(Sales_Table[[#This Row],[Region]])))</f>
        <v>East</v>
      </c>
      <c r="F1890" t="s">
        <v>28</v>
      </c>
      <c r="G1890" t="str">
        <f t="shared" si="204"/>
        <v>Clothing</v>
      </c>
      <c r="H1890" t="str">
        <f>PROPER(TRIM(CLEAN(Sales_Table[[#This Row],[Product Name]])))</f>
        <v>Men T-Shirt</v>
      </c>
      <c r="I1890" t="s">
        <v>38</v>
      </c>
      <c r="J1890" t="str">
        <f t="shared" si="205"/>
        <v>CUST0015</v>
      </c>
      <c r="K1890" t="s">
        <v>3809</v>
      </c>
      <c r="L1890" t="str">
        <f>PROPER(TRIM(CLEAN(Sales_Table[[#This Row],[Salesperson]])))</f>
        <v>Meena</v>
      </c>
      <c r="M1890" t="s">
        <v>40</v>
      </c>
      <c r="N1890" t="str">
        <f t="shared" si="206"/>
        <v>Upi</v>
      </c>
      <c r="O1890" t="s">
        <v>48</v>
      </c>
      <c r="P1890">
        <f t="shared" si="207"/>
        <v>13</v>
      </c>
      <c r="Q1890" t="s">
        <v>81</v>
      </c>
      <c r="R1890">
        <f t="shared" si="208"/>
        <v>4076</v>
      </c>
      <c r="S1890" t="s">
        <v>2813</v>
      </c>
      <c r="T1890">
        <f t="shared" si="209"/>
        <v>52988</v>
      </c>
      <c r="U1890">
        <f>YEAR(Sales_Table[[#This Row],[Date_clean]])</f>
        <v>2024</v>
      </c>
      <c r="V1890" t="str">
        <f>TEXT(Sales_Table[[#This Row],[Date_clean]],"mmmm")</f>
        <v>March</v>
      </c>
      <c r="W1890">
        <f>WEEKNUM(Sales_Table[[#This Row],[Date_clean]],2)</f>
        <v>12</v>
      </c>
      <c r="X1890" t="str" cm="1">
        <f t="array" ref="X1890">_xlfn.IFS(Sales_Table[[#This Row],[Revenue]]&gt;=50000,"High",Sales_Table[[#This Row],[Revenue]]&gt;=20000,"Medium",Sales_Table[[#This Row],[Revenue]]&lt;20000,"Low")</f>
        <v>High</v>
      </c>
      <c r="Y1890" t="str">
        <f>IF(Sales_Table[[#This Row],[Payment Method_clean]]="cash","Offline","Online")</f>
        <v>Online</v>
      </c>
      <c r="Z1890">
        <f>IFERROR(Sales_Table[[#This Row],[Revenue]],0)</f>
        <v>52988</v>
      </c>
    </row>
    <row r="1891" spans="1:26" x14ac:dyDescent="0.3">
      <c r="A1891">
        <v>1890</v>
      </c>
      <c r="B1891" s="2">
        <f t="shared" si="203"/>
        <v>45370.708333333336</v>
      </c>
      <c r="C1891" t="s">
        <v>4243</v>
      </c>
      <c r="D1891" t="s">
        <v>45</v>
      </c>
      <c r="E1891" t="str">
        <f>PROPER(TRIM(CLEAN(Sales_Table[[#This Row],[Region]])))</f>
        <v>North</v>
      </c>
      <c r="F1891" t="s">
        <v>37</v>
      </c>
      <c r="G1891" t="str">
        <f t="shared" si="204"/>
        <v>Home Appliances</v>
      </c>
      <c r="H1891" t="str">
        <f>PROPER(TRIM(CLEAN(Sales_Table[[#This Row],[Product Name]])))</f>
        <v>Washing Machine</v>
      </c>
      <c r="I1891" t="s">
        <v>79</v>
      </c>
      <c r="J1891" t="str">
        <f t="shared" si="205"/>
        <v>CUST0516</v>
      </c>
      <c r="K1891" t="s">
        <v>1016</v>
      </c>
      <c r="L1891" t="str">
        <f>PROPER(TRIM(CLEAN(Sales_Table[[#This Row],[Salesperson]])))</f>
        <v>Rahul</v>
      </c>
      <c r="M1891" t="s">
        <v>31</v>
      </c>
      <c r="N1891" t="str">
        <f t="shared" si="206"/>
        <v>Debit Card</v>
      </c>
      <c r="O1891" t="s">
        <v>41</v>
      </c>
      <c r="P1891">
        <f t="shared" si="207"/>
        <v>12</v>
      </c>
      <c r="Q1891" t="s">
        <v>33</v>
      </c>
      <c r="R1891">
        <f t="shared" si="208"/>
        <v>1881</v>
      </c>
      <c r="S1891" t="s">
        <v>4244</v>
      </c>
      <c r="T1891">
        <f t="shared" si="209"/>
        <v>22572</v>
      </c>
      <c r="U1891">
        <f>YEAR(Sales_Table[[#This Row],[Date_clean]])</f>
        <v>2024</v>
      </c>
      <c r="V1891" t="str">
        <f>TEXT(Sales_Table[[#This Row],[Date_clean]],"mmmm")</f>
        <v>March</v>
      </c>
      <c r="W1891">
        <f>WEEKNUM(Sales_Table[[#This Row],[Date_clean]],2)</f>
        <v>12</v>
      </c>
      <c r="X1891" t="str" cm="1">
        <f t="array" ref="X1891">_xlfn.IFS(Sales_Table[[#This Row],[Revenue]]&gt;=50000,"High",Sales_Table[[#This Row],[Revenue]]&gt;=20000,"Medium",Sales_Table[[#This Row],[Revenue]]&lt;20000,"Low")</f>
        <v>Medium</v>
      </c>
      <c r="Y1891" t="str">
        <f>IF(Sales_Table[[#This Row],[Payment Method_clean]]="cash","Offline","Online")</f>
        <v>Online</v>
      </c>
      <c r="Z1891">
        <f>IFERROR(Sales_Table[[#This Row],[Revenue]],0)</f>
        <v>22572</v>
      </c>
    </row>
    <row r="1892" spans="1:26" x14ac:dyDescent="0.3">
      <c r="A1892">
        <v>1891</v>
      </c>
      <c r="B1892" s="2">
        <f t="shared" si="203"/>
        <v>45370.75</v>
      </c>
      <c r="C1892" t="s">
        <v>4245</v>
      </c>
      <c r="D1892" t="s">
        <v>84</v>
      </c>
      <c r="E1892" t="str">
        <f>PROPER(TRIM(CLEAN(Sales_Table[[#This Row],[Region]])))</f>
        <v>South</v>
      </c>
      <c r="F1892" t="s">
        <v>37</v>
      </c>
      <c r="G1892" t="str">
        <f t="shared" si="204"/>
        <v>Home Appliances</v>
      </c>
      <c r="H1892" t="str">
        <f>PROPER(TRIM(CLEAN(Sales_Table[[#This Row],[Product Name]])))</f>
        <v>Rice 5Kg</v>
      </c>
      <c r="I1892" t="s">
        <v>73</v>
      </c>
      <c r="J1892" t="str">
        <f t="shared" si="205"/>
        <v>CUST0191</v>
      </c>
      <c r="K1892" t="s">
        <v>625</v>
      </c>
      <c r="L1892" t="str">
        <f>PROPER(TRIM(CLEAN(Sales_Table[[#This Row],[Salesperson]])))</f>
        <v>Karthik</v>
      </c>
      <c r="M1892" t="s">
        <v>70</v>
      </c>
      <c r="N1892" t="str">
        <f t="shared" si="206"/>
        <v>Cash</v>
      </c>
      <c r="O1892" t="s">
        <v>32</v>
      </c>
      <c r="P1892">
        <f t="shared" si="207"/>
        <v>2</v>
      </c>
      <c r="Q1892" t="s">
        <v>196</v>
      </c>
      <c r="R1892">
        <f t="shared" si="208"/>
        <v>438</v>
      </c>
      <c r="S1892" t="s">
        <v>4246</v>
      </c>
      <c r="T1892">
        <f t="shared" si="209"/>
        <v>876</v>
      </c>
      <c r="U1892">
        <f>YEAR(Sales_Table[[#This Row],[Date_clean]])</f>
        <v>2024</v>
      </c>
      <c r="V1892" t="str">
        <f>TEXT(Sales_Table[[#This Row],[Date_clean]],"mmmm")</f>
        <v>March</v>
      </c>
      <c r="W1892">
        <f>WEEKNUM(Sales_Table[[#This Row],[Date_clean]],2)</f>
        <v>12</v>
      </c>
      <c r="X1892" t="str" cm="1">
        <f t="array" ref="X1892">_xlfn.IFS(Sales_Table[[#This Row],[Revenue]]&gt;=50000,"High",Sales_Table[[#This Row],[Revenue]]&gt;=20000,"Medium",Sales_Table[[#This Row],[Revenue]]&lt;20000,"Low")</f>
        <v>Low</v>
      </c>
      <c r="Y1892" t="str">
        <f>IF(Sales_Table[[#This Row],[Payment Method_clean]]="cash","Offline","Online")</f>
        <v>Offline</v>
      </c>
      <c r="Z1892">
        <f>IFERROR(Sales_Table[[#This Row],[Revenue]],0)</f>
        <v>876</v>
      </c>
    </row>
    <row r="1893" spans="1:26" x14ac:dyDescent="0.3">
      <c r="A1893">
        <v>1892</v>
      </c>
      <c r="B1893" s="2">
        <f t="shared" si="203"/>
        <v>45370.791666666664</v>
      </c>
      <c r="C1893" t="s">
        <v>4247</v>
      </c>
      <c r="D1893" t="s">
        <v>84</v>
      </c>
      <c r="E1893" t="str">
        <f>PROPER(TRIM(CLEAN(Sales_Table[[#This Row],[Region]])))</f>
        <v>South</v>
      </c>
      <c r="F1893" t="s">
        <v>28</v>
      </c>
      <c r="G1893" t="str">
        <f t="shared" si="204"/>
        <v>Clothing</v>
      </c>
      <c r="H1893" t="str">
        <f>PROPER(TRIM(CLEAN(Sales_Table[[#This Row],[Product Name]])))</f>
        <v>Rice 5Kg</v>
      </c>
      <c r="I1893" t="s">
        <v>73</v>
      </c>
      <c r="J1893" t="str">
        <f t="shared" si="205"/>
        <v>CUST0168</v>
      </c>
      <c r="K1893" t="s">
        <v>3998</v>
      </c>
      <c r="L1893" t="str">
        <f>PROPER(TRIM(CLEAN(Sales_Table[[#This Row],[Salesperson]])))</f>
        <v>Suresh</v>
      </c>
      <c r="M1893" t="s">
        <v>54</v>
      </c>
      <c r="N1893" t="str">
        <f t="shared" si="206"/>
        <v>Cash</v>
      </c>
      <c r="O1893" t="s">
        <v>32</v>
      </c>
      <c r="P1893">
        <f t="shared" si="207"/>
        <v>5</v>
      </c>
      <c r="Q1893" t="s">
        <v>89</v>
      </c>
      <c r="R1893">
        <f t="shared" si="208"/>
        <v>1616</v>
      </c>
      <c r="S1893" t="s">
        <v>2970</v>
      </c>
      <c r="T1893">
        <f t="shared" si="209"/>
        <v>8080</v>
      </c>
      <c r="U1893">
        <f>YEAR(Sales_Table[[#This Row],[Date_clean]])</f>
        <v>2024</v>
      </c>
      <c r="V1893" t="str">
        <f>TEXT(Sales_Table[[#This Row],[Date_clean]],"mmmm")</f>
        <v>March</v>
      </c>
      <c r="W1893">
        <f>WEEKNUM(Sales_Table[[#This Row],[Date_clean]],2)</f>
        <v>12</v>
      </c>
      <c r="X1893" t="str" cm="1">
        <f t="array" ref="X1893">_xlfn.IFS(Sales_Table[[#This Row],[Revenue]]&gt;=50000,"High",Sales_Table[[#This Row],[Revenue]]&gt;=20000,"Medium",Sales_Table[[#This Row],[Revenue]]&lt;20000,"Low")</f>
        <v>Low</v>
      </c>
      <c r="Y1893" t="str">
        <f>IF(Sales_Table[[#This Row],[Payment Method_clean]]="cash","Offline","Online")</f>
        <v>Offline</v>
      </c>
      <c r="Z1893">
        <f>IFERROR(Sales_Table[[#This Row],[Revenue]],0)</f>
        <v>8080</v>
      </c>
    </row>
    <row r="1894" spans="1:26" x14ac:dyDescent="0.3">
      <c r="A1894">
        <v>1893</v>
      </c>
      <c r="B1894" s="2">
        <f t="shared" si="203"/>
        <v>45370.833333333336</v>
      </c>
      <c r="C1894" t="s">
        <v>4248</v>
      </c>
      <c r="D1894" t="s">
        <v>45</v>
      </c>
      <c r="E1894" t="str">
        <f>PROPER(TRIM(CLEAN(Sales_Table[[#This Row],[Region]])))</f>
        <v>North</v>
      </c>
      <c r="F1894" t="s">
        <v>37</v>
      </c>
      <c r="G1894" t="str">
        <f t="shared" si="204"/>
        <v>Home Appliances</v>
      </c>
      <c r="H1894" t="str">
        <f>PROPER(TRIM(CLEAN(Sales_Table[[#This Row],[Product Name]])))</f>
        <v>Laptop</v>
      </c>
      <c r="I1894" t="s">
        <v>52</v>
      </c>
      <c r="J1894" t="str">
        <f t="shared" si="205"/>
        <v>CUST0521</v>
      </c>
      <c r="K1894" t="s">
        <v>4249</v>
      </c>
      <c r="L1894" t="str">
        <f>PROPER(TRIM(CLEAN(Sales_Table[[#This Row],[Salesperson]])))</f>
        <v>Anita</v>
      </c>
      <c r="M1894" t="s">
        <v>64</v>
      </c>
      <c r="N1894" t="str">
        <f t="shared" si="206"/>
        <v>Debit Card</v>
      </c>
      <c r="O1894" t="s">
        <v>41</v>
      </c>
      <c r="P1894">
        <f t="shared" si="207"/>
        <v>7</v>
      </c>
      <c r="Q1894" t="s">
        <v>49</v>
      </c>
      <c r="R1894">
        <f t="shared" si="208"/>
        <v>2970</v>
      </c>
      <c r="S1894" t="s">
        <v>4250</v>
      </c>
      <c r="T1894">
        <f t="shared" si="209"/>
        <v>20790</v>
      </c>
      <c r="U1894">
        <f>YEAR(Sales_Table[[#This Row],[Date_clean]])</f>
        <v>2024</v>
      </c>
      <c r="V1894" t="str">
        <f>TEXT(Sales_Table[[#This Row],[Date_clean]],"mmmm")</f>
        <v>March</v>
      </c>
      <c r="W1894">
        <f>WEEKNUM(Sales_Table[[#This Row],[Date_clean]],2)</f>
        <v>12</v>
      </c>
      <c r="X1894" t="str" cm="1">
        <f t="array" ref="X1894">_xlfn.IFS(Sales_Table[[#This Row],[Revenue]]&gt;=50000,"High",Sales_Table[[#This Row],[Revenue]]&gt;=20000,"Medium",Sales_Table[[#This Row],[Revenue]]&lt;20000,"Low")</f>
        <v>Medium</v>
      </c>
      <c r="Y1894" t="str">
        <f>IF(Sales_Table[[#This Row],[Payment Method_clean]]="cash","Offline","Online")</f>
        <v>Online</v>
      </c>
      <c r="Z1894">
        <f>IFERROR(Sales_Table[[#This Row],[Revenue]],0)</f>
        <v>20790</v>
      </c>
    </row>
    <row r="1895" spans="1:26" x14ac:dyDescent="0.3">
      <c r="A1895">
        <v>1894</v>
      </c>
      <c r="B1895" s="2">
        <f t="shared" si="203"/>
        <v>45370.875</v>
      </c>
      <c r="C1895" t="s">
        <v>4251</v>
      </c>
      <c r="D1895" t="s">
        <v>27</v>
      </c>
      <c r="E1895" t="str">
        <f>PROPER(TRIM(CLEAN(Sales_Table[[#This Row],[Region]])))</f>
        <v>East</v>
      </c>
      <c r="F1895" t="s">
        <v>78</v>
      </c>
      <c r="G1895" t="str">
        <f t="shared" si="204"/>
        <v>Grocery</v>
      </c>
      <c r="H1895" t="str">
        <f>PROPER(TRIM(CLEAN(Sales_Table[[#This Row],[Product Name]])))</f>
        <v>Rice 5Kg</v>
      </c>
      <c r="I1895" t="s">
        <v>73</v>
      </c>
      <c r="J1895" t="str">
        <f t="shared" si="205"/>
        <v>CUST0621</v>
      </c>
      <c r="K1895" t="s">
        <v>3204</v>
      </c>
      <c r="L1895" t="str">
        <f>PROPER(TRIM(CLEAN(Sales_Table[[#This Row],[Salesperson]])))</f>
        <v>Suresh</v>
      </c>
      <c r="M1895" t="s">
        <v>54</v>
      </c>
      <c r="N1895" t="str">
        <f t="shared" si="206"/>
        <v>Debit Card</v>
      </c>
      <c r="O1895" t="s">
        <v>41</v>
      </c>
      <c r="P1895">
        <f t="shared" si="207"/>
        <v>11</v>
      </c>
      <c r="Q1895" t="s">
        <v>97</v>
      </c>
      <c r="R1895">
        <f t="shared" si="208"/>
        <v>3682</v>
      </c>
      <c r="S1895" t="s">
        <v>3737</v>
      </c>
      <c r="T1895">
        <f t="shared" si="209"/>
        <v>40502</v>
      </c>
      <c r="U1895">
        <f>YEAR(Sales_Table[[#This Row],[Date_clean]])</f>
        <v>2024</v>
      </c>
      <c r="V1895" t="str">
        <f>TEXT(Sales_Table[[#This Row],[Date_clean]],"mmmm")</f>
        <v>March</v>
      </c>
      <c r="W1895">
        <f>WEEKNUM(Sales_Table[[#This Row],[Date_clean]],2)</f>
        <v>12</v>
      </c>
      <c r="X1895" t="str" cm="1">
        <f t="array" ref="X1895">_xlfn.IFS(Sales_Table[[#This Row],[Revenue]]&gt;=50000,"High",Sales_Table[[#This Row],[Revenue]]&gt;=20000,"Medium",Sales_Table[[#This Row],[Revenue]]&lt;20000,"Low")</f>
        <v>Medium</v>
      </c>
      <c r="Y1895" t="str">
        <f>IF(Sales_Table[[#This Row],[Payment Method_clean]]="cash","Offline","Online")</f>
        <v>Online</v>
      </c>
      <c r="Z1895">
        <f>IFERROR(Sales_Table[[#This Row],[Revenue]],0)</f>
        <v>40502</v>
      </c>
    </row>
    <row r="1896" spans="1:26" x14ac:dyDescent="0.3">
      <c r="A1896">
        <v>1895</v>
      </c>
      <c r="B1896" s="2">
        <f t="shared" si="203"/>
        <v>45370.916666666664</v>
      </c>
      <c r="C1896" t="s">
        <v>4252</v>
      </c>
      <c r="D1896" t="s">
        <v>45</v>
      </c>
      <c r="E1896" t="str">
        <f>PROPER(TRIM(CLEAN(Sales_Table[[#This Row],[Region]])))</f>
        <v>North</v>
      </c>
      <c r="F1896" t="s">
        <v>37</v>
      </c>
      <c r="G1896" t="str">
        <f t="shared" si="204"/>
        <v>Home Appliances</v>
      </c>
      <c r="H1896" t="str">
        <f>PROPER(TRIM(CLEAN(Sales_Table[[#This Row],[Product Name]])))</f>
        <v>Men T-Shirt</v>
      </c>
      <c r="I1896" t="s">
        <v>38</v>
      </c>
      <c r="J1896" t="str">
        <f t="shared" si="205"/>
        <v>CUST0137</v>
      </c>
      <c r="K1896" t="s">
        <v>1725</v>
      </c>
      <c r="L1896" t="str">
        <f>PROPER(TRIM(CLEAN(Sales_Table[[#This Row],[Salesperson]])))</f>
        <v>Meena</v>
      </c>
      <c r="M1896" t="s">
        <v>40</v>
      </c>
      <c r="N1896" t="str">
        <f t="shared" si="206"/>
        <v>Net Banking</v>
      </c>
      <c r="O1896" t="s">
        <v>60</v>
      </c>
      <c r="P1896">
        <f t="shared" si="207"/>
        <v>10</v>
      </c>
      <c r="Q1896" t="s">
        <v>117</v>
      </c>
      <c r="R1896">
        <f t="shared" si="208"/>
        <v>1014</v>
      </c>
      <c r="S1896" t="s">
        <v>4253</v>
      </c>
      <c r="T1896">
        <f t="shared" si="209"/>
        <v>10140</v>
      </c>
      <c r="U1896">
        <f>YEAR(Sales_Table[[#This Row],[Date_clean]])</f>
        <v>2024</v>
      </c>
      <c r="V1896" t="str">
        <f>TEXT(Sales_Table[[#This Row],[Date_clean]],"mmmm")</f>
        <v>March</v>
      </c>
      <c r="W1896">
        <f>WEEKNUM(Sales_Table[[#This Row],[Date_clean]],2)</f>
        <v>12</v>
      </c>
      <c r="X1896" t="str" cm="1">
        <f t="array" ref="X1896">_xlfn.IFS(Sales_Table[[#This Row],[Revenue]]&gt;=50000,"High",Sales_Table[[#This Row],[Revenue]]&gt;=20000,"Medium",Sales_Table[[#This Row],[Revenue]]&lt;20000,"Low")</f>
        <v>Low</v>
      </c>
      <c r="Y1896" t="str">
        <f>IF(Sales_Table[[#This Row],[Payment Method_clean]]="cash","Offline","Online")</f>
        <v>Online</v>
      </c>
      <c r="Z1896">
        <f>IFERROR(Sales_Table[[#This Row],[Revenue]],0)</f>
        <v>10140</v>
      </c>
    </row>
    <row r="1897" spans="1:26" x14ac:dyDescent="0.3">
      <c r="A1897">
        <v>1896</v>
      </c>
      <c r="B1897" s="2">
        <f t="shared" si="203"/>
        <v>45370.958333333336</v>
      </c>
      <c r="C1897" t="s">
        <v>4254</v>
      </c>
      <c r="D1897" t="s">
        <v>27</v>
      </c>
      <c r="E1897" t="str">
        <f>PROPER(TRIM(CLEAN(Sales_Table[[#This Row],[Region]])))</f>
        <v>East</v>
      </c>
      <c r="F1897" t="s">
        <v>46</v>
      </c>
      <c r="G1897" t="str">
        <f t="shared" si="204"/>
        <v>Electronics</v>
      </c>
      <c r="H1897" t="str">
        <f>PROPER(TRIM(CLEAN(Sales_Table[[#This Row],[Product Name]])))</f>
        <v>Men T-Shirt</v>
      </c>
      <c r="I1897" t="s">
        <v>38</v>
      </c>
      <c r="J1897" t="str">
        <f t="shared" si="205"/>
        <v>CUST0154</v>
      </c>
      <c r="K1897" t="s">
        <v>4255</v>
      </c>
      <c r="L1897" t="str">
        <f>PROPER(TRIM(CLEAN(Sales_Table[[#This Row],[Salesperson]])))</f>
        <v>Rahul</v>
      </c>
      <c r="M1897" t="s">
        <v>31</v>
      </c>
      <c r="N1897" t="str">
        <f t="shared" si="206"/>
        <v>Credit Card</v>
      </c>
      <c r="O1897" t="s">
        <v>65</v>
      </c>
      <c r="P1897">
        <f t="shared" si="207"/>
        <v>11</v>
      </c>
      <c r="Q1897" t="s">
        <v>97</v>
      </c>
      <c r="R1897">
        <f t="shared" si="208"/>
        <v>3390</v>
      </c>
      <c r="S1897" t="s">
        <v>4256</v>
      </c>
      <c r="T1897">
        <f t="shared" si="209"/>
        <v>37290</v>
      </c>
      <c r="U1897">
        <f>YEAR(Sales_Table[[#This Row],[Date_clean]])</f>
        <v>2024</v>
      </c>
      <c r="V1897" t="str">
        <f>TEXT(Sales_Table[[#This Row],[Date_clean]],"mmmm")</f>
        <v>March</v>
      </c>
      <c r="W1897">
        <f>WEEKNUM(Sales_Table[[#This Row],[Date_clean]],2)</f>
        <v>12</v>
      </c>
      <c r="X1897" t="str" cm="1">
        <f t="array" ref="X1897">_xlfn.IFS(Sales_Table[[#This Row],[Revenue]]&gt;=50000,"High",Sales_Table[[#This Row],[Revenue]]&gt;=20000,"Medium",Sales_Table[[#This Row],[Revenue]]&lt;20000,"Low")</f>
        <v>Medium</v>
      </c>
      <c r="Y1897" t="str">
        <f>IF(Sales_Table[[#This Row],[Payment Method_clean]]="cash","Offline","Online")</f>
        <v>Online</v>
      </c>
      <c r="Z1897">
        <f>IFERROR(Sales_Table[[#This Row],[Revenue]],0)</f>
        <v>37290</v>
      </c>
    </row>
    <row r="1898" spans="1:26" x14ac:dyDescent="0.3">
      <c r="A1898">
        <v>1897</v>
      </c>
      <c r="B1898" s="2">
        <f t="shared" si="203"/>
        <v>45371</v>
      </c>
      <c r="C1898" t="s">
        <v>4257</v>
      </c>
      <c r="D1898" t="s">
        <v>84</v>
      </c>
      <c r="E1898" t="str">
        <f>PROPER(TRIM(CLEAN(Sales_Table[[#This Row],[Region]])))</f>
        <v>South</v>
      </c>
      <c r="F1898" t="s">
        <v>28</v>
      </c>
      <c r="G1898" t="str">
        <f t="shared" si="204"/>
        <v>Clothing</v>
      </c>
      <c r="H1898" t="str">
        <f>PROPER(TRIM(CLEAN(Sales_Table[[#This Row],[Product Name]])))</f>
        <v>Led Tv 42Inch</v>
      </c>
      <c r="I1898" t="s">
        <v>58</v>
      </c>
      <c r="J1898" t="str">
        <f t="shared" si="205"/>
        <v>CUST0388</v>
      </c>
      <c r="K1898" t="s">
        <v>355</v>
      </c>
      <c r="L1898" t="str">
        <f>PROPER(TRIM(CLEAN(Sales_Table[[#This Row],[Salesperson]])))</f>
        <v>Rahul</v>
      </c>
      <c r="M1898" t="s">
        <v>31</v>
      </c>
      <c r="N1898" t="str">
        <f t="shared" si="206"/>
        <v>Upi</v>
      </c>
      <c r="O1898" t="s">
        <v>48</v>
      </c>
      <c r="P1898">
        <f t="shared" si="207"/>
        <v>11</v>
      </c>
      <c r="Q1898" t="s">
        <v>97</v>
      </c>
      <c r="R1898">
        <f t="shared" si="208"/>
        <v>4670</v>
      </c>
      <c r="S1898" t="s">
        <v>4258</v>
      </c>
      <c r="T1898">
        <f t="shared" si="209"/>
        <v>51370</v>
      </c>
      <c r="U1898">
        <f>YEAR(Sales_Table[[#This Row],[Date_clean]])</f>
        <v>2024</v>
      </c>
      <c r="V1898" t="str">
        <f>TEXT(Sales_Table[[#This Row],[Date_clean]],"mmmm")</f>
        <v>March</v>
      </c>
      <c r="W1898">
        <f>WEEKNUM(Sales_Table[[#This Row],[Date_clean]],2)</f>
        <v>12</v>
      </c>
      <c r="X1898" t="str" cm="1">
        <f t="array" ref="X1898">_xlfn.IFS(Sales_Table[[#This Row],[Revenue]]&gt;=50000,"High",Sales_Table[[#This Row],[Revenue]]&gt;=20000,"Medium",Sales_Table[[#This Row],[Revenue]]&lt;20000,"Low")</f>
        <v>High</v>
      </c>
      <c r="Y1898" t="str">
        <f>IF(Sales_Table[[#This Row],[Payment Method_clean]]="cash","Offline","Online")</f>
        <v>Online</v>
      </c>
      <c r="Z1898">
        <f>IFERROR(Sales_Table[[#This Row],[Revenue]],0)</f>
        <v>51370</v>
      </c>
    </row>
    <row r="1899" spans="1:26" x14ac:dyDescent="0.3">
      <c r="A1899">
        <v>1898</v>
      </c>
      <c r="B1899" s="2">
        <f t="shared" si="203"/>
        <v>45371.041666666664</v>
      </c>
      <c r="C1899" t="s">
        <v>4259</v>
      </c>
      <c r="D1899" t="s">
        <v>27</v>
      </c>
      <c r="E1899" t="str">
        <f>PROPER(TRIM(CLEAN(Sales_Table[[#This Row],[Region]])))</f>
        <v>East</v>
      </c>
      <c r="F1899" t="s">
        <v>78</v>
      </c>
      <c r="G1899" t="str">
        <f t="shared" si="204"/>
        <v>Grocery</v>
      </c>
      <c r="H1899" t="str">
        <f>PROPER(TRIM(CLEAN(Sales_Table[[#This Row],[Product Name]])))</f>
        <v>Led Tv 42Inch</v>
      </c>
      <c r="I1899" t="s">
        <v>58</v>
      </c>
      <c r="J1899" t="str">
        <f t="shared" si="205"/>
        <v>CUST0209</v>
      </c>
      <c r="K1899" t="s">
        <v>2032</v>
      </c>
      <c r="L1899" t="str">
        <f>PROPER(TRIM(CLEAN(Sales_Table[[#This Row],[Salesperson]])))</f>
        <v>Karthik</v>
      </c>
      <c r="M1899" t="s">
        <v>70</v>
      </c>
      <c r="N1899" t="str">
        <f t="shared" si="206"/>
        <v>Cash</v>
      </c>
      <c r="O1899" t="s">
        <v>32</v>
      </c>
      <c r="P1899">
        <f t="shared" si="207"/>
        <v>11</v>
      </c>
      <c r="Q1899" t="s">
        <v>97</v>
      </c>
      <c r="R1899">
        <f t="shared" si="208"/>
        <v>1546</v>
      </c>
      <c r="S1899" t="s">
        <v>3007</v>
      </c>
      <c r="T1899">
        <f t="shared" si="209"/>
        <v>17006</v>
      </c>
      <c r="U1899">
        <f>YEAR(Sales_Table[[#This Row],[Date_clean]])</f>
        <v>2024</v>
      </c>
      <c r="V1899" t="str">
        <f>TEXT(Sales_Table[[#This Row],[Date_clean]],"mmmm")</f>
        <v>March</v>
      </c>
      <c r="W1899">
        <f>WEEKNUM(Sales_Table[[#This Row],[Date_clean]],2)</f>
        <v>12</v>
      </c>
      <c r="X1899" t="str" cm="1">
        <f t="array" ref="X1899">_xlfn.IFS(Sales_Table[[#This Row],[Revenue]]&gt;=50000,"High",Sales_Table[[#This Row],[Revenue]]&gt;=20000,"Medium",Sales_Table[[#This Row],[Revenue]]&lt;20000,"Low")</f>
        <v>Low</v>
      </c>
      <c r="Y1899" t="str">
        <f>IF(Sales_Table[[#This Row],[Payment Method_clean]]="cash","Offline","Online")</f>
        <v>Offline</v>
      </c>
      <c r="Z1899">
        <f>IFERROR(Sales_Table[[#This Row],[Revenue]],0)</f>
        <v>17006</v>
      </c>
    </row>
    <row r="1900" spans="1:26" x14ac:dyDescent="0.3">
      <c r="A1900">
        <v>1899</v>
      </c>
      <c r="B1900" s="2">
        <f t="shared" si="203"/>
        <v>45371.083333333336</v>
      </c>
      <c r="C1900" t="s">
        <v>4260</v>
      </c>
      <c r="D1900" t="s">
        <v>36</v>
      </c>
      <c r="E1900" t="str">
        <f>PROPER(TRIM(CLEAN(Sales_Table[[#This Row],[Region]])))</f>
        <v>West</v>
      </c>
      <c r="F1900" t="s">
        <v>28</v>
      </c>
      <c r="G1900" t="str">
        <f t="shared" si="204"/>
        <v>Clothing</v>
      </c>
      <c r="H1900" t="str">
        <f>PROPER(TRIM(CLEAN(Sales_Table[[#This Row],[Product Name]])))</f>
        <v>Rice 5Kg</v>
      </c>
      <c r="I1900" t="s">
        <v>73</v>
      </c>
      <c r="J1900" t="str">
        <f t="shared" si="205"/>
        <v>CUST0272</v>
      </c>
      <c r="K1900" t="s">
        <v>1428</v>
      </c>
      <c r="L1900" t="str">
        <f>PROPER(TRIM(CLEAN(Sales_Table[[#This Row],[Salesperson]])))</f>
        <v>Rahul</v>
      </c>
      <c r="M1900" t="s">
        <v>31</v>
      </c>
      <c r="N1900" t="str">
        <f t="shared" si="206"/>
        <v>Upi</v>
      </c>
      <c r="O1900" t="s">
        <v>48</v>
      </c>
      <c r="P1900">
        <f t="shared" si="207"/>
        <v>10</v>
      </c>
      <c r="Q1900" t="s">
        <v>117</v>
      </c>
      <c r="R1900">
        <f t="shared" si="208"/>
        <v>1479</v>
      </c>
      <c r="S1900" t="s">
        <v>1959</v>
      </c>
      <c r="T1900">
        <f t="shared" si="209"/>
        <v>14790</v>
      </c>
      <c r="U1900">
        <f>YEAR(Sales_Table[[#This Row],[Date_clean]])</f>
        <v>2024</v>
      </c>
      <c r="V1900" t="str">
        <f>TEXT(Sales_Table[[#This Row],[Date_clean]],"mmmm")</f>
        <v>March</v>
      </c>
      <c r="W1900">
        <f>WEEKNUM(Sales_Table[[#This Row],[Date_clean]],2)</f>
        <v>12</v>
      </c>
      <c r="X1900" t="str" cm="1">
        <f t="array" ref="X1900">_xlfn.IFS(Sales_Table[[#This Row],[Revenue]]&gt;=50000,"High",Sales_Table[[#This Row],[Revenue]]&gt;=20000,"Medium",Sales_Table[[#This Row],[Revenue]]&lt;20000,"Low")</f>
        <v>Low</v>
      </c>
      <c r="Y1900" t="str">
        <f>IF(Sales_Table[[#This Row],[Payment Method_clean]]="cash","Offline","Online")</f>
        <v>Online</v>
      </c>
      <c r="Z1900">
        <f>IFERROR(Sales_Table[[#This Row],[Revenue]],0)</f>
        <v>14790</v>
      </c>
    </row>
    <row r="1901" spans="1:26" x14ac:dyDescent="0.3">
      <c r="A1901">
        <v>1900</v>
      </c>
      <c r="B1901" s="2">
        <f t="shared" si="203"/>
        <v>45371.125</v>
      </c>
      <c r="C1901" t="s">
        <v>4261</v>
      </c>
      <c r="D1901" t="s">
        <v>84</v>
      </c>
      <c r="E1901" t="str">
        <f>PROPER(TRIM(CLEAN(Sales_Table[[#This Row],[Region]])))</f>
        <v>South</v>
      </c>
      <c r="F1901" t="s">
        <v>78</v>
      </c>
      <c r="G1901" t="str">
        <f t="shared" si="204"/>
        <v>Grocery</v>
      </c>
      <c r="H1901" t="str">
        <f>PROPER(TRIM(CLEAN(Sales_Table[[#This Row],[Product Name]])))</f>
        <v>Washing Machine</v>
      </c>
      <c r="I1901" t="s">
        <v>79</v>
      </c>
      <c r="J1901" t="str">
        <f t="shared" si="205"/>
        <v>CUST0143</v>
      </c>
      <c r="K1901" t="s">
        <v>1476</v>
      </c>
      <c r="L1901" t="str">
        <f>PROPER(TRIM(CLEAN(Sales_Table[[#This Row],[Salesperson]])))</f>
        <v>Anita</v>
      </c>
      <c r="M1901" t="s">
        <v>64</v>
      </c>
      <c r="N1901" t="str">
        <f t="shared" si="206"/>
        <v>Net Banking</v>
      </c>
      <c r="O1901" t="s">
        <v>60</v>
      </c>
      <c r="P1901">
        <f t="shared" si="207"/>
        <v>13</v>
      </c>
      <c r="Q1901" t="s">
        <v>81</v>
      </c>
      <c r="R1901">
        <f t="shared" si="208"/>
        <v>1583</v>
      </c>
      <c r="S1901" t="s">
        <v>1528</v>
      </c>
      <c r="T1901">
        <f t="shared" si="209"/>
        <v>20579</v>
      </c>
      <c r="U1901">
        <f>YEAR(Sales_Table[[#This Row],[Date_clean]])</f>
        <v>2024</v>
      </c>
      <c r="V1901" t="str">
        <f>TEXT(Sales_Table[[#This Row],[Date_clean]],"mmmm")</f>
        <v>March</v>
      </c>
      <c r="W1901">
        <f>WEEKNUM(Sales_Table[[#This Row],[Date_clean]],2)</f>
        <v>12</v>
      </c>
      <c r="X1901" t="str" cm="1">
        <f t="array" ref="X1901">_xlfn.IFS(Sales_Table[[#This Row],[Revenue]]&gt;=50000,"High",Sales_Table[[#This Row],[Revenue]]&gt;=20000,"Medium",Sales_Table[[#This Row],[Revenue]]&lt;20000,"Low")</f>
        <v>Medium</v>
      </c>
      <c r="Y1901" t="str">
        <f>IF(Sales_Table[[#This Row],[Payment Method_clean]]="cash","Offline","Online")</f>
        <v>Online</v>
      </c>
      <c r="Z1901">
        <f>IFERROR(Sales_Table[[#This Row],[Revenue]],0)</f>
        <v>20579</v>
      </c>
    </row>
    <row r="1902" spans="1:26" x14ac:dyDescent="0.3">
      <c r="A1902">
        <v>1901</v>
      </c>
      <c r="B1902" s="2">
        <f t="shared" si="203"/>
        <v>45371.166666666664</v>
      </c>
      <c r="C1902" t="s">
        <v>4262</v>
      </c>
      <c r="D1902" t="s">
        <v>36</v>
      </c>
      <c r="E1902" t="str">
        <f>PROPER(TRIM(CLEAN(Sales_Table[[#This Row],[Region]])))</f>
        <v>West</v>
      </c>
      <c r="F1902" t="s">
        <v>46</v>
      </c>
      <c r="G1902" t="str">
        <f t="shared" si="204"/>
        <v>Electronics</v>
      </c>
      <c r="H1902" t="str">
        <f>PROPER(TRIM(CLEAN(Sales_Table[[#This Row],[Product Name]])))</f>
        <v>Led Tv 42Inch</v>
      </c>
      <c r="I1902" t="s">
        <v>58</v>
      </c>
      <c r="J1902" t="str">
        <f t="shared" si="205"/>
        <v>CUST0611</v>
      </c>
      <c r="K1902" t="s">
        <v>1299</v>
      </c>
      <c r="L1902" t="str">
        <f>PROPER(TRIM(CLEAN(Sales_Table[[#This Row],[Salesperson]])))</f>
        <v>Meena</v>
      </c>
      <c r="M1902" t="s">
        <v>40</v>
      </c>
      <c r="N1902" t="str">
        <f t="shared" si="206"/>
        <v>Cash</v>
      </c>
      <c r="O1902" t="s">
        <v>32</v>
      </c>
      <c r="P1902">
        <f t="shared" si="207"/>
        <v>14</v>
      </c>
      <c r="Q1902" t="s">
        <v>55</v>
      </c>
      <c r="R1902">
        <f t="shared" si="208"/>
        <v>2174</v>
      </c>
      <c r="S1902" t="s">
        <v>4263</v>
      </c>
      <c r="T1902">
        <f t="shared" si="209"/>
        <v>30436</v>
      </c>
      <c r="U1902">
        <f>YEAR(Sales_Table[[#This Row],[Date_clean]])</f>
        <v>2024</v>
      </c>
      <c r="V1902" t="str">
        <f>TEXT(Sales_Table[[#This Row],[Date_clean]],"mmmm")</f>
        <v>March</v>
      </c>
      <c r="W1902">
        <f>WEEKNUM(Sales_Table[[#This Row],[Date_clean]],2)</f>
        <v>12</v>
      </c>
      <c r="X1902" t="str" cm="1">
        <f t="array" ref="X1902">_xlfn.IFS(Sales_Table[[#This Row],[Revenue]]&gt;=50000,"High",Sales_Table[[#This Row],[Revenue]]&gt;=20000,"Medium",Sales_Table[[#This Row],[Revenue]]&lt;20000,"Low")</f>
        <v>Medium</v>
      </c>
      <c r="Y1902" t="str">
        <f>IF(Sales_Table[[#This Row],[Payment Method_clean]]="cash","Offline","Online")</f>
        <v>Offline</v>
      </c>
      <c r="Z1902">
        <f>IFERROR(Sales_Table[[#This Row],[Revenue]],0)</f>
        <v>30436</v>
      </c>
    </row>
    <row r="1903" spans="1:26" x14ac:dyDescent="0.3">
      <c r="A1903">
        <v>1902</v>
      </c>
      <c r="B1903" s="2">
        <f t="shared" si="203"/>
        <v>45371.208333333336</v>
      </c>
      <c r="C1903" t="s">
        <v>4264</v>
      </c>
      <c r="D1903" t="s">
        <v>45</v>
      </c>
      <c r="E1903" t="str">
        <f>PROPER(TRIM(CLEAN(Sales_Table[[#This Row],[Region]])))</f>
        <v>North</v>
      </c>
      <c r="F1903" t="s">
        <v>28</v>
      </c>
      <c r="G1903" t="str">
        <f t="shared" si="204"/>
        <v>Clothing</v>
      </c>
      <c r="H1903" t="str">
        <f>PROPER(TRIM(CLEAN(Sales_Table[[#This Row],[Product Name]])))</f>
        <v>Led Tv 42Inch</v>
      </c>
      <c r="I1903" t="s">
        <v>58</v>
      </c>
      <c r="J1903" t="str">
        <f t="shared" si="205"/>
        <v>CUST0069</v>
      </c>
      <c r="K1903" t="s">
        <v>2419</v>
      </c>
      <c r="L1903" t="str">
        <f>PROPER(TRIM(CLEAN(Sales_Table[[#This Row],[Salesperson]])))</f>
        <v>Suresh</v>
      </c>
      <c r="M1903" t="s">
        <v>54</v>
      </c>
      <c r="N1903" t="str">
        <f t="shared" si="206"/>
        <v>Net Banking</v>
      </c>
      <c r="O1903" t="s">
        <v>60</v>
      </c>
      <c r="P1903">
        <f t="shared" si="207"/>
        <v>1</v>
      </c>
      <c r="Q1903" t="s">
        <v>93</v>
      </c>
      <c r="R1903">
        <f t="shared" si="208"/>
        <v>900</v>
      </c>
      <c r="S1903" t="s">
        <v>1953</v>
      </c>
      <c r="T1903">
        <f t="shared" si="209"/>
        <v>900</v>
      </c>
      <c r="U1903">
        <f>YEAR(Sales_Table[[#This Row],[Date_clean]])</f>
        <v>2024</v>
      </c>
      <c r="V1903" t="str">
        <f>TEXT(Sales_Table[[#This Row],[Date_clean]],"mmmm")</f>
        <v>March</v>
      </c>
      <c r="W1903">
        <f>WEEKNUM(Sales_Table[[#This Row],[Date_clean]],2)</f>
        <v>12</v>
      </c>
      <c r="X1903" t="str" cm="1">
        <f t="array" ref="X1903">_xlfn.IFS(Sales_Table[[#This Row],[Revenue]]&gt;=50000,"High",Sales_Table[[#This Row],[Revenue]]&gt;=20000,"Medium",Sales_Table[[#This Row],[Revenue]]&lt;20000,"Low")</f>
        <v>Low</v>
      </c>
      <c r="Y1903" t="str">
        <f>IF(Sales_Table[[#This Row],[Payment Method_clean]]="cash","Offline","Online")</f>
        <v>Online</v>
      </c>
      <c r="Z1903">
        <f>IFERROR(Sales_Table[[#This Row],[Revenue]],0)</f>
        <v>900</v>
      </c>
    </row>
    <row r="1904" spans="1:26" x14ac:dyDescent="0.3">
      <c r="A1904">
        <v>1903</v>
      </c>
      <c r="B1904" s="2">
        <f t="shared" si="203"/>
        <v>45371.25</v>
      </c>
      <c r="C1904" t="s">
        <v>4265</v>
      </c>
      <c r="D1904" t="s">
        <v>45</v>
      </c>
      <c r="E1904" t="str">
        <f>PROPER(TRIM(CLEAN(Sales_Table[[#This Row],[Region]])))</f>
        <v>North</v>
      </c>
      <c r="F1904" t="s">
        <v>37</v>
      </c>
      <c r="G1904" t="str">
        <f t="shared" si="204"/>
        <v>Home Appliances</v>
      </c>
      <c r="H1904" t="str">
        <f>PROPER(TRIM(CLEAN(Sales_Table[[#This Row],[Product Name]])))</f>
        <v>Men T-Shirt</v>
      </c>
      <c r="I1904" t="s">
        <v>38</v>
      </c>
      <c r="J1904" t="str">
        <f t="shared" si="205"/>
        <v>CUST0247</v>
      </c>
      <c r="K1904" t="s">
        <v>1089</v>
      </c>
      <c r="L1904" t="str">
        <f>PROPER(TRIM(CLEAN(Sales_Table[[#This Row],[Salesperson]])))</f>
        <v>Meena</v>
      </c>
      <c r="M1904" t="s">
        <v>40</v>
      </c>
      <c r="N1904" t="str">
        <f t="shared" si="206"/>
        <v>Net Banking</v>
      </c>
      <c r="O1904" t="s">
        <v>60</v>
      </c>
      <c r="P1904">
        <f t="shared" si="207"/>
        <v>13</v>
      </c>
      <c r="Q1904" t="s">
        <v>81</v>
      </c>
      <c r="R1904">
        <f t="shared" si="208"/>
        <v>1346</v>
      </c>
      <c r="S1904" t="s">
        <v>4266</v>
      </c>
      <c r="T1904">
        <f t="shared" si="209"/>
        <v>17498</v>
      </c>
      <c r="U1904">
        <f>YEAR(Sales_Table[[#This Row],[Date_clean]])</f>
        <v>2024</v>
      </c>
      <c r="V1904" t="str">
        <f>TEXT(Sales_Table[[#This Row],[Date_clean]],"mmmm")</f>
        <v>March</v>
      </c>
      <c r="W1904">
        <f>WEEKNUM(Sales_Table[[#This Row],[Date_clean]],2)</f>
        <v>12</v>
      </c>
      <c r="X1904" t="str" cm="1">
        <f t="array" ref="X1904">_xlfn.IFS(Sales_Table[[#This Row],[Revenue]]&gt;=50000,"High",Sales_Table[[#This Row],[Revenue]]&gt;=20000,"Medium",Sales_Table[[#This Row],[Revenue]]&lt;20000,"Low")</f>
        <v>Low</v>
      </c>
      <c r="Y1904" t="str">
        <f>IF(Sales_Table[[#This Row],[Payment Method_clean]]="cash","Offline","Online")</f>
        <v>Online</v>
      </c>
      <c r="Z1904">
        <f>IFERROR(Sales_Table[[#This Row],[Revenue]],0)</f>
        <v>17498</v>
      </c>
    </row>
    <row r="1905" spans="1:26" x14ac:dyDescent="0.3">
      <c r="A1905">
        <v>1904</v>
      </c>
      <c r="B1905" s="2">
        <f t="shared" si="203"/>
        <v>45371.291666666664</v>
      </c>
      <c r="C1905" t="s">
        <v>4267</v>
      </c>
      <c r="D1905" t="s">
        <v>45</v>
      </c>
      <c r="E1905" t="str">
        <f>PROPER(TRIM(CLEAN(Sales_Table[[#This Row],[Region]])))</f>
        <v>North</v>
      </c>
      <c r="F1905" t="s">
        <v>78</v>
      </c>
      <c r="G1905" t="str">
        <f t="shared" si="204"/>
        <v>Grocery</v>
      </c>
      <c r="H1905" t="str">
        <f>PROPER(TRIM(CLEAN(Sales_Table[[#This Row],[Product Name]])))</f>
        <v>Washing Machine</v>
      </c>
      <c r="I1905" t="s">
        <v>79</v>
      </c>
      <c r="J1905" t="str">
        <f t="shared" si="205"/>
        <v>CUST0261</v>
      </c>
      <c r="K1905" t="s">
        <v>4268</v>
      </c>
      <c r="L1905" t="str">
        <f>PROPER(TRIM(CLEAN(Sales_Table[[#This Row],[Salesperson]])))</f>
        <v>Rahul</v>
      </c>
      <c r="M1905" t="s">
        <v>31</v>
      </c>
      <c r="N1905" t="str">
        <f t="shared" si="206"/>
        <v>Debit Card</v>
      </c>
      <c r="O1905" t="s">
        <v>41</v>
      </c>
      <c r="P1905">
        <f t="shared" si="207"/>
        <v>10</v>
      </c>
      <c r="Q1905" t="s">
        <v>117</v>
      </c>
      <c r="R1905">
        <f t="shared" si="208"/>
        <v>2837</v>
      </c>
      <c r="S1905" t="s">
        <v>3389</v>
      </c>
      <c r="T1905">
        <f t="shared" si="209"/>
        <v>28370</v>
      </c>
      <c r="U1905">
        <f>YEAR(Sales_Table[[#This Row],[Date_clean]])</f>
        <v>2024</v>
      </c>
      <c r="V1905" t="str">
        <f>TEXT(Sales_Table[[#This Row],[Date_clean]],"mmmm")</f>
        <v>March</v>
      </c>
      <c r="W1905">
        <f>WEEKNUM(Sales_Table[[#This Row],[Date_clean]],2)</f>
        <v>12</v>
      </c>
      <c r="X1905" t="str" cm="1">
        <f t="array" ref="X1905">_xlfn.IFS(Sales_Table[[#This Row],[Revenue]]&gt;=50000,"High",Sales_Table[[#This Row],[Revenue]]&gt;=20000,"Medium",Sales_Table[[#This Row],[Revenue]]&lt;20000,"Low")</f>
        <v>Medium</v>
      </c>
      <c r="Y1905" t="str">
        <f>IF(Sales_Table[[#This Row],[Payment Method_clean]]="cash","Offline","Online")</f>
        <v>Online</v>
      </c>
      <c r="Z1905">
        <f>IFERROR(Sales_Table[[#This Row],[Revenue]],0)</f>
        <v>28370</v>
      </c>
    </row>
    <row r="1906" spans="1:26" x14ac:dyDescent="0.3">
      <c r="A1906">
        <v>1905</v>
      </c>
      <c r="B1906" s="2">
        <f t="shared" si="203"/>
        <v>45371.333333333336</v>
      </c>
      <c r="C1906" t="s">
        <v>4269</v>
      </c>
      <c r="D1906" t="s">
        <v>27</v>
      </c>
      <c r="E1906" t="str">
        <f>PROPER(TRIM(CLEAN(Sales_Table[[#This Row],[Region]])))</f>
        <v>East</v>
      </c>
      <c r="F1906" t="s">
        <v>28</v>
      </c>
      <c r="G1906" t="str">
        <f t="shared" si="204"/>
        <v>Clothing</v>
      </c>
      <c r="H1906" t="str">
        <f>PROPER(TRIM(CLEAN(Sales_Table[[#This Row],[Product Name]])))</f>
        <v>Laptop</v>
      </c>
      <c r="I1906" t="s">
        <v>52</v>
      </c>
      <c r="J1906" t="str">
        <f t="shared" si="205"/>
        <v>CUST0788</v>
      </c>
      <c r="K1906" t="s">
        <v>2929</v>
      </c>
      <c r="L1906" t="str">
        <f>PROPER(TRIM(CLEAN(Sales_Table[[#This Row],[Salesperson]])))</f>
        <v>Suresh</v>
      </c>
      <c r="M1906" t="s">
        <v>54</v>
      </c>
      <c r="N1906" t="str">
        <f t="shared" si="206"/>
        <v>Upi</v>
      </c>
      <c r="O1906" t="s">
        <v>48</v>
      </c>
      <c r="P1906">
        <f t="shared" si="207"/>
        <v>9</v>
      </c>
      <c r="Q1906" t="s">
        <v>130</v>
      </c>
      <c r="R1906">
        <f t="shared" si="208"/>
        <v>3595</v>
      </c>
      <c r="S1906" t="s">
        <v>4270</v>
      </c>
      <c r="T1906">
        <f t="shared" si="209"/>
        <v>32355</v>
      </c>
      <c r="U1906">
        <f>YEAR(Sales_Table[[#This Row],[Date_clean]])</f>
        <v>2024</v>
      </c>
      <c r="V1906" t="str">
        <f>TEXT(Sales_Table[[#This Row],[Date_clean]],"mmmm")</f>
        <v>March</v>
      </c>
      <c r="W1906">
        <f>WEEKNUM(Sales_Table[[#This Row],[Date_clean]],2)</f>
        <v>12</v>
      </c>
      <c r="X1906" t="str" cm="1">
        <f t="array" ref="X1906">_xlfn.IFS(Sales_Table[[#This Row],[Revenue]]&gt;=50000,"High",Sales_Table[[#This Row],[Revenue]]&gt;=20000,"Medium",Sales_Table[[#This Row],[Revenue]]&lt;20000,"Low")</f>
        <v>Medium</v>
      </c>
      <c r="Y1906" t="str">
        <f>IF(Sales_Table[[#This Row],[Payment Method_clean]]="cash","Offline","Online")</f>
        <v>Online</v>
      </c>
      <c r="Z1906">
        <f>IFERROR(Sales_Table[[#This Row],[Revenue]],0)</f>
        <v>32355</v>
      </c>
    </row>
    <row r="1907" spans="1:26" x14ac:dyDescent="0.3">
      <c r="A1907">
        <v>1906</v>
      </c>
      <c r="B1907" s="2">
        <f t="shared" si="203"/>
        <v>45371.375</v>
      </c>
      <c r="C1907" t="s">
        <v>4271</v>
      </c>
      <c r="D1907" t="s">
        <v>84</v>
      </c>
      <c r="E1907" t="str">
        <f>PROPER(TRIM(CLEAN(Sales_Table[[#This Row],[Region]])))</f>
        <v>South</v>
      </c>
      <c r="F1907" t="s">
        <v>37</v>
      </c>
      <c r="G1907" t="str">
        <f t="shared" si="204"/>
        <v>Home Appliances</v>
      </c>
      <c r="H1907" t="str">
        <f>PROPER(TRIM(CLEAN(Sales_Table[[#This Row],[Product Name]])))</f>
        <v>Rice 5Kg</v>
      </c>
      <c r="I1907" t="s">
        <v>73</v>
      </c>
      <c r="J1907" t="str">
        <f t="shared" si="205"/>
        <v>CUST0079</v>
      </c>
      <c r="K1907" t="s">
        <v>3411</v>
      </c>
      <c r="L1907" t="str">
        <f>PROPER(TRIM(CLEAN(Sales_Table[[#This Row],[Salesperson]])))</f>
        <v>Karthik</v>
      </c>
      <c r="M1907" t="s">
        <v>70</v>
      </c>
      <c r="N1907" t="str">
        <f t="shared" si="206"/>
        <v>Upi</v>
      </c>
      <c r="O1907" t="s">
        <v>48</v>
      </c>
      <c r="P1907">
        <f t="shared" si="207"/>
        <v>1</v>
      </c>
      <c r="Q1907" t="s">
        <v>93</v>
      </c>
      <c r="R1907">
        <f t="shared" si="208"/>
        <v>4934</v>
      </c>
      <c r="S1907" t="s">
        <v>4272</v>
      </c>
      <c r="T1907">
        <f t="shared" si="209"/>
        <v>4934</v>
      </c>
      <c r="U1907">
        <f>YEAR(Sales_Table[[#This Row],[Date_clean]])</f>
        <v>2024</v>
      </c>
      <c r="V1907" t="str">
        <f>TEXT(Sales_Table[[#This Row],[Date_clean]],"mmmm")</f>
        <v>March</v>
      </c>
      <c r="W1907">
        <f>WEEKNUM(Sales_Table[[#This Row],[Date_clean]],2)</f>
        <v>12</v>
      </c>
      <c r="X1907" t="str" cm="1">
        <f t="array" ref="X1907">_xlfn.IFS(Sales_Table[[#This Row],[Revenue]]&gt;=50000,"High",Sales_Table[[#This Row],[Revenue]]&gt;=20000,"Medium",Sales_Table[[#This Row],[Revenue]]&lt;20000,"Low")</f>
        <v>Low</v>
      </c>
      <c r="Y1907" t="str">
        <f>IF(Sales_Table[[#This Row],[Payment Method_clean]]="cash","Offline","Online")</f>
        <v>Online</v>
      </c>
      <c r="Z1907">
        <f>IFERROR(Sales_Table[[#This Row],[Revenue]],0)</f>
        <v>4934</v>
      </c>
    </row>
    <row r="1908" spans="1:26" x14ac:dyDescent="0.3">
      <c r="A1908">
        <v>1907</v>
      </c>
      <c r="B1908" s="2">
        <f t="shared" si="203"/>
        <v>45371.416666666664</v>
      </c>
      <c r="C1908" t="s">
        <v>4273</v>
      </c>
      <c r="D1908" t="s">
        <v>45</v>
      </c>
      <c r="E1908" t="str">
        <f>PROPER(TRIM(CLEAN(Sales_Table[[#This Row],[Region]])))</f>
        <v>North</v>
      </c>
      <c r="F1908" t="s">
        <v>28</v>
      </c>
      <c r="G1908" t="str">
        <f t="shared" si="204"/>
        <v>Clothing</v>
      </c>
      <c r="H1908" t="str">
        <f>PROPER(TRIM(CLEAN(Sales_Table[[#This Row],[Product Name]])))</f>
        <v>Led Tv 42Inch</v>
      </c>
      <c r="I1908" t="s">
        <v>58</v>
      </c>
      <c r="J1908" t="str">
        <f t="shared" si="205"/>
        <v>CUST0658</v>
      </c>
      <c r="K1908" t="s">
        <v>291</v>
      </c>
      <c r="L1908" t="str">
        <f>PROPER(TRIM(CLEAN(Sales_Table[[#This Row],[Salesperson]])))</f>
        <v>Meena</v>
      </c>
      <c r="M1908" t="s">
        <v>40</v>
      </c>
      <c r="N1908" t="str">
        <f t="shared" si="206"/>
        <v>Debit Card</v>
      </c>
      <c r="O1908" t="s">
        <v>41</v>
      </c>
      <c r="P1908">
        <f t="shared" si="207"/>
        <v>1</v>
      </c>
      <c r="Q1908" t="s">
        <v>93</v>
      </c>
      <c r="R1908">
        <f t="shared" si="208"/>
        <v>3357</v>
      </c>
      <c r="S1908" t="s">
        <v>2874</v>
      </c>
      <c r="T1908">
        <f t="shared" si="209"/>
        <v>3357</v>
      </c>
      <c r="U1908">
        <f>YEAR(Sales_Table[[#This Row],[Date_clean]])</f>
        <v>2024</v>
      </c>
      <c r="V1908" t="str">
        <f>TEXT(Sales_Table[[#This Row],[Date_clean]],"mmmm")</f>
        <v>March</v>
      </c>
      <c r="W1908">
        <f>WEEKNUM(Sales_Table[[#This Row],[Date_clean]],2)</f>
        <v>12</v>
      </c>
      <c r="X1908" t="str" cm="1">
        <f t="array" ref="X1908">_xlfn.IFS(Sales_Table[[#This Row],[Revenue]]&gt;=50000,"High",Sales_Table[[#This Row],[Revenue]]&gt;=20000,"Medium",Sales_Table[[#This Row],[Revenue]]&lt;20000,"Low")</f>
        <v>Low</v>
      </c>
      <c r="Y1908" t="str">
        <f>IF(Sales_Table[[#This Row],[Payment Method_clean]]="cash","Offline","Online")</f>
        <v>Online</v>
      </c>
      <c r="Z1908">
        <f>IFERROR(Sales_Table[[#This Row],[Revenue]],0)</f>
        <v>3357</v>
      </c>
    </row>
    <row r="1909" spans="1:26" x14ac:dyDescent="0.3">
      <c r="A1909">
        <v>1908</v>
      </c>
      <c r="B1909" s="2">
        <f t="shared" si="203"/>
        <v>45371.458333333336</v>
      </c>
      <c r="C1909" t="s">
        <v>4274</v>
      </c>
      <c r="D1909" t="s">
        <v>45</v>
      </c>
      <c r="E1909" t="str">
        <f>PROPER(TRIM(CLEAN(Sales_Table[[#This Row],[Region]])))</f>
        <v>North</v>
      </c>
      <c r="F1909" t="s">
        <v>28</v>
      </c>
      <c r="G1909" t="str">
        <f t="shared" si="204"/>
        <v>Clothing</v>
      </c>
      <c r="H1909" t="str">
        <f>PROPER(TRIM(CLEAN(Sales_Table[[#This Row],[Product Name]])))</f>
        <v>Washing Machine</v>
      </c>
      <c r="I1909" t="s">
        <v>79</v>
      </c>
      <c r="J1909" t="str">
        <f t="shared" si="205"/>
        <v>CUST0623</v>
      </c>
      <c r="K1909" t="s">
        <v>3763</v>
      </c>
      <c r="L1909" t="str">
        <f>PROPER(TRIM(CLEAN(Sales_Table[[#This Row],[Salesperson]])))</f>
        <v>Suresh</v>
      </c>
      <c r="M1909" t="s">
        <v>54</v>
      </c>
      <c r="N1909" t="str">
        <f t="shared" si="206"/>
        <v>Upi</v>
      </c>
      <c r="O1909" t="s">
        <v>48</v>
      </c>
      <c r="P1909">
        <f t="shared" si="207"/>
        <v>14</v>
      </c>
      <c r="Q1909" t="s">
        <v>55</v>
      </c>
      <c r="R1909">
        <f t="shared" si="208"/>
        <v>3977</v>
      </c>
      <c r="S1909" t="s">
        <v>3869</v>
      </c>
      <c r="T1909">
        <f t="shared" si="209"/>
        <v>55678</v>
      </c>
      <c r="U1909">
        <f>YEAR(Sales_Table[[#This Row],[Date_clean]])</f>
        <v>2024</v>
      </c>
      <c r="V1909" t="str">
        <f>TEXT(Sales_Table[[#This Row],[Date_clean]],"mmmm")</f>
        <v>March</v>
      </c>
      <c r="W1909">
        <f>WEEKNUM(Sales_Table[[#This Row],[Date_clean]],2)</f>
        <v>12</v>
      </c>
      <c r="X1909" t="str" cm="1">
        <f t="array" ref="X1909">_xlfn.IFS(Sales_Table[[#This Row],[Revenue]]&gt;=50000,"High",Sales_Table[[#This Row],[Revenue]]&gt;=20000,"Medium",Sales_Table[[#This Row],[Revenue]]&lt;20000,"Low")</f>
        <v>High</v>
      </c>
      <c r="Y1909" t="str">
        <f>IF(Sales_Table[[#This Row],[Payment Method_clean]]="cash","Offline","Online")</f>
        <v>Online</v>
      </c>
      <c r="Z1909">
        <f>IFERROR(Sales_Table[[#This Row],[Revenue]],0)</f>
        <v>55678</v>
      </c>
    </row>
    <row r="1910" spans="1:26" x14ac:dyDescent="0.3">
      <c r="A1910">
        <v>1909</v>
      </c>
      <c r="B1910" s="2">
        <f t="shared" si="203"/>
        <v>45371.5</v>
      </c>
      <c r="C1910" t="s">
        <v>4275</v>
      </c>
      <c r="D1910" t="s">
        <v>84</v>
      </c>
      <c r="E1910" t="str">
        <f>PROPER(TRIM(CLEAN(Sales_Table[[#This Row],[Region]])))</f>
        <v>South</v>
      </c>
      <c r="F1910" t="s">
        <v>28</v>
      </c>
      <c r="G1910" t="str">
        <f t="shared" si="204"/>
        <v>Clothing</v>
      </c>
      <c r="H1910" t="str">
        <f>PROPER(TRIM(CLEAN(Sales_Table[[#This Row],[Product Name]])))</f>
        <v>Washing Machine</v>
      </c>
      <c r="I1910" t="s">
        <v>79</v>
      </c>
      <c r="J1910" t="str">
        <f t="shared" si="205"/>
        <v>CUST0770</v>
      </c>
      <c r="K1910" t="s">
        <v>3642</v>
      </c>
      <c r="L1910" t="str">
        <f>PROPER(TRIM(CLEAN(Sales_Table[[#This Row],[Salesperson]])))</f>
        <v>Suresh</v>
      </c>
      <c r="M1910" t="s">
        <v>54</v>
      </c>
      <c r="N1910" t="str">
        <f t="shared" si="206"/>
        <v>Debit Card</v>
      </c>
      <c r="O1910" t="s">
        <v>41</v>
      </c>
      <c r="P1910">
        <f t="shared" si="207"/>
        <v>12</v>
      </c>
      <c r="Q1910" t="s">
        <v>33</v>
      </c>
      <c r="R1910">
        <f t="shared" si="208"/>
        <v>1081</v>
      </c>
      <c r="S1910" t="s">
        <v>4276</v>
      </c>
      <c r="T1910">
        <f t="shared" si="209"/>
        <v>12972</v>
      </c>
      <c r="U1910">
        <f>YEAR(Sales_Table[[#This Row],[Date_clean]])</f>
        <v>2024</v>
      </c>
      <c r="V1910" t="str">
        <f>TEXT(Sales_Table[[#This Row],[Date_clean]],"mmmm")</f>
        <v>March</v>
      </c>
      <c r="W1910">
        <f>WEEKNUM(Sales_Table[[#This Row],[Date_clean]],2)</f>
        <v>12</v>
      </c>
      <c r="X1910" t="str" cm="1">
        <f t="array" ref="X1910">_xlfn.IFS(Sales_Table[[#This Row],[Revenue]]&gt;=50000,"High",Sales_Table[[#This Row],[Revenue]]&gt;=20000,"Medium",Sales_Table[[#This Row],[Revenue]]&lt;20000,"Low")</f>
        <v>Low</v>
      </c>
      <c r="Y1910" t="str">
        <f>IF(Sales_Table[[#This Row],[Payment Method_clean]]="cash","Offline","Online")</f>
        <v>Online</v>
      </c>
      <c r="Z1910">
        <f>IFERROR(Sales_Table[[#This Row],[Revenue]],0)</f>
        <v>12972</v>
      </c>
    </row>
    <row r="1911" spans="1:26" x14ac:dyDescent="0.3">
      <c r="A1911">
        <v>1910</v>
      </c>
      <c r="B1911" s="2">
        <f t="shared" si="203"/>
        <v>45371.541666666664</v>
      </c>
      <c r="C1911" t="s">
        <v>4277</v>
      </c>
      <c r="D1911" t="s">
        <v>45</v>
      </c>
      <c r="E1911" t="str">
        <f>PROPER(TRIM(CLEAN(Sales_Table[[#This Row],[Region]])))</f>
        <v>North</v>
      </c>
      <c r="F1911" t="s">
        <v>78</v>
      </c>
      <c r="G1911" t="str">
        <f t="shared" si="204"/>
        <v>Grocery</v>
      </c>
      <c r="H1911" t="str">
        <f>PROPER(TRIM(CLEAN(Sales_Table[[#This Row],[Product Name]])))</f>
        <v>Rice 5Kg</v>
      </c>
      <c r="I1911" t="s">
        <v>73</v>
      </c>
      <c r="J1911" t="str">
        <f t="shared" si="205"/>
        <v>CUST0605</v>
      </c>
      <c r="K1911" t="s">
        <v>3679</v>
      </c>
      <c r="L1911" t="str">
        <f>PROPER(TRIM(CLEAN(Sales_Table[[#This Row],[Salesperson]])))</f>
        <v>Suresh</v>
      </c>
      <c r="M1911" t="s">
        <v>54</v>
      </c>
      <c r="N1911" t="str">
        <f t="shared" si="206"/>
        <v>Cash</v>
      </c>
      <c r="O1911" t="s">
        <v>32</v>
      </c>
      <c r="P1911">
        <f t="shared" si="207"/>
        <v>10</v>
      </c>
      <c r="Q1911" t="s">
        <v>117</v>
      </c>
      <c r="R1911">
        <f t="shared" si="208"/>
        <v>2576</v>
      </c>
      <c r="S1911" t="s">
        <v>4278</v>
      </c>
      <c r="T1911">
        <f t="shared" si="209"/>
        <v>25760</v>
      </c>
      <c r="U1911">
        <f>YEAR(Sales_Table[[#This Row],[Date_clean]])</f>
        <v>2024</v>
      </c>
      <c r="V1911" t="str">
        <f>TEXT(Sales_Table[[#This Row],[Date_clean]],"mmmm")</f>
        <v>March</v>
      </c>
      <c r="W1911">
        <f>WEEKNUM(Sales_Table[[#This Row],[Date_clean]],2)</f>
        <v>12</v>
      </c>
      <c r="X1911" t="str" cm="1">
        <f t="array" ref="X1911">_xlfn.IFS(Sales_Table[[#This Row],[Revenue]]&gt;=50000,"High",Sales_Table[[#This Row],[Revenue]]&gt;=20000,"Medium",Sales_Table[[#This Row],[Revenue]]&lt;20000,"Low")</f>
        <v>Medium</v>
      </c>
      <c r="Y1911" t="str">
        <f>IF(Sales_Table[[#This Row],[Payment Method_clean]]="cash","Offline","Online")</f>
        <v>Offline</v>
      </c>
      <c r="Z1911">
        <f>IFERROR(Sales_Table[[#This Row],[Revenue]],0)</f>
        <v>25760</v>
      </c>
    </row>
    <row r="1912" spans="1:26" x14ac:dyDescent="0.3">
      <c r="A1912">
        <v>1911</v>
      </c>
      <c r="B1912" s="2">
        <f t="shared" si="203"/>
        <v>45371.583333333336</v>
      </c>
      <c r="C1912" t="s">
        <v>4279</v>
      </c>
      <c r="D1912" t="s">
        <v>36</v>
      </c>
      <c r="E1912" t="str">
        <f>PROPER(TRIM(CLEAN(Sales_Table[[#This Row],[Region]])))</f>
        <v>West</v>
      </c>
      <c r="F1912" t="s">
        <v>37</v>
      </c>
      <c r="G1912" t="str">
        <f t="shared" si="204"/>
        <v>Home Appliances</v>
      </c>
      <c r="H1912" t="str">
        <f>PROPER(TRIM(CLEAN(Sales_Table[[#This Row],[Product Name]])))</f>
        <v>Washing Machine</v>
      </c>
      <c r="I1912" t="s">
        <v>79</v>
      </c>
      <c r="J1912" t="str">
        <f t="shared" si="205"/>
        <v>CUST0525</v>
      </c>
      <c r="K1912" t="s">
        <v>1137</v>
      </c>
      <c r="L1912" t="str">
        <f>PROPER(TRIM(CLEAN(Sales_Table[[#This Row],[Salesperson]])))</f>
        <v>Anita</v>
      </c>
      <c r="M1912" t="s">
        <v>64</v>
      </c>
      <c r="N1912" t="str">
        <f t="shared" si="206"/>
        <v>Net Banking</v>
      </c>
      <c r="O1912" t="s">
        <v>60</v>
      </c>
      <c r="P1912">
        <f t="shared" si="207"/>
        <v>8</v>
      </c>
      <c r="Q1912" t="s">
        <v>42</v>
      </c>
      <c r="R1912">
        <f t="shared" si="208"/>
        <v>2188</v>
      </c>
      <c r="S1912" t="s">
        <v>4280</v>
      </c>
      <c r="T1912">
        <f t="shared" si="209"/>
        <v>17504</v>
      </c>
      <c r="U1912">
        <f>YEAR(Sales_Table[[#This Row],[Date_clean]])</f>
        <v>2024</v>
      </c>
      <c r="V1912" t="str">
        <f>TEXT(Sales_Table[[#This Row],[Date_clean]],"mmmm")</f>
        <v>March</v>
      </c>
      <c r="W1912">
        <f>WEEKNUM(Sales_Table[[#This Row],[Date_clean]],2)</f>
        <v>12</v>
      </c>
      <c r="X1912" t="str" cm="1">
        <f t="array" ref="X1912">_xlfn.IFS(Sales_Table[[#This Row],[Revenue]]&gt;=50000,"High",Sales_Table[[#This Row],[Revenue]]&gt;=20000,"Medium",Sales_Table[[#This Row],[Revenue]]&lt;20000,"Low")</f>
        <v>Low</v>
      </c>
      <c r="Y1912" t="str">
        <f>IF(Sales_Table[[#This Row],[Payment Method_clean]]="cash","Offline","Online")</f>
        <v>Online</v>
      </c>
      <c r="Z1912">
        <f>IFERROR(Sales_Table[[#This Row],[Revenue]],0)</f>
        <v>17504</v>
      </c>
    </row>
    <row r="1913" spans="1:26" x14ac:dyDescent="0.3">
      <c r="A1913">
        <v>1912</v>
      </c>
      <c r="B1913" s="2">
        <f t="shared" si="203"/>
        <v>45371.625</v>
      </c>
      <c r="C1913" t="s">
        <v>4281</v>
      </c>
      <c r="D1913" t="s">
        <v>84</v>
      </c>
      <c r="E1913" t="str">
        <f>PROPER(TRIM(CLEAN(Sales_Table[[#This Row],[Region]])))</f>
        <v>South</v>
      </c>
      <c r="F1913" t="s">
        <v>46</v>
      </c>
      <c r="G1913" t="str">
        <f t="shared" si="204"/>
        <v>Electronics</v>
      </c>
      <c r="H1913" t="str">
        <f>PROPER(TRIM(CLEAN(Sales_Table[[#This Row],[Product Name]])))</f>
        <v>Washing Machine</v>
      </c>
      <c r="I1913" t="s">
        <v>79</v>
      </c>
      <c r="J1913" t="str">
        <f t="shared" si="205"/>
        <v>CUST0772</v>
      </c>
      <c r="K1913" t="s">
        <v>2816</v>
      </c>
      <c r="L1913" t="str">
        <f>PROPER(TRIM(CLEAN(Sales_Table[[#This Row],[Salesperson]])))</f>
        <v>Meena</v>
      </c>
      <c r="M1913" t="s">
        <v>40</v>
      </c>
      <c r="N1913" t="str">
        <f t="shared" si="206"/>
        <v>Net Banking</v>
      </c>
      <c r="O1913" t="s">
        <v>60</v>
      </c>
      <c r="P1913">
        <f t="shared" si="207"/>
        <v>6</v>
      </c>
      <c r="Q1913" t="s">
        <v>75</v>
      </c>
      <c r="R1913">
        <f t="shared" si="208"/>
        <v>3052</v>
      </c>
      <c r="S1913" t="s">
        <v>4282</v>
      </c>
      <c r="T1913">
        <f t="shared" si="209"/>
        <v>18312</v>
      </c>
      <c r="U1913">
        <f>YEAR(Sales_Table[[#This Row],[Date_clean]])</f>
        <v>2024</v>
      </c>
      <c r="V1913" t="str">
        <f>TEXT(Sales_Table[[#This Row],[Date_clean]],"mmmm")</f>
        <v>March</v>
      </c>
      <c r="W1913">
        <f>WEEKNUM(Sales_Table[[#This Row],[Date_clean]],2)</f>
        <v>12</v>
      </c>
      <c r="X1913" t="str" cm="1">
        <f t="array" ref="X1913">_xlfn.IFS(Sales_Table[[#This Row],[Revenue]]&gt;=50000,"High",Sales_Table[[#This Row],[Revenue]]&gt;=20000,"Medium",Sales_Table[[#This Row],[Revenue]]&lt;20000,"Low")</f>
        <v>Low</v>
      </c>
      <c r="Y1913" t="str">
        <f>IF(Sales_Table[[#This Row],[Payment Method_clean]]="cash","Offline","Online")</f>
        <v>Online</v>
      </c>
      <c r="Z1913">
        <f>IFERROR(Sales_Table[[#This Row],[Revenue]],0)</f>
        <v>18312</v>
      </c>
    </row>
    <row r="1914" spans="1:26" x14ac:dyDescent="0.3">
      <c r="A1914">
        <v>1913</v>
      </c>
      <c r="B1914" s="2">
        <f t="shared" si="203"/>
        <v>45371.666666666664</v>
      </c>
      <c r="C1914" t="s">
        <v>4283</v>
      </c>
      <c r="D1914" t="s">
        <v>84</v>
      </c>
      <c r="E1914" t="str">
        <f>PROPER(TRIM(CLEAN(Sales_Table[[#This Row],[Region]])))</f>
        <v>South</v>
      </c>
      <c r="F1914" t="s">
        <v>78</v>
      </c>
      <c r="G1914" t="str">
        <f t="shared" si="204"/>
        <v>Grocery</v>
      </c>
      <c r="H1914" t="str">
        <f>PROPER(TRIM(CLEAN(Sales_Table[[#This Row],[Product Name]])))</f>
        <v>Washing Machine</v>
      </c>
      <c r="I1914" t="s">
        <v>79</v>
      </c>
      <c r="J1914" t="str">
        <f t="shared" si="205"/>
        <v>CUST0621</v>
      </c>
      <c r="K1914" t="s">
        <v>3204</v>
      </c>
      <c r="L1914" t="str">
        <f>PROPER(TRIM(CLEAN(Sales_Table[[#This Row],[Salesperson]])))</f>
        <v>Suresh</v>
      </c>
      <c r="M1914" t="s">
        <v>54</v>
      </c>
      <c r="N1914" t="str">
        <f t="shared" si="206"/>
        <v>Upi</v>
      </c>
      <c r="O1914" t="s">
        <v>48</v>
      </c>
      <c r="P1914">
        <f t="shared" si="207"/>
        <v>6</v>
      </c>
      <c r="Q1914" t="s">
        <v>75</v>
      </c>
      <c r="R1914">
        <f t="shared" si="208"/>
        <v>1111</v>
      </c>
      <c r="S1914" t="s">
        <v>4284</v>
      </c>
      <c r="T1914">
        <f t="shared" si="209"/>
        <v>6666</v>
      </c>
      <c r="U1914">
        <f>YEAR(Sales_Table[[#This Row],[Date_clean]])</f>
        <v>2024</v>
      </c>
      <c r="V1914" t="str">
        <f>TEXT(Sales_Table[[#This Row],[Date_clean]],"mmmm")</f>
        <v>March</v>
      </c>
      <c r="W1914">
        <f>WEEKNUM(Sales_Table[[#This Row],[Date_clean]],2)</f>
        <v>12</v>
      </c>
      <c r="X1914" t="str" cm="1">
        <f t="array" ref="X1914">_xlfn.IFS(Sales_Table[[#This Row],[Revenue]]&gt;=50000,"High",Sales_Table[[#This Row],[Revenue]]&gt;=20000,"Medium",Sales_Table[[#This Row],[Revenue]]&lt;20000,"Low")</f>
        <v>Low</v>
      </c>
      <c r="Y1914" t="str">
        <f>IF(Sales_Table[[#This Row],[Payment Method_clean]]="cash","Offline","Online")</f>
        <v>Online</v>
      </c>
      <c r="Z1914">
        <f>IFERROR(Sales_Table[[#This Row],[Revenue]],0)</f>
        <v>6666</v>
      </c>
    </row>
    <row r="1915" spans="1:26" x14ac:dyDescent="0.3">
      <c r="A1915">
        <v>1914</v>
      </c>
      <c r="B1915" s="2">
        <f t="shared" si="203"/>
        <v>45371.708333333336</v>
      </c>
      <c r="C1915" t="s">
        <v>4285</v>
      </c>
      <c r="D1915" t="s">
        <v>84</v>
      </c>
      <c r="E1915" t="str">
        <f>PROPER(TRIM(CLEAN(Sales_Table[[#This Row],[Region]])))</f>
        <v>South</v>
      </c>
      <c r="F1915" t="s">
        <v>78</v>
      </c>
      <c r="G1915" t="str">
        <f t="shared" si="204"/>
        <v>Grocery</v>
      </c>
      <c r="H1915" t="str">
        <f>PROPER(TRIM(CLEAN(Sales_Table[[#This Row],[Product Name]])))</f>
        <v>Led Tv 42Inch</v>
      </c>
      <c r="I1915" t="s">
        <v>58</v>
      </c>
      <c r="J1915" t="str">
        <f t="shared" si="205"/>
        <v>CUST0330</v>
      </c>
      <c r="K1915" t="s">
        <v>3454</v>
      </c>
      <c r="L1915" t="str">
        <f>PROPER(TRIM(CLEAN(Sales_Table[[#This Row],[Salesperson]])))</f>
        <v>Meena</v>
      </c>
      <c r="M1915" t="s">
        <v>40</v>
      </c>
      <c r="N1915" t="str">
        <f t="shared" si="206"/>
        <v>Credit Card</v>
      </c>
      <c r="O1915" t="s">
        <v>65</v>
      </c>
      <c r="P1915">
        <f t="shared" si="207"/>
        <v>12</v>
      </c>
      <c r="Q1915" t="s">
        <v>33</v>
      </c>
      <c r="R1915">
        <f t="shared" si="208"/>
        <v>3564</v>
      </c>
      <c r="S1915" t="s">
        <v>4286</v>
      </c>
      <c r="T1915">
        <f t="shared" si="209"/>
        <v>42768</v>
      </c>
      <c r="U1915">
        <f>YEAR(Sales_Table[[#This Row],[Date_clean]])</f>
        <v>2024</v>
      </c>
      <c r="V1915" t="str">
        <f>TEXT(Sales_Table[[#This Row],[Date_clean]],"mmmm")</f>
        <v>March</v>
      </c>
      <c r="W1915">
        <f>WEEKNUM(Sales_Table[[#This Row],[Date_clean]],2)</f>
        <v>12</v>
      </c>
      <c r="X1915" t="str" cm="1">
        <f t="array" ref="X1915">_xlfn.IFS(Sales_Table[[#This Row],[Revenue]]&gt;=50000,"High",Sales_Table[[#This Row],[Revenue]]&gt;=20000,"Medium",Sales_Table[[#This Row],[Revenue]]&lt;20000,"Low")</f>
        <v>Medium</v>
      </c>
      <c r="Y1915" t="str">
        <f>IF(Sales_Table[[#This Row],[Payment Method_clean]]="cash","Offline","Online")</f>
        <v>Online</v>
      </c>
      <c r="Z1915">
        <f>IFERROR(Sales_Table[[#This Row],[Revenue]],0)</f>
        <v>42768</v>
      </c>
    </row>
    <row r="1916" spans="1:26" x14ac:dyDescent="0.3">
      <c r="A1916">
        <v>1915</v>
      </c>
      <c r="B1916" s="2">
        <f t="shared" si="203"/>
        <v>45371.75</v>
      </c>
      <c r="C1916" t="s">
        <v>4287</v>
      </c>
      <c r="D1916" t="s">
        <v>36</v>
      </c>
      <c r="E1916" t="str">
        <f>PROPER(TRIM(CLEAN(Sales_Table[[#This Row],[Region]])))</f>
        <v>West</v>
      </c>
      <c r="F1916" t="s">
        <v>78</v>
      </c>
      <c r="G1916" t="str">
        <f t="shared" si="204"/>
        <v>Grocery</v>
      </c>
      <c r="H1916" t="str">
        <f>PROPER(TRIM(CLEAN(Sales_Table[[#This Row],[Product Name]])))</f>
        <v>Rice 5Kg</v>
      </c>
      <c r="I1916" t="s">
        <v>73</v>
      </c>
      <c r="J1916" t="str">
        <f t="shared" si="205"/>
        <v>CUST0189</v>
      </c>
      <c r="K1916" t="s">
        <v>666</v>
      </c>
      <c r="L1916" t="str">
        <f>PROPER(TRIM(CLEAN(Sales_Table[[#This Row],[Salesperson]])))</f>
        <v>Suresh</v>
      </c>
      <c r="M1916" t="s">
        <v>54</v>
      </c>
      <c r="N1916" t="str">
        <f t="shared" si="206"/>
        <v>Net Banking</v>
      </c>
      <c r="O1916" t="s">
        <v>60</v>
      </c>
      <c r="P1916">
        <f t="shared" si="207"/>
        <v>9</v>
      </c>
      <c r="Q1916" t="s">
        <v>130</v>
      </c>
      <c r="R1916">
        <f t="shared" si="208"/>
        <v>2850</v>
      </c>
      <c r="S1916" t="s">
        <v>4288</v>
      </c>
      <c r="T1916">
        <f t="shared" si="209"/>
        <v>25650</v>
      </c>
      <c r="U1916">
        <f>YEAR(Sales_Table[[#This Row],[Date_clean]])</f>
        <v>2024</v>
      </c>
      <c r="V1916" t="str">
        <f>TEXT(Sales_Table[[#This Row],[Date_clean]],"mmmm")</f>
        <v>March</v>
      </c>
      <c r="W1916">
        <f>WEEKNUM(Sales_Table[[#This Row],[Date_clean]],2)</f>
        <v>12</v>
      </c>
      <c r="X1916" t="str" cm="1">
        <f t="array" ref="X1916">_xlfn.IFS(Sales_Table[[#This Row],[Revenue]]&gt;=50000,"High",Sales_Table[[#This Row],[Revenue]]&gt;=20000,"Medium",Sales_Table[[#This Row],[Revenue]]&lt;20000,"Low")</f>
        <v>Medium</v>
      </c>
      <c r="Y1916" t="str">
        <f>IF(Sales_Table[[#This Row],[Payment Method_clean]]="cash","Offline","Online")</f>
        <v>Online</v>
      </c>
      <c r="Z1916">
        <f>IFERROR(Sales_Table[[#This Row],[Revenue]],0)</f>
        <v>25650</v>
      </c>
    </row>
    <row r="1917" spans="1:26" x14ac:dyDescent="0.3">
      <c r="A1917">
        <v>1916</v>
      </c>
      <c r="B1917" s="2">
        <f t="shared" si="203"/>
        <v>45371.791666666664</v>
      </c>
      <c r="C1917" t="s">
        <v>4289</v>
      </c>
      <c r="D1917" t="s">
        <v>84</v>
      </c>
      <c r="E1917" t="str">
        <f>PROPER(TRIM(CLEAN(Sales_Table[[#This Row],[Region]])))</f>
        <v>South</v>
      </c>
      <c r="F1917" t="s">
        <v>46</v>
      </c>
      <c r="G1917" t="str">
        <f t="shared" si="204"/>
        <v>Electronics</v>
      </c>
      <c r="H1917" t="str">
        <f>PROPER(TRIM(CLEAN(Sales_Table[[#This Row],[Product Name]])))</f>
        <v>Washing Machine</v>
      </c>
      <c r="I1917" t="s">
        <v>79</v>
      </c>
      <c r="J1917" t="str">
        <f t="shared" si="205"/>
        <v>CUST0095</v>
      </c>
      <c r="K1917" t="s">
        <v>4290</v>
      </c>
      <c r="L1917" t="str">
        <f>PROPER(TRIM(CLEAN(Sales_Table[[#This Row],[Salesperson]])))</f>
        <v>Karthik</v>
      </c>
      <c r="M1917" t="s">
        <v>70</v>
      </c>
      <c r="N1917" t="str">
        <f t="shared" si="206"/>
        <v>Debit Card</v>
      </c>
      <c r="O1917" t="s">
        <v>41</v>
      </c>
      <c r="P1917">
        <f t="shared" si="207"/>
        <v>4</v>
      </c>
      <c r="Q1917" t="s">
        <v>113</v>
      </c>
      <c r="R1917">
        <f t="shared" si="208"/>
        <v>2226</v>
      </c>
      <c r="S1917" t="s">
        <v>4291</v>
      </c>
      <c r="T1917">
        <f t="shared" si="209"/>
        <v>8904</v>
      </c>
      <c r="U1917">
        <f>YEAR(Sales_Table[[#This Row],[Date_clean]])</f>
        <v>2024</v>
      </c>
      <c r="V1917" t="str">
        <f>TEXT(Sales_Table[[#This Row],[Date_clean]],"mmmm")</f>
        <v>March</v>
      </c>
      <c r="W1917">
        <f>WEEKNUM(Sales_Table[[#This Row],[Date_clean]],2)</f>
        <v>12</v>
      </c>
      <c r="X1917" t="str" cm="1">
        <f t="array" ref="X1917">_xlfn.IFS(Sales_Table[[#This Row],[Revenue]]&gt;=50000,"High",Sales_Table[[#This Row],[Revenue]]&gt;=20000,"Medium",Sales_Table[[#This Row],[Revenue]]&lt;20000,"Low")</f>
        <v>Low</v>
      </c>
      <c r="Y1917" t="str">
        <f>IF(Sales_Table[[#This Row],[Payment Method_clean]]="cash","Offline","Online")</f>
        <v>Online</v>
      </c>
      <c r="Z1917">
        <f>IFERROR(Sales_Table[[#This Row],[Revenue]],0)</f>
        <v>8904</v>
      </c>
    </row>
    <row r="1918" spans="1:26" x14ac:dyDescent="0.3">
      <c r="A1918">
        <v>1917</v>
      </c>
      <c r="B1918" s="2">
        <f t="shared" si="203"/>
        <v>45371.833333333336</v>
      </c>
      <c r="C1918" t="s">
        <v>4292</v>
      </c>
      <c r="D1918" t="s">
        <v>36</v>
      </c>
      <c r="E1918" t="str">
        <f>PROPER(TRIM(CLEAN(Sales_Table[[#This Row],[Region]])))</f>
        <v>West</v>
      </c>
      <c r="F1918" t="s">
        <v>37</v>
      </c>
      <c r="G1918" t="str">
        <f t="shared" si="204"/>
        <v>Home Appliances</v>
      </c>
      <c r="H1918" t="str">
        <f>PROPER(TRIM(CLEAN(Sales_Table[[#This Row],[Product Name]])))</f>
        <v>Washing Machine</v>
      </c>
      <c r="I1918" t="s">
        <v>79</v>
      </c>
      <c r="J1918" t="str">
        <f t="shared" si="205"/>
        <v>CUST0617</v>
      </c>
      <c r="K1918" t="s">
        <v>4293</v>
      </c>
      <c r="L1918" t="str">
        <f>PROPER(TRIM(CLEAN(Sales_Table[[#This Row],[Salesperson]])))</f>
        <v>Karthik</v>
      </c>
      <c r="M1918" t="s">
        <v>70</v>
      </c>
      <c r="N1918" t="str">
        <f t="shared" si="206"/>
        <v>Credit Card</v>
      </c>
      <c r="O1918" t="s">
        <v>65</v>
      </c>
      <c r="P1918">
        <f t="shared" si="207"/>
        <v>8</v>
      </c>
      <c r="Q1918" t="s">
        <v>42</v>
      </c>
      <c r="R1918">
        <f t="shared" si="208"/>
        <v>4912</v>
      </c>
      <c r="S1918" t="s">
        <v>4294</v>
      </c>
      <c r="T1918">
        <f t="shared" si="209"/>
        <v>39296</v>
      </c>
      <c r="U1918">
        <f>YEAR(Sales_Table[[#This Row],[Date_clean]])</f>
        <v>2024</v>
      </c>
      <c r="V1918" t="str">
        <f>TEXT(Sales_Table[[#This Row],[Date_clean]],"mmmm")</f>
        <v>March</v>
      </c>
      <c r="W1918">
        <f>WEEKNUM(Sales_Table[[#This Row],[Date_clean]],2)</f>
        <v>12</v>
      </c>
      <c r="X1918" t="str" cm="1">
        <f t="array" ref="X1918">_xlfn.IFS(Sales_Table[[#This Row],[Revenue]]&gt;=50000,"High",Sales_Table[[#This Row],[Revenue]]&gt;=20000,"Medium",Sales_Table[[#This Row],[Revenue]]&lt;20000,"Low")</f>
        <v>Medium</v>
      </c>
      <c r="Y1918" t="str">
        <f>IF(Sales_Table[[#This Row],[Payment Method_clean]]="cash","Offline","Online")</f>
        <v>Online</v>
      </c>
      <c r="Z1918">
        <f>IFERROR(Sales_Table[[#This Row],[Revenue]],0)</f>
        <v>39296</v>
      </c>
    </row>
    <row r="1919" spans="1:26" x14ac:dyDescent="0.3">
      <c r="A1919">
        <v>1918</v>
      </c>
      <c r="B1919" s="2">
        <f t="shared" si="203"/>
        <v>45371.875</v>
      </c>
      <c r="C1919" t="s">
        <v>4295</v>
      </c>
      <c r="D1919" t="s">
        <v>84</v>
      </c>
      <c r="E1919" t="str">
        <f>PROPER(TRIM(CLEAN(Sales_Table[[#This Row],[Region]])))</f>
        <v>South</v>
      </c>
      <c r="F1919" t="s">
        <v>37</v>
      </c>
      <c r="G1919" t="str">
        <f t="shared" si="204"/>
        <v>Home Appliances</v>
      </c>
      <c r="H1919" t="str">
        <f>PROPER(TRIM(CLEAN(Sales_Table[[#This Row],[Product Name]])))</f>
        <v>Led Tv 42Inch</v>
      </c>
      <c r="I1919" t="s">
        <v>58</v>
      </c>
      <c r="J1919" t="str">
        <f t="shared" si="205"/>
        <v>CUST0008</v>
      </c>
      <c r="K1919" t="s">
        <v>811</v>
      </c>
      <c r="L1919" t="str">
        <f>PROPER(TRIM(CLEAN(Sales_Table[[#This Row],[Salesperson]])))</f>
        <v>Karthik</v>
      </c>
      <c r="M1919" t="s">
        <v>70</v>
      </c>
      <c r="N1919" t="str">
        <f t="shared" si="206"/>
        <v>Credit Card</v>
      </c>
      <c r="O1919" t="s">
        <v>65</v>
      </c>
      <c r="P1919">
        <f t="shared" si="207"/>
        <v>4</v>
      </c>
      <c r="Q1919" t="s">
        <v>113</v>
      </c>
      <c r="R1919">
        <f t="shared" si="208"/>
        <v>3961</v>
      </c>
      <c r="S1919" t="s">
        <v>4296</v>
      </c>
      <c r="T1919">
        <f t="shared" si="209"/>
        <v>15844</v>
      </c>
      <c r="U1919">
        <f>YEAR(Sales_Table[[#This Row],[Date_clean]])</f>
        <v>2024</v>
      </c>
      <c r="V1919" t="str">
        <f>TEXT(Sales_Table[[#This Row],[Date_clean]],"mmmm")</f>
        <v>March</v>
      </c>
      <c r="W1919">
        <f>WEEKNUM(Sales_Table[[#This Row],[Date_clean]],2)</f>
        <v>12</v>
      </c>
      <c r="X1919" t="str" cm="1">
        <f t="array" ref="X1919">_xlfn.IFS(Sales_Table[[#This Row],[Revenue]]&gt;=50000,"High",Sales_Table[[#This Row],[Revenue]]&gt;=20000,"Medium",Sales_Table[[#This Row],[Revenue]]&lt;20000,"Low")</f>
        <v>Low</v>
      </c>
      <c r="Y1919" t="str">
        <f>IF(Sales_Table[[#This Row],[Payment Method_clean]]="cash","Offline","Online")</f>
        <v>Online</v>
      </c>
      <c r="Z1919">
        <f>IFERROR(Sales_Table[[#This Row],[Revenue]],0)</f>
        <v>15844</v>
      </c>
    </row>
    <row r="1920" spans="1:26" x14ac:dyDescent="0.3">
      <c r="A1920">
        <v>1919</v>
      </c>
      <c r="B1920" s="2">
        <f t="shared" si="203"/>
        <v>45371.916666666664</v>
      </c>
      <c r="C1920" t="s">
        <v>4297</v>
      </c>
      <c r="D1920" t="s">
        <v>27</v>
      </c>
      <c r="E1920" t="str">
        <f>PROPER(TRIM(CLEAN(Sales_Table[[#This Row],[Region]])))</f>
        <v>East</v>
      </c>
      <c r="F1920" t="s">
        <v>37</v>
      </c>
      <c r="G1920" t="str">
        <f t="shared" si="204"/>
        <v>Home Appliances</v>
      </c>
      <c r="H1920" t="str">
        <f>PROPER(TRIM(CLEAN(Sales_Table[[#This Row],[Product Name]])))</f>
        <v>Rice 5Kg</v>
      </c>
      <c r="I1920" t="s">
        <v>73</v>
      </c>
      <c r="J1920" t="str">
        <f t="shared" si="205"/>
        <v>CUST0067</v>
      </c>
      <c r="K1920" t="s">
        <v>3774</v>
      </c>
      <c r="L1920" t="str">
        <f>PROPER(TRIM(CLEAN(Sales_Table[[#This Row],[Salesperson]])))</f>
        <v>Rahul</v>
      </c>
      <c r="M1920" t="s">
        <v>31</v>
      </c>
      <c r="N1920" t="str">
        <f t="shared" si="206"/>
        <v>Net Banking</v>
      </c>
      <c r="O1920" t="s">
        <v>60</v>
      </c>
      <c r="P1920">
        <f t="shared" si="207"/>
        <v>14</v>
      </c>
      <c r="Q1920" t="s">
        <v>55</v>
      </c>
      <c r="R1920">
        <f t="shared" si="208"/>
        <v>2691</v>
      </c>
      <c r="S1920" t="s">
        <v>4298</v>
      </c>
      <c r="T1920">
        <f t="shared" si="209"/>
        <v>37674</v>
      </c>
      <c r="U1920">
        <f>YEAR(Sales_Table[[#This Row],[Date_clean]])</f>
        <v>2024</v>
      </c>
      <c r="V1920" t="str">
        <f>TEXT(Sales_Table[[#This Row],[Date_clean]],"mmmm")</f>
        <v>March</v>
      </c>
      <c r="W1920">
        <f>WEEKNUM(Sales_Table[[#This Row],[Date_clean]],2)</f>
        <v>12</v>
      </c>
      <c r="X1920" t="str" cm="1">
        <f t="array" ref="X1920">_xlfn.IFS(Sales_Table[[#This Row],[Revenue]]&gt;=50000,"High",Sales_Table[[#This Row],[Revenue]]&gt;=20000,"Medium",Sales_Table[[#This Row],[Revenue]]&lt;20000,"Low")</f>
        <v>Medium</v>
      </c>
      <c r="Y1920" t="str">
        <f>IF(Sales_Table[[#This Row],[Payment Method_clean]]="cash","Offline","Online")</f>
        <v>Online</v>
      </c>
      <c r="Z1920">
        <f>IFERROR(Sales_Table[[#This Row],[Revenue]],0)</f>
        <v>37674</v>
      </c>
    </row>
    <row r="1921" spans="1:26" x14ac:dyDescent="0.3">
      <c r="A1921">
        <v>1920</v>
      </c>
      <c r="B1921" s="2">
        <f t="shared" si="203"/>
        <v>45371.958333333336</v>
      </c>
      <c r="C1921" t="s">
        <v>4299</v>
      </c>
      <c r="D1921" t="s">
        <v>45</v>
      </c>
      <c r="E1921" t="str">
        <f>PROPER(TRIM(CLEAN(Sales_Table[[#This Row],[Region]])))</f>
        <v>North</v>
      </c>
      <c r="F1921" t="s">
        <v>28</v>
      </c>
      <c r="G1921" t="str">
        <f t="shared" si="204"/>
        <v>Clothing</v>
      </c>
      <c r="H1921" t="str">
        <f>PROPER(TRIM(CLEAN(Sales_Table[[#This Row],[Product Name]])))</f>
        <v>Men T-Shirt</v>
      </c>
      <c r="I1921" t="s">
        <v>38</v>
      </c>
      <c r="J1921" t="str">
        <f t="shared" si="205"/>
        <v>CUST0496</v>
      </c>
      <c r="K1921" t="s">
        <v>2063</v>
      </c>
      <c r="L1921" t="str">
        <f>PROPER(TRIM(CLEAN(Sales_Table[[#This Row],[Salesperson]])))</f>
        <v>Suresh</v>
      </c>
      <c r="M1921" t="s">
        <v>54</v>
      </c>
      <c r="N1921" t="str">
        <f t="shared" si="206"/>
        <v>Net Banking</v>
      </c>
      <c r="O1921" t="s">
        <v>60</v>
      </c>
      <c r="P1921">
        <f t="shared" si="207"/>
        <v>2</v>
      </c>
      <c r="Q1921" t="s">
        <v>196</v>
      </c>
      <c r="R1921">
        <f t="shared" si="208"/>
        <v>1573</v>
      </c>
      <c r="S1921" t="s">
        <v>4300</v>
      </c>
      <c r="T1921">
        <f t="shared" si="209"/>
        <v>3146</v>
      </c>
      <c r="U1921">
        <f>YEAR(Sales_Table[[#This Row],[Date_clean]])</f>
        <v>2024</v>
      </c>
      <c r="V1921" t="str">
        <f>TEXT(Sales_Table[[#This Row],[Date_clean]],"mmmm")</f>
        <v>March</v>
      </c>
      <c r="W1921">
        <f>WEEKNUM(Sales_Table[[#This Row],[Date_clean]],2)</f>
        <v>12</v>
      </c>
      <c r="X1921" t="str" cm="1">
        <f t="array" ref="X1921">_xlfn.IFS(Sales_Table[[#This Row],[Revenue]]&gt;=50000,"High",Sales_Table[[#This Row],[Revenue]]&gt;=20000,"Medium",Sales_Table[[#This Row],[Revenue]]&lt;20000,"Low")</f>
        <v>Low</v>
      </c>
      <c r="Y1921" t="str">
        <f>IF(Sales_Table[[#This Row],[Payment Method_clean]]="cash","Offline","Online")</f>
        <v>Online</v>
      </c>
      <c r="Z1921">
        <f>IFERROR(Sales_Table[[#This Row],[Revenue]],0)</f>
        <v>3146</v>
      </c>
    </row>
    <row r="1922" spans="1:26" x14ac:dyDescent="0.3">
      <c r="A1922">
        <v>1921</v>
      </c>
      <c r="B1922" s="2">
        <f t="shared" si="203"/>
        <v>45372</v>
      </c>
      <c r="C1922" t="s">
        <v>4301</v>
      </c>
      <c r="D1922" t="s">
        <v>27</v>
      </c>
      <c r="E1922" t="str">
        <f>PROPER(TRIM(CLEAN(Sales_Table[[#This Row],[Region]])))</f>
        <v>East</v>
      </c>
      <c r="F1922" t="s">
        <v>28</v>
      </c>
      <c r="G1922" t="str">
        <f t="shared" si="204"/>
        <v>Clothing</v>
      </c>
      <c r="H1922" t="str">
        <f>PROPER(TRIM(CLEAN(Sales_Table[[#This Row],[Product Name]])))</f>
        <v>Led Tv 42Inch</v>
      </c>
      <c r="I1922" t="s">
        <v>58</v>
      </c>
      <c r="J1922" t="str">
        <f t="shared" si="205"/>
        <v>CUST0191</v>
      </c>
      <c r="K1922" t="s">
        <v>625</v>
      </c>
      <c r="L1922" t="str">
        <f>PROPER(TRIM(CLEAN(Sales_Table[[#This Row],[Salesperson]])))</f>
        <v>Rahul</v>
      </c>
      <c r="M1922" t="s">
        <v>31</v>
      </c>
      <c r="N1922" t="str">
        <f t="shared" si="206"/>
        <v>Net Banking</v>
      </c>
      <c r="O1922" t="s">
        <v>60</v>
      </c>
      <c r="P1922">
        <f t="shared" si="207"/>
        <v>11</v>
      </c>
      <c r="Q1922" t="s">
        <v>97</v>
      </c>
      <c r="R1922">
        <f t="shared" si="208"/>
        <v>2621</v>
      </c>
      <c r="S1922" t="s">
        <v>1903</v>
      </c>
      <c r="T1922">
        <f t="shared" si="209"/>
        <v>28831</v>
      </c>
      <c r="U1922">
        <f>YEAR(Sales_Table[[#This Row],[Date_clean]])</f>
        <v>2024</v>
      </c>
      <c r="V1922" t="str">
        <f>TEXT(Sales_Table[[#This Row],[Date_clean]],"mmmm")</f>
        <v>March</v>
      </c>
      <c r="W1922">
        <f>WEEKNUM(Sales_Table[[#This Row],[Date_clean]],2)</f>
        <v>12</v>
      </c>
      <c r="X1922" t="str" cm="1">
        <f t="array" ref="X1922">_xlfn.IFS(Sales_Table[[#This Row],[Revenue]]&gt;=50000,"High",Sales_Table[[#This Row],[Revenue]]&gt;=20000,"Medium",Sales_Table[[#This Row],[Revenue]]&lt;20000,"Low")</f>
        <v>Medium</v>
      </c>
      <c r="Y1922" t="str">
        <f>IF(Sales_Table[[#This Row],[Payment Method_clean]]="cash","Offline","Online")</f>
        <v>Online</v>
      </c>
      <c r="Z1922">
        <f>IFERROR(Sales_Table[[#This Row],[Revenue]],0)</f>
        <v>28831</v>
      </c>
    </row>
    <row r="1923" spans="1:26" x14ac:dyDescent="0.3">
      <c r="A1923">
        <v>1922</v>
      </c>
      <c r="B1923" s="2">
        <f t="shared" ref="B1923:B1986" si="210">DATEVALUE(LEFT(C1923,10))+TIMEVALUE(MID(C1923,12,8))</f>
        <v>45372.041666666664</v>
      </c>
      <c r="C1923" t="s">
        <v>4302</v>
      </c>
      <c r="D1923" t="s">
        <v>45</v>
      </c>
      <c r="E1923" t="str">
        <f>PROPER(TRIM(CLEAN(Sales_Table[[#This Row],[Region]])))</f>
        <v>North</v>
      </c>
      <c r="F1923" t="s">
        <v>28</v>
      </c>
      <c r="G1923" t="str">
        <f t="shared" ref="G1923:G1986" si="211">PROPER(TRIM(CLEAN(F1923)))</f>
        <v>Clothing</v>
      </c>
      <c r="H1923" t="str">
        <f>PROPER(TRIM(CLEAN(Sales_Table[[#This Row],[Product Name]])))</f>
        <v>Rice 5Kg</v>
      </c>
      <c r="I1923" t="s">
        <v>73</v>
      </c>
      <c r="J1923" t="str">
        <f t="shared" ref="J1923:J1986" si="212">TRIM(K1923)</f>
        <v>CUST0366</v>
      </c>
      <c r="K1923" t="s">
        <v>422</v>
      </c>
      <c r="L1923" t="str">
        <f>PROPER(TRIM(CLEAN(Sales_Table[[#This Row],[Salesperson]])))</f>
        <v>Meena</v>
      </c>
      <c r="M1923" t="s">
        <v>40</v>
      </c>
      <c r="N1923" t="str">
        <f t="shared" ref="N1923:N1986" si="213">PROPER(TRIM(O1923))</f>
        <v>Debit Card</v>
      </c>
      <c r="O1923" t="s">
        <v>41</v>
      </c>
      <c r="P1923">
        <f t="shared" ref="P1923:P1986" si="214">VALUE(Q1923)</f>
        <v>8</v>
      </c>
      <c r="Q1923" t="s">
        <v>42</v>
      </c>
      <c r="R1923">
        <f t="shared" ref="R1923:R1986" si="215">VALUE(S1923)</f>
        <v>1265</v>
      </c>
      <c r="S1923" t="s">
        <v>4303</v>
      </c>
      <c r="T1923">
        <f t="shared" ref="T1923:T1986" si="216">P1923*R1923</f>
        <v>10120</v>
      </c>
      <c r="U1923">
        <f>YEAR(Sales_Table[[#This Row],[Date_clean]])</f>
        <v>2024</v>
      </c>
      <c r="V1923" t="str">
        <f>TEXT(Sales_Table[[#This Row],[Date_clean]],"mmmm")</f>
        <v>March</v>
      </c>
      <c r="W1923">
        <f>WEEKNUM(Sales_Table[[#This Row],[Date_clean]],2)</f>
        <v>12</v>
      </c>
      <c r="X1923" t="str" cm="1">
        <f t="array" ref="X1923">_xlfn.IFS(Sales_Table[[#This Row],[Revenue]]&gt;=50000,"High",Sales_Table[[#This Row],[Revenue]]&gt;=20000,"Medium",Sales_Table[[#This Row],[Revenue]]&lt;20000,"Low")</f>
        <v>Low</v>
      </c>
      <c r="Y1923" t="str">
        <f>IF(Sales_Table[[#This Row],[Payment Method_clean]]="cash","Offline","Online")</f>
        <v>Online</v>
      </c>
      <c r="Z1923">
        <f>IFERROR(Sales_Table[[#This Row],[Revenue]],0)</f>
        <v>10120</v>
      </c>
    </row>
    <row r="1924" spans="1:26" x14ac:dyDescent="0.3">
      <c r="A1924">
        <v>1923</v>
      </c>
      <c r="B1924" s="2">
        <f t="shared" si="210"/>
        <v>45372.083333333336</v>
      </c>
      <c r="C1924" t="s">
        <v>4304</v>
      </c>
      <c r="D1924" t="s">
        <v>36</v>
      </c>
      <c r="E1924" t="str">
        <f>PROPER(TRIM(CLEAN(Sales_Table[[#This Row],[Region]])))</f>
        <v>West</v>
      </c>
      <c r="F1924" t="s">
        <v>46</v>
      </c>
      <c r="G1924" t="str">
        <f t="shared" si="211"/>
        <v>Electronics</v>
      </c>
      <c r="H1924" t="str">
        <f>PROPER(TRIM(CLEAN(Sales_Table[[#This Row],[Product Name]])))</f>
        <v>Washing Machine</v>
      </c>
      <c r="I1924" t="s">
        <v>79</v>
      </c>
      <c r="J1924" t="str">
        <f t="shared" si="212"/>
        <v>CUST0768</v>
      </c>
      <c r="K1924" t="s">
        <v>459</v>
      </c>
      <c r="L1924" t="str">
        <f>PROPER(TRIM(CLEAN(Sales_Table[[#This Row],[Salesperson]])))</f>
        <v>Rahul</v>
      </c>
      <c r="M1924" t="s">
        <v>31</v>
      </c>
      <c r="N1924" t="str">
        <f t="shared" si="213"/>
        <v>Credit Card</v>
      </c>
      <c r="O1924" t="s">
        <v>65</v>
      </c>
      <c r="P1924">
        <f t="shared" si="214"/>
        <v>12</v>
      </c>
      <c r="Q1924" t="s">
        <v>33</v>
      </c>
      <c r="R1924">
        <f t="shared" si="215"/>
        <v>3422</v>
      </c>
      <c r="S1924" t="s">
        <v>570</v>
      </c>
      <c r="T1924">
        <f t="shared" si="216"/>
        <v>41064</v>
      </c>
      <c r="U1924">
        <f>YEAR(Sales_Table[[#This Row],[Date_clean]])</f>
        <v>2024</v>
      </c>
      <c r="V1924" t="str">
        <f>TEXT(Sales_Table[[#This Row],[Date_clean]],"mmmm")</f>
        <v>March</v>
      </c>
      <c r="W1924">
        <f>WEEKNUM(Sales_Table[[#This Row],[Date_clean]],2)</f>
        <v>12</v>
      </c>
      <c r="X1924" t="str" cm="1">
        <f t="array" ref="X1924">_xlfn.IFS(Sales_Table[[#This Row],[Revenue]]&gt;=50000,"High",Sales_Table[[#This Row],[Revenue]]&gt;=20000,"Medium",Sales_Table[[#This Row],[Revenue]]&lt;20000,"Low")</f>
        <v>Medium</v>
      </c>
      <c r="Y1924" t="str">
        <f>IF(Sales_Table[[#This Row],[Payment Method_clean]]="cash","Offline","Online")</f>
        <v>Online</v>
      </c>
      <c r="Z1924">
        <f>IFERROR(Sales_Table[[#This Row],[Revenue]],0)</f>
        <v>41064</v>
      </c>
    </row>
    <row r="1925" spans="1:26" x14ac:dyDescent="0.3">
      <c r="A1925">
        <v>1924</v>
      </c>
      <c r="B1925" s="2">
        <f t="shared" si="210"/>
        <v>45372.125</v>
      </c>
      <c r="C1925" t="s">
        <v>4305</v>
      </c>
      <c r="D1925" t="s">
        <v>27</v>
      </c>
      <c r="E1925" t="str">
        <f>PROPER(TRIM(CLEAN(Sales_Table[[#This Row],[Region]])))</f>
        <v>East</v>
      </c>
      <c r="F1925" t="s">
        <v>28</v>
      </c>
      <c r="G1925" t="str">
        <f t="shared" si="211"/>
        <v>Clothing</v>
      </c>
      <c r="H1925" t="str">
        <f>PROPER(TRIM(CLEAN(Sales_Table[[#This Row],[Product Name]])))</f>
        <v>Rice 5Kg</v>
      </c>
      <c r="I1925" t="s">
        <v>73</v>
      </c>
      <c r="J1925" t="str">
        <f t="shared" si="212"/>
        <v>CUST0521</v>
      </c>
      <c r="K1925" t="s">
        <v>4249</v>
      </c>
      <c r="L1925" t="str">
        <f>PROPER(TRIM(CLEAN(Sales_Table[[#This Row],[Salesperson]])))</f>
        <v>Meena</v>
      </c>
      <c r="M1925" t="s">
        <v>40</v>
      </c>
      <c r="N1925" t="str">
        <f t="shared" si="213"/>
        <v>Upi</v>
      </c>
      <c r="O1925" t="s">
        <v>48</v>
      </c>
      <c r="P1925">
        <f t="shared" si="214"/>
        <v>7</v>
      </c>
      <c r="Q1925" t="s">
        <v>49</v>
      </c>
      <c r="R1925">
        <f t="shared" si="215"/>
        <v>709</v>
      </c>
      <c r="S1925" t="s">
        <v>4306</v>
      </c>
      <c r="T1925">
        <f t="shared" si="216"/>
        <v>4963</v>
      </c>
      <c r="U1925">
        <f>YEAR(Sales_Table[[#This Row],[Date_clean]])</f>
        <v>2024</v>
      </c>
      <c r="V1925" t="str">
        <f>TEXT(Sales_Table[[#This Row],[Date_clean]],"mmmm")</f>
        <v>March</v>
      </c>
      <c r="W1925">
        <f>WEEKNUM(Sales_Table[[#This Row],[Date_clean]],2)</f>
        <v>12</v>
      </c>
      <c r="X1925" t="str" cm="1">
        <f t="array" ref="X1925">_xlfn.IFS(Sales_Table[[#This Row],[Revenue]]&gt;=50000,"High",Sales_Table[[#This Row],[Revenue]]&gt;=20000,"Medium",Sales_Table[[#This Row],[Revenue]]&lt;20000,"Low")</f>
        <v>Low</v>
      </c>
      <c r="Y1925" t="str">
        <f>IF(Sales_Table[[#This Row],[Payment Method_clean]]="cash","Offline","Online")</f>
        <v>Online</v>
      </c>
      <c r="Z1925">
        <f>IFERROR(Sales_Table[[#This Row],[Revenue]],0)</f>
        <v>4963</v>
      </c>
    </row>
    <row r="1926" spans="1:26" x14ac:dyDescent="0.3">
      <c r="A1926">
        <v>1925</v>
      </c>
      <c r="B1926" s="2">
        <f t="shared" si="210"/>
        <v>45372.166666666664</v>
      </c>
      <c r="C1926" t="s">
        <v>4307</v>
      </c>
      <c r="D1926" t="s">
        <v>84</v>
      </c>
      <c r="E1926" t="str">
        <f>PROPER(TRIM(CLEAN(Sales_Table[[#This Row],[Region]])))</f>
        <v>South</v>
      </c>
      <c r="F1926" t="s">
        <v>46</v>
      </c>
      <c r="G1926" t="str">
        <f t="shared" si="211"/>
        <v>Electronics</v>
      </c>
      <c r="H1926" t="str">
        <f>PROPER(TRIM(CLEAN(Sales_Table[[#This Row],[Product Name]])))</f>
        <v>Rice 5Kg</v>
      </c>
      <c r="I1926" t="s">
        <v>73</v>
      </c>
      <c r="J1926" t="str">
        <f t="shared" si="212"/>
        <v>CUST0117</v>
      </c>
      <c r="K1926" t="s">
        <v>3638</v>
      </c>
      <c r="L1926" t="str">
        <f>PROPER(TRIM(CLEAN(Sales_Table[[#This Row],[Salesperson]])))</f>
        <v>Meena</v>
      </c>
      <c r="M1926" t="s">
        <v>40</v>
      </c>
      <c r="N1926" t="str">
        <f t="shared" si="213"/>
        <v>Debit Card</v>
      </c>
      <c r="O1926" t="s">
        <v>41</v>
      </c>
      <c r="P1926">
        <f t="shared" si="214"/>
        <v>4</v>
      </c>
      <c r="Q1926" t="s">
        <v>113</v>
      </c>
      <c r="R1926">
        <f t="shared" si="215"/>
        <v>2283</v>
      </c>
      <c r="S1926" t="s">
        <v>4308</v>
      </c>
      <c r="T1926">
        <f t="shared" si="216"/>
        <v>9132</v>
      </c>
      <c r="U1926">
        <f>YEAR(Sales_Table[[#This Row],[Date_clean]])</f>
        <v>2024</v>
      </c>
      <c r="V1926" t="str">
        <f>TEXT(Sales_Table[[#This Row],[Date_clean]],"mmmm")</f>
        <v>March</v>
      </c>
      <c r="W1926">
        <f>WEEKNUM(Sales_Table[[#This Row],[Date_clean]],2)</f>
        <v>12</v>
      </c>
      <c r="X1926" t="str" cm="1">
        <f t="array" ref="X1926">_xlfn.IFS(Sales_Table[[#This Row],[Revenue]]&gt;=50000,"High",Sales_Table[[#This Row],[Revenue]]&gt;=20000,"Medium",Sales_Table[[#This Row],[Revenue]]&lt;20000,"Low")</f>
        <v>Low</v>
      </c>
      <c r="Y1926" t="str">
        <f>IF(Sales_Table[[#This Row],[Payment Method_clean]]="cash","Offline","Online")</f>
        <v>Online</v>
      </c>
      <c r="Z1926">
        <f>IFERROR(Sales_Table[[#This Row],[Revenue]],0)</f>
        <v>9132</v>
      </c>
    </row>
    <row r="1927" spans="1:26" x14ac:dyDescent="0.3">
      <c r="A1927">
        <v>1926</v>
      </c>
      <c r="B1927" s="2">
        <f t="shared" si="210"/>
        <v>45372.208333333336</v>
      </c>
      <c r="C1927" t="s">
        <v>4309</v>
      </c>
      <c r="D1927" t="s">
        <v>45</v>
      </c>
      <c r="E1927" t="str">
        <f>PROPER(TRIM(CLEAN(Sales_Table[[#This Row],[Region]])))</f>
        <v>North</v>
      </c>
      <c r="F1927" t="s">
        <v>37</v>
      </c>
      <c r="G1927" t="str">
        <f t="shared" si="211"/>
        <v>Home Appliances</v>
      </c>
      <c r="H1927" t="str">
        <f>PROPER(TRIM(CLEAN(Sales_Table[[#This Row],[Product Name]])))</f>
        <v>Laptop</v>
      </c>
      <c r="I1927" t="s">
        <v>52</v>
      </c>
      <c r="J1927" t="str">
        <f t="shared" si="212"/>
        <v>CUST0267</v>
      </c>
      <c r="K1927" t="s">
        <v>219</v>
      </c>
      <c r="L1927" t="str">
        <f>PROPER(TRIM(CLEAN(Sales_Table[[#This Row],[Salesperson]])))</f>
        <v>Meena</v>
      </c>
      <c r="M1927" t="s">
        <v>40</v>
      </c>
      <c r="N1927" t="str">
        <f t="shared" si="213"/>
        <v>Cash</v>
      </c>
      <c r="O1927" t="s">
        <v>32</v>
      </c>
      <c r="P1927">
        <f t="shared" si="214"/>
        <v>9</v>
      </c>
      <c r="Q1927" t="s">
        <v>130</v>
      </c>
      <c r="R1927">
        <f t="shared" si="215"/>
        <v>2631</v>
      </c>
      <c r="S1927" t="s">
        <v>1129</v>
      </c>
      <c r="T1927">
        <f t="shared" si="216"/>
        <v>23679</v>
      </c>
      <c r="U1927">
        <f>YEAR(Sales_Table[[#This Row],[Date_clean]])</f>
        <v>2024</v>
      </c>
      <c r="V1927" t="str">
        <f>TEXT(Sales_Table[[#This Row],[Date_clean]],"mmmm")</f>
        <v>March</v>
      </c>
      <c r="W1927">
        <f>WEEKNUM(Sales_Table[[#This Row],[Date_clean]],2)</f>
        <v>12</v>
      </c>
      <c r="X1927" t="str" cm="1">
        <f t="array" ref="X1927">_xlfn.IFS(Sales_Table[[#This Row],[Revenue]]&gt;=50000,"High",Sales_Table[[#This Row],[Revenue]]&gt;=20000,"Medium",Sales_Table[[#This Row],[Revenue]]&lt;20000,"Low")</f>
        <v>Medium</v>
      </c>
      <c r="Y1927" t="str">
        <f>IF(Sales_Table[[#This Row],[Payment Method_clean]]="cash","Offline","Online")</f>
        <v>Offline</v>
      </c>
      <c r="Z1927">
        <f>IFERROR(Sales_Table[[#This Row],[Revenue]],0)</f>
        <v>23679</v>
      </c>
    </row>
    <row r="1928" spans="1:26" x14ac:dyDescent="0.3">
      <c r="A1928">
        <v>1927</v>
      </c>
      <c r="B1928" s="2">
        <f t="shared" si="210"/>
        <v>45372.25</v>
      </c>
      <c r="C1928" t="s">
        <v>4310</v>
      </c>
      <c r="D1928" t="s">
        <v>45</v>
      </c>
      <c r="E1928" t="str">
        <f>PROPER(TRIM(CLEAN(Sales_Table[[#This Row],[Region]])))</f>
        <v>North</v>
      </c>
      <c r="F1928" t="s">
        <v>28</v>
      </c>
      <c r="G1928" t="str">
        <f t="shared" si="211"/>
        <v>Clothing</v>
      </c>
      <c r="H1928" t="str">
        <f>PROPER(TRIM(CLEAN(Sales_Table[[#This Row],[Product Name]])))</f>
        <v>Rice 5Kg</v>
      </c>
      <c r="I1928" t="s">
        <v>73</v>
      </c>
      <c r="J1928" t="str">
        <f t="shared" si="212"/>
        <v>CUST0611</v>
      </c>
      <c r="K1928" t="s">
        <v>1299</v>
      </c>
      <c r="L1928" t="str">
        <f>PROPER(TRIM(CLEAN(Sales_Table[[#This Row],[Salesperson]])))</f>
        <v>Rahul</v>
      </c>
      <c r="M1928" t="s">
        <v>31</v>
      </c>
      <c r="N1928" t="str">
        <f t="shared" si="213"/>
        <v>Net Banking</v>
      </c>
      <c r="O1928" t="s">
        <v>60</v>
      </c>
      <c r="P1928">
        <f t="shared" si="214"/>
        <v>9</v>
      </c>
      <c r="Q1928" t="s">
        <v>130</v>
      </c>
      <c r="R1928">
        <f t="shared" si="215"/>
        <v>2961</v>
      </c>
      <c r="S1928" t="s">
        <v>4311</v>
      </c>
      <c r="T1928">
        <f t="shared" si="216"/>
        <v>26649</v>
      </c>
      <c r="U1928">
        <f>YEAR(Sales_Table[[#This Row],[Date_clean]])</f>
        <v>2024</v>
      </c>
      <c r="V1928" t="str">
        <f>TEXT(Sales_Table[[#This Row],[Date_clean]],"mmmm")</f>
        <v>March</v>
      </c>
      <c r="W1928">
        <f>WEEKNUM(Sales_Table[[#This Row],[Date_clean]],2)</f>
        <v>12</v>
      </c>
      <c r="X1928" t="str" cm="1">
        <f t="array" ref="X1928">_xlfn.IFS(Sales_Table[[#This Row],[Revenue]]&gt;=50000,"High",Sales_Table[[#This Row],[Revenue]]&gt;=20000,"Medium",Sales_Table[[#This Row],[Revenue]]&lt;20000,"Low")</f>
        <v>Medium</v>
      </c>
      <c r="Y1928" t="str">
        <f>IF(Sales_Table[[#This Row],[Payment Method_clean]]="cash","Offline","Online")</f>
        <v>Online</v>
      </c>
      <c r="Z1928">
        <f>IFERROR(Sales_Table[[#This Row],[Revenue]],0)</f>
        <v>26649</v>
      </c>
    </row>
    <row r="1929" spans="1:26" x14ac:dyDescent="0.3">
      <c r="A1929">
        <v>1928</v>
      </c>
      <c r="B1929" s="2">
        <f t="shared" si="210"/>
        <v>45372.291666666664</v>
      </c>
      <c r="C1929" t="s">
        <v>4312</v>
      </c>
      <c r="D1929" t="s">
        <v>27</v>
      </c>
      <c r="E1929" t="str">
        <f>PROPER(TRIM(CLEAN(Sales_Table[[#This Row],[Region]])))</f>
        <v>East</v>
      </c>
      <c r="F1929" t="s">
        <v>28</v>
      </c>
      <c r="G1929" t="str">
        <f t="shared" si="211"/>
        <v>Clothing</v>
      </c>
      <c r="H1929" t="str">
        <f>PROPER(TRIM(CLEAN(Sales_Table[[#This Row],[Product Name]])))</f>
        <v>Men T-Shirt</v>
      </c>
      <c r="I1929" t="s">
        <v>38</v>
      </c>
      <c r="J1929" t="str">
        <f t="shared" si="212"/>
        <v>CUST0485</v>
      </c>
      <c r="K1929" t="s">
        <v>147</v>
      </c>
      <c r="L1929" t="str">
        <f>PROPER(TRIM(CLEAN(Sales_Table[[#This Row],[Salesperson]])))</f>
        <v>Suresh</v>
      </c>
      <c r="M1929" t="s">
        <v>54</v>
      </c>
      <c r="N1929" t="str">
        <f t="shared" si="213"/>
        <v>Credit Card</v>
      </c>
      <c r="O1929" t="s">
        <v>65</v>
      </c>
      <c r="P1929">
        <f t="shared" si="214"/>
        <v>8</v>
      </c>
      <c r="Q1929" t="s">
        <v>42</v>
      </c>
      <c r="R1929">
        <f t="shared" si="215"/>
        <v>4750</v>
      </c>
      <c r="S1929" t="s">
        <v>4313</v>
      </c>
      <c r="T1929">
        <f t="shared" si="216"/>
        <v>38000</v>
      </c>
      <c r="U1929">
        <f>YEAR(Sales_Table[[#This Row],[Date_clean]])</f>
        <v>2024</v>
      </c>
      <c r="V1929" t="str">
        <f>TEXT(Sales_Table[[#This Row],[Date_clean]],"mmmm")</f>
        <v>March</v>
      </c>
      <c r="W1929">
        <f>WEEKNUM(Sales_Table[[#This Row],[Date_clean]],2)</f>
        <v>12</v>
      </c>
      <c r="X1929" t="str" cm="1">
        <f t="array" ref="X1929">_xlfn.IFS(Sales_Table[[#This Row],[Revenue]]&gt;=50000,"High",Sales_Table[[#This Row],[Revenue]]&gt;=20000,"Medium",Sales_Table[[#This Row],[Revenue]]&lt;20000,"Low")</f>
        <v>Medium</v>
      </c>
      <c r="Y1929" t="str">
        <f>IF(Sales_Table[[#This Row],[Payment Method_clean]]="cash","Offline","Online")</f>
        <v>Online</v>
      </c>
      <c r="Z1929">
        <f>IFERROR(Sales_Table[[#This Row],[Revenue]],0)</f>
        <v>38000</v>
      </c>
    </row>
    <row r="1930" spans="1:26" x14ac:dyDescent="0.3">
      <c r="A1930">
        <v>1929</v>
      </c>
      <c r="B1930" s="2">
        <f t="shared" si="210"/>
        <v>45372.333333333336</v>
      </c>
      <c r="C1930" t="s">
        <v>4314</v>
      </c>
      <c r="D1930" t="s">
        <v>36</v>
      </c>
      <c r="E1930" t="str">
        <f>PROPER(TRIM(CLEAN(Sales_Table[[#This Row],[Region]])))</f>
        <v>West</v>
      </c>
      <c r="F1930" t="s">
        <v>78</v>
      </c>
      <c r="G1930" t="str">
        <f t="shared" si="211"/>
        <v>Grocery</v>
      </c>
      <c r="H1930" t="str">
        <f>PROPER(TRIM(CLEAN(Sales_Table[[#This Row],[Product Name]])))</f>
        <v>Rice 5Kg</v>
      </c>
      <c r="I1930" t="s">
        <v>73</v>
      </c>
      <c r="J1930" t="str">
        <f t="shared" si="212"/>
        <v>CUST0509</v>
      </c>
      <c r="K1930" t="s">
        <v>2087</v>
      </c>
      <c r="L1930" t="str">
        <f>PROPER(TRIM(CLEAN(Sales_Table[[#This Row],[Salesperson]])))</f>
        <v>Rahul</v>
      </c>
      <c r="M1930" t="s">
        <v>31</v>
      </c>
      <c r="N1930" t="str">
        <f t="shared" si="213"/>
        <v>Debit Card</v>
      </c>
      <c r="O1930" t="s">
        <v>41</v>
      </c>
      <c r="P1930">
        <f t="shared" si="214"/>
        <v>14</v>
      </c>
      <c r="Q1930" t="s">
        <v>55</v>
      </c>
      <c r="R1930">
        <f t="shared" si="215"/>
        <v>1755</v>
      </c>
      <c r="S1930" t="s">
        <v>4315</v>
      </c>
      <c r="T1930">
        <f t="shared" si="216"/>
        <v>24570</v>
      </c>
      <c r="U1930">
        <f>YEAR(Sales_Table[[#This Row],[Date_clean]])</f>
        <v>2024</v>
      </c>
      <c r="V1930" t="str">
        <f>TEXT(Sales_Table[[#This Row],[Date_clean]],"mmmm")</f>
        <v>March</v>
      </c>
      <c r="W1930">
        <f>WEEKNUM(Sales_Table[[#This Row],[Date_clean]],2)</f>
        <v>12</v>
      </c>
      <c r="X1930" t="str" cm="1">
        <f t="array" ref="X1930">_xlfn.IFS(Sales_Table[[#This Row],[Revenue]]&gt;=50000,"High",Sales_Table[[#This Row],[Revenue]]&gt;=20000,"Medium",Sales_Table[[#This Row],[Revenue]]&lt;20000,"Low")</f>
        <v>Medium</v>
      </c>
      <c r="Y1930" t="str">
        <f>IF(Sales_Table[[#This Row],[Payment Method_clean]]="cash","Offline","Online")</f>
        <v>Online</v>
      </c>
      <c r="Z1930">
        <f>IFERROR(Sales_Table[[#This Row],[Revenue]],0)</f>
        <v>24570</v>
      </c>
    </row>
    <row r="1931" spans="1:26" x14ac:dyDescent="0.3">
      <c r="A1931">
        <v>1930</v>
      </c>
      <c r="B1931" s="2">
        <f t="shared" si="210"/>
        <v>45372.375</v>
      </c>
      <c r="C1931" t="s">
        <v>4316</v>
      </c>
      <c r="D1931" t="s">
        <v>27</v>
      </c>
      <c r="E1931" t="str">
        <f>PROPER(TRIM(CLEAN(Sales_Table[[#This Row],[Region]])))</f>
        <v>East</v>
      </c>
      <c r="F1931" t="s">
        <v>46</v>
      </c>
      <c r="G1931" t="str">
        <f t="shared" si="211"/>
        <v>Electronics</v>
      </c>
      <c r="H1931" t="str">
        <f>PROPER(TRIM(CLEAN(Sales_Table[[#This Row],[Product Name]])))</f>
        <v>Men T-Shirt</v>
      </c>
      <c r="I1931" t="s">
        <v>38</v>
      </c>
      <c r="J1931" t="str">
        <f t="shared" si="212"/>
        <v>CUST0298</v>
      </c>
      <c r="K1931" t="s">
        <v>2536</v>
      </c>
      <c r="L1931" t="str">
        <f>PROPER(TRIM(CLEAN(Sales_Table[[#This Row],[Salesperson]])))</f>
        <v>Suresh</v>
      </c>
      <c r="M1931" t="s">
        <v>54</v>
      </c>
      <c r="N1931" t="str">
        <f t="shared" si="213"/>
        <v>Cash</v>
      </c>
      <c r="O1931" t="s">
        <v>32</v>
      </c>
      <c r="P1931">
        <f t="shared" si="214"/>
        <v>1</v>
      </c>
      <c r="Q1931" t="s">
        <v>93</v>
      </c>
      <c r="R1931">
        <f t="shared" si="215"/>
        <v>1855</v>
      </c>
      <c r="S1931" t="s">
        <v>4317</v>
      </c>
      <c r="T1931">
        <f t="shared" si="216"/>
        <v>1855</v>
      </c>
      <c r="U1931">
        <f>YEAR(Sales_Table[[#This Row],[Date_clean]])</f>
        <v>2024</v>
      </c>
      <c r="V1931" t="str">
        <f>TEXT(Sales_Table[[#This Row],[Date_clean]],"mmmm")</f>
        <v>March</v>
      </c>
      <c r="W1931">
        <f>WEEKNUM(Sales_Table[[#This Row],[Date_clean]],2)</f>
        <v>12</v>
      </c>
      <c r="X1931" t="str" cm="1">
        <f t="array" ref="X1931">_xlfn.IFS(Sales_Table[[#This Row],[Revenue]]&gt;=50000,"High",Sales_Table[[#This Row],[Revenue]]&gt;=20000,"Medium",Sales_Table[[#This Row],[Revenue]]&lt;20000,"Low")</f>
        <v>Low</v>
      </c>
      <c r="Y1931" t="str">
        <f>IF(Sales_Table[[#This Row],[Payment Method_clean]]="cash","Offline","Online")</f>
        <v>Offline</v>
      </c>
      <c r="Z1931">
        <f>IFERROR(Sales_Table[[#This Row],[Revenue]],0)</f>
        <v>1855</v>
      </c>
    </row>
    <row r="1932" spans="1:26" x14ac:dyDescent="0.3">
      <c r="A1932">
        <v>1931</v>
      </c>
      <c r="B1932" s="2">
        <f t="shared" si="210"/>
        <v>45372.416666666664</v>
      </c>
      <c r="C1932" t="s">
        <v>4318</v>
      </c>
      <c r="D1932" t="s">
        <v>36</v>
      </c>
      <c r="E1932" t="str">
        <f>PROPER(TRIM(CLEAN(Sales_Table[[#This Row],[Region]])))</f>
        <v>West</v>
      </c>
      <c r="F1932" t="s">
        <v>37</v>
      </c>
      <c r="G1932" t="str">
        <f t="shared" si="211"/>
        <v>Home Appliances</v>
      </c>
      <c r="H1932" t="str">
        <f>PROPER(TRIM(CLEAN(Sales_Table[[#This Row],[Product Name]])))</f>
        <v>Washing Machine</v>
      </c>
      <c r="I1932" t="s">
        <v>79</v>
      </c>
      <c r="J1932" t="str">
        <f t="shared" si="212"/>
        <v>CUST0164</v>
      </c>
      <c r="K1932" t="s">
        <v>2198</v>
      </c>
      <c r="L1932" t="str">
        <f>PROPER(TRIM(CLEAN(Sales_Table[[#This Row],[Salesperson]])))</f>
        <v>Suresh</v>
      </c>
      <c r="M1932" t="s">
        <v>54</v>
      </c>
      <c r="N1932" t="str">
        <f t="shared" si="213"/>
        <v>Debit Card</v>
      </c>
      <c r="O1932" t="s">
        <v>41</v>
      </c>
      <c r="P1932">
        <f t="shared" si="214"/>
        <v>7</v>
      </c>
      <c r="Q1932" t="s">
        <v>49</v>
      </c>
      <c r="R1932">
        <f t="shared" si="215"/>
        <v>145</v>
      </c>
      <c r="S1932" t="s">
        <v>2310</v>
      </c>
      <c r="T1932">
        <f t="shared" si="216"/>
        <v>1015</v>
      </c>
      <c r="U1932">
        <f>YEAR(Sales_Table[[#This Row],[Date_clean]])</f>
        <v>2024</v>
      </c>
      <c r="V1932" t="str">
        <f>TEXT(Sales_Table[[#This Row],[Date_clean]],"mmmm")</f>
        <v>March</v>
      </c>
      <c r="W1932">
        <f>WEEKNUM(Sales_Table[[#This Row],[Date_clean]],2)</f>
        <v>12</v>
      </c>
      <c r="X1932" t="str" cm="1">
        <f t="array" ref="X1932">_xlfn.IFS(Sales_Table[[#This Row],[Revenue]]&gt;=50000,"High",Sales_Table[[#This Row],[Revenue]]&gt;=20000,"Medium",Sales_Table[[#This Row],[Revenue]]&lt;20000,"Low")</f>
        <v>Low</v>
      </c>
      <c r="Y1932" t="str">
        <f>IF(Sales_Table[[#This Row],[Payment Method_clean]]="cash","Offline","Online")</f>
        <v>Online</v>
      </c>
      <c r="Z1932">
        <f>IFERROR(Sales_Table[[#This Row],[Revenue]],0)</f>
        <v>1015</v>
      </c>
    </row>
    <row r="1933" spans="1:26" x14ac:dyDescent="0.3">
      <c r="A1933">
        <v>1932</v>
      </c>
      <c r="B1933" s="2">
        <f t="shared" si="210"/>
        <v>45372.458333333336</v>
      </c>
      <c r="C1933" t="s">
        <v>4319</v>
      </c>
      <c r="D1933" t="s">
        <v>36</v>
      </c>
      <c r="E1933" t="str">
        <f>PROPER(TRIM(CLEAN(Sales_Table[[#This Row],[Region]])))</f>
        <v>West</v>
      </c>
      <c r="F1933" t="s">
        <v>78</v>
      </c>
      <c r="G1933" t="str">
        <f t="shared" si="211"/>
        <v>Grocery</v>
      </c>
      <c r="H1933" t="str">
        <f>PROPER(TRIM(CLEAN(Sales_Table[[#This Row],[Product Name]])))</f>
        <v>Men T-Shirt</v>
      </c>
      <c r="I1933" t="s">
        <v>38</v>
      </c>
      <c r="J1933" t="str">
        <f t="shared" si="212"/>
        <v>CUST0376</v>
      </c>
      <c r="K1933" t="s">
        <v>1028</v>
      </c>
      <c r="L1933" t="str">
        <f>PROPER(TRIM(CLEAN(Sales_Table[[#This Row],[Salesperson]])))</f>
        <v>Meena</v>
      </c>
      <c r="M1933" t="s">
        <v>40</v>
      </c>
      <c r="N1933" t="str">
        <f t="shared" si="213"/>
        <v>Debit Card</v>
      </c>
      <c r="O1933" t="s">
        <v>41</v>
      </c>
      <c r="P1933">
        <f t="shared" si="214"/>
        <v>5</v>
      </c>
      <c r="Q1933" t="s">
        <v>89</v>
      </c>
      <c r="R1933">
        <f t="shared" si="215"/>
        <v>1359</v>
      </c>
      <c r="S1933" t="s">
        <v>4320</v>
      </c>
      <c r="T1933">
        <f t="shared" si="216"/>
        <v>6795</v>
      </c>
      <c r="U1933">
        <f>YEAR(Sales_Table[[#This Row],[Date_clean]])</f>
        <v>2024</v>
      </c>
      <c r="V1933" t="str">
        <f>TEXT(Sales_Table[[#This Row],[Date_clean]],"mmmm")</f>
        <v>March</v>
      </c>
      <c r="W1933">
        <f>WEEKNUM(Sales_Table[[#This Row],[Date_clean]],2)</f>
        <v>12</v>
      </c>
      <c r="X1933" t="str" cm="1">
        <f t="array" ref="X1933">_xlfn.IFS(Sales_Table[[#This Row],[Revenue]]&gt;=50000,"High",Sales_Table[[#This Row],[Revenue]]&gt;=20000,"Medium",Sales_Table[[#This Row],[Revenue]]&lt;20000,"Low")</f>
        <v>Low</v>
      </c>
      <c r="Y1933" t="str">
        <f>IF(Sales_Table[[#This Row],[Payment Method_clean]]="cash","Offline","Online")</f>
        <v>Online</v>
      </c>
      <c r="Z1933">
        <f>IFERROR(Sales_Table[[#This Row],[Revenue]],0)</f>
        <v>6795</v>
      </c>
    </row>
    <row r="1934" spans="1:26" x14ac:dyDescent="0.3">
      <c r="A1934">
        <v>1933</v>
      </c>
      <c r="B1934" s="2">
        <f t="shared" si="210"/>
        <v>45372.5</v>
      </c>
      <c r="C1934" t="s">
        <v>4321</v>
      </c>
      <c r="D1934" t="s">
        <v>45</v>
      </c>
      <c r="E1934" t="str">
        <f>PROPER(TRIM(CLEAN(Sales_Table[[#This Row],[Region]])))</f>
        <v>North</v>
      </c>
      <c r="F1934" t="s">
        <v>78</v>
      </c>
      <c r="G1934" t="str">
        <f t="shared" si="211"/>
        <v>Grocery</v>
      </c>
      <c r="H1934" t="str">
        <f>PROPER(TRIM(CLEAN(Sales_Table[[#This Row],[Product Name]])))</f>
        <v>Washing Machine</v>
      </c>
      <c r="I1934" t="s">
        <v>79</v>
      </c>
      <c r="J1934" t="str">
        <f t="shared" si="212"/>
        <v>CUST0653</v>
      </c>
      <c r="K1934" t="s">
        <v>2056</v>
      </c>
      <c r="L1934" t="str">
        <f>PROPER(TRIM(CLEAN(Sales_Table[[#This Row],[Salesperson]])))</f>
        <v>Rahul</v>
      </c>
      <c r="M1934" t="s">
        <v>31</v>
      </c>
      <c r="N1934" t="str">
        <f t="shared" si="213"/>
        <v>Upi</v>
      </c>
      <c r="O1934" t="s">
        <v>48</v>
      </c>
      <c r="P1934">
        <f t="shared" si="214"/>
        <v>7</v>
      </c>
      <c r="Q1934" t="s">
        <v>49</v>
      </c>
      <c r="R1934">
        <f t="shared" si="215"/>
        <v>4738</v>
      </c>
      <c r="S1934" t="s">
        <v>4322</v>
      </c>
      <c r="T1934">
        <f t="shared" si="216"/>
        <v>33166</v>
      </c>
      <c r="U1934">
        <f>YEAR(Sales_Table[[#This Row],[Date_clean]])</f>
        <v>2024</v>
      </c>
      <c r="V1934" t="str">
        <f>TEXT(Sales_Table[[#This Row],[Date_clean]],"mmmm")</f>
        <v>March</v>
      </c>
      <c r="W1934">
        <f>WEEKNUM(Sales_Table[[#This Row],[Date_clean]],2)</f>
        <v>12</v>
      </c>
      <c r="X1934" t="str" cm="1">
        <f t="array" ref="X1934">_xlfn.IFS(Sales_Table[[#This Row],[Revenue]]&gt;=50000,"High",Sales_Table[[#This Row],[Revenue]]&gt;=20000,"Medium",Sales_Table[[#This Row],[Revenue]]&lt;20000,"Low")</f>
        <v>Medium</v>
      </c>
      <c r="Y1934" t="str">
        <f>IF(Sales_Table[[#This Row],[Payment Method_clean]]="cash","Offline","Online")</f>
        <v>Online</v>
      </c>
      <c r="Z1934">
        <f>IFERROR(Sales_Table[[#This Row],[Revenue]],0)</f>
        <v>33166</v>
      </c>
    </row>
    <row r="1935" spans="1:26" x14ac:dyDescent="0.3">
      <c r="A1935">
        <v>1934</v>
      </c>
      <c r="B1935" s="2">
        <f t="shared" si="210"/>
        <v>45372.541666666664</v>
      </c>
      <c r="C1935" t="s">
        <v>4323</v>
      </c>
      <c r="D1935" t="s">
        <v>27</v>
      </c>
      <c r="E1935" t="str">
        <f>PROPER(TRIM(CLEAN(Sales_Table[[#This Row],[Region]])))</f>
        <v>East</v>
      </c>
      <c r="F1935" t="s">
        <v>37</v>
      </c>
      <c r="G1935" t="str">
        <f t="shared" si="211"/>
        <v>Home Appliances</v>
      </c>
      <c r="H1935" t="str">
        <f>PROPER(TRIM(CLEAN(Sales_Table[[#This Row],[Product Name]])))</f>
        <v>Washing Machine</v>
      </c>
      <c r="I1935" t="s">
        <v>79</v>
      </c>
      <c r="J1935" t="str">
        <f t="shared" si="212"/>
        <v>CUST0268</v>
      </c>
      <c r="K1935" t="s">
        <v>905</v>
      </c>
      <c r="L1935" t="str">
        <f>PROPER(TRIM(CLEAN(Sales_Table[[#This Row],[Salesperson]])))</f>
        <v>Suresh</v>
      </c>
      <c r="M1935" t="s">
        <v>54</v>
      </c>
      <c r="N1935" t="str">
        <f t="shared" si="213"/>
        <v>Upi</v>
      </c>
      <c r="O1935" t="s">
        <v>48</v>
      </c>
      <c r="P1935">
        <f t="shared" si="214"/>
        <v>12</v>
      </c>
      <c r="Q1935" t="s">
        <v>33</v>
      </c>
      <c r="R1935">
        <f t="shared" si="215"/>
        <v>3332</v>
      </c>
      <c r="S1935" t="s">
        <v>3884</v>
      </c>
      <c r="T1935">
        <f t="shared" si="216"/>
        <v>39984</v>
      </c>
      <c r="U1935">
        <f>YEAR(Sales_Table[[#This Row],[Date_clean]])</f>
        <v>2024</v>
      </c>
      <c r="V1935" t="str">
        <f>TEXT(Sales_Table[[#This Row],[Date_clean]],"mmmm")</f>
        <v>March</v>
      </c>
      <c r="W1935">
        <f>WEEKNUM(Sales_Table[[#This Row],[Date_clean]],2)</f>
        <v>12</v>
      </c>
      <c r="X1935" t="str" cm="1">
        <f t="array" ref="X1935">_xlfn.IFS(Sales_Table[[#This Row],[Revenue]]&gt;=50000,"High",Sales_Table[[#This Row],[Revenue]]&gt;=20000,"Medium",Sales_Table[[#This Row],[Revenue]]&lt;20000,"Low")</f>
        <v>Medium</v>
      </c>
      <c r="Y1935" t="str">
        <f>IF(Sales_Table[[#This Row],[Payment Method_clean]]="cash","Offline","Online")</f>
        <v>Online</v>
      </c>
      <c r="Z1935">
        <f>IFERROR(Sales_Table[[#This Row],[Revenue]],0)</f>
        <v>39984</v>
      </c>
    </row>
    <row r="1936" spans="1:26" x14ac:dyDescent="0.3">
      <c r="A1936">
        <v>1935</v>
      </c>
      <c r="B1936" s="2">
        <f t="shared" si="210"/>
        <v>45372.583333333336</v>
      </c>
      <c r="C1936" t="s">
        <v>4324</v>
      </c>
      <c r="D1936" t="s">
        <v>27</v>
      </c>
      <c r="E1936" t="str">
        <f>PROPER(TRIM(CLEAN(Sales_Table[[#This Row],[Region]])))</f>
        <v>East</v>
      </c>
      <c r="F1936" t="s">
        <v>78</v>
      </c>
      <c r="G1936" t="str">
        <f t="shared" si="211"/>
        <v>Grocery</v>
      </c>
      <c r="H1936" t="str">
        <f>PROPER(TRIM(CLEAN(Sales_Table[[#This Row],[Product Name]])))</f>
        <v>Men T-Shirt</v>
      </c>
      <c r="I1936" t="s">
        <v>38</v>
      </c>
      <c r="J1936" t="str">
        <f t="shared" si="212"/>
        <v>CUST0549</v>
      </c>
      <c r="K1936" t="s">
        <v>1927</v>
      </c>
      <c r="L1936" t="str">
        <f>PROPER(TRIM(CLEAN(Sales_Table[[#This Row],[Salesperson]])))</f>
        <v>Karthik</v>
      </c>
      <c r="M1936" t="s">
        <v>70</v>
      </c>
      <c r="N1936" t="str">
        <f t="shared" si="213"/>
        <v>Debit Card</v>
      </c>
      <c r="O1936" t="s">
        <v>41</v>
      </c>
      <c r="P1936">
        <f t="shared" si="214"/>
        <v>9</v>
      </c>
      <c r="Q1936" t="s">
        <v>130</v>
      </c>
      <c r="R1936">
        <f t="shared" si="215"/>
        <v>1551</v>
      </c>
      <c r="S1936" t="s">
        <v>1818</v>
      </c>
      <c r="T1936">
        <f t="shared" si="216"/>
        <v>13959</v>
      </c>
      <c r="U1936">
        <f>YEAR(Sales_Table[[#This Row],[Date_clean]])</f>
        <v>2024</v>
      </c>
      <c r="V1936" t="str">
        <f>TEXT(Sales_Table[[#This Row],[Date_clean]],"mmmm")</f>
        <v>March</v>
      </c>
      <c r="W1936">
        <f>WEEKNUM(Sales_Table[[#This Row],[Date_clean]],2)</f>
        <v>12</v>
      </c>
      <c r="X1936" t="str" cm="1">
        <f t="array" ref="X1936">_xlfn.IFS(Sales_Table[[#This Row],[Revenue]]&gt;=50000,"High",Sales_Table[[#This Row],[Revenue]]&gt;=20000,"Medium",Sales_Table[[#This Row],[Revenue]]&lt;20000,"Low")</f>
        <v>Low</v>
      </c>
      <c r="Y1936" t="str">
        <f>IF(Sales_Table[[#This Row],[Payment Method_clean]]="cash","Offline","Online")</f>
        <v>Online</v>
      </c>
      <c r="Z1936">
        <f>IFERROR(Sales_Table[[#This Row],[Revenue]],0)</f>
        <v>13959</v>
      </c>
    </row>
    <row r="1937" spans="1:26" x14ac:dyDescent="0.3">
      <c r="A1937">
        <v>1936</v>
      </c>
      <c r="B1937" s="2">
        <f t="shared" si="210"/>
        <v>45372.625</v>
      </c>
      <c r="C1937" t="s">
        <v>4325</v>
      </c>
      <c r="D1937" t="s">
        <v>36</v>
      </c>
      <c r="E1937" t="str">
        <f>PROPER(TRIM(CLEAN(Sales_Table[[#This Row],[Region]])))</f>
        <v>West</v>
      </c>
      <c r="F1937" t="s">
        <v>46</v>
      </c>
      <c r="G1937" t="str">
        <f t="shared" si="211"/>
        <v>Electronics</v>
      </c>
      <c r="H1937" t="str">
        <f>PROPER(TRIM(CLEAN(Sales_Table[[#This Row],[Product Name]])))</f>
        <v>Led Tv 42Inch</v>
      </c>
      <c r="I1937" t="s">
        <v>58</v>
      </c>
      <c r="J1937" t="str">
        <f t="shared" si="212"/>
        <v>CUST0074</v>
      </c>
      <c r="K1937" t="s">
        <v>601</v>
      </c>
      <c r="L1937" t="str">
        <f>PROPER(TRIM(CLEAN(Sales_Table[[#This Row],[Salesperson]])))</f>
        <v>Suresh</v>
      </c>
      <c r="M1937" t="s">
        <v>54</v>
      </c>
      <c r="N1937" t="str">
        <f t="shared" si="213"/>
        <v>Cash</v>
      </c>
      <c r="O1937" t="s">
        <v>32</v>
      </c>
      <c r="P1937">
        <f t="shared" si="214"/>
        <v>2</v>
      </c>
      <c r="Q1937" t="s">
        <v>196</v>
      </c>
      <c r="R1937">
        <f t="shared" si="215"/>
        <v>2218</v>
      </c>
      <c r="S1937" t="s">
        <v>4326</v>
      </c>
      <c r="T1937">
        <f t="shared" si="216"/>
        <v>4436</v>
      </c>
      <c r="U1937">
        <f>YEAR(Sales_Table[[#This Row],[Date_clean]])</f>
        <v>2024</v>
      </c>
      <c r="V1937" t="str">
        <f>TEXT(Sales_Table[[#This Row],[Date_clean]],"mmmm")</f>
        <v>March</v>
      </c>
      <c r="W1937">
        <f>WEEKNUM(Sales_Table[[#This Row],[Date_clean]],2)</f>
        <v>12</v>
      </c>
      <c r="X1937" t="str" cm="1">
        <f t="array" ref="X1937">_xlfn.IFS(Sales_Table[[#This Row],[Revenue]]&gt;=50000,"High",Sales_Table[[#This Row],[Revenue]]&gt;=20000,"Medium",Sales_Table[[#This Row],[Revenue]]&lt;20000,"Low")</f>
        <v>Low</v>
      </c>
      <c r="Y1937" t="str">
        <f>IF(Sales_Table[[#This Row],[Payment Method_clean]]="cash","Offline","Online")</f>
        <v>Offline</v>
      </c>
      <c r="Z1937">
        <f>IFERROR(Sales_Table[[#This Row],[Revenue]],0)</f>
        <v>4436</v>
      </c>
    </row>
    <row r="1938" spans="1:26" x14ac:dyDescent="0.3">
      <c r="A1938">
        <v>1937</v>
      </c>
      <c r="B1938" s="2">
        <f t="shared" si="210"/>
        <v>45372.666666666664</v>
      </c>
      <c r="C1938" t="s">
        <v>4327</v>
      </c>
      <c r="D1938" t="s">
        <v>27</v>
      </c>
      <c r="E1938" t="str">
        <f>PROPER(TRIM(CLEAN(Sales_Table[[#This Row],[Region]])))</f>
        <v>East</v>
      </c>
      <c r="F1938" t="s">
        <v>46</v>
      </c>
      <c r="G1938" t="str">
        <f t="shared" si="211"/>
        <v>Electronics</v>
      </c>
      <c r="H1938" t="str">
        <f>PROPER(TRIM(CLEAN(Sales_Table[[#This Row],[Product Name]])))</f>
        <v>Mixer Grinder</v>
      </c>
      <c r="I1938" t="s">
        <v>29</v>
      </c>
      <c r="J1938" t="str">
        <f t="shared" si="212"/>
        <v>CUST0508</v>
      </c>
      <c r="K1938" t="s">
        <v>521</v>
      </c>
      <c r="L1938" t="str">
        <f>PROPER(TRIM(CLEAN(Sales_Table[[#This Row],[Salesperson]])))</f>
        <v>Karthik</v>
      </c>
      <c r="M1938" t="s">
        <v>70</v>
      </c>
      <c r="N1938" t="str">
        <f t="shared" si="213"/>
        <v>Credit Card</v>
      </c>
      <c r="O1938" t="s">
        <v>65</v>
      </c>
      <c r="P1938">
        <f t="shared" si="214"/>
        <v>13</v>
      </c>
      <c r="Q1938" t="s">
        <v>81</v>
      </c>
      <c r="R1938">
        <f t="shared" si="215"/>
        <v>2667</v>
      </c>
      <c r="S1938" t="s">
        <v>1420</v>
      </c>
      <c r="T1938">
        <f t="shared" si="216"/>
        <v>34671</v>
      </c>
      <c r="U1938">
        <f>YEAR(Sales_Table[[#This Row],[Date_clean]])</f>
        <v>2024</v>
      </c>
      <c r="V1938" t="str">
        <f>TEXT(Sales_Table[[#This Row],[Date_clean]],"mmmm")</f>
        <v>March</v>
      </c>
      <c r="W1938">
        <f>WEEKNUM(Sales_Table[[#This Row],[Date_clean]],2)</f>
        <v>12</v>
      </c>
      <c r="X1938" t="str" cm="1">
        <f t="array" ref="X1938">_xlfn.IFS(Sales_Table[[#This Row],[Revenue]]&gt;=50000,"High",Sales_Table[[#This Row],[Revenue]]&gt;=20000,"Medium",Sales_Table[[#This Row],[Revenue]]&lt;20000,"Low")</f>
        <v>Medium</v>
      </c>
      <c r="Y1938" t="str">
        <f>IF(Sales_Table[[#This Row],[Payment Method_clean]]="cash","Offline","Online")</f>
        <v>Online</v>
      </c>
      <c r="Z1938">
        <f>IFERROR(Sales_Table[[#This Row],[Revenue]],0)</f>
        <v>34671</v>
      </c>
    </row>
    <row r="1939" spans="1:26" x14ac:dyDescent="0.3">
      <c r="A1939">
        <v>1938</v>
      </c>
      <c r="B1939" s="2">
        <f t="shared" si="210"/>
        <v>45372.708333333336</v>
      </c>
      <c r="C1939" t="s">
        <v>4328</v>
      </c>
      <c r="D1939" t="s">
        <v>84</v>
      </c>
      <c r="E1939" t="str">
        <f>PROPER(TRIM(CLEAN(Sales_Table[[#This Row],[Region]])))</f>
        <v>South</v>
      </c>
      <c r="F1939" t="s">
        <v>28</v>
      </c>
      <c r="G1939" t="str">
        <f t="shared" si="211"/>
        <v>Clothing</v>
      </c>
      <c r="H1939" t="str">
        <f>PROPER(TRIM(CLEAN(Sales_Table[[#This Row],[Product Name]])))</f>
        <v>Rice 5Kg</v>
      </c>
      <c r="I1939" t="s">
        <v>73</v>
      </c>
      <c r="J1939" t="str">
        <f t="shared" si="212"/>
        <v>CUST0073</v>
      </c>
      <c r="K1939" t="s">
        <v>859</v>
      </c>
      <c r="L1939" t="str">
        <f>PROPER(TRIM(CLEAN(Sales_Table[[#This Row],[Salesperson]])))</f>
        <v>Rahul</v>
      </c>
      <c r="M1939" t="s">
        <v>31</v>
      </c>
      <c r="N1939" t="str">
        <f t="shared" si="213"/>
        <v>Credit Card</v>
      </c>
      <c r="O1939" t="s">
        <v>65</v>
      </c>
      <c r="P1939">
        <f t="shared" si="214"/>
        <v>14</v>
      </c>
      <c r="Q1939" t="s">
        <v>55</v>
      </c>
      <c r="R1939">
        <f t="shared" si="215"/>
        <v>2092</v>
      </c>
      <c r="S1939" t="s">
        <v>3269</v>
      </c>
      <c r="T1939">
        <f t="shared" si="216"/>
        <v>29288</v>
      </c>
      <c r="U1939">
        <f>YEAR(Sales_Table[[#This Row],[Date_clean]])</f>
        <v>2024</v>
      </c>
      <c r="V1939" t="str">
        <f>TEXT(Sales_Table[[#This Row],[Date_clean]],"mmmm")</f>
        <v>March</v>
      </c>
      <c r="W1939">
        <f>WEEKNUM(Sales_Table[[#This Row],[Date_clean]],2)</f>
        <v>12</v>
      </c>
      <c r="X1939" t="str" cm="1">
        <f t="array" ref="X1939">_xlfn.IFS(Sales_Table[[#This Row],[Revenue]]&gt;=50000,"High",Sales_Table[[#This Row],[Revenue]]&gt;=20000,"Medium",Sales_Table[[#This Row],[Revenue]]&lt;20000,"Low")</f>
        <v>Medium</v>
      </c>
      <c r="Y1939" t="str">
        <f>IF(Sales_Table[[#This Row],[Payment Method_clean]]="cash","Offline","Online")</f>
        <v>Online</v>
      </c>
      <c r="Z1939">
        <f>IFERROR(Sales_Table[[#This Row],[Revenue]],0)</f>
        <v>29288</v>
      </c>
    </row>
    <row r="1940" spans="1:26" x14ac:dyDescent="0.3">
      <c r="A1940">
        <v>1939</v>
      </c>
      <c r="B1940" s="2">
        <f t="shared" si="210"/>
        <v>45372.75</v>
      </c>
      <c r="C1940" t="s">
        <v>4329</v>
      </c>
      <c r="D1940" t="s">
        <v>84</v>
      </c>
      <c r="E1940" t="str">
        <f>PROPER(TRIM(CLEAN(Sales_Table[[#This Row],[Region]])))</f>
        <v>South</v>
      </c>
      <c r="F1940" t="s">
        <v>78</v>
      </c>
      <c r="G1940" t="str">
        <f t="shared" si="211"/>
        <v>Grocery</v>
      </c>
      <c r="H1940" t="str">
        <f>PROPER(TRIM(CLEAN(Sales_Table[[#This Row],[Product Name]])))</f>
        <v>Laptop</v>
      </c>
      <c r="I1940" t="s">
        <v>52</v>
      </c>
      <c r="J1940" t="str">
        <f t="shared" si="212"/>
        <v>CUST0308</v>
      </c>
      <c r="K1940" t="s">
        <v>1326</v>
      </c>
      <c r="L1940" t="str">
        <f>PROPER(TRIM(CLEAN(Sales_Table[[#This Row],[Salesperson]])))</f>
        <v>Rahul</v>
      </c>
      <c r="M1940" t="s">
        <v>31</v>
      </c>
      <c r="N1940" t="str">
        <f t="shared" si="213"/>
        <v>Net Banking</v>
      </c>
      <c r="O1940" t="s">
        <v>60</v>
      </c>
      <c r="P1940">
        <f t="shared" si="214"/>
        <v>11</v>
      </c>
      <c r="Q1940" t="s">
        <v>97</v>
      </c>
      <c r="R1940">
        <f t="shared" si="215"/>
        <v>3223</v>
      </c>
      <c r="S1940" t="s">
        <v>4330</v>
      </c>
      <c r="T1940">
        <f t="shared" si="216"/>
        <v>35453</v>
      </c>
      <c r="U1940">
        <f>YEAR(Sales_Table[[#This Row],[Date_clean]])</f>
        <v>2024</v>
      </c>
      <c r="V1940" t="str">
        <f>TEXT(Sales_Table[[#This Row],[Date_clean]],"mmmm")</f>
        <v>March</v>
      </c>
      <c r="W1940">
        <f>WEEKNUM(Sales_Table[[#This Row],[Date_clean]],2)</f>
        <v>12</v>
      </c>
      <c r="X1940" t="str" cm="1">
        <f t="array" ref="X1940">_xlfn.IFS(Sales_Table[[#This Row],[Revenue]]&gt;=50000,"High",Sales_Table[[#This Row],[Revenue]]&gt;=20000,"Medium",Sales_Table[[#This Row],[Revenue]]&lt;20000,"Low")</f>
        <v>Medium</v>
      </c>
      <c r="Y1940" t="str">
        <f>IF(Sales_Table[[#This Row],[Payment Method_clean]]="cash","Offline","Online")</f>
        <v>Online</v>
      </c>
      <c r="Z1940">
        <f>IFERROR(Sales_Table[[#This Row],[Revenue]],0)</f>
        <v>35453</v>
      </c>
    </row>
    <row r="1941" spans="1:26" x14ac:dyDescent="0.3">
      <c r="A1941">
        <v>1940</v>
      </c>
      <c r="B1941" s="2">
        <f t="shared" si="210"/>
        <v>45372.791666666664</v>
      </c>
      <c r="C1941" t="s">
        <v>4331</v>
      </c>
      <c r="D1941" t="s">
        <v>27</v>
      </c>
      <c r="E1941" t="str">
        <f>PROPER(TRIM(CLEAN(Sales_Table[[#This Row],[Region]])))</f>
        <v>East</v>
      </c>
      <c r="F1941" t="s">
        <v>28</v>
      </c>
      <c r="G1941" t="str">
        <f t="shared" si="211"/>
        <v>Clothing</v>
      </c>
      <c r="H1941" t="str">
        <f>PROPER(TRIM(CLEAN(Sales_Table[[#This Row],[Product Name]])))</f>
        <v>Mixer Grinder</v>
      </c>
      <c r="I1941" t="s">
        <v>29</v>
      </c>
      <c r="J1941" t="str">
        <f t="shared" si="212"/>
        <v>CUST0199</v>
      </c>
      <c r="K1941" t="s">
        <v>4332</v>
      </c>
      <c r="L1941" t="str">
        <f>PROPER(TRIM(CLEAN(Sales_Table[[#This Row],[Salesperson]])))</f>
        <v>Rahul</v>
      </c>
      <c r="M1941" t="s">
        <v>31</v>
      </c>
      <c r="N1941" t="str">
        <f t="shared" si="213"/>
        <v>Net Banking</v>
      </c>
      <c r="O1941" t="s">
        <v>60</v>
      </c>
      <c r="P1941">
        <f t="shared" si="214"/>
        <v>4</v>
      </c>
      <c r="Q1941" t="s">
        <v>113</v>
      </c>
      <c r="R1941">
        <f t="shared" si="215"/>
        <v>2440</v>
      </c>
      <c r="S1941" t="s">
        <v>118</v>
      </c>
      <c r="T1941">
        <f t="shared" si="216"/>
        <v>9760</v>
      </c>
      <c r="U1941">
        <f>YEAR(Sales_Table[[#This Row],[Date_clean]])</f>
        <v>2024</v>
      </c>
      <c r="V1941" t="str">
        <f>TEXT(Sales_Table[[#This Row],[Date_clean]],"mmmm")</f>
        <v>March</v>
      </c>
      <c r="W1941">
        <f>WEEKNUM(Sales_Table[[#This Row],[Date_clean]],2)</f>
        <v>12</v>
      </c>
      <c r="X1941" t="str" cm="1">
        <f t="array" ref="X1941">_xlfn.IFS(Sales_Table[[#This Row],[Revenue]]&gt;=50000,"High",Sales_Table[[#This Row],[Revenue]]&gt;=20000,"Medium",Sales_Table[[#This Row],[Revenue]]&lt;20000,"Low")</f>
        <v>Low</v>
      </c>
      <c r="Y1941" t="str">
        <f>IF(Sales_Table[[#This Row],[Payment Method_clean]]="cash","Offline","Online")</f>
        <v>Online</v>
      </c>
      <c r="Z1941">
        <f>IFERROR(Sales_Table[[#This Row],[Revenue]],0)</f>
        <v>9760</v>
      </c>
    </row>
    <row r="1942" spans="1:26" x14ac:dyDescent="0.3">
      <c r="A1942">
        <v>1941</v>
      </c>
      <c r="B1942" s="2">
        <f t="shared" si="210"/>
        <v>45372.833333333336</v>
      </c>
      <c r="C1942" t="s">
        <v>4333</v>
      </c>
      <c r="D1942" t="s">
        <v>27</v>
      </c>
      <c r="E1942" t="str">
        <f>PROPER(TRIM(CLEAN(Sales_Table[[#This Row],[Region]])))</f>
        <v>East</v>
      </c>
      <c r="F1942" t="s">
        <v>78</v>
      </c>
      <c r="G1942" t="str">
        <f t="shared" si="211"/>
        <v>Grocery</v>
      </c>
      <c r="H1942" t="str">
        <f>PROPER(TRIM(CLEAN(Sales_Table[[#This Row],[Product Name]])))</f>
        <v>Rice 5Kg</v>
      </c>
      <c r="I1942" t="s">
        <v>73</v>
      </c>
      <c r="J1942" t="str">
        <f t="shared" si="212"/>
        <v>CUST0130</v>
      </c>
      <c r="K1942" t="s">
        <v>2754</v>
      </c>
      <c r="L1942" t="str">
        <f>PROPER(TRIM(CLEAN(Sales_Table[[#This Row],[Salesperson]])))</f>
        <v>Suresh</v>
      </c>
      <c r="M1942" t="s">
        <v>54</v>
      </c>
      <c r="N1942" t="str">
        <f t="shared" si="213"/>
        <v>Credit Card</v>
      </c>
      <c r="O1942" t="s">
        <v>65</v>
      </c>
      <c r="P1942">
        <f t="shared" si="214"/>
        <v>4</v>
      </c>
      <c r="Q1942" t="s">
        <v>113</v>
      </c>
      <c r="R1942">
        <f t="shared" si="215"/>
        <v>1588</v>
      </c>
      <c r="S1942" t="s">
        <v>4334</v>
      </c>
      <c r="T1942">
        <f t="shared" si="216"/>
        <v>6352</v>
      </c>
      <c r="U1942">
        <f>YEAR(Sales_Table[[#This Row],[Date_clean]])</f>
        <v>2024</v>
      </c>
      <c r="V1942" t="str">
        <f>TEXT(Sales_Table[[#This Row],[Date_clean]],"mmmm")</f>
        <v>March</v>
      </c>
      <c r="W1942">
        <f>WEEKNUM(Sales_Table[[#This Row],[Date_clean]],2)</f>
        <v>12</v>
      </c>
      <c r="X1942" t="str" cm="1">
        <f t="array" ref="X1942">_xlfn.IFS(Sales_Table[[#This Row],[Revenue]]&gt;=50000,"High",Sales_Table[[#This Row],[Revenue]]&gt;=20000,"Medium",Sales_Table[[#This Row],[Revenue]]&lt;20000,"Low")</f>
        <v>Low</v>
      </c>
      <c r="Y1942" t="str">
        <f>IF(Sales_Table[[#This Row],[Payment Method_clean]]="cash","Offline","Online")</f>
        <v>Online</v>
      </c>
      <c r="Z1942">
        <f>IFERROR(Sales_Table[[#This Row],[Revenue]],0)</f>
        <v>6352</v>
      </c>
    </row>
    <row r="1943" spans="1:26" x14ac:dyDescent="0.3">
      <c r="A1943">
        <v>1942</v>
      </c>
      <c r="B1943" s="2">
        <f t="shared" si="210"/>
        <v>45372.875</v>
      </c>
      <c r="C1943" t="s">
        <v>4335</v>
      </c>
      <c r="D1943" t="s">
        <v>36</v>
      </c>
      <c r="E1943" t="str">
        <f>PROPER(TRIM(CLEAN(Sales_Table[[#This Row],[Region]])))</f>
        <v>West</v>
      </c>
      <c r="F1943" t="s">
        <v>46</v>
      </c>
      <c r="G1943" t="str">
        <f t="shared" si="211"/>
        <v>Electronics</v>
      </c>
      <c r="H1943" t="str">
        <f>PROPER(TRIM(CLEAN(Sales_Table[[#This Row],[Product Name]])))</f>
        <v>Rice 5Kg</v>
      </c>
      <c r="I1943" t="s">
        <v>73</v>
      </c>
      <c r="J1943" t="str">
        <f t="shared" si="212"/>
        <v>CUST0758</v>
      </c>
      <c r="K1943" t="s">
        <v>643</v>
      </c>
      <c r="L1943" t="str">
        <f>PROPER(TRIM(CLEAN(Sales_Table[[#This Row],[Salesperson]])))</f>
        <v>Anita</v>
      </c>
      <c r="M1943" t="s">
        <v>64</v>
      </c>
      <c r="N1943" t="str">
        <f t="shared" si="213"/>
        <v>Debit Card</v>
      </c>
      <c r="O1943" t="s">
        <v>41</v>
      </c>
      <c r="P1943">
        <f t="shared" si="214"/>
        <v>2</v>
      </c>
      <c r="Q1943" t="s">
        <v>196</v>
      </c>
      <c r="R1943">
        <f t="shared" si="215"/>
        <v>1673</v>
      </c>
      <c r="S1943" t="s">
        <v>4336</v>
      </c>
      <c r="T1943">
        <f t="shared" si="216"/>
        <v>3346</v>
      </c>
      <c r="U1943">
        <f>YEAR(Sales_Table[[#This Row],[Date_clean]])</f>
        <v>2024</v>
      </c>
      <c r="V1943" t="str">
        <f>TEXT(Sales_Table[[#This Row],[Date_clean]],"mmmm")</f>
        <v>March</v>
      </c>
      <c r="W1943">
        <f>WEEKNUM(Sales_Table[[#This Row],[Date_clean]],2)</f>
        <v>12</v>
      </c>
      <c r="X1943" t="str" cm="1">
        <f t="array" ref="X1943">_xlfn.IFS(Sales_Table[[#This Row],[Revenue]]&gt;=50000,"High",Sales_Table[[#This Row],[Revenue]]&gt;=20000,"Medium",Sales_Table[[#This Row],[Revenue]]&lt;20000,"Low")</f>
        <v>Low</v>
      </c>
      <c r="Y1943" t="str">
        <f>IF(Sales_Table[[#This Row],[Payment Method_clean]]="cash","Offline","Online")</f>
        <v>Online</v>
      </c>
      <c r="Z1943">
        <f>IFERROR(Sales_Table[[#This Row],[Revenue]],0)</f>
        <v>3346</v>
      </c>
    </row>
    <row r="1944" spans="1:26" x14ac:dyDescent="0.3">
      <c r="A1944">
        <v>1943</v>
      </c>
      <c r="B1944" s="2">
        <f t="shared" si="210"/>
        <v>45372.916666666664</v>
      </c>
      <c r="C1944" t="s">
        <v>4337</v>
      </c>
      <c r="D1944" t="s">
        <v>84</v>
      </c>
      <c r="E1944" t="str">
        <f>PROPER(TRIM(CLEAN(Sales_Table[[#This Row],[Region]])))</f>
        <v>South</v>
      </c>
      <c r="F1944" t="s">
        <v>46</v>
      </c>
      <c r="G1944" t="str">
        <f t="shared" si="211"/>
        <v>Electronics</v>
      </c>
      <c r="H1944" t="str">
        <f>PROPER(TRIM(CLEAN(Sales_Table[[#This Row],[Product Name]])))</f>
        <v>Washing Machine</v>
      </c>
      <c r="I1944" t="s">
        <v>79</v>
      </c>
      <c r="J1944" t="str">
        <f t="shared" si="212"/>
        <v>CUST0572</v>
      </c>
      <c r="K1944" t="s">
        <v>2288</v>
      </c>
      <c r="L1944" t="str">
        <f>PROPER(TRIM(CLEAN(Sales_Table[[#This Row],[Salesperson]])))</f>
        <v>Suresh</v>
      </c>
      <c r="M1944" t="s">
        <v>54</v>
      </c>
      <c r="N1944" t="str">
        <f t="shared" si="213"/>
        <v>Debit Card</v>
      </c>
      <c r="O1944" t="s">
        <v>41</v>
      </c>
      <c r="P1944">
        <f t="shared" si="214"/>
        <v>3</v>
      </c>
      <c r="Q1944" t="s">
        <v>66</v>
      </c>
      <c r="R1944">
        <f t="shared" si="215"/>
        <v>2527</v>
      </c>
      <c r="S1944" t="s">
        <v>4338</v>
      </c>
      <c r="T1944">
        <f t="shared" si="216"/>
        <v>7581</v>
      </c>
      <c r="U1944">
        <f>YEAR(Sales_Table[[#This Row],[Date_clean]])</f>
        <v>2024</v>
      </c>
      <c r="V1944" t="str">
        <f>TEXT(Sales_Table[[#This Row],[Date_clean]],"mmmm")</f>
        <v>March</v>
      </c>
      <c r="W1944">
        <f>WEEKNUM(Sales_Table[[#This Row],[Date_clean]],2)</f>
        <v>12</v>
      </c>
      <c r="X1944" t="str" cm="1">
        <f t="array" ref="X1944">_xlfn.IFS(Sales_Table[[#This Row],[Revenue]]&gt;=50000,"High",Sales_Table[[#This Row],[Revenue]]&gt;=20000,"Medium",Sales_Table[[#This Row],[Revenue]]&lt;20000,"Low")</f>
        <v>Low</v>
      </c>
      <c r="Y1944" t="str">
        <f>IF(Sales_Table[[#This Row],[Payment Method_clean]]="cash","Offline","Online")</f>
        <v>Online</v>
      </c>
      <c r="Z1944">
        <f>IFERROR(Sales_Table[[#This Row],[Revenue]],0)</f>
        <v>7581</v>
      </c>
    </row>
    <row r="1945" spans="1:26" x14ac:dyDescent="0.3">
      <c r="A1945">
        <v>1944</v>
      </c>
      <c r="B1945" s="2">
        <f t="shared" si="210"/>
        <v>45372.958333333336</v>
      </c>
      <c r="C1945" t="s">
        <v>4339</v>
      </c>
      <c r="D1945" t="s">
        <v>84</v>
      </c>
      <c r="E1945" t="str">
        <f>PROPER(TRIM(CLEAN(Sales_Table[[#This Row],[Region]])))</f>
        <v>South</v>
      </c>
      <c r="F1945" t="s">
        <v>46</v>
      </c>
      <c r="G1945" t="str">
        <f t="shared" si="211"/>
        <v>Electronics</v>
      </c>
      <c r="H1945" t="str">
        <f>PROPER(TRIM(CLEAN(Sales_Table[[#This Row],[Product Name]])))</f>
        <v>Rice 5Kg</v>
      </c>
      <c r="I1945" t="s">
        <v>73</v>
      </c>
      <c r="J1945" t="str">
        <f t="shared" si="212"/>
        <v>CUST0791</v>
      </c>
      <c r="K1945" t="s">
        <v>288</v>
      </c>
      <c r="L1945" t="str">
        <f>PROPER(TRIM(CLEAN(Sales_Table[[#This Row],[Salesperson]])))</f>
        <v>Suresh</v>
      </c>
      <c r="M1945" t="s">
        <v>54</v>
      </c>
      <c r="N1945" t="str">
        <f t="shared" si="213"/>
        <v>Upi</v>
      </c>
      <c r="O1945" t="s">
        <v>48</v>
      </c>
      <c r="P1945">
        <f t="shared" si="214"/>
        <v>11</v>
      </c>
      <c r="Q1945" t="s">
        <v>97</v>
      </c>
      <c r="R1945">
        <f t="shared" si="215"/>
        <v>1866</v>
      </c>
      <c r="S1945" t="s">
        <v>4340</v>
      </c>
      <c r="T1945">
        <f t="shared" si="216"/>
        <v>20526</v>
      </c>
      <c r="U1945">
        <f>YEAR(Sales_Table[[#This Row],[Date_clean]])</f>
        <v>2024</v>
      </c>
      <c r="V1945" t="str">
        <f>TEXT(Sales_Table[[#This Row],[Date_clean]],"mmmm")</f>
        <v>March</v>
      </c>
      <c r="W1945">
        <f>WEEKNUM(Sales_Table[[#This Row],[Date_clean]],2)</f>
        <v>12</v>
      </c>
      <c r="X1945" t="str" cm="1">
        <f t="array" ref="X1945">_xlfn.IFS(Sales_Table[[#This Row],[Revenue]]&gt;=50000,"High",Sales_Table[[#This Row],[Revenue]]&gt;=20000,"Medium",Sales_Table[[#This Row],[Revenue]]&lt;20000,"Low")</f>
        <v>Medium</v>
      </c>
      <c r="Y1945" t="str">
        <f>IF(Sales_Table[[#This Row],[Payment Method_clean]]="cash","Offline","Online")</f>
        <v>Online</v>
      </c>
      <c r="Z1945">
        <f>IFERROR(Sales_Table[[#This Row],[Revenue]],0)</f>
        <v>20526</v>
      </c>
    </row>
    <row r="1946" spans="1:26" x14ac:dyDescent="0.3">
      <c r="A1946">
        <v>1945</v>
      </c>
      <c r="B1946" s="2">
        <f t="shared" si="210"/>
        <v>45373</v>
      </c>
      <c r="C1946" t="s">
        <v>4341</v>
      </c>
      <c r="D1946" t="s">
        <v>45</v>
      </c>
      <c r="E1946" t="str">
        <f>PROPER(TRIM(CLEAN(Sales_Table[[#This Row],[Region]])))</f>
        <v>North</v>
      </c>
      <c r="F1946" t="s">
        <v>78</v>
      </c>
      <c r="G1946" t="str">
        <f t="shared" si="211"/>
        <v>Grocery</v>
      </c>
      <c r="H1946" t="str">
        <f>PROPER(TRIM(CLEAN(Sales_Table[[#This Row],[Product Name]])))</f>
        <v>Laptop</v>
      </c>
      <c r="I1946" t="s">
        <v>52</v>
      </c>
      <c r="J1946" t="str">
        <f t="shared" si="212"/>
        <v>CUST0615</v>
      </c>
      <c r="K1946" t="s">
        <v>1563</v>
      </c>
      <c r="L1946" t="str">
        <f>PROPER(TRIM(CLEAN(Sales_Table[[#This Row],[Salesperson]])))</f>
        <v>Meena</v>
      </c>
      <c r="M1946" t="s">
        <v>40</v>
      </c>
      <c r="N1946" t="str">
        <f t="shared" si="213"/>
        <v>Upi</v>
      </c>
      <c r="O1946" t="s">
        <v>48</v>
      </c>
      <c r="P1946">
        <f t="shared" si="214"/>
        <v>14</v>
      </c>
      <c r="Q1946" t="s">
        <v>55</v>
      </c>
      <c r="R1946">
        <f t="shared" si="215"/>
        <v>3649</v>
      </c>
      <c r="S1946" t="s">
        <v>4342</v>
      </c>
      <c r="T1946">
        <f t="shared" si="216"/>
        <v>51086</v>
      </c>
      <c r="U1946">
        <f>YEAR(Sales_Table[[#This Row],[Date_clean]])</f>
        <v>2024</v>
      </c>
      <c r="V1946" t="str">
        <f>TEXT(Sales_Table[[#This Row],[Date_clean]],"mmmm")</f>
        <v>March</v>
      </c>
      <c r="W1946">
        <f>WEEKNUM(Sales_Table[[#This Row],[Date_clean]],2)</f>
        <v>12</v>
      </c>
      <c r="X1946" t="str" cm="1">
        <f t="array" ref="X1946">_xlfn.IFS(Sales_Table[[#This Row],[Revenue]]&gt;=50000,"High",Sales_Table[[#This Row],[Revenue]]&gt;=20000,"Medium",Sales_Table[[#This Row],[Revenue]]&lt;20000,"Low")</f>
        <v>High</v>
      </c>
      <c r="Y1946" t="str">
        <f>IF(Sales_Table[[#This Row],[Payment Method_clean]]="cash","Offline","Online")</f>
        <v>Online</v>
      </c>
      <c r="Z1946">
        <f>IFERROR(Sales_Table[[#This Row],[Revenue]],0)</f>
        <v>51086</v>
      </c>
    </row>
    <row r="1947" spans="1:26" x14ac:dyDescent="0.3">
      <c r="A1947">
        <v>1946</v>
      </c>
      <c r="B1947" s="2">
        <f t="shared" si="210"/>
        <v>45373.041666666664</v>
      </c>
      <c r="C1947" t="s">
        <v>4343</v>
      </c>
      <c r="D1947" t="s">
        <v>36</v>
      </c>
      <c r="E1947" t="str">
        <f>PROPER(TRIM(CLEAN(Sales_Table[[#This Row],[Region]])))</f>
        <v>West</v>
      </c>
      <c r="F1947" t="s">
        <v>46</v>
      </c>
      <c r="G1947" t="str">
        <f t="shared" si="211"/>
        <v>Electronics</v>
      </c>
      <c r="H1947" t="str">
        <f>PROPER(TRIM(CLEAN(Sales_Table[[#This Row],[Product Name]])))</f>
        <v>Rice 5Kg</v>
      </c>
      <c r="I1947" t="s">
        <v>73</v>
      </c>
      <c r="J1947" t="str">
        <f t="shared" si="212"/>
        <v>CUST0487</v>
      </c>
      <c r="K1947" t="s">
        <v>1347</v>
      </c>
      <c r="L1947" t="str">
        <f>PROPER(TRIM(CLEAN(Sales_Table[[#This Row],[Salesperson]])))</f>
        <v>Meena</v>
      </c>
      <c r="M1947" t="s">
        <v>40</v>
      </c>
      <c r="N1947" t="str">
        <f t="shared" si="213"/>
        <v>Net Banking</v>
      </c>
      <c r="O1947" t="s">
        <v>60</v>
      </c>
      <c r="P1947">
        <f t="shared" si="214"/>
        <v>14</v>
      </c>
      <c r="Q1947" t="s">
        <v>55</v>
      </c>
      <c r="R1947">
        <f t="shared" si="215"/>
        <v>2409</v>
      </c>
      <c r="S1947" t="s">
        <v>4344</v>
      </c>
      <c r="T1947">
        <f t="shared" si="216"/>
        <v>33726</v>
      </c>
      <c r="U1947">
        <f>YEAR(Sales_Table[[#This Row],[Date_clean]])</f>
        <v>2024</v>
      </c>
      <c r="V1947" t="str">
        <f>TEXT(Sales_Table[[#This Row],[Date_clean]],"mmmm")</f>
        <v>March</v>
      </c>
      <c r="W1947">
        <f>WEEKNUM(Sales_Table[[#This Row],[Date_clean]],2)</f>
        <v>12</v>
      </c>
      <c r="X1947" t="str" cm="1">
        <f t="array" ref="X1947">_xlfn.IFS(Sales_Table[[#This Row],[Revenue]]&gt;=50000,"High",Sales_Table[[#This Row],[Revenue]]&gt;=20000,"Medium",Sales_Table[[#This Row],[Revenue]]&lt;20000,"Low")</f>
        <v>Medium</v>
      </c>
      <c r="Y1947" t="str">
        <f>IF(Sales_Table[[#This Row],[Payment Method_clean]]="cash","Offline","Online")</f>
        <v>Online</v>
      </c>
      <c r="Z1947">
        <f>IFERROR(Sales_Table[[#This Row],[Revenue]],0)</f>
        <v>33726</v>
      </c>
    </row>
    <row r="1948" spans="1:26" x14ac:dyDescent="0.3">
      <c r="A1948">
        <v>1947</v>
      </c>
      <c r="B1948" s="2">
        <f t="shared" si="210"/>
        <v>45373.083333333336</v>
      </c>
      <c r="C1948" t="s">
        <v>4345</v>
      </c>
      <c r="D1948" t="s">
        <v>45</v>
      </c>
      <c r="E1948" t="str">
        <f>PROPER(TRIM(CLEAN(Sales_Table[[#This Row],[Region]])))</f>
        <v>North</v>
      </c>
      <c r="F1948" t="s">
        <v>78</v>
      </c>
      <c r="G1948" t="str">
        <f t="shared" si="211"/>
        <v>Grocery</v>
      </c>
      <c r="H1948" t="str">
        <f>PROPER(TRIM(CLEAN(Sales_Table[[#This Row],[Product Name]])))</f>
        <v>Men T-Shirt</v>
      </c>
      <c r="I1948" t="s">
        <v>38</v>
      </c>
      <c r="J1948" t="str">
        <f t="shared" si="212"/>
        <v>CUST0151</v>
      </c>
      <c r="K1948" t="s">
        <v>4346</v>
      </c>
      <c r="L1948" t="str">
        <f>PROPER(TRIM(CLEAN(Sales_Table[[#This Row],[Salesperson]])))</f>
        <v>Suresh</v>
      </c>
      <c r="M1948" t="s">
        <v>54</v>
      </c>
      <c r="N1948" t="str">
        <f t="shared" si="213"/>
        <v>Credit Card</v>
      </c>
      <c r="O1948" t="s">
        <v>65</v>
      </c>
      <c r="P1948">
        <f t="shared" si="214"/>
        <v>13</v>
      </c>
      <c r="Q1948" t="s">
        <v>81</v>
      </c>
      <c r="R1948">
        <f t="shared" si="215"/>
        <v>4775</v>
      </c>
      <c r="S1948" t="s">
        <v>1218</v>
      </c>
      <c r="T1948">
        <f t="shared" si="216"/>
        <v>62075</v>
      </c>
      <c r="U1948">
        <f>YEAR(Sales_Table[[#This Row],[Date_clean]])</f>
        <v>2024</v>
      </c>
      <c r="V1948" t="str">
        <f>TEXT(Sales_Table[[#This Row],[Date_clean]],"mmmm")</f>
        <v>March</v>
      </c>
      <c r="W1948">
        <f>WEEKNUM(Sales_Table[[#This Row],[Date_clean]],2)</f>
        <v>12</v>
      </c>
      <c r="X1948" t="str" cm="1">
        <f t="array" ref="X1948">_xlfn.IFS(Sales_Table[[#This Row],[Revenue]]&gt;=50000,"High",Sales_Table[[#This Row],[Revenue]]&gt;=20000,"Medium",Sales_Table[[#This Row],[Revenue]]&lt;20000,"Low")</f>
        <v>High</v>
      </c>
      <c r="Y1948" t="str">
        <f>IF(Sales_Table[[#This Row],[Payment Method_clean]]="cash","Offline","Online")</f>
        <v>Online</v>
      </c>
      <c r="Z1948">
        <f>IFERROR(Sales_Table[[#This Row],[Revenue]],0)</f>
        <v>62075</v>
      </c>
    </row>
    <row r="1949" spans="1:26" x14ac:dyDescent="0.3">
      <c r="A1949">
        <v>1948</v>
      </c>
      <c r="B1949" s="2">
        <f t="shared" si="210"/>
        <v>45373.125</v>
      </c>
      <c r="C1949" t="s">
        <v>4347</v>
      </c>
      <c r="D1949" t="s">
        <v>84</v>
      </c>
      <c r="E1949" t="str">
        <f>PROPER(TRIM(CLEAN(Sales_Table[[#This Row],[Region]])))</f>
        <v>South</v>
      </c>
      <c r="F1949" t="s">
        <v>28</v>
      </c>
      <c r="G1949" t="str">
        <f t="shared" si="211"/>
        <v>Clothing</v>
      </c>
      <c r="H1949" t="str">
        <f>PROPER(TRIM(CLEAN(Sales_Table[[#This Row],[Product Name]])))</f>
        <v>Mixer Grinder</v>
      </c>
      <c r="I1949" t="s">
        <v>29</v>
      </c>
      <c r="J1949" t="str">
        <f t="shared" si="212"/>
        <v>CUST0669</v>
      </c>
      <c r="K1949" t="s">
        <v>4348</v>
      </c>
      <c r="L1949" t="str">
        <f>PROPER(TRIM(CLEAN(Sales_Table[[#This Row],[Salesperson]])))</f>
        <v>Karthik</v>
      </c>
      <c r="M1949" t="s">
        <v>70</v>
      </c>
      <c r="N1949" t="str">
        <f t="shared" si="213"/>
        <v>Debit Card</v>
      </c>
      <c r="O1949" t="s">
        <v>41</v>
      </c>
      <c r="P1949">
        <f t="shared" si="214"/>
        <v>8</v>
      </c>
      <c r="Q1949" t="s">
        <v>42</v>
      </c>
      <c r="R1949">
        <f t="shared" si="215"/>
        <v>2504</v>
      </c>
      <c r="S1949" t="s">
        <v>4147</v>
      </c>
      <c r="T1949">
        <f t="shared" si="216"/>
        <v>20032</v>
      </c>
      <c r="U1949">
        <f>YEAR(Sales_Table[[#This Row],[Date_clean]])</f>
        <v>2024</v>
      </c>
      <c r="V1949" t="str">
        <f>TEXT(Sales_Table[[#This Row],[Date_clean]],"mmmm")</f>
        <v>March</v>
      </c>
      <c r="W1949">
        <f>WEEKNUM(Sales_Table[[#This Row],[Date_clean]],2)</f>
        <v>12</v>
      </c>
      <c r="X1949" t="str" cm="1">
        <f t="array" ref="X1949">_xlfn.IFS(Sales_Table[[#This Row],[Revenue]]&gt;=50000,"High",Sales_Table[[#This Row],[Revenue]]&gt;=20000,"Medium",Sales_Table[[#This Row],[Revenue]]&lt;20000,"Low")</f>
        <v>Medium</v>
      </c>
      <c r="Y1949" t="str">
        <f>IF(Sales_Table[[#This Row],[Payment Method_clean]]="cash","Offline","Online")</f>
        <v>Online</v>
      </c>
      <c r="Z1949">
        <f>IFERROR(Sales_Table[[#This Row],[Revenue]],0)</f>
        <v>20032</v>
      </c>
    </row>
    <row r="1950" spans="1:26" x14ac:dyDescent="0.3">
      <c r="A1950">
        <v>1949</v>
      </c>
      <c r="B1950" s="2">
        <f t="shared" si="210"/>
        <v>45373.166666666664</v>
      </c>
      <c r="C1950" t="s">
        <v>4349</v>
      </c>
      <c r="D1950" t="s">
        <v>36</v>
      </c>
      <c r="E1950" t="str">
        <f>PROPER(TRIM(CLEAN(Sales_Table[[#This Row],[Region]])))</f>
        <v>West</v>
      </c>
      <c r="F1950" t="s">
        <v>78</v>
      </c>
      <c r="G1950" t="str">
        <f t="shared" si="211"/>
        <v>Grocery</v>
      </c>
      <c r="H1950" t="str">
        <f>PROPER(TRIM(CLEAN(Sales_Table[[#This Row],[Product Name]])))</f>
        <v>Men T-Shirt</v>
      </c>
      <c r="I1950" t="s">
        <v>38</v>
      </c>
      <c r="J1950" t="str">
        <f t="shared" si="212"/>
        <v>CUST0206</v>
      </c>
      <c r="K1950" t="s">
        <v>1293</v>
      </c>
      <c r="L1950" t="str">
        <f>PROPER(TRIM(CLEAN(Sales_Table[[#This Row],[Salesperson]])))</f>
        <v>Meena</v>
      </c>
      <c r="M1950" t="s">
        <v>40</v>
      </c>
      <c r="N1950" t="str">
        <f t="shared" si="213"/>
        <v>Credit Card</v>
      </c>
      <c r="O1950" t="s">
        <v>65</v>
      </c>
      <c r="P1950">
        <f t="shared" si="214"/>
        <v>12</v>
      </c>
      <c r="Q1950" t="s">
        <v>33</v>
      </c>
      <c r="R1950">
        <f t="shared" si="215"/>
        <v>1542</v>
      </c>
      <c r="S1950" t="s">
        <v>4350</v>
      </c>
      <c r="T1950">
        <f t="shared" si="216"/>
        <v>18504</v>
      </c>
      <c r="U1950">
        <f>YEAR(Sales_Table[[#This Row],[Date_clean]])</f>
        <v>2024</v>
      </c>
      <c r="V1950" t="str">
        <f>TEXT(Sales_Table[[#This Row],[Date_clean]],"mmmm")</f>
        <v>March</v>
      </c>
      <c r="W1950">
        <f>WEEKNUM(Sales_Table[[#This Row],[Date_clean]],2)</f>
        <v>12</v>
      </c>
      <c r="X1950" t="str" cm="1">
        <f t="array" ref="X1950">_xlfn.IFS(Sales_Table[[#This Row],[Revenue]]&gt;=50000,"High",Sales_Table[[#This Row],[Revenue]]&gt;=20000,"Medium",Sales_Table[[#This Row],[Revenue]]&lt;20000,"Low")</f>
        <v>Low</v>
      </c>
      <c r="Y1950" t="str">
        <f>IF(Sales_Table[[#This Row],[Payment Method_clean]]="cash","Offline","Online")</f>
        <v>Online</v>
      </c>
      <c r="Z1950">
        <f>IFERROR(Sales_Table[[#This Row],[Revenue]],0)</f>
        <v>18504</v>
      </c>
    </row>
    <row r="1951" spans="1:26" x14ac:dyDescent="0.3">
      <c r="A1951">
        <v>1950</v>
      </c>
      <c r="B1951" s="2">
        <f t="shared" si="210"/>
        <v>45373.208333333336</v>
      </c>
      <c r="C1951" t="s">
        <v>4351</v>
      </c>
      <c r="D1951" t="s">
        <v>27</v>
      </c>
      <c r="E1951" t="str">
        <f>PROPER(TRIM(CLEAN(Sales_Table[[#This Row],[Region]])))</f>
        <v>East</v>
      </c>
      <c r="F1951" t="s">
        <v>28</v>
      </c>
      <c r="G1951" t="str">
        <f t="shared" si="211"/>
        <v>Clothing</v>
      </c>
      <c r="H1951" t="str">
        <f>PROPER(TRIM(CLEAN(Sales_Table[[#This Row],[Product Name]])))</f>
        <v>Laptop</v>
      </c>
      <c r="I1951" t="s">
        <v>52</v>
      </c>
      <c r="J1951" t="str">
        <f t="shared" si="212"/>
        <v>CUST0179</v>
      </c>
      <c r="K1951" t="s">
        <v>862</v>
      </c>
      <c r="L1951" t="str">
        <f>PROPER(TRIM(CLEAN(Sales_Table[[#This Row],[Salesperson]])))</f>
        <v>Suresh</v>
      </c>
      <c r="M1951" t="s">
        <v>54</v>
      </c>
      <c r="N1951" t="str">
        <f t="shared" si="213"/>
        <v>Cash</v>
      </c>
      <c r="O1951" t="s">
        <v>32</v>
      </c>
      <c r="P1951">
        <f t="shared" si="214"/>
        <v>9</v>
      </c>
      <c r="Q1951" t="s">
        <v>130</v>
      </c>
      <c r="R1951">
        <f t="shared" si="215"/>
        <v>4893</v>
      </c>
      <c r="S1951" t="s">
        <v>4352</v>
      </c>
      <c r="T1951">
        <f t="shared" si="216"/>
        <v>44037</v>
      </c>
      <c r="U1951">
        <f>YEAR(Sales_Table[[#This Row],[Date_clean]])</f>
        <v>2024</v>
      </c>
      <c r="V1951" t="str">
        <f>TEXT(Sales_Table[[#This Row],[Date_clean]],"mmmm")</f>
        <v>March</v>
      </c>
      <c r="W1951">
        <f>WEEKNUM(Sales_Table[[#This Row],[Date_clean]],2)</f>
        <v>12</v>
      </c>
      <c r="X1951" t="str" cm="1">
        <f t="array" ref="X1951">_xlfn.IFS(Sales_Table[[#This Row],[Revenue]]&gt;=50000,"High",Sales_Table[[#This Row],[Revenue]]&gt;=20000,"Medium",Sales_Table[[#This Row],[Revenue]]&lt;20000,"Low")</f>
        <v>Medium</v>
      </c>
      <c r="Y1951" t="str">
        <f>IF(Sales_Table[[#This Row],[Payment Method_clean]]="cash","Offline","Online")</f>
        <v>Offline</v>
      </c>
      <c r="Z1951">
        <f>IFERROR(Sales_Table[[#This Row],[Revenue]],0)</f>
        <v>44037</v>
      </c>
    </row>
    <row r="1952" spans="1:26" x14ac:dyDescent="0.3">
      <c r="A1952">
        <v>1951</v>
      </c>
      <c r="B1952" s="2">
        <f t="shared" si="210"/>
        <v>45373.25</v>
      </c>
      <c r="C1952" t="s">
        <v>4353</v>
      </c>
      <c r="D1952" t="s">
        <v>36</v>
      </c>
      <c r="E1952" t="str">
        <f>PROPER(TRIM(CLEAN(Sales_Table[[#This Row],[Region]])))</f>
        <v>West</v>
      </c>
      <c r="F1952" t="s">
        <v>78</v>
      </c>
      <c r="G1952" t="str">
        <f t="shared" si="211"/>
        <v>Grocery</v>
      </c>
      <c r="H1952" t="str">
        <f>PROPER(TRIM(CLEAN(Sales_Table[[#This Row],[Product Name]])))</f>
        <v>Rice 5Kg</v>
      </c>
      <c r="I1952" t="s">
        <v>73</v>
      </c>
      <c r="J1952" t="str">
        <f t="shared" si="212"/>
        <v>CUST0197</v>
      </c>
      <c r="K1952" t="s">
        <v>1936</v>
      </c>
      <c r="L1952" t="str">
        <f>PROPER(TRIM(CLEAN(Sales_Table[[#This Row],[Salesperson]])))</f>
        <v>Anita</v>
      </c>
      <c r="M1952" t="s">
        <v>64</v>
      </c>
      <c r="N1952" t="str">
        <f t="shared" si="213"/>
        <v>Credit Card</v>
      </c>
      <c r="O1952" t="s">
        <v>65</v>
      </c>
      <c r="P1952">
        <f t="shared" si="214"/>
        <v>6</v>
      </c>
      <c r="Q1952" t="s">
        <v>75</v>
      </c>
      <c r="R1952">
        <f t="shared" si="215"/>
        <v>2076</v>
      </c>
      <c r="S1952" t="s">
        <v>4354</v>
      </c>
      <c r="T1952">
        <f t="shared" si="216"/>
        <v>12456</v>
      </c>
      <c r="U1952">
        <f>YEAR(Sales_Table[[#This Row],[Date_clean]])</f>
        <v>2024</v>
      </c>
      <c r="V1952" t="str">
        <f>TEXT(Sales_Table[[#This Row],[Date_clean]],"mmmm")</f>
        <v>March</v>
      </c>
      <c r="W1952">
        <f>WEEKNUM(Sales_Table[[#This Row],[Date_clean]],2)</f>
        <v>12</v>
      </c>
      <c r="X1952" t="str" cm="1">
        <f t="array" ref="X1952">_xlfn.IFS(Sales_Table[[#This Row],[Revenue]]&gt;=50000,"High",Sales_Table[[#This Row],[Revenue]]&gt;=20000,"Medium",Sales_Table[[#This Row],[Revenue]]&lt;20000,"Low")</f>
        <v>Low</v>
      </c>
      <c r="Y1952" t="str">
        <f>IF(Sales_Table[[#This Row],[Payment Method_clean]]="cash","Offline","Online")</f>
        <v>Online</v>
      </c>
      <c r="Z1952">
        <f>IFERROR(Sales_Table[[#This Row],[Revenue]],0)</f>
        <v>12456</v>
      </c>
    </row>
    <row r="1953" spans="1:26" x14ac:dyDescent="0.3">
      <c r="A1953">
        <v>1952</v>
      </c>
      <c r="B1953" s="2">
        <f t="shared" si="210"/>
        <v>45373.291666666664</v>
      </c>
      <c r="C1953" t="s">
        <v>4355</v>
      </c>
      <c r="D1953" t="s">
        <v>27</v>
      </c>
      <c r="E1953" t="str">
        <f>PROPER(TRIM(CLEAN(Sales_Table[[#This Row],[Region]])))</f>
        <v>East</v>
      </c>
      <c r="F1953" t="s">
        <v>28</v>
      </c>
      <c r="G1953" t="str">
        <f t="shared" si="211"/>
        <v>Clothing</v>
      </c>
      <c r="H1953" t="str">
        <f>PROPER(TRIM(CLEAN(Sales_Table[[#This Row],[Product Name]])))</f>
        <v>Laptop</v>
      </c>
      <c r="I1953" t="s">
        <v>52</v>
      </c>
      <c r="J1953" t="str">
        <f t="shared" si="212"/>
        <v>CUST0735</v>
      </c>
      <c r="K1953" t="s">
        <v>1092</v>
      </c>
      <c r="L1953" t="str">
        <f>PROPER(TRIM(CLEAN(Sales_Table[[#This Row],[Salesperson]])))</f>
        <v>Karthik</v>
      </c>
      <c r="M1953" t="s">
        <v>70</v>
      </c>
      <c r="N1953" t="str">
        <f t="shared" si="213"/>
        <v>Cash</v>
      </c>
      <c r="O1953" t="s">
        <v>32</v>
      </c>
      <c r="P1953">
        <f t="shared" si="214"/>
        <v>10</v>
      </c>
      <c r="Q1953" t="s">
        <v>117</v>
      </c>
      <c r="R1953">
        <f t="shared" si="215"/>
        <v>4073</v>
      </c>
      <c r="S1953" t="s">
        <v>2381</v>
      </c>
      <c r="T1953">
        <f t="shared" si="216"/>
        <v>40730</v>
      </c>
      <c r="U1953">
        <f>YEAR(Sales_Table[[#This Row],[Date_clean]])</f>
        <v>2024</v>
      </c>
      <c r="V1953" t="str">
        <f>TEXT(Sales_Table[[#This Row],[Date_clean]],"mmmm")</f>
        <v>March</v>
      </c>
      <c r="W1953">
        <f>WEEKNUM(Sales_Table[[#This Row],[Date_clean]],2)</f>
        <v>12</v>
      </c>
      <c r="X1953" t="str" cm="1">
        <f t="array" ref="X1953">_xlfn.IFS(Sales_Table[[#This Row],[Revenue]]&gt;=50000,"High",Sales_Table[[#This Row],[Revenue]]&gt;=20000,"Medium",Sales_Table[[#This Row],[Revenue]]&lt;20000,"Low")</f>
        <v>Medium</v>
      </c>
      <c r="Y1953" t="str">
        <f>IF(Sales_Table[[#This Row],[Payment Method_clean]]="cash","Offline","Online")</f>
        <v>Offline</v>
      </c>
      <c r="Z1953">
        <f>IFERROR(Sales_Table[[#This Row],[Revenue]],0)</f>
        <v>40730</v>
      </c>
    </row>
    <row r="1954" spans="1:26" x14ac:dyDescent="0.3">
      <c r="A1954">
        <v>1953</v>
      </c>
      <c r="B1954" s="2">
        <f t="shared" si="210"/>
        <v>45373.333333333336</v>
      </c>
      <c r="C1954" t="s">
        <v>4356</v>
      </c>
      <c r="D1954" t="s">
        <v>27</v>
      </c>
      <c r="E1954" t="str">
        <f>PROPER(TRIM(CLEAN(Sales_Table[[#This Row],[Region]])))</f>
        <v>East</v>
      </c>
      <c r="F1954" t="s">
        <v>46</v>
      </c>
      <c r="G1954" t="str">
        <f t="shared" si="211"/>
        <v>Electronics</v>
      </c>
      <c r="H1954" t="str">
        <f>PROPER(TRIM(CLEAN(Sales_Table[[#This Row],[Product Name]])))</f>
        <v>Washing Machine</v>
      </c>
      <c r="I1954" t="s">
        <v>79</v>
      </c>
      <c r="J1954" t="str">
        <f t="shared" si="212"/>
        <v>CUST0089</v>
      </c>
      <c r="K1954" t="s">
        <v>1114</v>
      </c>
      <c r="L1954" t="str">
        <f>PROPER(TRIM(CLEAN(Sales_Table[[#This Row],[Salesperson]])))</f>
        <v>Rahul</v>
      </c>
      <c r="M1954" t="s">
        <v>31</v>
      </c>
      <c r="N1954" t="str">
        <f t="shared" si="213"/>
        <v>Upi</v>
      </c>
      <c r="O1954" t="s">
        <v>48</v>
      </c>
      <c r="P1954">
        <f t="shared" si="214"/>
        <v>2</v>
      </c>
      <c r="Q1954" t="s">
        <v>196</v>
      </c>
      <c r="R1954">
        <f t="shared" si="215"/>
        <v>2590</v>
      </c>
      <c r="S1954" t="s">
        <v>1310</v>
      </c>
      <c r="T1954">
        <f t="shared" si="216"/>
        <v>5180</v>
      </c>
      <c r="U1954">
        <f>YEAR(Sales_Table[[#This Row],[Date_clean]])</f>
        <v>2024</v>
      </c>
      <c r="V1954" t="str">
        <f>TEXT(Sales_Table[[#This Row],[Date_clean]],"mmmm")</f>
        <v>March</v>
      </c>
      <c r="W1954">
        <f>WEEKNUM(Sales_Table[[#This Row],[Date_clean]],2)</f>
        <v>12</v>
      </c>
      <c r="X1954" t="str" cm="1">
        <f t="array" ref="X1954">_xlfn.IFS(Sales_Table[[#This Row],[Revenue]]&gt;=50000,"High",Sales_Table[[#This Row],[Revenue]]&gt;=20000,"Medium",Sales_Table[[#This Row],[Revenue]]&lt;20000,"Low")</f>
        <v>Low</v>
      </c>
      <c r="Y1954" t="str">
        <f>IF(Sales_Table[[#This Row],[Payment Method_clean]]="cash","Offline","Online")</f>
        <v>Online</v>
      </c>
      <c r="Z1954">
        <f>IFERROR(Sales_Table[[#This Row],[Revenue]],0)</f>
        <v>5180</v>
      </c>
    </row>
    <row r="1955" spans="1:26" x14ac:dyDescent="0.3">
      <c r="A1955">
        <v>1954</v>
      </c>
      <c r="B1955" s="2">
        <f t="shared" si="210"/>
        <v>45373.375</v>
      </c>
      <c r="C1955" t="s">
        <v>4357</v>
      </c>
      <c r="D1955" t="s">
        <v>36</v>
      </c>
      <c r="E1955" t="str">
        <f>PROPER(TRIM(CLEAN(Sales_Table[[#This Row],[Region]])))</f>
        <v>West</v>
      </c>
      <c r="F1955" t="s">
        <v>28</v>
      </c>
      <c r="G1955" t="str">
        <f t="shared" si="211"/>
        <v>Clothing</v>
      </c>
      <c r="H1955" t="str">
        <f>PROPER(TRIM(CLEAN(Sales_Table[[#This Row],[Product Name]])))</f>
        <v>Men T-Shirt</v>
      </c>
      <c r="I1955" t="s">
        <v>38</v>
      </c>
      <c r="J1955" t="str">
        <f t="shared" si="212"/>
        <v>CUST0799</v>
      </c>
      <c r="K1955" t="s">
        <v>479</v>
      </c>
      <c r="L1955" t="str">
        <f>PROPER(TRIM(CLEAN(Sales_Table[[#This Row],[Salesperson]])))</f>
        <v>Suresh</v>
      </c>
      <c r="M1955" t="s">
        <v>54</v>
      </c>
      <c r="N1955" t="str">
        <f t="shared" si="213"/>
        <v>Upi</v>
      </c>
      <c r="O1955" t="s">
        <v>48</v>
      </c>
      <c r="P1955">
        <f t="shared" si="214"/>
        <v>2</v>
      </c>
      <c r="Q1955" t="s">
        <v>196</v>
      </c>
      <c r="R1955">
        <f t="shared" si="215"/>
        <v>825</v>
      </c>
      <c r="S1955" t="s">
        <v>4358</v>
      </c>
      <c r="T1955">
        <f t="shared" si="216"/>
        <v>1650</v>
      </c>
      <c r="U1955">
        <f>YEAR(Sales_Table[[#This Row],[Date_clean]])</f>
        <v>2024</v>
      </c>
      <c r="V1955" t="str">
        <f>TEXT(Sales_Table[[#This Row],[Date_clean]],"mmmm")</f>
        <v>March</v>
      </c>
      <c r="W1955">
        <f>WEEKNUM(Sales_Table[[#This Row],[Date_clean]],2)</f>
        <v>12</v>
      </c>
      <c r="X1955" t="str" cm="1">
        <f t="array" ref="X1955">_xlfn.IFS(Sales_Table[[#This Row],[Revenue]]&gt;=50000,"High",Sales_Table[[#This Row],[Revenue]]&gt;=20000,"Medium",Sales_Table[[#This Row],[Revenue]]&lt;20000,"Low")</f>
        <v>Low</v>
      </c>
      <c r="Y1955" t="str">
        <f>IF(Sales_Table[[#This Row],[Payment Method_clean]]="cash","Offline","Online")</f>
        <v>Online</v>
      </c>
      <c r="Z1955">
        <f>IFERROR(Sales_Table[[#This Row],[Revenue]],0)</f>
        <v>1650</v>
      </c>
    </row>
    <row r="1956" spans="1:26" x14ac:dyDescent="0.3">
      <c r="A1956">
        <v>1955</v>
      </c>
      <c r="B1956" s="2">
        <f t="shared" si="210"/>
        <v>45373.416666666664</v>
      </c>
      <c r="C1956" t="s">
        <v>4359</v>
      </c>
      <c r="D1956" t="s">
        <v>27</v>
      </c>
      <c r="E1956" t="str">
        <f>PROPER(TRIM(CLEAN(Sales_Table[[#This Row],[Region]])))</f>
        <v>East</v>
      </c>
      <c r="F1956" t="s">
        <v>46</v>
      </c>
      <c r="G1956" t="str">
        <f t="shared" si="211"/>
        <v>Electronics</v>
      </c>
      <c r="H1956" t="str">
        <f>PROPER(TRIM(CLEAN(Sales_Table[[#This Row],[Product Name]])))</f>
        <v>Men T-Shirt</v>
      </c>
      <c r="I1956" t="s">
        <v>38</v>
      </c>
      <c r="J1956" t="str">
        <f t="shared" si="212"/>
        <v>CUST0434</v>
      </c>
      <c r="K1956" t="s">
        <v>740</v>
      </c>
      <c r="L1956" t="str">
        <f>PROPER(TRIM(CLEAN(Sales_Table[[#This Row],[Salesperson]])))</f>
        <v>Suresh</v>
      </c>
      <c r="M1956" t="s">
        <v>54</v>
      </c>
      <c r="N1956" t="str">
        <f t="shared" si="213"/>
        <v>Net Banking</v>
      </c>
      <c r="O1956" t="s">
        <v>60</v>
      </c>
      <c r="P1956">
        <f t="shared" si="214"/>
        <v>7</v>
      </c>
      <c r="Q1956" t="s">
        <v>49</v>
      </c>
      <c r="R1956">
        <f t="shared" si="215"/>
        <v>3903</v>
      </c>
      <c r="S1956" t="s">
        <v>4360</v>
      </c>
      <c r="T1956">
        <f t="shared" si="216"/>
        <v>27321</v>
      </c>
      <c r="U1956">
        <f>YEAR(Sales_Table[[#This Row],[Date_clean]])</f>
        <v>2024</v>
      </c>
      <c r="V1956" t="str">
        <f>TEXT(Sales_Table[[#This Row],[Date_clean]],"mmmm")</f>
        <v>March</v>
      </c>
      <c r="W1956">
        <f>WEEKNUM(Sales_Table[[#This Row],[Date_clean]],2)</f>
        <v>12</v>
      </c>
      <c r="X1956" t="str" cm="1">
        <f t="array" ref="X1956">_xlfn.IFS(Sales_Table[[#This Row],[Revenue]]&gt;=50000,"High",Sales_Table[[#This Row],[Revenue]]&gt;=20000,"Medium",Sales_Table[[#This Row],[Revenue]]&lt;20000,"Low")</f>
        <v>Medium</v>
      </c>
      <c r="Y1956" t="str">
        <f>IF(Sales_Table[[#This Row],[Payment Method_clean]]="cash","Offline","Online")</f>
        <v>Online</v>
      </c>
      <c r="Z1956">
        <f>IFERROR(Sales_Table[[#This Row],[Revenue]],0)</f>
        <v>27321</v>
      </c>
    </row>
    <row r="1957" spans="1:26" x14ac:dyDescent="0.3">
      <c r="A1957">
        <v>1956</v>
      </c>
      <c r="B1957" s="2">
        <f t="shared" si="210"/>
        <v>45373.458333333336</v>
      </c>
      <c r="C1957" t="s">
        <v>4361</v>
      </c>
      <c r="D1957" t="s">
        <v>45</v>
      </c>
      <c r="E1957" t="str">
        <f>PROPER(TRIM(CLEAN(Sales_Table[[#This Row],[Region]])))</f>
        <v>North</v>
      </c>
      <c r="F1957" t="s">
        <v>46</v>
      </c>
      <c r="G1957" t="str">
        <f t="shared" si="211"/>
        <v>Electronics</v>
      </c>
      <c r="H1957" t="str">
        <f>PROPER(TRIM(CLEAN(Sales_Table[[#This Row],[Product Name]])))</f>
        <v>Led Tv 42Inch</v>
      </c>
      <c r="I1957" t="s">
        <v>58</v>
      </c>
      <c r="J1957" t="str">
        <f t="shared" si="212"/>
        <v>CUST0788</v>
      </c>
      <c r="K1957" t="s">
        <v>2929</v>
      </c>
      <c r="L1957" t="str">
        <f>PROPER(TRIM(CLEAN(Sales_Table[[#This Row],[Salesperson]])))</f>
        <v>Karthik</v>
      </c>
      <c r="M1957" t="s">
        <v>70</v>
      </c>
      <c r="N1957" t="str">
        <f t="shared" si="213"/>
        <v>Credit Card</v>
      </c>
      <c r="O1957" t="s">
        <v>65</v>
      </c>
      <c r="P1957">
        <f t="shared" si="214"/>
        <v>8</v>
      </c>
      <c r="Q1957" t="s">
        <v>42</v>
      </c>
      <c r="R1957">
        <f t="shared" si="215"/>
        <v>4481</v>
      </c>
      <c r="S1957" t="s">
        <v>4362</v>
      </c>
      <c r="T1957">
        <f t="shared" si="216"/>
        <v>35848</v>
      </c>
      <c r="U1957">
        <f>YEAR(Sales_Table[[#This Row],[Date_clean]])</f>
        <v>2024</v>
      </c>
      <c r="V1957" t="str">
        <f>TEXT(Sales_Table[[#This Row],[Date_clean]],"mmmm")</f>
        <v>March</v>
      </c>
      <c r="W1957">
        <f>WEEKNUM(Sales_Table[[#This Row],[Date_clean]],2)</f>
        <v>12</v>
      </c>
      <c r="X1957" t="str" cm="1">
        <f t="array" ref="X1957">_xlfn.IFS(Sales_Table[[#This Row],[Revenue]]&gt;=50000,"High",Sales_Table[[#This Row],[Revenue]]&gt;=20000,"Medium",Sales_Table[[#This Row],[Revenue]]&lt;20000,"Low")</f>
        <v>Medium</v>
      </c>
      <c r="Y1957" t="str">
        <f>IF(Sales_Table[[#This Row],[Payment Method_clean]]="cash","Offline","Online")</f>
        <v>Online</v>
      </c>
      <c r="Z1957">
        <f>IFERROR(Sales_Table[[#This Row],[Revenue]],0)</f>
        <v>35848</v>
      </c>
    </row>
    <row r="1958" spans="1:26" x14ac:dyDescent="0.3">
      <c r="A1958">
        <v>1957</v>
      </c>
      <c r="B1958" s="2">
        <f t="shared" si="210"/>
        <v>45373.5</v>
      </c>
      <c r="C1958" t="s">
        <v>4363</v>
      </c>
      <c r="D1958" t="s">
        <v>84</v>
      </c>
      <c r="E1958" t="str">
        <f>PROPER(TRIM(CLEAN(Sales_Table[[#This Row],[Region]])))</f>
        <v>South</v>
      </c>
      <c r="F1958" t="s">
        <v>28</v>
      </c>
      <c r="G1958" t="str">
        <f t="shared" si="211"/>
        <v>Clothing</v>
      </c>
      <c r="H1958" t="str">
        <f>PROPER(TRIM(CLEAN(Sales_Table[[#This Row],[Product Name]])))</f>
        <v>Rice 5Kg</v>
      </c>
      <c r="I1958" t="s">
        <v>73</v>
      </c>
      <c r="J1958" t="str">
        <f t="shared" si="212"/>
        <v>CUST0748</v>
      </c>
      <c r="K1958" t="s">
        <v>3475</v>
      </c>
      <c r="L1958" t="str">
        <f>PROPER(TRIM(CLEAN(Sales_Table[[#This Row],[Salesperson]])))</f>
        <v>Meena</v>
      </c>
      <c r="M1958" t="s">
        <v>40</v>
      </c>
      <c r="N1958" t="str">
        <f t="shared" si="213"/>
        <v>Credit Card</v>
      </c>
      <c r="O1958" t="s">
        <v>65</v>
      </c>
      <c r="P1958">
        <f t="shared" si="214"/>
        <v>8</v>
      </c>
      <c r="Q1958" t="s">
        <v>42</v>
      </c>
      <c r="R1958">
        <f t="shared" si="215"/>
        <v>3927</v>
      </c>
      <c r="S1958" t="s">
        <v>3701</v>
      </c>
      <c r="T1958">
        <f t="shared" si="216"/>
        <v>31416</v>
      </c>
      <c r="U1958">
        <f>YEAR(Sales_Table[[#This Row],[Date_clean]])</f>
        <v>2024</v>
      </c>
      <c r="V1958" t="str">
        <f>TEXT(Sales_Table[[#This Row],[Date_clean]],"mmmm")</f>
        <v>March</v>
      </c>
      <c r="W1958">
        <f>WEEKNUM(Sales_Table[[#This Row],[Date_clean]],2)</f>
        <v>12</v>
      </c>
      <c r="X1958" t="str" cm="1">
        <f t="array" ref="X1958">_xlfn.IFS(Sales_Table[[#This Row],[Revenue]]&gt;=50000,"High",Sales_Table[[#This Row],[Revenue]]&gt;=20000,"Medium",Sales_Table[[#This Row],[Revenue]]&lt;20000,"Low")</f>
        <v>Medium</v>
      </c>
      <c r="Y1958" t="str">
        <f>IF(Sales_Table[[#This Row],[Payment Method_clean]]="cash","Offline","Online")</f>
        <v>Online</v>
      </c>
      <c r="Z1958">
        <f>IFERROR(Sales_Table[[#This Row],[Revenue]],0)</f>
        <v>31416</v>
      </c>
    </row>
    <row r="1959" spans="1:26" x14ac:dyDescent="0.3">
      <c r="A1959">
        <v>1958</v>
      </c>
      <c r="B1959" s="2">
        <f t="shared" si="210"/>
        <v>45373.541666666664</v>
      </c>
      <c r="C1959" t="s">
        <v>4364</v>
      </c>
      <c r="D1959" t="s">
        <v>27</v>
      </c>
      <c r="E1959" t="str">
        <f>PROPER(TRIM(CLEAN(Sales_Table[[#This Row],[Region]])))</f>
        <v>East</v>
      </c>
      <c r="F1959" t="s">
        <v>78</v>
      </c>
      <c r="G1959" t="str">
        <f t="shared" si="211"/>
        <v>Grocery</v>
      </c>
      <c r="H1959" t="str">
        <f>PROPER(TRIM(CLEAN(Sales_Table[[#This Row],[Product Name]])))</f>
        <v>Washing Machine</v>
      </c>
      <c r="I1959" t="s">
        <v>79</v>
      </c>
      <c r="J1959" t="str">
        <f t="shared" si="212"/>
        <v>CUST0183</v>
      </c>
      <c r="K1959" t="s">
        <v>1820</v>
      </c>
      <c r="L1959" t="str">
        <f>PROPER(TRIM(CLEAN(Sales_Table[[#This Row],[Salesperson]])))</f>
        <v>Meena</v>
      </c>
      <c r="M1959" t="s">
        <v>40</v>
      </c>
      <c r="N1959" t="str">
        <f t="shared" si="213"/>
        <v>Cash</v>
      </c>
      <c r="O1959" t="s">
        <v>32</v>
      </c>
      <c r="P1959">
        <f t="shared" si="214"/>
        <v>14</v>
      </c>
      <c r="Q1959" t="s">
        <v>55</v>
      </c>
      <c r="R1959">
        <f t="shared" si="215"/>
        <v>4765</v>
      </c>
      <c r="S1959" t="s">
        <v>3689</v>
      </c>
      <c r="T1959">
        <f t="shared" si="216"/>
        <v>66710</v>
      </c>
      <c r="U1959">
        <f>YEAR(Sales_Table[[#This Row],[Date_clean]])</f>
        <v>2024</v>
      </c>
      <c r="V1959" t="str">
        <f>TEXT(Sales_Table[[#This Row],[Date_clean]],"mmmm")</f>
        <v>March</v>
      </c>
      <c r="W1959">
        <f>WEEKNUM(Sales_Table[[#This Row],[Date_clean]],2)</f>
        <v>12</v>
      </c>
      <c r="X1959" t="str" cm="1">
        <f t="array" ref="X1959">_xlfn.IFS(Sales_Table[[#This Row],[Revenue]]&gt;=50000,"High",Sales_Table[[#This Row],[Revenue]]&gt;=20000,"Medium",Sales_Table[[#This Row],[Revenue]]&lt;20000,"Low")</f>
        <v>High</v>
      </c>
      <c r="Y1959" t="str">
        <f>IF(Sales_Table[[#This Row],[Payment Method_clean]]="cash","Offline","Online")</f>
        <v>Offline</v>
      </c>
      <c r="Z1959">
        <f>IFERROR(Sales_Table[[#This Row],[Revenue]],0)</f>
        <v>66710</v>
      </c>
    </row>
    <row r="1960" spans="1:26" x14ac:dyDescent="0.3">
      <c r="A1960">
        <v>1959</v>
      </c>
      <c r="B1960" s="2">
        <f t="shared" si="210"/>
        <v>45373.583333333336</v>
      </c>
      <c r="C1960" t="s">
        <v>4365</v>
      </c>
      <c r="D1960" t="s">
        <v>45</v>
      </c>
      <c r="E1960" t="str">
        <f>PROPER(TRIM(CLEAN(Sales_Table[[#This Row],[Region]])))</f>
        <v>North</v>
      </c>
      <c r="F1960" t="s">
        <v>78</v>
      </c>
      <c r="G1960" t="str">
        <f t="shared" si="211"/>
        <v>Grocery</v>
      </c>
      <c r="H1960" t="str">
        <f>PROPER(TRIM(CLEAN(Sales_Table[[#This Row],[Product Name]])))</f>
        <v>Men T-Shirt</v>
      </c>
      <c r="I1960" t="s">
        <v>38</v>
      </c>
      <c r="J1960" t="str">
        <f t="shared" si="212"/>
        <v>CUST0209</v>
      </c>
      <c r="K1960" t="s">
        <v>2032</v>
      </c>
      <c r="L1960" t="str">
        <f>PROPER(TRIM(CLEAN(Sales_Table[[#This Row],[Salesperson]])))</f>
        <v>Meena</v>
      </c>
      <c r="M1960" t="s">
        <v>40</v>
      </c>
      <c r="N1960" t="str">
        <f t="shared" si="213"/>
        <v>Upi</v>
      </c>
      <c r="O1960" t="s">
        <v>48</v>
      </c>
      <c r="P1960">
        <f t="shared" si="214"/>
        <v>6</v>
      </c>
      <c r="Q1960" t="s">
        <v>75</v>
      </c>
      <c r="R1960">
        <f t="shared" si="215"/>
        <v>3719</v>
      </c>
      <c r="S1960" t="s">
        <v>3604</v>
      </c>
      <c r="T1960">
        <f t="shared" si="216"/>
        <v>22314</v>
      </c>
      <c r="U1960">
        <f>YEAR(Sales_Table[[#This Row],[Date_clean]])</f>
        <v>2024</v>
      </c>
      <c r="V1960" t="str">
        <f>TEXT(Sales_Table[[#This Row],[Date_clean]],"mmmm")</f>
        <v>March</v>
      </c>
      <c r="W1960">
        <f>WEEKNUM(Sales_Table[[#This Row],[Date_clean]],2)</f>
        <v>12</v>
      </c>
      <c r="X1960" t="str" cm="1">
        <f t="array" ref="X1960">_xlfn.IFS(Sales_Table[[#This Row],[Revenue]]&gt;=50000,"High",Sales_Table[[#This Row],[Revenue]]&gt;=20000,"Medium",Sales_Table[[#This Row],[Revenue]]&lt;20000,"Low")</f>
        <v>Medium</v>
      </c>
      <c r="Y1960" t="str">
        <f>IF(Sales_Table[[#This Row],[Payment Method_clean]]="cash","Offline","Online")</f>
        <v>Online</v>
      </c>
      <c r="Z1960">
        <f>IFERROR(Sales_Table[[#This Row],[Revenue]],0)</f>
        <v>22314</v>
      </c>
    </row>
    <row r="1961" spans="1:26" x14ac:dyDescent="0.3">
      <c r="A1961">
        <v>1960</v>
      </c>
      <c r="B1961" s="2">
        <f t="shared" si="210"/>
        <v>45373.625</v>
      </c>
      <c r="C1961" t="s">
        <v>4366</v>
      </c>
      <c r="D1961" t="s">
        <v>27</v>
      </c>
      <c r="E1961" t="str">
        <f>PROPER(TRIM(CLEAN(Sales_Table[[#This Row],[Region]])))</f>
        <v>East</v>
      </c>
      <c r="F1961" t="s">
        <v>37</v>
      </c>
      <c r="G1961" t="str">
        <f t="shared" si="211"/>
        <v>Home Appliances</v>
      </c>
      <c r="H1961" t="str">
        <f>PROPER(TRIM(CLEAN(Sales_Table[[#This Row],[Product Name]])))</f>
        <v>Men T-Shirt</v>
      </c>
      <c r="I1961" t="s">
        <v>38</v>
      </c>
      <c r="J1961" t="str">
        <f t="shared" si="212"/>
        <v>CUST0493</v>
      </c>
      <c r="K1961" t="s">
        <v>1596</v>
      </c>
      <c r="L1961" t="str">
        <f>PROPER(TRIM(CLEAN(Sales_Table[[#This Row],[Salesperson]])))</f>
        <v>Rahul</v>
      </c>
      <c r="M1961" t="s">
        <v>31</v>
      </c>
      <c r="N1961" t="str">
        <f t="shared" si="213"/>
        <v>Cash</v>
      </c>
      <c r="O1961" t="s">
        <v>32</v>
      </c>
      <c r="P1961">
        <f t="shared" si="214"/>
        <v>10</v>
      </c>
      <c r="Q1961" t="s">
        <v>117</v>
      </c>
      <c r="R1961">
        <f t="shared" si="215"/>
        <v>2987</v>
      </c>
      <c r="S1961" t="s">
        <v>4367</v>
      </c>
      <c r="T1961">
        <f t="shared" si="216"/>
        <v>29870</v>
      </c>
      <c r="U1961">
        <f>YEAR(Sales_Table[[#This Row],[Date_clean]])</f>
        <v>2024</v>
      </c>
      <c r="V1961" t="str">
        <f>TEXT(Sales_Table[[#This Row],[Date_clean]],"mmmm")</f>
        <v>March</v>
      </c>
      <c r="W1961">
        <f>WEEKNUM(Sales_Table[[#This Row],[Date_clean]],2)</f>
        <v>12</v>
      </c>
      <c r="X1961" t="str" cm="1">
        <f t="array" ref="X1961">_xlfn.IFS(Sales_Table[[#This Row],[Revenue]]&gt;=50000,"High",Sales_Table[[#This Row],[Revenue]]&gt;=20000,"Medium",Sales_Table[[#This Row],[Revenue]]&lt;20000,"Low")</f>
        <v>Medium</v>
      </c>
      <c r="Y1961" t="str">
        <f>IF(Sales_Table[[#This Row],[Payment Method_clean]]="cash","Offline","Online")</f>
        <v>Offline</v>
      </c>
      <c r="Z1961">
        <f>IFERROR(Sales_Table[[#This Row],[Revenue]],0)</f>
        <v>29870</v>
      </c>
    </row>
    <row r="1962" spans="1:26" x14ac:dyDescent="0.3">
      <c r="A1962">
        <v>1961</v>
      </c>
      <c r="B1962" s="2">
        <f t="shared" si="210"/>
        <v>45373.666666666664</v>
      </c>
      <c r="C1962" t="s">
        <v>4368</v>
      </c>
      <c r="D1962" t="s">
        <v>84</v>
      </c>
      <c r="E1962" t="str">
        <f>PROPER(TRIM(CLEAN(Sales_Table[[#This Row],[Region]])))</f>
        <v>South</v>
      </c>
      <c r="F1962" t="s">
        <v>78</v>
      </c>
      <c r="G1962" t="str">
        <f t="shared" si="211"/>
        <v>Grocery</v>
      </c>
      <c r="H1962" t="str">
        <f>PROPER(TRIM(CLEAN(Sales_Table[[#This Row],[Product Name]])))</f>
        <v>Washing Machine</v>
      </c>
      <c r="I1962" t="s">
        <v>79</v>
      </c>
      <c r="J1962" t="str">
        <f t="shared" si="212"/>
        <v>CUST0130</v>
      </c>
      <c r="K1962" t="s">
        <v>2754</v>
      </c>
      <c r="L1962" t="str">
        <f>PROPER(TRIM(CLEAN(Sales_Table[[#This Row],[Salesperson]])))</f>
        <v>Karthik</v>
      </c>
      <c r="M1962" t="s">
        <v>70</v>
      </c>
      <c r="N1962" t="str">
        <f t="shared" si="213"/>
        <v>Upi</v>
      </c>
      <c r="O1962" t="s">
        <v>48</v>
      </c>
      <c r="P1962">
        <f t="shared" si="214"/>
        <v>8</v>
      </c>
      <c r="Q1962" t="s">
        <v>42</v>
      </c>
      <c r="R1962">
        <f t="shared" si="215"/>
        <v>597</v>
      </c>
      <c r="S1962" t="s">
        <v>1657</v>
      </c>
      <c r="T1962">
        <f t="shared" si="216"/>
        <v>4776</v>
      </c>
      <c r="U1962">
        <f>YEAR(Sales_Table[[#This Row],[Date_clean]])</f>
        <v>2024</v>
      </c>
      <c r="V1962" t="str">
        <f>TEXT(Sales_Table[[#This Row],[Date_clean]],"mmmm")</f>
        <v>March</v>
      </c>
      <c r="W1962">
        <f>WEEKNUM(Sales_Table[[#This Row],[Date_clean]],2)</f>
        <v>12</v>
      </c>
      <c r="X1962" t="str" cm="1">
        <f t="array" ref="X1962">_xlfn.IFS(Sales_Table[[#This Row],[Revenue]]&gt;=50000,"High",Sales_Table[[#This Row],[Revenue]]&gt;=20000,"Medium",Sales_Table[[#This Row],[Revenue]]&lt;20000,"Low")</f>
        <v>Low</v>
      </c>
      <c r="Y1962" t="str">
        <f>IF(Sales_Table[[#This Row],[Payment Method_clean]]="cash","Offline","Online")</f>
        <v>Online</v>
      </c>
      <c r="Z1962">
        <f>IFERROR(Sales_Table[[#This Row],[Revenue]],0)</f>
        <v>4776</v>
      </c>
    </row>
    <row r="1963" spans="1:26" x14ac:dyDescent="0.3">
      <c r="A1963">
        <v>1962</v>
      </c>
      <c r="B1963" s="2">
        <f t="shared" si="210"/>
        <v>45373.708333333336</v>
      </c>
      <c r="C1963" t="s">
        <v>4369</v>
      </c>
      <c r="D1963" t="s">
        <v>45</v>
      </c>
      <c r="E1963" t="str">
        <f>PROPER(TRIM(CLEAN(Sales_Table[[#This Row],[Region]])))</f>
        <v>North</v>
      </c>
      <c r="F1963" t="s">
        <v>37</v>
      </c>
      <c r="G1963" t="str">
        <f t="shared" si="211"/>
        <v>Home Appliances</v>
      </c>
      <c r="H1963" t="str">
        <f>PROPER(TRIM(CLEAN(Sales_Table[[#This Row],[Product Name]])))</f>
        <v>Laptop</v>
      </c>
      <c r="I1963" t="s">
        <v>52</v>
      </c>
      <c r="J1963" t="str">
        <f t="shared" si="212"/>
        <v>CUST0665</v>
      </c>
      <c r="K1963" t="s">
        <v>606</v>
      </c>
      <c r="L1963" t="str">
        <f>PROPER(TRIM(CLEAN(Sales_Table[[#This Row],[Salesperson]])))</f>
        <v>Karthik</v>
      </c>
      <c r="M1963" t="s">
        <v>70</v>
      </c>
      <c r="N1963" t="str">
        <f t="shared" si="213"/>
        <v>Cash</v>
      </c>
      <c r="O1963" t="s">
        <v>32</v>
      </c>
      <c r="P1963">
        <f t="shared" si="214"/>
        <v>14</v>
      </c>
      <c r="Q1963" t="s">
        <v>55</v>
      </c>
      <c r="R1963">
        <f t="shared" si="215"/>
        <v>4076</v>
      </c>
      <c r="S1963" t="s">
        <v>2813</v>
      </c>
      <c r="T1963">
        <f t="shared" si="216"/>
        <v>57064</v>
      </c>
      <c r="U1963">
        <f>YEAR(Sales_Table[[#This Row],[Date_clean]])</f>
        <v>2024</v>
      </c>
      <c r="V1963" t="str">
        <f>TEXT(Sales_Table[[#This Row],[Date_clean]],"mmmm")</f>
        <v>March</v>
      </c>
      <c r="W1963">
        <f>WEEKNUM(Sales_Table[[#This Row],[Date_clean]],2)</f>
        <v>12</v>
      </c>
      <c r="X1963" t="str" cm="1">
        <f t="array" ref="X1963">_xlfn.IFS(Sales_Table[[#This Row],[Revenue]]&gt;=50000,"High",Sales_Table[[#This Row],[Revenue]]&gt;=20000,"Medium",Sales_Table[[#This Row],[Revenue]]&lt;20000,"Low")</f>
        <v>High</v>
      </c>
      <c r="Y1963" t="str">
        <f>IF(Sales_Table[[#This Row],[Payment Method_clean]]="cash","Offline","Online")</f>
        <v>Offline</v>
      </c>
      <c r="Z1963">
        <f>IFERROR(Sales_Table[[#This Row],[Revenue]],0)</f>
        <v>57064</v>
      </c>
    </row>
    <row r="1964" spans="1:26" x14ac:dyDescent="0.3">
      <c r="A1964">
        <v>1963</v>
      </c>
      <c r="B1964" s="2">
        <f t="shared" si="210"/>
        <v>45373.75</v>
      </c>
      <c r="C1964" t="s">
        <v>4370</v>
      </c>
      <c r="D1964" t="s">
        <v>84</v>
      </c>
      <c r="E1964" t="str">
        <f>PROPER(TRIM(CLEAN(Sales_Table[[#This Row],[Region]])))</f>
        <v>South</v>
      </c>
      <c r="F1964" t="s">
        <v>78</v>
      </c>
      <c r="G1964" t="str">
        <f t="shared" si="211"/>
        <v>Grocery</v>
      </c>
      <c r="H1964" t="str">
        <f>PROPER(TRIM(CLEAN(Sales_Table[[#This Row],[Product Name]])))</f>
        <v>Laptop</v>
      </c>
      <c r="I1964" t="s">
        <v>52</v>
      </c>
      <c r="J1964" t="str">
        <f t="shared" si="212"/>
        <v>CUST0013</v>
      </c>
      <c r="K1964" t="s">
        <v>790</v>
      </c>
      <c r="L1964" t="str">
        <f>PROPER(TRIM(CLEAN(Sales_Table[[#This Row],[Salesperson]])))</f>
        <v>Meena</v>
      </c>
      <c r="M1964" t="s">
        <v>40</v>
      </c>
      <c r="N1964" t="str">
        <f t="shared" si="213"/>
        <v>Upi</v>
      </c>
      <c r="O1964" t="s">
        <v>48</v>
      </c>
      <c r="P1964">
        <f t="shared" si="214"/>
        <v>1</v>
      </c>
      <c r="Q1964" t="s">
        <v>93</v>
      </c>
      <c r="R1964">
        <f t="shared" si="215"/>
        <v>804</v>
      </c>
      <c r="S1964" t="s">
        <v>519</v>
      </c>
      <c r="T1964">
        <f t="shared" si="216"/>
        <v>804</v>
      </c>
      <c r="U1964">
        <f>YEAR(Sales_Table[[#This Row],[Date_clean]])</f>
        <v>2024</v>
      </c>
      <c r="V1964" t="str">
        <f>TEXT(Sales_Table[[#This Row],[Date_clean]],"mmmm")</f>
        <v>March</v>
      </c>
      <c r="W1964">
        <f>WEEKNUM(Sales_Table[[#This Row],[Date_clean]],2)</f>
        <v>12</v>
      </c>
      <c r="X1964" t="str" cm="1">
        <f t="array" ref="X1964">_xlfn.IFS(Sales_Table[[#This Row],[Revenue]]&gt;=50000,"High",Sales_Table[[#This Row],[Revenue]]&gt;=20000,"Medium",Sales_Table[[#This Row],[Revenue]]&lt;20000,"Low")</f>
        <v>Low</v>
      </c>
      <c r="Y1964" t="str">
        <f>IF(Sales_Table[[#This Row],[Payment Method_clean]]="cash","Offline","Online")</f>
        <v>Online</v>
      </c>
      <c r="Z1964">
        <f>IFERROR(Sales_Table[[#This Row],[Revenue]],0)</f>
        <v>804</v>
      </c>
    </row>
    <row r="1965" spans="1:26" x14ac:dyDescent="0.3">
      <c r="A1965">
        <v>1964</v>
      </c>
      <c r="B1965" s="2">
        <f t="shared" si="210"/>
        <v>45373.791666666664</v>
      </c>
      <c r="C1965" t="s">
        <v>4371</v>
      </c>
      <c r="D1965" t="s">
        <v>84</v>
      </c>
      <c r="E1965" t="str">
        <f>PROPER(TRIM(CLEAN(Sales_Table[[#This Row],[Region]])))</f>
        <v>South</v>
      </c>
      <c r="F1965" t="s">
        <v>78</v>
      </c>
      <c r="G1965" t="str">
        <f t="shared" si="211"/>
        <v>Grocery</v>
      </c>
      <c r="H1965" t="str">
        <f>PROPER(TRIM(CLEAN(Sales_Table[[#This Row],[Product Name]])))</f>
        <v>Rice 5Kg</v>
      </c>
      <c r="I1965" t="s">
        <v>73</v>
      </c>
      <c r="J1965" t="str">
        <f t="shared" si="212"/>
        <v>CUST0634</v>
      </c>
      <c r="K1965" t="s">
        <v>2307</v>
      </c>
      <c r="L1965" t="str">
        <f>PROPER(TRIM(CLEAN(Sales_Table[[#This Row],[Salesperson]])))</f>
        <v>Meena</v>
      </c>
      <c r="M1965" t="s">
        <v>40</v>
      </c>
      <c r="N1965" t="str">
        <f t="shared" si="213"/>
        <v>Cash</v>
      </c>
      <c r="O1965" t="s">
        <v>32</v>
      </c>
      <c r="P1965">
        <f t="shared" si="214"/>
        <v>9</v>
      </c>
      <c r="Q1965" t="s">
        <v>130</v>
      </c>
      <c r="R1965">
        <f t="shared" si="215"/>
        <v>4757</v>
      </c>
      <c r="S1965" t="s">
        <v>4372</v>
      </c>
      <c r="T1965">
        <f t="shared" si="216"/>
        <v>42813</v>
      </c>
      <c r="U1965">
        <f>YEAR(Sales_Table[[#This Row],[Date_clean]])</f>
        <v>2024</v>
      </c>
      <c r="V1965" t="str">
        <f>TEXT(Sales_Table[[#This Row],[Date_clean]],"mmmm")</f>
        <v>March</v>
      </c>
      <c r="W1965">
        <f>WEEKNUM(Sales_Table[[#This Row],[Date_clean]],2)</f>
        <v>12</v>
      </c>
      <c r="X1965" t="str" cm="1">
        <f t="array" ref="X1965">_xlfn.IFS(Sales_Table[[#This Row],[Revenue]]&gt;=50000,"High",Sales_Table[[#This Row],[Revenue]]&gt;=20000,"Medium",Sales_Table[[#This Row],[Revenue]]&lt;20000,"Low")</f>
        <v>Medium</v>
      </c>
      <c r="Y1965" t="str">
        <f>IF(Sales_Table[[#This Row],[Payment Method_clean]]="cash","Offline","Online")</f>
        <v>Offline</v>
      </c>
      <c r="Z1965">
        <f>IFERROR(Sales_Table[[#This Row],[Revenue]],0)</f>
        <v>42813</v>
      </c>
    </row>
    <row r="1966" spans="1:26" x14ac:dyDescent="0.3">
      <c r="A1966">
        <v>1965</v>
      </c>
      <c r="B1966" s="2">
        <f t="shared" si="210"/>
        <v>45373.833333333336</v>
      </c>
      <c r="C1966" t="s">
        <v>4373</v>
      </c>
      <c r="D1966" t="s">
        <v>45</v>
      </c>
      <c r="E1966" t="str">
        <f>PROPER(TRIM(CLEAN(Sales_Table[[#This Row],[Region]])))</f>
        <v>North</v>
      </c>
      <c r="F1966" t="s">
        <v>46</v>
      </c>
      <c r="G1966" t="str">
        <f t="shared" si="211"/>
        <v>Electronics</v>
      </c>
      <c r="H1966" t="str">
        <f>PROPER(TRIM(CLEAN(Sales_Table[[#This Row],[Product Name]])))</f>
        <v>Led Tv 42Inch</v>
      </c>
      <c r="I1966" t="s">
        <v>58</v>
      </c>
      <c r="J1966" t="str">
        <f t="shared" si="212"/>
        <v>CUST0732</v>
      </c>
      <c r="K1966" t="s">
        <v>1973</v>
      </c>
      <c r="L1966" t="str">
        <f>PROPER(TRIM(CLEAN(Sales_Table[[#This Row],[Salesperson]])))</f>
        <v>Anita</v>
      </c>
      <c r="M1966" t="s">
        <v>64</v>
      </c>
      <c r="N1966" t="str">
        <f t="shared" si="213"/>
        <v>Upi</v>
      </c>
      <c r="O1966" t="s">
        <v>48</v>
      </c>
      <c r="P1966">
        <f t="shared" si="214"/>
        <v>13</v>
      </c>
      <c r="Q1966" t="s">
        <v>81</v>
      </c>
      <c r="R1966">
        <f t="shared" si="215"/>
        <v>4227</v>
      </c>
      <c r="S1966" t="s">
        <v>2829</v>
      </c>
      <c r="T1966">
        <f t="shared" si="216"/>
        <v>54951</v>
      </c>
      <c r="U1966">
        <f>YEAR(Sales_Table[[#This Row],[Date_clean]])</f>
        <v>2024</v>
      </c>
      <c r="V1966" t="str">
        <f>TEXT(Sales_Table[[#This Row],[Date_clean]],"mmmm")</f>
        <v>March</v>
      </c>
      <c r="W1966">
        <f>WEEKNUM(Sales_Table[[#This Row],[Date_clean]],2)</f>
        <v>12</v>
      </c>
      <c r="X1966" t="str" cm="1">
        <f t="array" ref="X1966">_xlfn.IFS(Sales_Table[[#This Row],[Revenue]]&gt;=50000,"High",Sales_Table[[#This Row],[Revenue]]&gt;=20000,"Medium",Sales_Table[[#This Row],[Revenue]]&lt;20000,"Low")</f>
        <v>High</v>
      </c>
      <c r="Y1966" t="str">
        <f>IF(Sales_Table[[#This Row],[Payment Method_clean]]="cash","Offline","Online")</f>
        <v>Online</v>
      </c>
      <c r="Z1966">
        <f>IFERROR(Sales_Table[[#This Row],[Revenue]],0)</f>
        <v>54951</v>
      </c>
    </row>
    <row r="1967" spans="1:26" x14ac:dyDescent="0.3">
      <c r="A1967">
        <v>1966</v>
      </c>
      <c r="B1967" s="2">
        <f t="shared" si="210"/>
        <v>45373.875</v>
      </c>
      <c r="C1967" t="s">
        <v>4374</v>
      </c>
      <c r="D1967" t="s">
        <v>45</v>
      </c>
      <c r="E1967" t="str">
        <f>PROPER(TRIM(CLEAN(Sales_Table[[#This Row],[Region]])))</f>
        <v>North</v>
      </c>
      <c r="F1967" t="s">
        <v>37</v>
      </c>
      <c r="G1967" t="str">
        <f t="shared" si="211"/>
        <v>Home Appliances</v>
      </c>
      <c r="H1967" t="str">
        <f>PROPER(TRIM(CLEAN(Sales_Table[[#This Row],[Product Name]])))</f>
        <v>Men T-Shirt</v>
      </c>
      <c r="I1967" t="s">
        <v>38</v>
      </c>
      <c r="J1967" t="str">
        <f t="shared" si="212"/>
        <v>CUST0106</v>
      </c>
      <c r="K1967" t="s">
        <v>1099</v>
      </c>
      <c r="L1967" t="str">
        <f>PROPER(TRIM(CLEAN(Sales_Table[[#This Row],[Salesperson]])))</f>
        <v>Anita</v>
      </c>
      <c r="M1967" t="s">
        <v>64</v>
      </c>
      <c r="N1967" t="str">
        <f t="shared" si="213"/>
        <v>Cash</v>
      </c>
      <c r="O1967" t="s">
        <v>32</v>
      </c>
      <c r="P1967">
        <f t="shared" si="214"/>
        <v>12</v>
      </c>
      <c r="Q1967" t="s">
        <v>33</v>
      </c>
      <c r="R1967">
        <f t="shared" si="215"/>
        <v>3781</v>
      </c>
      <c r="S1967" t="s">
        <v>4154</v>
      </c>
      <c r="T1967">
        <f t="shared" si="216"/>
        <v>45372</v>
      </c>
      <c r="U1967">
        <f>YEAR(Sales_Table[[#This Row],[Date_clean]])</f>
        <v>2024</v>
      </c>
      <c r="V1967" t="str">
        <f>TEXT(Sales_Table[[#This Row],[Date_clean]],"mmmm")</f>
        <v>March</v>
      </c>
      <c r="W1967">
        <f>WEEKNUM(Sales_Table[[#This Row],[Date_clean]],2)</f>
        <v>12</v>
      </c>
      <c r="X1967" t="str" cm="1">
        <f t="array" ref="X1967">_xlfn.IFS(Sales_Table[[#This Row],[Revenue]]&gt;=50000,"High",Sales_Table[[#This Row],[Revenue]]&gt;=20000,"Medium",Sales_Table[[#This Row],[Revenue]]&lt;20000,"Low")</f>
        <v>Medium</v>
      </c>
      <c r="Y1967" t="str">
        <f>IF(Sales_Table[[#This Row],[Payment Method_clean]]="cash","Offline","Online")</f>
        <v>Offline</v>
      </c>
      <c r="Z1967">
        <f>IFERROR(Sales_Table[[#This Row],[Revenue]],0)</f>
        <v>45372</v>
      </c>
    </row>
    <row r="1968" spans="1:26" x14ac:dyDescent="0.3">
      <c r="A1968">
        <v>1967</v>
      </c>
      <c r="B1968" s="2">
        <f t="shared" si="210"/>
        <v>45373.916666666664</v>
      </c>
      <c r="C1968" t="s">
        <v>4375</v>
      </c>
      <c r="D1968" t="s">
        <v>45</v>
      </c>
      <c r="E1968" t="str">
        <f>PROPER(TRIM(CLEAN(Sales_Table[[#This Row],[Region]])))</f>
        <v>North</v>
      </c>
      <c r="F1968" t="s">
        <v>78</v>
      </c>
      <c r="G1968" t="str">
        <f t="shared" si="211"/>
        <v>Grocery</v>
      </c>
      <c r="H1968" t="str">
        <f>PROPER(TRIM(CLEAN(Sales_Table[[#This Row],[Product Name]])))</f>
        <v>Led Tv 42Inch</v>
      </c>
      <c r="I1968" t="s">
        <v>58</v>
      </c>
      <c r="J1968" t="str">
        <f t="shared" si="212"/>
        <v>CUST0375</v>
      </c>
      <c r="K1968" t="s">
        <v>751</v>
      </c>
      <c r="L1968" t="str">
        <f>PROPER(TRIM(CLEAN(Sales_Table[[#This Row],[Salesperson]])))</f>
        <v>Suresh</v>
      </c>
      <c r="M1968" t="s">
        <v>54</v>
      </c>
      <c r="N1968" t="str">
        <f t="shared" si="213"/>
        <v>Credit Card</v>
      </c>
      <c r="O1968" t="s">
        <v>65</v>
      </c>
      <c r="P1968">
        <f t="shared" si="214"/>
        <v>1</v>
      </c>
      <c r="Q1968" t="s">
        <v>93</v>
      </c>
      <c r="R1968">
        <f t="shared" si="215"/>
        <v>4238</v>
      </c>
      <c r="S1968" t="s">
        <v>4376</v>
      </c>
      <c r="T1968">
        <f t="shared" si="216"/>
        <v>4238</v>
      </c>
      <c r="U1968">
        <f>YEAR(Sales_Table[[#This Row],[Date_clean]])</f>
        <v>2024</v>
      </c>
      <c r="V1968" t="str">
        <f>TEXT(Sales_Table[[#This Row],[Date_clean]],"mmmm")</f>
        <v>March</v>
      </c>
      <c r="W1968">
        <f>WEEKNUM(Sales_Table[[#This Row],[Date_clean]],2)</f>
        <v>12</v>
      </c>
      <c r="X1968" t="str" cm="1">
        <f t="array" ref="X1968">_xlfn.IFS(Sales_Table[[#This Row],[Revenue]]&gt;=50000,"High",Sales_Table[[#This Row],[Revenue]]&gt;=20000,"Medium",Sales_Table[[#This Row],[Revenue]]&lt;20000,"Low")</f>
        <v>Low</v>
      </c>
      <c r="Y1968" t="str">
        <f>IF(Sales_Table[[#This Row],[Payment Method_clean]]="cash","Offline","Online")</f>
        <v>Online</v>
      </c>
      <c r="Z1968">
        <f>IFERROR(Sales_Table[[#This Row],[Revenue]],0)</f>
        <v>4238</v>
      </c>
    </row>
    <row r="1969" spans="1:26" x14ac:dyDescent="0.3">
      <c r="A1969">
        <v>1968</v>
      </c>
      <c r="B1969" s="2">
        <f t="shared" si="210"/>
        <v>45373.958333333336</v>
      </c>
      <c r="C1969" t="s">
        <v>4377</v>
      </c>
      <c r="D1969" t="s">
        <v>36</v>
      </c>
      <c r="E1969" t="str">
        <f>PROPER(TRIM(CLEAN(Sales_Table[[#This Row],[Region]])))</f>
        <v>West</v>
      </c>
      <c r="F1969" t="s">
        <v>37</v>
      </c>
      <c r="G1969" t="str">
        <f t="shared" si="211"/>
        <v>Home Appliances</v>
      </c>
      <c r="H1969" t="str">
        <f>PROPER(TRIM(CLEAN(Sales_Table[[#This Row],[Product Name]])))</f>
        <v>Laptop</v>
      </c>
      <c r="I1969" t="s">
        <v>52</v>
      </c>
      <c r="J1969" t="str">
        <f t="shared" si="212"/>
        <v>CUST0582</v>
      </c>
      <c r="K1969" t="s">
        <v>2682</v>
      </c>
      <c r="L1969" t="str">
        <f>PROPER(TRIM(CLEAN(Sales_Table[[#This Row],[Salesperson]])))</f>
        <v>Suresh</v>
      </c>
      <c r="M1969" t="s">
        <v>54</v>
      </c>
      <c r="N1969" t="str">
        <f t="shared" si="213"/>
        <v>Net Banking</v>
      </c>
      <c r="O1969" t="s">
        <v>60</v>
      </c>
      <c r="P1969">
        <f t="shared" si="214"/>
        <v>13</v>
      </c>
      <c r="Q1969" t="s">
        <v>81</v>
      </c>
      <c r="R1969">
        <f t="shared" si="215"/>
        <v>2016</v>
      </c>
      <c r="S1969" t="s">
        <v>4378</v>
      </c>
      <c r="T1969">
        <f t="shared" si="216"/>
        <v>26208</v>
      </c>
      <c r="U1969">
        <f>YEAR(Sales_Table[[#This Row],[Date_clean]])</f>
        <v>2024</v>
      </c>
      <c r="V1969" t="str">
        <f>TEXT(Sales_Table[[#This Row],[Date_clean]],"mmmm")</f>
        <v>March</v>
      </c>
      <c r="W1969">
        <f>WEEKNUM(Sales_Table[[#This Row],[Date_clean]],2)</f>
        <v>12</v>
      </c>
      <c r="X1969" t="str" cm="1">
        <f t="array" ref="X1969">_xlfn.IFS(Sales_Table[[#This Row],[Revenue]]&gt;=50000,"High",Sales_Table[[#This Row],[Revenue]]&gt;=20000,"Medium",Sales_Table[[#This Row],[Revenue]]&lt;20000,"Low")</f>
        <v>Medium</v>
      </c>
      <c r="Y1969" t="str">
        <f>IF(Sales_Table[[#This Row],[Payment Method_clean]]="cash","Offline","Online")</f>
        <v>Online</v>
      </c>
      <c r="Z1969">
        <f>IFERROR(Sales_Table[[#This Row],[Revenue]],0)</f>
        <v>26208</v>
      </c>
    </row>
    <row r="1970" spans="1:26" x14ac:dyDescent="0.3">
      <c r="A1970">
        <v>1969</v>
      </c>
      <c r="B1970" s="2">
        <f t="shared" si="210"/>
        <v>45374</v>
      </c>
      <c r="C1970" t="s">
        <v>4379</v>
      </c>
      <c r="D1970" t="s">
        <v>45</v>
      </c>
      <c r="E1970" t="str">
        <f>PROPER(TRIM(CLEAN(Sales_Table[[#This Row],[Region]])))</f>
        <v>North</v>
      </c>
      <c r="F1970" t="s">
        <v>46</v>
      </c>
      <c r="G1970" t="str">
        <f t="shared" si="211"/>
        <v>Electronics</v>
      </c>
      <c r="H1970" t="str">
        <f>PROPER(TRIM(CLEAN(Sales_Table[[#This Row],[Product Name]])))</f>
        <v>Laptop</v>
      </c>
      <c r="I1970" t="s">
        <v>52</v>
      </c>
      <c r="J1970" t="str">
        <f t="shared" si="212"/>
        <v>CUST0707</v>
      </c>
      <c r="K1970" t="s">
        <v>4380</v>
      </c>
      <c r="L1970" t="str">
        <f>PROPER(TRIM(CLEAN(Sales_Table[[#This Row],[Salesperson]])))</f>
        <v>Karthik</v>
      </c>
      <c r="M1970" t="s">
        <v>70</v>
      </c>
      <c r="N1970" t="str">
        <f t="shared" si="213"/>
        <v>Cash</v>
      </c>
      <c r="O1970" t="s">
        <v>32</v>
      </c>
      <c r="P1970">
        <f t="shared" si="214"/>
        <v>3</v>
      </c>
      <c r="Q1970" t="s">
        <v>66</v>
      </c>
      <c r="R1970">
        <f t="shared" si="215"/>
        <v>1474</v>
      </c>
      <c r="S1970" t="s">
        <v>4381</v>
      </c>
      <c r="T1970">
        <f t="shared" si="216"/>
        <v>4422</v>
      </c>
      <c r="U1970">
        <f>YEAR(Sales_Table[[#This Row],[Date_clean]])</f>
        <v>2024</v>
      </c>
      <c r="V1970" t="str">
        <f>TEXT(Sales_Table[[#This Row],[Date_clean]],"mmmm")</f>
        <v>March</v>
      </c>
      <c r="W1970">
        <f>WEEKNUM(Sales_Table[[#This Row],[Date_clean]],2)</f>
        <v>12</v>
      </c>
      <c r="X1970" t="str" cm="1">
        <f t="array" ref="X1970">_xlfn.IFS(Sales_Table[[#This Row],[Revenue]]&gt;=50000,"High",Sales_Table[[#This Row],[Revenue]]&gt;=20000,"Medium",Sales_Table[[#This Row],[Revenue]]&lt;20000,"Low")</f>
        <v>Low</v>
      </c>
      <c r="Y1970" t="str">
        <f>IF(Sales_Table[[#This Row],[Payment Method_clean]]="cash","Offline","Online")</f>
        <v>Offline</v>
      </c>
      <c r="Z1970">
        <f>IFERROR(Sales_Table[[#This Row],[Revenue]],0)</f>
        <v>4422</v>
      </c>
    </row>
    <row r="1971" spans="1:26" x14ac:dyDescent="0.3">
      <c r="A1971">
        <v>1970</v>
      </c>
      <c r="B1971" s="2">
        <f t="shared" si="210"/>
        <v>45374.041666666664</v>
      </c>
      <c r="C1971" t="s">
        <v>4382</v>
      </c>
      <c r="D1971" t="s">
        <v>45</v>
      </c>
      <c r="E1971" t="str">
        <f>PROPER(TRIM(CLEAN(Sales_Table[[#This Row],[Region]])))</f>
        <v>North</v>
      </c>
      <c r="F1971" t="s">
        <v>46</v>
      </c>
      <c r="G1971" t="str">
        <f t="shared" si="211"/>
        <v>Electronics</v>
      </c>
      <c r="H1971" t="str">
        <f>PROPER(TRIM(CLEAN(Sales_Table[[#This Row],[Product Name]])))</f>
        <v>Mixer Grinder</v>
      </c>
      <c r="I1971" t="s">
        <v>29</v>
      </c>
      <c r="J1971" t="str">
        <f t="shared" si="212"/>
        <v>CUST0698</v>
      </c>
      <c r="K1971" t="s">
        <v>1985</v>
      </c>
      <c r="L1971" t="str">
        <f>PROPER(TRIM(CLEAN(Sales_Table[[#This Row],[Salesperson]])))</f>
        <v>Karthik</v>
      </c>
      <c r="M1971" t="s">
        <v>70</v>
      </c>
      <c r="N1971" t="str">
        <f t="shared" si="213"/>
        <v>Net Banking</v>
      </c>
      <c r="O1971" t="s">
        <v>60</v>
      </c>
      <c r="P1971">
        <f t="shared" si="214"/>
        <v>12</v>
      </c>
      <c r="Q1971" t="s">
        <v>33</v>
      </c>
      <c r="R1971">
        <f t="shared" si="215"/>
        <v>1945</v>
      </c>
      <c r="S1971" t="s">
        <v>4383</v>
      </c>
      <c r="T1971">
        <f t="shared" si="216"/>
        <v>23340</v>
      </c>
      <c r="U1971">
        <f>YEAR(Sales_Table[[#This Row],[Date_clean]])</f>
        <v>2024</v>
      </c>
      <c r="V1971" t="str">
        <f>TEXT(Sales_Table[[#This Row],[Date_clean]],"mmmm")</f>
        <v>March</v>
      </c>
      <c r="W1971">
        <f>WEEKNUM(Sales_Table[[#This Row],[Date_clean]],2)</f>
        <v>12</v>
      </c>
      <c r="X1971" t="str" cm="1">
        <f t="array" ref="X1971">_xlfn.IFS(Sales_Table[[#This Row],[Revenue]]&gt;=50000,"High",Sales_Table[[#This Row],[Revenue]]&gt;=20000,"Medium",Sales_Table[[#This Row],[Revenue]]&lt;20000,"Low")</f>
        <v>Medium</v>
      </c>
      <c r="Y1971" t="str">
        <f>IF(Sales_Table[[#This Row],[Payment Method_clean]]="cash","Offline","Online")</f>
        <v>Online</v>
      </c>
      <c r="Z1971">
        <f>IFERROR(Sales_Table[[#This Row],[Revenue]],0)</f>
        <v>23340</v>
      </c>
    </row>
    <row r="1972" spans="1:26" x14ac:dyDescent="0.3">
      <c r="A1972">
        <v>1971</v>
      </c>
      <c r="B1972" s="2">
        <f t="shared" si="210"/>
        <v>45374.083333333336</v>
      </c>
      <c r="C1972" t="s">
        <v>4384</v>
      </c>
      <c r="D1972" t="s">
        <v>45</v>
      </c>
      <c r="E1972" t="str">
        <f>PROPER(TRIM(CLEAN(Sales_Table[[#This Row],[Region]])))</f>
        <v>North</v>
      </c>
      <c r="F1972" t="s">
        <v>37</v>
      </c>
      <c r="G1972" t="str">
        <f t="shared" si="211"/>
        <v>Home Appliances</v>
      </c>
      <c r="H1972" t="str">
        <f>PROPER(TRIM(CLEAN(Sales_Table[[#This Row],[Product Name]])))</f>
        <v>Rice 5Kg</v>
      </c>
      <c r="I1972" t="s">
        <v>73</v>
      </c>
      <c r="J1972" t="str">
        <f t="shared" si="212"/>
        <v>CUST0099</v>
      </c>
      <c r="K1972" t="s">
        <v>2477</v>
      </c>
      <c r="L1972" t="str">
        <f>PROPER(TRIM(CLEAN(Sales_Table[[#This Row],[Salesperson]])))</f>
        <v>Rahul</v>
      </c>
      <c r="M1972" t="s">
        <v>31</v>
      </c>
      <c r="N1972" t="str">
        <f t="shared" si="213"/>
        <v>Credit Card</v>
      </c>
      <c r="O1972" t="s">
        <v>65</v>
      </c>
      <c r="P1972">
        <f t="shared" si="214"/>
        <v>9</v>
      </c>
      <c r="Q1972" t="s">
        <v>130</v>
      </c>
      <c r="R1972">
        <f t="shared" si="215"/>
        <v>4754</v>
      </c>
      <c r="S1972" t="s">
        <v>761</v>
      </c>
      <c r="T1972">
        <f t="shared" si="216"/>
        <v>42786</v>
      </c>
      <c r="U1972">
        <f>YEAR(Sales_Table[[#This Row],[Date_clean]])</f>
        <v>2024</v>
      </c>
      <c r="V1972" t="str">
        <f>TEXT(Sales_Table[[#This Row],[Date_clean]],"mmmm")</f>
        <v>March</v>
      </c>
      <c r="W1972">
        <f>WEEKNUM(Sales_Table[[#This Row],[Date_clean]],2)</f>
        <v>12</v>
      </c>
      <c r="X1972" t="str" cm="1">
        <f t="array" ref="X1972">_xlfn.IFS(Sales_Table[[#This Row],[Revenue]]&gt;=50000,"High",Sales_Table[[#This Row],[Revenue]]&gt;=20000,"Medium",Sales_Table[[#This Row],[Revenue]]&lt;20000,"Low")</f>
        <v>Medium</v>
      </c>
      <c r="Y1972" t="str">
        <f>IF(Sales_Table[[#This Row],[Payment Method_clean]]="cash","Offline","Online")</f>
        <v>Online</v>
      </c>
      <c r="Z1972">
        <f>IFERROR(Sales_Table[[#This Row],[Revenue]],0)</f>
        <v>42786</v>
      </c>
    </row>
    <row r="1973" spans="1:26" x14ac:dyDescent="0.3">
      <c r="A1973">
        <v>1972</v>
      </c>
      <c r="B1973" s="2">
        <f t="shared" si="210"/>
        <v>45374.125</v>
      </c>
      <c r="C1973" t="s">
        <v>4385</v>
      </c>
      <c r="D1973" t="s">
        <v>45</v>
      </c>
      <c r="E1973" t="str">
        <f>PROPER(TRIM(CLEAN(Sales_Table[[#This Row],[Region]])))</f>
        <v>North</v>
      </c>
      <c r="F1973" t="s">
        <v>46</v>
      </c>
      <c r="G1973" t="str">
        <f t="shared" si="211"/>
        <v>Electronics</v>
      </c>
      <c r="H1973" t="str">
        <f>PROPER(TRIM(CLEAN(Sales_Table[[#This Row],[Product Name]])))</f>
        <v>Mixer Grinder</v>
      </c>
      <c r="I1973" t="s">
        <v>29</v>
      </c>
      <c r="J1973" t="str">
        <f t="shared" si="212"/>
        <v>CUST0594</v>
      </c>
      <c r="K1973" t="s">
        <v>4386</v>
      </c>
      <c r="L1973" t="str">
        <f>PROPER(TRIM(CLEAN(Sales_Table[[#This Row],[Salesperson]])))</f>
        <v>Rahul</v>
      </c>
      <c r="M1973" t="s">
        <v>31</v>
      </c>
      <c r="N1973" t="str">
        <f t="shared" si="213"/>
        <v>Credit Card</v>
      </c>
      <c r="O1973" t="s">
        <v>65</v>
      </c>
      <c r="P1973">
        <f t="shared" si="214"/>
        <v>11</v>
      </c>
      <c r="Q1973" t="s">
        <v>97</v>
      </c>
      <c r="R1973">
        <f t="shared" si="215"/>
        <v>1536</v>
      </c>
      <c r="S1973" t="s">
        <v>4387</v>
      </c>
      <c r="T1973">
        <f t="shared" si="216"/>
        <v>16896</v>
      </c>
      <c r="U1973">
        <f>YEAR(Sales_Table[[#This Row],[Date_clean]])</f>
        <v>2024</v>
      </c>
      <c r="V1973" t="str">
        <f>TEXT(Sales_Table[[#This Row],[Date_clean]],"mmmm")</f>
        <v>March</v>
      </c>
      <c r="W1973">
        <f>WEEKNUM(Sales_Table[[#This Row],[Date_clean]],2)</f>
        <v>12</v>
      </c>
      <c r="X1973" t="str" cm="1">
        <f t="array" ref="X1973">_xlfn.IFS(Sales_Table[[#This Row],[Revenue]]&gt;=50000,"High",Sales_Table[[#This Row],[Revenue]]&gt;=20000,"Medium",Sales_Table[[#This Row],[Revenue]]&lt;20000,"Low")</f>
        <v>Low</v>
      </c>
      <c r="Y1973" t="str">
        <f>IF(Sales_Table[[#This Row],[Payment Method_clean]]="cash","Offline","Online")</f>
        <v>Online</v>
      </c>
      <c r="Z1973">
        <f>IFERROR(Sales_Table[[#This Row],[Revenue]],0)</f>
        <v>16896</v>
      </c>
    </row>
    <row r="1974" spans="1:26" x14ac:dyDescent="0.3">
      <c r="A1974">
        <v>1973</v>
      </c>
      <c r="B1974" s="2">
        <f t="shared" si="210"/>
        <v>45374.166666666664</v>
      </c>
      <c r="C1974" t="s">
        <v>4388</v>
      </c>
      <c r="D1974" t="s">
        <v>27</v>
      </c>
      <c r="E1974" t="str">
        <f>PROPER(TRIM(CLEAN(Sales_Table[[#This Row],[Region]])))</f>
        <v>East</v>
      </c>
      <c r="F1974" t="s">
        <v>28</v>
      </c>
      <c r="G1974" t="str">
        <f t="shared" si="211"/>
        <v>Clothing</v>
      </c>
      <c r="H1974" t="str">
        <f>PROPER(TRIM(CLEAN(Sales_Table[[#This Row],[Product Name]])))</f>
        <v>Mixer Grinder</v>
      </c>
      <c r="I1974" t="s">
        <v>29</v>
      </c>
      <c r="J1974" t="str">
        <f t="shared" si="212"/>
        <v>CUST0587</v>
      </c>
      <c r="K1974" t="s">
        <v>802</v>
      </c>
      <c r="L1974" t="str">
        <f>PROPER(TRIM(CLEAN(Sales_Table[[#This Row],[Salesperson]])))</f>
        <v>Anita</v>
      </c>
      <c r="M1974" t="s">
        <v>64</v>
      </c>
      <c r="N1974" t="str">
        <f t="shared" si="213"/>
        <v>Upi</v>
      </c>
      <c r="O1974" t="s">
        <v>48</v>
      </c>
      <c r="P1974">
        <f t="shared" si="214"/>
        <v>5</v>
      </c>
      <c r="Q1974" t="s">
        <v>89</v>
      </c>
      <c r="R1974">
        <f t="shared" si="215"/>
        <v>3190</v>
      </c>
      <c r="S1974" t="s">
        <v>4389</v>
      </c>
      <c r="T1974">
        <f t="shared" si="216"/>
        <v>15950</v>
      </c>
      <c r="U1974">
        <f>YEAR(Sales_Table[[#This Row],[Date_clean]])</f>
        <v>2024</v>
      </c>
      <c r="V1974" t="str">
        <f>TEXT(Sales_Table[[#This Row],[Date_clean]],"mmmm")</f>
        <v>March</v>
      </c>
      <c r="W1974">
        <f>WEEKNUM(Sales_Table[[#This Row],[Date_clean]],2)</f>
        <v>12</v>
      </c>
      <c r="X1974" t="str" cm="1">
        <f t="array" ref="X1974">_xlfn.IFS(Sales_Table[[#This Row],[Revenue]]&gt;=50000,"High",Sales_Table[[#This Row],[Revenue]]&gt;=20000,"Medium",Sales_Table[[#This Row],[Revenue]]&lt;20000,"Low")</f>
        <v>Low</v>
      </c>
      <c r="Y1974" t="str">
        <f>IF(Sales_Table[[#This Row],[Payment Method_clean]]="cash","Offline","Online")</f>
        <v>Online</v>
      </c>
      <c r="Z1974">
        <f>IFERROR(Sales_Table[[#This Row],[Revenue]],0)</f>
        <v>15950</v>
      </c>
    </row>
    <row r="1975" spans="1:26" x14ac:dyDescent="0.3">
      <c r="A1975">
        <v>1974</v>
      </c>
      <c r="B1975" s="2">
        <f t="shared" si="210"/>
        <v>45374.208333333336</v>
      </c>
      <c r="C1975" t="s">
        <v>4390</v>
      </c>
      <c r="D1975" t="s">
        <v>36</v>
      </c>
      <c r="E1975" t="str">
        <f>PROPER(TRIM(CLEAN(Sales_Table[[#This Row],[Region]])))</f>
        <v>West</v>
      </c>
      <c r="F1975" t="s">
        <v>28</v>
      </c>
      <c r="G1975" t="str">
        <f t="shared" si="211"/>
        <v>Clothing</v>
      </c>
      <c r="H1975" t="str">
        <f>PROPER(TRIM(CLEAN(Sales_Table[[#This Row],[Product Name]])))</f>
        <v>Mixer Grinder</v>
      </c>
      <c r="I1975" t="s">
        <v>29</v>
      </c>
      <c r="J1975" t="str">
        <f t="shared" si="212"/>
        <v>CUST0192</v>
      </c>
      <c r="K1975" t="s">
        <v>977</v>
      </c>
      <c r="L1975" t="str">
        <f>PROPER(TRIM(CLEAN(Sales_Table[[#This Row],[Salesperson]])))</f>
        <v>Suresh</v>
      </c>
      <c r="M1975" t="s">
        <v>54</v>
      </c>
      <c r="N1975" t="str">
        <f t="shared" si="213"/>
        <v>Net Banking</v>
      </c>
      <c r="O1975" t="s">
        <v>60</v>
      </c>
      <c r="P1975">
        <f t="shared" si="214"/>
        <v>9</v>
      </c>
      <c r="Q1975" t="s">
        <v>130</v>
      </c>
      <c r="R1975">
        <f t="shared" si="215"/>
        <v>1470</v>
      </c>
      <c r="S1975" t="s">
        <v>4391</v>
      </c>
      <c r="T1975">
        <f t="shared" si="216"/>
        <v>13230</v>
      </c>
      <c r="U1975">
        <f>YEAR(Sales_Table[[#This Row],[Date_clean]])</f>
        <v>2024</v>
      </c>
      <c r="V1975" t="str">
        <f>TEXT(Sales_Table[[#This Row],[Date_clean]],"mmmm")</f>
        <v>March</v>
      </c>
      <c r="W1975">
        <f>WEEKNUM(Sales_Table[[#This Row],[Date_clean]],2)</f>
        <v>12</v>
      </c>
      <c r="X1975" t="str" cm="1">
        <f t="array" ref="X1975">_xlfn.IFS(Sales_Table[[#This Row],[Revenue]]&gt;=50000,"High",Sales_Table[[#This Row],[Revenue]]&gt;=20000,"Medium",Sales_Table[[#This Row],[Revenue]]&lt;20000,"Low")</f>
        <v>Low</v>
      </c>
      <c r="Y1975" t="str">
        <f>IF(Sales_Table[[#This Row],[Payment Method_clean]]="cash","Offline","Online")</f>
        <v>Online</v>
      </c>
      <c r="Z1975">
        <f>IFERROR(Sales_Table[[#This Row],[Revenue]],0)</f>
        <v>13230</v>
      </c>
    </row>
    <row r="1976" spans="1:26" x14ac:dyDescent="0.3">
      <c r="A1976">
        <v>1975</v>
      </c>
      <c r="B1976" s="2">
        <f t="shared" si="210"/>
        <v>45374.25</v>
      </c>
      <c r="C1976" t="s">
        <v>4392</v>
      </c>
      <c r="D1976" t="s">
        <v>84</v>
      </c>
      <c r="E1976" t="str">
        <f>PROPER(TRIM(CLEAN(Sales_Table[[#This Row],[Region]])))</f>
        <v>South</v>
      </c>
      <c r="F1976" t="s">
        <v>46</v>
      </c>
      <c r="G1976" t="str">
        <f t="shared" si="211"/>
        <v>Electronics</v>
      </c>
      <c r="H1976" t="str">
        <f>PROPER(TRIM(CLEAN(Sales_Table[[#This Row],[Product Name]])))</f>
        <v>Rice 5Kg</v>
      </c>
      <c r="I1976" t="s">
        <v>73</v>
      </c>
      <c r="J1976" t="str">
        <f t="shared" si="212"/>
        <v>CUST0325</v>
      </c>
      <c r="K1976" t="s">
        <v>4393</v>
      </c>
      <c r="L1976" t="str">
        <f>PROPER(TRIM(CLEAN(Sales_Table[[#This Row],[Salesperson]])))</f>
        <v>Anita</v>
      </c>
      <c r="M1976" t="s">
        <v>64</v>
      </c>
      <c r="N1976" t="str">
        <f t="shared" si="213"/>
        <v>Debit Card</v>
      </c>
      <c r="O1976" t="s">
        <v>41</v>
      </c>
      <c r="P1976">
        <f t="shared" si="214"/>
        <v>9</v>
      </c>
      <c r="Q1976" t="s">
        <v>130</v>
      </c>
      <c r="R1976">
        <f t="shared" si="215"/>
        <v>2028</v>
      </c>
      <c r="S1976" t="s">
        <v>4394</v>
      </c>
      <c r="T1976">
        <f t="shared" si="216"/>
        <v>18252</v>
      </c>
      <c r="U1976">
        <f>YEAR(Sales_Table[[#This Row],[Date_clean]])</f>
        <v>2024</v>
      </c>
      <c r="V1976" t="str">
        <f>TEXT(Sales_Table[[#This Row],[Date_clean]],"mmmm")</f>
        <v>March</v>
      </c>
      <c r="W1976">
        <f>WEEKNUM(Sales_Table[[#This Row],[Date_clean]],2)</f>
        <v>12</v>
      </c>
      <c r="X1976" t="str" cm="1">
        <f t="array" ref="X1976">_xlfn.IFS(Sales_Table[[#This Row],[Revenue]]&gt;=50000,"High",Sales_Table[[#This Row],[Revenue]]&gt;=20000,"Medium",Sales_Table[[#This Row],[Revenue]]&lt;20000,"Low")</f>
        <v>Low</v>
      </c>
      <c r="Y1976" t="str">
        <f>IF(Sales_Table[[#This Row],[Payment Method_clean]]="cash","Offline","Online")</f>
        <v>Online</v>
      </c>
      <c r="Z1976">
        <f>IFERROR(Sales_Table[[#This Row],[Revenue]],0)</f>
        <v>18252</v>
      </c>
    </row>
    <row r="1977" spans="1:26" x14ac:dyDescent="0.3">
      <c r="A1977">
        <v>1976</v>
      </c>
      <c r="B1977" s="2">
        <f t="shared" si="210"/>
        <v>45374.291666666664</v>
      </c>
      <c r="C1977" t="s">
        <v>4395</v>
      </c>
      <c r="D1977" t="s">
        <v>45</v>
      </c>
      <c r="E1977" t="str">
        <f>PROPER(TRIM(CLEAN(Sales_Table[[#This Row],[Region]])))</f>
        <v>North</v>
      </c>
      <c r="F1977" t="s">
        <v>28</v>
      </c>
      <c r="G1977" t="str">
        <f t="shared" si="211"/>
        <v>Clothing</v>
      </c>
      <c r="H1977" t="str">
        <f>PROPER(TRIM(CLEAN(Sales_Table[[#This Row],[Product Name]])))</f>
        <v>Rice 5Kg</v>
      </c>
      <c r="I1977" t="s">
        <v>73</v>
      </c>
      <c r="J1977" t="str">
        <f t="shared" si="212"/>
        <v>CUST0726</v>
      </c>
      <c r="K1977" t="s">
        <v>723</v>
      </c>
      <c r="L1977" t="str">
        <f>PROPER(TRIM(CLEAN(Sales_Table[[#This Row],[Salesperson]])))</f>
        <v>Anita</v>
      </c>
      <c r="M1977" t="s">
        <v>64</v>
      </c>
      <c r="N1977" t="str">
        <f t="shared" si="213"/>
        <v>Upi</v>
      </c>
      <c r="O1977" t="s">
        <v>48</v>
      </c>
      <c r="P1977">
        <f t="shared" si="214"/>
        <v>6</v>
      </c>
      <c r="Q1977" t="s">
        <v>75</v>
      </c>
      <c r="R1977">
        <f t="shared" si="215"/>
        <v>1736</v>
      </c>
      <c r="S1977" t="s">
        <v>4396</v>
      </c>
      <c r="T1977">
        <f t="shared" si="216"/>
        <v>10416</v>
      </c>
      <c r="U1977">
        <f>YEAR(Sales_Table[[#This Row],[Date_clean]])</f>
        <v>2024</v>
      </c>
      <c r="V1977" t="str">
        <f>TEXT(Sales_Table[[#This Row],[Date_clean]],"mmmm")</f>
        <v>March</v>
      </c>
      <c r="W1977">
        <f>WEEKNUM(Sales_Table[[#This Row],[Date_clean]],2)</f>
        <v>12</v>
      </c>
      <c r="X1977" t="str" cm="1">
        <f t="array" ref="X1977">_xlfn.IFS(Sales_Table[[#This Row],[Revenue]]&gt;=50000,"High",Sales_Table[[#This Row],[Revenue]]&gt;=20000,"Medium",Sales_Table[[#This Row],[Revenue]]&lt;20000,"Low")</f>
        <v>Low</v>
      </c>
      <c r="Y1977" t="str">
        <f>IF(Sales_Table[[#This Row],[Payment Method_clean]]="cash","Offline","Online")</f>
        <v>Online</v>
      </c>
      <c r="Z1977">
        <f>IFERROR(Sales_Table[[#This Row],[Revenue]],0)</f>
        <v>10416</v>
      </c>
    </row>
    <row r="1978" spans="1:26" x14ac:dyDescent="0.3">
      <c r="A1978">
        <v>1977</v>
      </c>
      <c r="B1978" s="2">
        <f t="shared" si="210"/>
        <v>45374.333333333336</v>
      </c>
      <c r="C1978" t="s">
        <v>4397</v>
      </c>
      <c r="D1978" t="s">
        <v>27</v>
      </c>
      <c r="E1978" t="str">
        <f>PROPER(TRIM(CLEAN(Sales_Table[[#This Row],[Region]])))</f>
        <v>East</v>
      </c>
      <c r="F1978" t="s">
        <v>78</v>
      </c>
      <c r="G1978" t="str">
        <f t="shared" si="211"/>
        <v>Grocery</v>
      </c>
      <c r="H1978" t="str">
        <f>PROPER(TRIM(CLEAN(Sales_Table[[#This Row],[Product Name]])))</f>
        <v>Washing Machine</v>
      </c>
      <c r="I1978" t="s">
        <v>79</v>
      </c>
      <c r="J1978" t="str">
        <f t="shared" si="212"/>
        <v>CUST0467</v>
      </c>
      <c r="K1978" t="s">
        <v>1471</v>
      </c>
      <c r="L1978" t="str">
        <f>PROPER(TRIM(CLEAN(Sales_Table[[#This Row],[Salesperson]])))</f>
        <v>Suresh</v>
      </c>
      <c r="M1978" t="s">
        <v>54</v>
      </c>
      <c r="N1978" t="str">
        <f t="shared" si="213"/>
        <v>Net Banking</v>
      </c>
      <c r="O1978" t="s">
        <v>60</v>
      </c>
      <c r="P1978">
        <f t="shared" si="214"/>
        <v>11</v>
      </c>
      <c r="Q1978" t="s">
        <v>97</v>
      </c>
      <c r="R1978">
        <f t="shared" si="215"/>
        <v>191</v>
      </c>
      <c r="S1978" t="s">
        <v>4398</v>
      </c>
      <c r="T1978">
        <f t="shared" si="216"/>
        <v>2101</v>
      </c>
      <c r="U1978">
        <f>YEAR(Sales_Table[[#This Row],[Date_clean]])</f>
        <v>2024</v>
      </c>
      <c r="V1978" t="str">
        <f>TEXT(Sales_Table[[#This Row],[Date_clean]],"mmmm")</f>
        <v>March</v>
      </c>
      <c r="W1978">
        <f>WEEKNUM(Sales_Table[[#This Row],[Date_clean]],2)</f>
        <v>12</v>
      </c>
      <c r="X1978" t="str" cm="1">
        <f t="array" ref="X1978">_xlfn.IFS(Sales_Table[[#This Row],[Revenue]]&gt;=50000,"High",Sales_Table[[#This Row],[Revenue]]&gt;=20000,"Medium",Sales_Table[[#This Row],[Revenue]]&lt;20000,"Low")</f>
        <v>Low</v>
      </c>
      <c r="Y1978" t="str">
        <f>IF(Sales_Table[[#This Row],[Payment Method_clean]]="cash","Offline","Online")</f>
        <v>Online</v>
      </c>
      <c r="Z1978">
        <f>IFERROR(Sales_Table[[#This Row],[Revenue]],0)</f>
        <v>2101</v>
      </c>
    </row>
    <row r="1979" spans="1:26" x14ac:dyDescent="0.3">
      <c r="A1979">
        <v>1978</v>
      </c>
      <c r="B1979" s="2">
        <f t="shared" si="210"/>
        <v>45374.375</v>
      </c>
      <c r="C1979" t="s">
        <v>4399</v>
      </c>
      <c r="D1979" t="s">
        <v>27</v>
      </c>
      <c r="E1979" t="str">
        <f>PROPER(TRIM(CLEAN(Sales_Table[[#This Row],[Region]])))</f>
        <v>East</v>
      </c>
      <c r="F1979" t="s">
        <v>37</v>
      </c>
      <c r="G1979" t="str">
        <f t="shared" si="211"/>
        <v>Home Appliances</v>
      </c>
      <c r="H1979" t="str">
        <f>PROPER(TRIM(CLEAN(Sales_Table[[#This Row],[Product Name]])))</f>
        <v>Led Tv 42Inch</v>
      </c>
      <c r="I1979" t="s">
        <v>58</v>
      </c>
      <c r="J1979" t="str">
        <f t="shared" si="212"/>
        <v>CUST0367</v>
      </c>
      <c r="K1979" t="s">
        <v>1509</v>
      </c>
      <c r="L1979" t="str">
        <f>PROPER(TRIM(CLEAN(Sales_Table[[#This Row],[Salesperson]])))</f>
        <v>Rahul</v>
      </c>
      <c r="M1979" t="s">
        <v>31</v>
      </c>
      <c r="N1979" t="str">
        <f t="shared" si="213"/>
        <v>Cash</v>
      </c>
      <c r="O1979" t="s">
        <v>32</v>
      </c>
      <c r="P1979">
        <f t="shared" si="214"/>
        <v>1</v>
      </c>
      <c r="Q1979" t="s">
        <v>93</v>
      </c>
      <c r="R1979">
        <f t="shared" si="215"/>
        <v>1943</v>
      </c>
      <c r="S1979" t="s">
        <v>4400</v>
      </c>
      <c r="T1979">
        <f t="shared" si="216"/>
        <v>1943</v>
      </c>
      <c r="U1979">
        <f>YEAR(Sales_Table[[#This Row],[Date_clean]])</f>
        <v>2024</v>
      </c>
      <c r="V1979" t="str">
        <f>TEXT(Sales_Table[[#This Row],[Date_clean]],"mmmm")</f>
        <v>March</v>
      </c>
      <c r="W1979">
        <f>WEEKNUM(Sales_Table[[#This Row],[Date_clean]],2)</f>
        <v>12</v>
      </c>
      <c r="X1979" t="str" cm="1">
        <f t="array" ref="X1979">_xlfn.IFS(Sales_Table[[#This Row],[Revenue]]&gt;=50000,"High",Sales_Table[[#This Row],[Revenue]]&gt;=20000,"Medium",Sales_Table[[#This Row],[Revenue]]&lt;20000,"Low")</f>
        <v>Low</v>
      </c>
      <c r="Y1979" t="str">
        <f>IF(Sales_Table[[#This Row],[Payment Method_clean]]="cash","Offline","Online")</f>
        <v>Offline</v>
      </c>
      <c r="Z1979">
        <f>IFERROR(Sales_Table[[#This Row],[Revenue]],0)</f>
        <v>1943</v>
      </c>
    </row>
    <row r="1980" spans="1:26" x14ac:dyDescent="0.3">
      <c r="A1980">
        <v>1979</v>
      </c>
      <c r="B1980" s="2">
        <f t="shared" si="210"/>
        <v>45374.416666666664</v>
      </c>
      <c r="C1980" t="s">
        <v>4401</v>
      </c>
      <c r="D1980" t="s">
        <v>27</v>
      </c>
      <c r="E1980" t="str">
        <f>PROPER(TRIM(CLEAN(Sales_Table[[#This Row],[Region]])))</f>
        <v>East</v>
      </c>
      <c r="F1980" t="s">
        <v>78</v>
      </c>
      <c r="G1980" t="str">
        <f t="shared" si="211"/>
        <v>Grocery</v>
      </c>
      <c r="H1980" t="str">
        <f>PROPER(TRIM(CLEAN(Sales_Table[[#This Row],[Product Name]])))</f>
        <v>Led Tv 42Inch</v>
      </c>
      <c r="I1980" t="s">
        <v>58</v>
      </c>
      <c r="J1980" t="str">
        <f t="shared" si="212"/>
        <v>CUST0318</v>
      </c>
      <c r="K1980" t="s">
        <v>294</v>
      </c>
      <c r="L1980" t="str">
        <f>PROPER(TRIM(CLEAN(Sales_Table[[#This Row],[Salesperson]])))</f>
        <v>Suresh</v>
      </c>
      <c r="M1980" t="s">
        <v>54</v>
      </c>
      <c r="N1980" t="str">
        <f t="shared" si="213"/>
        <v>Cash</v>
      </c>
      <c r="O1980" t="s">
        <v>32</v>
      </c>
      <c r="P1980">
        <f t="shared" si="214"/>
        <v>10</v>
      </c>
      <c r="Q1980" t="s">
        <v>117</v>
      </c>
      <c r="R1980">
        <f t="shared" si="215"/>
        <v>284</v>
      </c>
      <c r="S1980" t="s">
        <v>1288</v>
      </c>
      <c r="T1980">
        <f t="shared" si="216"/>
        <v>2840</v>
      </c>
      <c r="U1980">
        <f>YEAR(Sales_Table[[#This Row],[Date_clean]])</f>
        <v>2024</v>
      </c>
      <c r="V1980" t="str">
        <f>TEXT(Sales_Table[[#This Row],[Date_clean]],"mmmm")</f>
        <v>March</v>
      </c>
      <c r="W1980">
        <f>WEEKNUM(Sales_Table[[#This Row],[Date_clean]],2)</f>
        <v>12</v>
      </c>
      <c r="X1980" t="str" cm="1">
        <f t="array" ref="X1980">_xlfn.IFS(Sales_Table[[#This Row],[Revenue]]&gt;=50000,"High",Sales_Table[[#This Row],[Revenue]]&gt;=20000,"Medium",Sales_Table[[#This Row],[Revenue]]&lt;20000,"Low")</f>
        <v>Low</v>
      </c>
      <c r="Y1980" t="str">
        <f>IF(Sales_Table[[#This Row],[Payment Method_clean]]="cash","Offline","Online")</f>
        <v>Offline</v>
      </c>
      <c r="Z1980">
        <f>IFERROR(Sales_Table[[#This Row],[Revenue]],0)</f>
        <v>2840</v>
      </c>
    </row>
    <row r="1981" spans="1:26" x14ac:dyDescent="0.3">
      <c r="A1981">
        <v>1980</v>
      </c>
      <c r="B1981" s="2">
        <f t="shared" si="210"/>
        <v>45374.458333333336</v>
      </c>
      <c r="C1981" t="s">
        <v>4402</v>
      </c>
      <c r="D1981" t="s">
        <v>84</v>
      </c>
      <c r="E1981" t="str">
        <f>PROPER(TRIM(CLEAN(Sales_Table[[#This Row],[Region]])))</f>
        <v>South</v>
      </c>
      <c r="F1981" t="s">
        <v>37</v>
      </c>
      <c r="G1981" t="str">
        <f t="shared" si="211"/>
        <v>Home Appliances</v>
      </c>
      <c r="H1981" t="str">
        <f>PROPER(TRIM(CLEAN(Sales_Table[[#This Row],[Product Name]])))</f>
        <v>Washing Machine</v>
      </c>
      <c r="I1981" t="s">
        <v>79</v>
      </c>
      <c r="J1981" t="str">
        <f t="shared" si="212"/>
        <v>CUST0144</v>
      </c>
      <c r="K1981" t="s">
        <v>831</v>
      </c>
      <c r="L1981" t="str">
        <f>PROPER(TRIM(CLEAN(Sales_Table[[#This Row],[Salesperson]])))</f>
        <v>Meena</v>
      </c>
      <c r="M1981" t="s">
        <v>40</v>
      </c>
      <c r="N1981" t="str">
        <f t="shared" si="213"/>
        <v>Credit Card</v>
      </c>
      <c r="O1981" t="s">
        <v>65</v>
      </c>
      <c r="P1981">
        <f t="shared" si="214"/>
        <v>7</v>
      </c>
      <c r="Q1981" t="s">
        <v>49</v>
      </c>
      <c r="R1981">
        <f t="shared" si="215"/>
        <v>4923</v>
      </c>
      <c r="S1981" t="s">
        <v>4403</v>
      </c>
      <c r="T1981">
        <f t="shared" si="216"/>
        <v>34461</v>
      </c>
      <c r="U1981">
        <f>YEAR(Sales_Table[[#This Row],[Date_clean]])</f>
        <v>2024</v>
      </c>
      <c r="V1981" t="str">
        <f>TEXT(Sales_Table[[#This Row],[Date_clean]],"mmmm")</f>
        <v>March</v>
      </c>
      <c r="W1981">
        <f>WEEKNUM(Sales_Table[[#This Row],[Date_clean]],2)</f>
        <v>12</v>
      </c>
      <c r="X1981" t="str" cm="1">
        <f t="array" ref="X1981">_xlfn.IFS(Sales_Table[[#This Row],[Revenue]]&gt;=50000,"High",Sales_Table[[#This Row],[Revenue]]&gt;=20000,"Medium",Sales_Table[[#This Row],[Revenue]]&lt;20000,"Low")</f>
        <v>Medium</v>
      </c>
      <c r="Y1981" t="str">
        <f>IF(Sales_Table[[#This Row],[Payment Method_clean]]="cash","Offline","Online")</f>
        <v>Online</v>
      </c>
      <c r="Z1981">
        <f>IFERROR(Sales_Table[[#This Row],[Revenue]],0)</f>
        <v>34461</v>
      </c>
    </row>
    <row r="1982" spans="1:26" x14ac:dyDescent="0.3">
      <c r="A1982">
        <v>1981</v>
      </c>
      <c r="B1982" s="2">
        <f t="shared" si="210"/>
        <v>45374.5</v>
      </c>
      <c r="C1982" t="s">
        <v>4404</v>
      </c>
      <c r="D1982" t="s">
        <v>45</v>
      </c>
      <c r="E1982" t="str">
        <f>PROPER(TRIM(CLEAN(Sales_Table[[#This Row],[Region]])))</f>
        <v>North</v>
      </c>
      <c r="F1982" t="s">
        <v>46</v>
      </c>
      <c r="G1982" t="str">
        <f t="shared" si="211"/>
        <v>Electronics</v>
      </c>
      <c r="H1982" t="str">
        <f>PROPER(TRIM(CLEAN(Sales_Table[[#This Row],[Product Name]])))</f>
        <v>Washing Machine</v>
      </c>
      <c r="I1982" t="s">
        <v>79</v>
      </c>
      <c r="J1982" t="str">
        <f t="shared" si="212"/>
        <v>CUST0384</v>
      </c>
      <c r="K1982" t="s">
        <v>303</v>
      </c>
      <c r="L1982" t="str">
        <f>PROPER(TRIM(CLEAN(Sales_Table[[#This Row],[Salesperson]])))</f>
        <v>Meena</v>
      </c>
      <c r="M1982" t="s">
        <v>40</v>
      </c>
      <c r="N1982" t="str">
        <f t="shared" si="213"/>
        <v>Debit Card</v>
      </c>
      <c r="O1982" t="s">
        <v>41</v>
      </c>
      <c r="P1982">
        <f t="shared" si="214"/>
        <v>14</v>
      </c>
      <c r="Q1982" t="s">
        <v>55</v>
      </c>
      <c r="R1982">
        <f t="shared" si="215"/>
        <v>1671</v>
      </c>
      <c r="S1982" t="s">
        <v>4405</v>
      </c>
      <c r="T1982">
        <f t="shared" si="216"/>
        <v>23394</v>
      </c>
      <c r="U1982">
        <f>YEAR(Sales_Table[[#This Row],[Date_clean]])</f>
        <v>2024</v>
      </c>
      <c r="V1982" t="str">
        <f>TEXT(Sales_Table[[#This Row],[Date_clean]],"mmmm")</f>
        <v>March</v>
      </c>
      <c r="W1982">
        <f>WEEKNUM(Sales_Table[[#This Row],[Date_clean]],2)</f>
        <v>12</v>
      </c>
      <c r="X1982" t="str" cm="1">
        <f t="array" ref="X1982">_xlfn.IFS(Sales_Table[[#This Row],[Revenue]]&gt;=50000,"High",Sales_Table[[#This Row],[Revenue]]&gt;=20000,"Medium",Sales_Table[[#This Row],[Revenue]]&lt;20000,"Low")</f>
        <v>Medium</v>
      </c>
      <c r="Y1982" t="str">
        <f>IF(Sales_Table[[#This Row],[Payment Method_clean]]="cash","Offline","Online")</f>
        <v>Online</v>
      </c>
      <c r="Z1982">
        <f>IFERROR(Sales_Table[[#This Row],[Revenue]],0)</f>
        <v>23394</v>
      </c>
    </row>
    <row r="1983" spans="1:26" x14ac:dyDescent="0.3">
      <c r="A1983">
        <v>1982</v>
      </c>
      <c r="B1983" s="2">
        <f t="shared" si="210"/>
        <v>45374.541666666664</v>
      </c>
      <c r="C1983" t="s">
        <v>4406</v>
      </c>
      <c r="D1983" t="s">
        <v>36</v>
      </c>
      <c r="E1983" t="str">
        <f>PROPER(TRIM(CLEAN(Sales_Table[[#This Row],[Region]])))</f>
        <v>West</v>
      </c>
      <c r="F1983" t="s">
        <v>78</v>
      </c>
      <c r="G1983" t="str">
        <f t="shared" si="211"/>
        <v>Grocery</v>
      </c>
      <c r="H1983" t="str">
        <f>PROPER(TRIM(CLEAN(Sales_Table[[#This Row],[Product Name]])))</f>
        <v>Laptop</v>
      </c>
      <c r="I1983" t="s">
        <v>52</v>
      </c>
      <c r="J1983" t="str">
        <f t="shared" si="212"/>
        <v>CUST0216</v>
      </c>
      <c r="K1983" t="s">
        <v>4407</v>
      </c>
      <c r="L1983" t="str">
        <f>PROPER(TRIM(CLEAN(Sales_Table[[#This Row],[Salesperson]])))</f>
        <v>Meena</v>
      </c>
      <c r="M1983" t="s">
        <v>40</v>
      </c>
      <c r="N1983" t="str">
        <f t="shared" si="213"/>
        <v>Cash</v>
      </c>
      <c r="O1983" t="s">
        <v>32</v>
      </c>
      <c r="P1983">
        <f t="shared" si="214"/>
        <v>6</v>
      </c>
      <c r="Q1983" t="s">
        <v>75</v>
      </c>
      <c r="R1983">
        <f t="shared" si="215"/>
        <v>931</v>
      </c>
      <c r="S1983" t="s">
        <v>3127</v>
      </c>
      <c r="T1983">
        <f t="shared" si="216"/>
        <v>5586</v>
      </c>
      <c r="U1983">
        <f>YEAR(Sales_Table[[#This Row],[Date_clean]])</f>
        <v>2024</v>
      </c>
      <c r="V1983" t="str">
        <f>TEXT(Sales_Table[[#This Row],[Date_clean]],"mmmm")</f>
        <v>March</v>
      </c>
      <c r="W1983">
        <f>WEEKNUM(Sales_Table[[#This Row],[Date_clean]],2)</f>
        <v>12</v>
      </c>
      <c r="X1983" t="str" cm="1">
        <f t="array" ref="X1983">_xlfn.IFS(Sales_Table[[#This Row],[Revenue]]&gt;=50000,"High",Sales_Table[[#This Row],[Revenue]]&gt;=20000,"Medium",Sales_Table[[#This Row],[Revenue]]&lt;20000,"Low")</f>
        <v>Low</v>
      </c>
      <c r="Y1983" t="str">
        <f>IF(Sales_Table[[#This Row],[Payment Method_clean]]="cash","Offline","Online")</f>
        <v>Offline</v>
      </c>
      <c r="Z1983">
        <f>IFERROR(Sales_Table[[#This Row],[Revenue]],0)</f>
        <v>5586</v>
      </c>
    </row>
    <row r="1984" spans="1:26" x14ac:dyDescent="0.3">
      <c r="A1984">
        <v>1983</v>
      </c>
      <c r="B1984" s="2">
        <f t="shared" si="210"/>
        <v>45374.583333333336</v>
      </c>
      <c r="C1984" t="s">
        <v>4408</v>
      </c>
      <c r="D1984" t="s">
        <v>36</v>
      </c>
      <c r="E1984" t="str">
        <f>PROPER(TRIM(CLEAN(Sales_Table[[#This Row],[Region]])))</f>
        <v>West</v>
      </c>
      <c r="F1984" t="s">
        <v>46</v>
      </c>
      <c r="G1984" t="str">
        <f t="shared" si="211"/>
        <v>Electronics</v>
      </c>
      <c r="H1984" t="str">
        <f>PROPER(TRIM(CLEAN(Sales_Table[[#This Row],[Product Name]])))</f>
        <v>Mixer Grinder</v>
      </c>
      <c r="I1984" t="s">
        <v>29</v>
      </c>
      <c r="J1984" t="str">
        <f t="shared" si="212"/>
        <v>CUST0361</v>
      </c>
      <c r="K1984" t="s">
        <v>2867</v>
      </c>
      <c r="L1984" t="str">
        <f>PROPER(TRIM(CLEAN(Sales_Table[[#This Row],[Salesperson]])))</f>
        <v>Karthik</v>
      </c>
      <c r="M1984" t="s">
        <v>70</v>
      </c>
      <c r="N1984" t="str">
        <f t="shared" si="213"/>
        <v>Net Banking</v>
      </c>
      <c r="O1984" t="s">
        <v>60</v>
      </c>
      <c r="P1984">
        <f t="shared" si="214"/>
        <v>9</v>
      </c>
      <c r="Q1984" t="s">
        <v>130</v>
      </c>
      <c r="R1984">
        <f t="shared" si="215"/>
        <v>4540</v>
      </c>
      <c r="S1984" t="s">
        <v>4409</v>
      </c>
      <c r="T1984">
        <f t="shared" si="216"/>
        <v>40860</v>
      </c>
      <c r="U1984">
        <f>YEAR(Sales_Table[[#This Row],[Date_clean]])</f>
        <v>2024</v>
      </c>
      <c r="V1984" t="str">
        <f>TEXT(Sales_Table[[#This Row],[Date_clean]],"mmmm")</f>
        <v>March</v>
      </c>
      <c r="W1984">
        <f>WEEKNUM(Sales_Table[[#This Row],[Date_clean]],2)</f>
        <v>12</v>
      </c>
      <c r="X1984" t="str" cm="1">
        <f t="array" ref="X1984">_xlfn.IFS(Sales_Table[[#This Row],[Revenue]]&gt;=50000,"High",Sales_Table[[#This Row],[Revenue]]&gt;=20000,"Medium",Sales_Table[[#This Row],[Revenue]]&lt;20000,"Low")</f>
        <v>Medium</v>
      </c>
      <c r="Y1984" t="str">
        <f>IF(Sales_Table[[#This Row],[Payment Method_clean]]="cash","Offline","Online")</f>
        <v>Online</v>
      </c>
      <c r="Z1984">
        <f>IFERROR(Sales_Table[[#This Row],[Revenue]],0)</f>
        <v>40860</v>
      </c>
    </row>
    <row r="1985" spans="1:26" x14ac:dyDescent="0.3">
      <c r="A1985">
        <v>1984</v>
      </c>
      <c r="B1985" s="2">
        <f t="shared" si="210"/>
        <v>45374.625</v>
      </c>
      <c r="C1985" t="s">
        <v>4410</v>
      </c>
      <c r="D1985" t="s">
        <v>27</v>
      </c>
      <c r="E1985" t="str">
        <f>PROPER(TRIM(CLEAN(Sales_Table[[#This Row],[Region]])))</f>
        <v>East</v>
      </c>
      <c r="F1985" t="s">
        <v>46</v>
      </c>
      <c r="G1985" t="str">
        <f t="shared" si="211"/>
        <v>Electronics</v>
      </c>
      <c r="H1985" t="str">
        <f>PROPER(TRIM(CLEAN(Sales_Table[[#This Row],[Product Name]])))</f>
        <v>Washing Machine</v>
      </c>
      <c r="I1985" t="s">
        <v>79</v>
      </c>
      <c r="J1985" t="str">
        <f t="shared" si="212"/>
        <v>CUST0324</v>
      </c>
      <c r="K1985" t="s">
        <v>3317</v>
      </c>
      <c r="L1985" t="str">
        <f>PROPER(TRIM(CLEAN(Sales_Table[[#This Row],[Salesperson]])))</f>
        <v>Rahul</v>
      </c>
      <c r="M1985" t="s">
        <v>31</v>
      </c>
      <c r="N1985" t="str">
        <f t="shared" si="213"/>
        <v>Net Banking</v>
      </c>
      <c r="O1985" t="s">
        <v>60</v>
      </c>
      <c r="P1985">
        <f t="shared" si="214"/>
        <v>7</v>
      </c>
      <c r="Q1985" t="s">
        <v>49</v>
      </c>
      <c r="R1985">
        <f t="shared" si="215"/>
        <v>2225</v>
      </c>
      <c r="S1985" t="s">
        <v>4411</v>
      </c>
      <c r="T1985">
        <f t="shared" si="216"/>
        <v>15575</v>
      </c>
      <c r="U1985">
        <f>YEAR(Sales_Table[[#This Row],[Date_clean]])</f>
        <v>2024</v>
      </c>
      <c r="V1985" t="str">
        <f>TEXT(Sales_Table[[#This Row],[Date_clean]],"mmmm")</f>
        <v>March</v>
      </c>
      <c r="W1985">
        <f>WEEKNUM(Sales_Table[[#This Row],[Date_clean]],2)</f>
        <v>12</v>
      </c>
      <c r="X1985" t="str" cm="1">
        <f t="array" ref="X1985">_xlfn.IFS(Sales_Table[[#This Row],[Revenue]]&gt;=50000,"High",Sales_Table[[#This Row],[Revenue]]&gt;=20000,"Medium",Sales_Table[[#This Row],[Revenue]]&lt;20000,"Low")</f>
        <v>Low</v>
      </c>
      <c r="Y1985" t="str">
        <f>IF(Sales_Table[[#This Row],[Payment Method_clean]]="cash","Offline","Online")</f>
        <v>Online</v>
      </c>
      <c r="Z1985">
        <f>IFERROR(Sales_Table[[#This Row],[Revenue]],0)</f>
        <v>15575</v>
      </c>
    </row>
    <row r="1986" spans="1:26" x14ac:dyDescent="0.3">
      <c r="A1986">
        <v>1985</v>
      </c>
      <c r="B1986" s="2">
        <f t="shared" si="210"/>
        <v>45374.666666666664</v>
      </c>
      <c r="C1986" t="s">
        <v>4412</v>
      </c>
      <c r="D1986" t="s">
        <v>84</v>
      </c>
      <c r="E1986" t="str">
        <f>PROPER(TRIM(CLEAN(Sales_Table[[#This Row],[Region]])))</f>
        <v>South</v>
      </c>
      <c r="F1986" t="s">
        <v>37</v>
      </c>
      <c r="G1986" t="str">
        <f t="shared" si="211"/>
        <v>Home Appliances</v>
      </c>
      <c r="H1986" t="str">
        <f>PROPER(TRIM(CLEAN(Sales_Table[[#This Row],[Product Name]])))</f>
        <v>Men T-Shirt</v>
      </c>
      <c r="I1986" t="s">
        <v>38</v>
      </c>
      <c r="J1986" t="str">
        <f t="shared" si="212"/>
        <v>CUST0015</v>
      </c>
      <c r="K1986" t="s">
        <v>3809</v>
      </c>
      <c r="L1986" t="str">
        <f>PROPER(TRIM(CLEAN(Sales_Table[[#This Row],[Salesperson]])))</f>
        <v>Rahul</v>
      </c>
      <c r="M1986" t="s">
        <v>31</v>
      </c>
      <c r="N1986" t="str">
        <f t="shared" si="213"/>
        <v>Cash</v>
      </c>
      <c r="O1986" t="s">
        <v>32</v>
      </c>
      <c r="P1986">
        <f t="shared" si="214"/>
        <v>14</v>
      </c>
      <c r="Q1986" t="s">
        <v>55</v>
      </c>
      <c r="R1986">
        <f t="shared" si="215"/>
        <v>4362</v>
      </c>
      <c r="S1986" t="s">
        <v>4413</v>
      </c>
      <c r="T1986">
        <f t="shared" si="216"/>
        <v>61068</v>
      </c>
      <c r="U1986">
        <f>YEAR(Sales_Table[[#This Row],[Date_clean]])</f>
        <v>2024</v>
      </c>
      <c r="V1986" t="str">
        <f>TEXT(Sales_Table[[#This Row],[Date_clean]],"mmmm")</f>
        <v>March</v>
      </c>
      <c r="W1986">
        <f>WEEKNUM(Sales_Table[[#This Row],[Date_clean]],2)</f>
        <v>12</v>
      </c>
      <c r="X1986" t="str" cm="1">
        <f t="array" ref="X1986">_xlfn.IFS(Sales_Table[[#This Row],[Revenue]]&gt;=50000,"High",Sales_Table[[#This Row],[Revenue]]&gt;=20000,"Medium",Sales_Table[[#This Row],[Revenue]]&lt;20000,"Low")</f>
        <v>High</v>
      </c>
      <c r="Y1986" t="str">
        <f>IF(Sales_Table[[#This Row],[Payment Method_clean]]="cash","Offline","Online")</f>
        <v>Offline</v>
      </c>
      <c r="Z1986">
        <f>IFERROR(Sales_Table[[#This Row],[Revenue]],0)</f>
        <v>61068</v>
      </c>
    </row>
    <row r="1987" spans="1:26" x14ac:dyDescent="0.3">
      <c r="A1987">
        <v>1986</v>
      </c>
      <c r="B1987" s="2">
        <f t="shared" ref="B1987:B2001" si="217">DATEVALUE(LEFT(C1987,10))+TIMEVALUE(MID(C1987,12,8))</f>
        <v>45374.708333333336</v>
      </c>
      <c r="C1987" t="s">
        <v>4414</v>
      </c>
      <c r="D1987" t="s">
        <v>84</v>
      </c>
      <c r="E1987" t="str">
        <f>PROPER(TRIM(CLEAN(Sales_Table[[#This Row],[Region]])))</f>
        <v>South</v>
      </c>
      <c r="F1987" t="s">
        <v>37</v>
      </c>
      <c r="G1987" t="str">
        <f t="shared" ref="G1987:G2001" si="218">PROPER(TRIM(CLEAN(F1987)))</f>
        <v>Home Appliances</v>
      </c>
      <c r="H1987" t="str">
        <f>PROPER(TRIM(CLEAN(Sales_Table[[#This Row],[Product Name]])))</f>
        <v>Led Tv 42Inch</v>
      </c>
      <c r="I1987" t="s">
        <v>58</v>
      </c>
      <c r="J1987" t="str">
        <f t="shared" ref="J1987:J2001" si="219">TRIM(K1987)</f>
        <v>CUST0217</v>
      </c>
      <c r="K1987" t="s">
        <v>416</v>
      </c>
      <c r="L1987" t="str">
        <f>PROPER(TRIM(CLEAN(Sales_Table[[#This Row],[Salesperson]])))</f>
        <v>Karthik</v>
      </c>
      <c r="M1987" t="s">
        <v>70</v>
      </c>
      <c r="N1987" t="str">
        <f t="shared" ref="N1987:N2001" si="220">PROPER(TRIM(O1987))</f>
        <v>Net Banking</v>
      </c>
      <c r="O1987" t="s">
        <v>60</v>
      </c>
      <c r="P1987">
        <f t="shared" ref="P1987:P2001" si="221">VALUE(Q1987)</f>
        <v>12</v>
      </c>
      <c r="Q1987" t="s">
        <v>33</v>
      </c>
      <c r="R1987">
        <f t="shared" ref="R1987:R2001" si="222">VALUE(S1987)</f>
        <v>363</v>
      </c>
      <c r="S1987" t="s">
        <v>4415</v>
      </c>
      <c r="T1987">
        <f t="shared" ref="T1987:T2001" si="223">P1987*R1987</f>
        <v>4356</v>
      </c>
      <c r="U1987">
        <f>YEAR(Sales_Table[[#This Row],[Date_clean]])</f>
        <v>2024</v>
      </c>
      <c r="V1987" t="str">
        <f>TEXT(Sales_Table[[#This Row],[Date_clean]],"mmmm")</f>
        <v>March</v>
      </c>
      <c r="W1987">
        <f>WEEKNUM(Sales_Table[[#This Row],[Date_clean]],2)</f>
        <v>12</v>
      </c>
      <c r="X1987" t="str" cm="1">
        <f t="array" ref="X1987">_xlfn.IFS(Sales_Table[[#This Row],[Revenue]]&gt;=50000,"High",Sales_Table[[#This Row],[Revenue]]&gt;=20000,"Medium",Sales_Table[[#This Row],[Revenue]]&lt;20000,"Low")</f>
        <v>Low</v>
      </c>
      <c r="Y1987" t="str">
        <f>IF(Sales_Table[[#This Row],[Payment Method_clean]]="cash","Offline","Online")</f>
        <v>Online</v>
      </c>
      <c r="Z1987">
        <f>IFERROR(Sales_Table[[#This Row],[Revenue]],0)</f>
        <v>4356</v>
      </c>
    </row>
    <row r="1988" spans="1:26" x14ac:dyDescent="0.3">
      <c r="A1988">
        <v>1987</v>
      </c>
      <c r="B1988" s="2">
        <f t="shared" si="217"/>
        <v>45374.75</v>
      </c>
      <c r="C1988" t="s">
        <v>4416</v>
      </c>
      <c r="D1988" t="s">
        <v>84</v>
      </c>
      <c r="E1988" t="str">
        <f>PROPER(TRIM(CLEAN(Sales_Table[[#This Row],[Region]])))</f>
        <v>South</v>
      </c>
      <c r="F1988" t="s">
        <v>37</v>
      </c>
      <c r="G1988" t="str">
        <f t="shared" si="218"/>
        <v>Home Appliances</v>
      </c>
      <c r="H1988" t="str">
        <f>PROPER(TRIM(CLEAN(Sales_Table[[#This Row],[Product Name]])))</f>
        <v>Washing Machine</v>
      </c>
      <c r="I1988" t="s">
        <v>79</v>
      </c>
      <c r="J1988" t="str">
        <f t="shared" si="219"/>
        <v>CUST0492</v>
      </c>
      <c r="K1988" t="s">
        <v>1722</v>
      </c>
      <c r="L1988" t="str">
        <f>PROPER(TRIM(CLEAN(Sales_Table[[#This Row],[Salesperson]])))</f>
        <v>Anita</v>
      </c>
      <c r="M1988" t="s">
        <v>64</v>
      </c>
      <c r="N1988" t="str">
        <f t="shared" si="220"/>
        <v>Net Banking</v>
      </c>
      <c r="O1988" t="s">
        <v>60</v>
      </c>
      <c r="P1988">
        <f t="shared" si="221"/>
        <v>11</v>
      </c>
      <c r="Q1988" t="s">
        <v>97</v>
      </c>
      <c r="R1988">
        <f t="shared" si="222"/>
        <v>1386</v>
      </c>
      <c r="S1988" t="s">
        <v>345</v>
      </c>
      <c r="T1988">
        <f t="shared" si="223"/>
        <v>15246</v>
      </c>
      <c r="U1988">
        <f>YEAR(Sales_Table[[#This Row],[Date_clean]])</f>
        <v>2024</v>
      </c>
      <c r="V1988" t="str">
        <f>TEXT(Sales_Table[[#This Row],[Date_clean]],"mmmm")</f>
        <v>March</v>
      </c>
      <c r="W1988">
        <f>WEEKNUM(Sales_Table[[#This Row],[Date_clean]],2)</f>
        <v>12</v>
      </c>
      <c r="X1988" t="str" cm="1">
        <f t="array" ref="X1988">_xlfn.IFS(Sales_Table[[#This Row],[Revenue]]&gt;=50000,"High",Sales_Table[[#This Row],[Revenue]]&gt;=20000,"Medium",Sales_Table[[#This Row],[Revenue]]&lt;20000,"Low")</f>
        <v>Low</v>
      </c>
      <c r="Y1988" t="str">
        <f>IF(Sales_Table[[#This Row],[Payment Method_clean]]="cash","Offline","Online")</f>
        <v>Online</v>
      </c>
      <c r="Z1988">
        <f>IFERROR(Sales_Table[[#This Row],[Revenue]],0)</f>
        <v>15246</v>
      </c>
    </row>
    <row r="1989" spans="1:26" x14ac:dyDescent="0.3">
      <c r="A1989">
        <v>1988</v>
      </c>
      <c r="B1989" s="2">
        <f t="shared" si="217"/>
        <v>45374.791666666664</v>
      </c>
      <c r="C1989" t="s">
        <v>4417</v>
      </c>
      <c r="D1989" t="s">
        <v>36</v>
      </c>
      <c r="E1989" t="str">
        <f>PROPER(TRIM(CLEAN(Sales_Table[[#This Row],[Region]])))</f>
        <v>West</v>
      </c>
      <c r="F1989" t="s">
        <v>78</v>
      </c>
      <c r="G1989" t="str">
        <f t="shared" si="218"/>
        <v>Grocery</v>
      </c>
      <c r="H1989" t="str">
        <f>PROPER(TRIM(CLEAN(Sales_Table[[#This Row],[Product Name]])))</f>
        <v>Men T-Shirt</v>
      </c>
      <c r="I1989" t="s">
        <v>38</v>
      </c>
      <c r="J1989" t="str">
        <f t="shared" si="219"/>
        <v>CUST0547</v>
      </c>
      <c r="K1989" t="s">
        <v>3395</v>
      </c>
      <c r="L1989" t="str">
        <f>PROPER(TRIM(CLEAN(Sales_Table[[#This Row],[Salesperson]])))</f>
        <v>Meena</v>
      </c>
      <c r="M1989" t="s">
        <v>40</v>
      </c>
      <c r="N1989" t="str">
        <f t="shared" si="220"/>
        <v>Credit Card</v>
      </c>
      <c r="O1989" t="s">
        <v>65</v>
      </c>
      <c r="P1989">
        <f t="shared" si="221"/>
        <v>12</v>
      </c>
      <c r="Q1989" t="s">
        <v>33</v>
      </c>
      <c r="R1989">
        <f t="shared" si="222"/>
        <v>1629</v>
      </c>
      <c r="S1989" t="s">
        <v>1087</v>
      </c>
      <c r="T1989">
        <f t="shared" si="223"/>
        <v>19548</v>
      </c>
      <c r="U1989">
        <f>YEAR(Sales_Table[[#This Row],[Date_clean]])</f>
        <v>2024</v>
      </c>
      <c r="V1989" t="str">
        <f>TEXT(Sales_Table[[#This Row],[Date_clean]],"mmmm")</f>
        <v>March</v>
      </c>
      <c r="W1989">
        <f>WEEKNUM(Sales_Table[[#This Row],[Date_clean]],2)</f>
        <v>12</v>
      </c>
      <c r="X1989" t="str" cm="1">
        <f t="array" ref="X1989">_xlfn.IFS(Sales_Table[[#This Row],[Revenue]]&gt;=50000,"High",Sales_Table[[#This Row],[Revenue]]&gt;=20000,"Medium",Sales_Table[[#This Row],[Revenue]]&lt;20000,"Low")</f>
        <v>Low</v>
      </c>
      <c r="Y1989" t="str">
        <f>IF(Sales_Table[[#This Row],[Payment Method_clean]]="cash","Offline","Online")</f>
        <v>Online</v>
      </c>
      <c r="Z1989">
        <f>IFERROR(Sales_Table[[#This Row],[Revenue]],0)</f>
        <v>19548</v>
      </c>
    </row>
    <row r="1990" spans="1:26" x14ac:dyDescent="0.3">
      <c r="A1990">
        <v>1989</v>
      </c>
      <c r="B1990" s="2">
        <f t="shared" si="217"/>
        <v>45374.833333333336</v>
      </c>
      <c r="C1990" t="s">
        <v>4418</v>
      </c>
      <c r="D1990" t="s">
        <v>27</v>
      </c>
      <c r="E1990" t="str">
        <f>PROPER(TRIM(CLEAN(Sales_Table[[#This Row],[Region]])))</f>
        <v>East</v>
      </c>
      <c r="F1990" t="s">
        <v>28</v>
      </c>
      <c r="G1990" t="str">
        <f t="shared" si="218"/>
        <v>Clothing</v>
      </c>
      <c r="H1990" t="str">
        <f>PROPER(TRIM(CLEAN(Sales_Table[[#This Row],[Product Name]])))</f>
        <v>Men T-Shirt</v>
      </c>
      <c r="I1990" t="s">
        <v>38</v>
      </c>
      <c r="J1990" t="str">
        <f t="shared" si="219"/>
        <v>CUST0183</v>
      </c>
      <c r="K1990" t="s">
        <v>1820</v>
      </c>
      <c r="L1990" t="str">
        <f>PROPER(TRIM(CLEAN(Sales_Table[[#This Row],[Salesperson]])))</f>
        <v>Meena</v>
      </c>
      <c r="M1990" t="s">
        <v>40</v>
      </c>
      <c r="N1990" t="str">
        <f t="shared" si="220"/>
        <v>Debit Card</v>
      </c>
      <c r="O1990" t="s">
        <v>41</v>
      </c>
      <c r="P1990">
        <f t="shared" si="221"/>
        <v>13</v>
      </c>
      <c r="Q1990" t="s">
        <v>81</v>
      </c>
      <c r="R1990">
        <f t="shared" si="222"/>
        <v>1908</v>
      </c>
      <c r="S1990" t="s">
        <v>4419</v>
      </c>
      <c r="T1990">
        <f t="shared" si="223"/>
        <v>24804</v>
      </c>
      <c r="U1990">
        <f>YEAR(Sales_Table[[#This Row],[Date_clean]])</f>
        <v>2024</v>
      </c>
      <c r="V1990" t="str">
        <f>TEXT(Sales_Table[[#This Row],[Date_clean]],"mmmm")</f>
        <v>March</v>
      </c>
      <c r="W1990">
        <f>WEEKNUM(Sales_Table[[#This Row],[Date_clean]],2)</f>
        <v>12</v>
      </c>
      <c r="X1990" t="str" cm="1">
        <f t="array" ref="X1990">_xlfn.IFS(Sales_Table[[#This Row],[Revenue]]&gt;=50000,"High",Sales_Table[[#This Row],[Revenue]]&gt;=20000,"Medium",Sales_Table[[#This Row],[Revenue]]&lt;20000,"Low")</f>
        <v>Medium</v>
      </c>
      <c r="Y1990" t="str">
        <f>IF(Sales_Table[[#This Row],[Payment Method_clean]]="cash","Offline","Online")</f>
        <v>Online</v>
      </c>
      <c r="Z1990">
        <f>IFERROR(Sales_Table[[#This Row],[Revenue]],0)</f>
        <v>24804</v>
      </c>
    </row>
    <row r="1991" spans="1:26" x14ac:dyDescent="0.3">
      <c r="A1991">
        <v>1990</v>
      </c>
      <c r="B1991" s="2">
        <f t="shared" si="217"/>
        <v>45374.875</v>
      </c>
      <c r="C1991" t="s">
        <v>4420</v>
      </c>
      <c r="D1991" t="s">
        <v>45</v>
      </c>
      <c r="E1991" t="str">
        <f>PROPER(TRIM(CLEAN(Sales_Table[[#This Row],[Region]])))</f>
        <v>North</v>
      </c>
      <c r="F1991" t="s">
        <v>37</v>
      </c>
      <c r="G1991" t="str">
        <f t="shared" si="218"/>
        <v>Home Appliances</v>
      </c>
      <c r="H1991" t="str">
        <f>PROPER(TRIM(CLEAN(Sales_Table[[#This Row],[Product Name]])))</f>
        <v>Men T-Shirt</v>
      </c>
      <c r="I1991" t="s">
        <v>38</v>
      </c>
      <c r="J1991" t="str">
        <f t="shared" si="219"/>
        <v>CUST0270</v>
      </c>
      <c r="K1991" t="s">
        <v>1220</v>
      </c>
      <c r="L1991" t="str">
        <f>PROPER(TRIM(CLEAN(Sales_Table[[#This Row],[Salesperson]])))</f>
        <v>Anita</v>
      </c>
      <c r="M1991" t="s">
        <v>64</v>
      </c>
      <c r="N1991" t="str">
        <f t="shared" si="220"/>
        <v>Credit Card</v>
      </c>
      <c r="O1991" t="s">
        <v>65</v>
      </c>
      <c r="P1991">
        <f t="shared" si="221"/>
        <v>4</v>
      </c>
      <c r="Q1991" t="s">
        <v>113</v>
      </c>
      <c r="R1991">
        <f t="shared" si="222"/>
        <v>1977</v>
      </c>
      <c r="S1991" t="s">
        <v>3225</v>
      </c>
      <c r="T1991">
        <f t="shared" si="223"/>
        <v>7908</v>
      </c>
      <c r="U1991">
        <f>YEAR(Sales_Table[[#This Row],[Date_clean]])</f>
        <v>2024</v>
      </c>
      <c r="V1991" t="str">
        <f>TEXT(Sales_Table[[#This Row],[Date_clean]],"mmmm")</f>
        <v>March</v>
      </c>
      <c r="W1991">
        <f>WEEKNUM(Sales_Table[[#This Row],[Date_clean]],2)</f>
        <v>12</v>
      </c>
      <c r="X1991" t="str" cm="1">
        <f t="array" ref="X1991">_xlfn.IFS(Sales_Table[[#This Row],[Revenue]]&gt;=50000,"High",Sales_Table[[#This Row],[Revenue]]&gt;=20000,"Medium",Sales_Table[[#This Row],[Revenue]]&lt;20000,"Low")</f>
        <v>Low</v>
      </c>
      <c r="Y1991" t="str">
        <f>IF(Sales_Table[[#This Row],[Payment Method_clean]]="cash","Offline","Online")</f>
        <v>Online</v>
      </c>
      <c r="Z1991">
        <f>IFERROR(Sales_Table[[#This Row],[Revenue]],0)</f>
        <v>7908</v>
      </c>
    </row>
    <row r="1992" spans="1:26" x14ac:dyDescent="0.3">
      <c r="A1992">
        <v>1991</v>
      </c>
      <c r="B1992" s="2">
        <f t="shared" si="217"/>
        <v>45374.916666666664</v>
      </c>
      <c r="C1992" t="s">
        <v>4421</v>
      </c>
      <c r="D1992" t="s">
        <v>36</v>
      </c>
      <c r="E1992" t="str">
        <f>PROPER(TRIM(CLEAN(Sales_Table[[#This Row],[Region]])))</f>
        <v>West</v>
      </c>
      <c r="F1992" t="s">
        <v>37</v>
      </c>
      <c r="G1992" t="str">
        <f t="shared" si="218"/>
        <v>Home Appliances</v>
      </c>
      <c r="H1992" t="str">
        <f>PROPER(TRIM(CLEAN(Sales_Table[[#This Row],[Product Name]])))</f>
        <v>Laptop</v>
      </c>
      <c r="I1992" t="s">
        <v>52</v>
      </c>
      <c r="J1992" t="str">
        <f t="shared" si="219"/>
        <v>CUST0467</v>
      </c>
      <c r="K1992" t="s">
        <v>1471</v>
      </c>
      <c r="L1992" t="str">
        <f>PROPER(TRIM(CLEAN(Sales_Table[[#This Row],[Salesperson]])))</f>
        <v>Suresh</v>
      </c>
      <c r="M1992" t="s">
        <v>54</v>
      </c>
      <c r="N1992" t="str">
        <f t="shared" si="220"/>
        <v>Debit Card</v>
      </c>
      <c r="O1992" t="s">
        <v>41</v>
      </c>
      <c r="P1992">
        <f t="shared" si="221"/>
        <v>7</v>
      </c>
      <c r="Q1992" t="s">
        <v>49</v>
      </c>
      <c r="R1992">
        <f t="shared" si="222"/>
        <v>1849</v>
      </c>
      <c r="S1992" t="s">
        <v>4422</v>
      </c>
      <c r="T1992">
        <f t="shared" si="223"/>
        <v>12943</v>
      </c>
      <c r="U1992">
        <f>YEAR(Sales_Table[[#This Row],[Date_clean]])</f>
        <v>2024</v>
      </c>
      <c r="V1992" t="str">
        <f>TEXT(Sales_Table[[#This Row],[Date_clean]],"mmmm")</f>
        <v>March</v>
      </c>
      <c r="W1992">
        <f>WEEKNUM(Sales_Table[[#This Row],[Date_clean]],2)</f>
        <v>12</v>
      </c>
      <c r="X1992" t="str" cm="1">
        <f t="array" ref="X1992">_xlfn.IFS(Sales_Table[[#This Row],[Revenue]]&gt;=50000,"High",Sales_Table[[#This Row],[Revenue]]&gt;=20000,"Medium",Sales_Table[[#This Row],[Revenue]]&lt;20000,"Low")</f>
        <v>Low</v>
      </c>
      <c r="Y1992" t="str">
        <f>IF(Sales_Table[[#This Row],[Payment Method_clean]]="cash","Offline","Online")</f>
        <v>Online</v>
      </c>
      <c r="Z1992">
        <f>IFERROR(Sales_Table[[#This Row],[Revenue]],0)</f>
        <v>12943</v>
      </c>
    </row>
    <row r="1993" spans="1:26" x14ac:dyDescent="0.3">
      <c r="A1993">
        <v>1992</v>
      </c>
      <c r="B1993" s="2">
        <f t="shared" si="217"/>
        <v>45374.958333333336</v>
      </c>
      <c r="C1993" t="s">
        <v>4423</v>
      </c>
      <c r="D1993" t="s">
        <v>27</v>
      </c>
      <c r="E1993" t="str">
        <f>PROPER(TRIM(CLEAN(Sales_Table[[#This Row],[Region]])))</f>
        <v>East</v>
      </c>
      <c r="F1993" t="s">
        <v>78</v>
      </c>
      <c r="G1993" t="str">
        <f t="shared" si="218"/>
        <v>Grocery</v>
      </c>
      <c r="H1993" t="str">
        <f>PROPER(TRIM(CLEAN(Sales_Table[[#This Row],[Product Name]])))</f>
        <v>Laptop</v>
      </c>
      <c r="I1993" t="s">
        <v>52</v>
      </c>
      <c r="J1993" t="str">
        <f t="shared" si="219"/>
        <v>CUST0612</v>
      </c>
      <c r="K1993" t="s">
        <v>2168</v>
      </c>
      <c r="L1993" t="str">
        <f>PROPER(TRIM(CLEAN(Sales_Table[[#This Row],[Salesperson]])))</f>
        <v>Suresh</v>
      </c>
      <c r="M1993" t="s">
        <v>54</v>
      </c>
      <c r="N1993" t="str">
        <f t="shared" si="220"/>
        <v>Net Banking</v>
      </c>
      <c r="O1993" t="s">
        <v>60</v>
      </c>
      <c r="P1993">
        <f t="shared" si="221"/>
        <v>2</v>
      </c>
      <c r="Q1993" t="s">
        <v>196</v>
      </c>
      <c r="R1993">
        <f t="shared" si="222"/>
        <v>2009</v>
      </c>
      <c r="S1993" t="s">
        <v>4424</v>
      </c>
      <c r="T1993">
        <f t="shared" si="223"/>
        <v>4018</v>
      </c>
      <c r="U1993">
        <f>YEAR(Sales_Table[[#This Row],[Date_clean]])</f>
        <v>2024</v>
      </c>
      <c r="V1993" t="str">
        <f>TEXT(Sales_Table[[#This Row],[Date_clean]],"mmmm")</f>
        <v>March</v>
      </c>
      <c r="W1993">
        <f>WEEKNUM(Sales_Table[[#This Row],[Date_clean]],2)</f>
        <v>12</v>
      </c>
      <c r="X1993" t="str" cm="1">
        <f t="array" ref="X1993">_xlfn.IFS(Sales_Table[[#This Row],[Revenue]]&gt;=50000,"High",Sales_Table[[#This Row],[Revenue]]&gt;=20000,"Medium",Sales_Table[[#This Row],[Revenue]]&lt;20000,"Low")</f>
        <v>Low</v>
      </c>
      <c r="Y1993" t="str">
        <f>IF(Sales_Table[[#This Row],[Payment Method_clean]]="cash","Offline","Online")</f>
        <v>Online</v>
      </c>
      <c r="Z1993">
        <f>IFERROR(Sales_Table[[#This Row],[Revenue]],0)</f>
        <v>4018</v>
      </c>
    </row>
    <row r="1994" spans="1:26" x14ac:dyDescent="0.3">
      <c r="A1994">
        <v>1993</v>
      </c>
      <c r="B1994" s="2">
        <f t="shared" si="217"/>
        <v>45375</v>
      </c>
      <c r="C1994" t="s">
        <v>4425</v>
      </c>
      <c r="D1994" t="s">
        <v>27</v>
      </c>
      <c r="E1994" t="str">
        <f>PROPER(TRIM(CLEAN(Sales_Table[[#This Row],[Region]])))</f>
        <v>East</v>
      </c>
      <c r="F1994" t="s">
        <v>37</v>
      </c>
      <c r="G1994" t="str">
        <f t="shared" si="218"/>
        <v>Home Appliances</v>
      </c>
      <c r="H1994" t="str">
        <f>PROPER(TRIM(CLEAN(Sales_Table[[#This Row],[Product Name]])))</f>
        <v>Men T-Shirt</v>
      </c>
      <c r="I1994" t="s">
        <v>38</v>
      </c>
      <c r="J1994" t="str">
        <f t="shared" si="219"/>
        <v>CUST0519</v>
      </c>
      <c r="K1994" t="s">
        <v>837</v>
      </c>
      <c r="L1994" t="str">
        <f>PROPER(TRIM(CLEAN(Sales_Table[[#This Row],[Salesperson]])))</f>
        <v>Rahul</v>
      </c>
      <c r="M1994" t="s">
        <v>31</v>
      </c>
      <c r="N1994" t="str">
        <f t="shared" si="220"/>
        <v>Debit Card</v>
      </c>
      <c r="O1994" t="s">
        <v>41</v>
      </c>
      <c r="P1994">
        <f t="shared" si="221"/>
        <v>6</v>
      </c>
      <c r="Q1994" t="s">
        <v>75</v>
      </c>
      <c r="R1994">
        <f t="shared" si="222"/>
        <v>2723</v>
      </c>
      <c r="S1994" t="s">
        <v>4426</v>
      </c>
      <c r="T1994">
        <f t="shared" si="223"/>
        <v>16338</v>
      </c>
      <c r="U1994">
        <f>YEAR(Sales_Table[[#This Row],[Date_clean]])</f>
        <v>2024</v>
      </c>
      <c r="V1994" t="str">
        <f>TEXT(Sales_Table[[#This Row],[Date_clean]],"mmmm")</f>
        <v>March</v>
      </c>
      <c r="W1994">
        <f>WEEKNUM(Sales_Table[[#This Row],[Date_clean]],2)</f>
        <v>12</v>
      </c>
      <c r="X1994" t="str" cm="1">
        <f t="array" ref="X1994">_xlfn.IFS(Sales_Table[[#This Row],[Revenue]]&gt;=50000,"High",Sales_Table[[#This Row],[Revenue]]&gt;=20000,"Medium",Sales_Table[[#This Row],[Revenue]]&lt;20000,"Low")</f>
        <v>Low</v>
      </c>
      <c r="Y1994" t="str">
        <f>IF(Sales_Table[[#This Row],[Payment Method_clean]]="cash","Offline","Online")</f>
        <v>Online</v>
      </c>
      <c r="Z1994">
        <f>IFERROR(Sales_Table[[#This Row],[Revenue]],0)</f>
        <v>16338</v>
      </c>
    </row>
    <row r="1995" spans="1:26" x14ac:dyDescent="0.3">
      <c r="A1995">
        <v>1994</v>
      </c>
      <c r="B1995" s="2">
        <f t="shared" si="217"/>
        <v>45375.041666666664</v>
      </c>
      <c r="C1995" t="s">
        <v>4427</v>
      </c>
      <c r="D1995" t="s">
        <v>45</v>
      </c>
      <c r="E1995" t="str">
        <f>PROPER(TRIM(CLEAN(Sales_Table[[#This Row],[Region]])))</f>
        <v>North</v>
      </c>
      <c r="F1995" t="s">
        <v>78</v>
      </c>
      <c r="G1995" t="str">
        <f t="shared" si="218"/>
        <v>Grocery</v>
      </c>
      <c r="H1995" t="str">
        <f>PROPER(TRIM(CLEAN(Sales_Table[[#This Row],[Product Name]])))</f>
        <v>Laptop</v>
      </c>
      <c r="I1995" t="s">
        <v>52</v>
      </c>
      <c r="J1995" t="str">
        <f t="shared" si="219"/>
        <v>CUST0542</v>
      </c>
      <c r="K1995" t="s">
        <v>3554</v>
      </c>
      <c r="L1995" t="str">
        <f>PROPER(TRIM(CLEAN(Sales_Table[[#This Row],[Salesperson]])))</f>
        <v>Karthik</v>
      </c>
      <c r="M1995" t="s">
        <v>70</v>
      </c>
      <c r="N1995" t="str">
        <f t="shared" si="220"/>
        <v>Net Banking</v>
      </c>
      <c r="O1995" t="s">
        <v>60</v>
      </c>
      <c r="P1995">
        <f t="shared" si="221"/>
        <v>6</v>
      </c>
      <c r="Q1995" t="s">
        <v>75</v>
      </c>
      <c r="R1995">
        <f t="shared" si="222"/>
        <v>1297</v>
      </c>
      <c r="S1995" t="s">
        <v>1150</v>
      </c>
      <c r="T1995">
        <f t="shared" si="223"/>
        <v>7782</v>
      </c>
      <c r="U1995">
        <f>YEAR(Sales_Table[[#This Row],[Date_clean]])</f>
        <v>2024</v>
      </c>
      <c r="V1995" t="str">
        <f>TEXT(Sales_Table[[#This Row],[Date_clean]],"mmmm")</f>
        <v>March</v>
      </c>
      <c r="W1995">
        <f>WEEKNUM(Sales_Table[[#This Row],[Date_clean]],2)</f>
        <v>12</v>
      </c>
      <c r="X1995" t="str" cm="1">
        <f t="array" ref="X1995">_xlfn.IFS(Sales_Table[[#This Row],[Revenue]]&gt;=50000,"High",Sales_Table[[#This Row],[Revenue]]&gt;=20000,"Medium",Sales_Table[[#This Row],[Revenue]]&lt;20000,"Low")</f>
        <v>Low</v>
      </c>
      <c r="Y1995" t="str">
        <f>IF(Sales_Table[[#This Row],[Payment Method_clean]]="cash","Offline","Online")</f>
        <v>Online</v>
      </c>
      <c r="Z1995">
        <f>IFERROR(Sales_Table[[#This Row],[Revenue]],0)</f>
        <v>7782</v>
      </c>
    </row>
    <row r="1996" spans="1:26" x14ac:dyDescent="0.3">
      <c r="A1996">
        <v>1995</v>
      </c>
      <c r="B1996" s="2">
        <f t="shared" si="217"/>
        <v>45375.083333333336</v>
      </c>
      <c r="C1996" t="s">
        <v>4428</v>
      </c>
      <c r="D1996" t="s">
        <v>45</v>
      </c>
      <c r="E1996" t="str">
        <f>PROPER(TRIM(CLEAN(Sales_Table[[#This Row],[Region]])))</f>
        <v>North</v>
      </c>
      <c r="F1996" t="s">
        <v>46</v>
      </c>
      <c r="G1996" t="str">
        <f t="shared" si="218"/>
        <v>Electronics</v>
      </c>
      <c r="H1996" t="str">
        <f>PROPER(TRIM(CLEAN(Sales_Table[[#This Row],[Product Name]])))</f>
        <v>Mixer Grinder</v>
      </c>
      <c r="I1996" t="s">
        <v>29</v>
      </c>
      <c r="J1996" t="str">
        <f t="shared" si="219"/>
        <v>CUST0467</v>
      </c>
      <c r="K1996" t="s">
        <v>1471</v>
      </c>
      <c r="L1996" t="str">
        <f>PROPER(TRIM(CLEAN(Sales_Table[[#This Row],[Salesperson]])))</f>
        <v>Rahul</v>
      </c>
      <c r="M1996" t="s">
        <v>31</v>
      </c>
      <c r="N1996" t="str">
        <f t="shared" si="220"/>
        <v>Net Banking</v>
      </c>
      <c r="O1996" t="s">
        <v>60</v>
      </c>
      <c r="P1996">
        <f t="shared" si="221"/>
        <v>2</v>
      </c>
      <c r="Q1996" t="s">
        <v>196</v>
      </c>
      <c r="R1996">
        <f t="shared" si="222"/>
        <v>2578</v>
      </c>
      <c r="S1996" t="s">
        <v>4429</v>
      </c>
      <c r="T1996">
        <f t="shared" si="223"/>
        <v>5156</v>
      </c>
      <c r="U1996">
        <f>YEAR(Sales_Table[[#This Row],[Date_clean]])</f>
        <v>2024</v>
      </c>
      <c r="V1996" t="str">
        <f>TEXT(Sales_Table[[#This Row],[Date_clean]],"mmmm")</f>
        <v>March</v>
      </c>
      <c r="W1996">
        <f>WEEKNUM(Sales_Table[[#This Row],[Date_clean]],2)</f>
        <v>12</v>
      </c>
      <c r="X1996" t="str" cm="1">
        <f t="array" ref="X1996">_xlfn.IFS(Sales_Table[[#This Row],[Revenue]]&gt;=50000,"High",Sales_Table[[#This Row],[Revenue]]&gt;=20000,"Medium",Sales_Table[[#This Row],[Revenue]]&lt;20000,"Low")</f>
        <v>Low</v>
      </c>
      <c r="Y1996" t="str">
        <f>IF(Sales_Table[[#This Row],[Payment Method_clean]]="cash","Offline","Online")</f>
        <v>Online</v>
      </c>
      <c r="Z1996">
        <f>IFERROR(Sales_Table[[#This Row],[Revenue]],0)</f>
        <v>5156</v>
      </c>
    </row>
    <row r="1997" spans="1:26" x14ac:dyDescent="0.3">
      <c r="A1997">
        <v>1996</v>
      </c>
      <c r="B1997" s="2">
        <f t="shared" si="217"/>
        <v>45375.125</v>
      </c>
      <c r="C1997" t="s">
        <v>4430</v>
      </c>
      <c r="D1997" t="s">
        <v>45</v>
      </c>
      <c r="E1997" t="str">
        <f>PROPER(TRIM(CLEAN(Sales_Table[[#This Row],[Region]])))</f>
        <v>North</v>
      </c>
      <c r="F1997" t="s">
        <v>37</v>
      </c>
      <c r="G1997" t="str">
        <f t="shared" si="218"/>
        <v>Home Appliances</v>
      </c>
      <c r="H1997" t="str">
        <f>PROPER(TRIM(CLEAN(Sales_Table[[#This Row],[Product Name]])))</f>
        <v>Men T-Shirt</v>
      </c>
      <c r="I1997" t="s">
        <v>38</v>
      </c>
      <c r="J1997" t="str">
        <f t="shared" si="219"/>
        <v>CUST0305</v>
      </c>
      <c r="K1997" t="s">
        <v>3353</v>
      </c>
      <c r="L1997" t="str">
        <f>PROPER(TRIM(CLEAN(Sales_Table[[#This Row],[Salesperson]])))</f>
        <v>Suresh</v>
      </c>
      <c r="M1997" t="s">
        <v>54</v>
      </c>
      <c r="N1997" t="str">
        <f t="shared" si="220"/>
        <v>Credit Card</v>
      </c>
      <c r="O1997" t="s">
        <v>65</v>
      </c>
      <c r="P1997">
        <f t="shared" si="221"/>
        <v>14</v>
      </c>
      <c r="Q1997" t="s">
        <v>55</v>
      </c>
      <c r="R1997">
        <f t="shared" si="222"/>
        <v>4963</v>
      </c>
      <c r="S1997" t="s">
        <v>3324</v>
      </c>
      <c r="T1997">
        <f t="shared" si="223"/>
        <v>69482</v>
      </c>
      <c r="U1997">
        <f>YEAR(Sales_Table[[#This Row],[Date_clean]])</f>
        <v>2024</v>
      </c>
      <c r="V1997" t="str">
        <f>TEXT(Sales_Table[[#This Row],[Date_clean]],"mmmm")</f>
        <v>March</v>
      </c>
      <c r="W1997">
        <f>WEEKNUM(Sales_Table[[#This Row],[Date_clean]],2)</f>
        <v>12</v>
      </c>
      <c r="X1997" t="str" cm="1">
        <f t="array" ref="X1997">_xlfn.IFS(Sales_Table[[#This Row],[Revenue]]&gt;=50000,"High",Sales_Table[[#This Row],[Revenue]]&gt;=20000,"Medium",Sales_Table[[#This Row],[Revenue]]&lt;20000,"Low")</f>
        <v>High</v>
      </c>
      <c r="Y1997" t="str">
        <f>IF(Sales_Table[[#This Row],[Payment Method_clean]]="cash","Offline","Online")</f>
        <v>Online</v>
      </c>
      <c r="Z1997">
        <f>IFERROR(Sales_Table[[#This Row],[Revenue]],0)</f>
        <v>69482</v>
      </c>
    </row>
    <row r="1998" spans="1:26" x14ac:dyDescent="0.3">
      <c r="A1998">
        <v>1997</v>
      </c>
      <c r="B1998" s="2">
        <f t="shared" si="217"/>
        <v>45375.166666666664</v>
      </c>
      <c r="C1998" t="s">
        <v>4431</v>
      </c>
      <c r="D1998" t="s">
        <v>84</v>
      </c>
      <c r="E1998" t="str">
        <f>PROPER(TRIM(CLEAN(Sales_Table[[#This Row],[Region]])))</f>
        <v>South</v>
      </c>
      <c r="F1998" t="s">
        <v>37</v>
      </c>
      <c r="G1998" t="str">
        <f t="shared" si="218"/>
        <v>Home Appliances</v>
      </c>
      <c r="H1998" t="str">
        <f>PROPER(TRIM(CLEAN(Sales_Table[[#This Row],[Product Name]])))</f>
        <v>Mixer Grinder</v>
      </c>
      <c r="I1998" t="s">
        <v>29</v>
      </c>
      <c r="J1998" t="str">
        <f t="shared" si="219"/>
        <v>CUST0144</v>
      </c>
      <c r="K1998" t="s">
        <v>831</v>
      </c>
      <c r="L1998" t="str">
        <f>PROPER(TRIM(CLEAN(Sales_Table[[#This Row],[Salesperson]])))</f>
        <v>Anita</v>
      </c>
      <c r="M1998" t="s">
        <v>64</v>
      </c>
      <c r="N1998" t="str">
        <f t="shared" si="220"/>
        <v>Credit Card</v>
      </c>
      <c r="O1998" t="s">
        <v>65</v>
      </c>
      <c r="P1998">
        <f t="shared" si="221"/>
        <v>4</v>
      </c>
      <c r="Q1998" t="s">
        <v>113</v>
      </c>
      <c r="R1998">
        <f t="shared" si="222"/>
        <v>2610</v>
      </c>
      <c r="S1998" t="s">
        <v>4432</v>
      </c>
      <c r="T1998">
        <f t="shared" si="223"/>
        <v>10440</v>
      </c>
      <c r="U1998">
        <f>YEAR(Sales_Table[[#This Row],[Date_clean]])</f>
        <v>2024</v>
      </c>
      <c r="V1998" t="str">
        <f>TEXT(Sales_Table[[#This Row],[Date_clean]],"mmmm")</f>
        <v>March</v>
      </c>
      <c r="W1998">
        <f>WEEKNUM(Sales_Table[[#This Row],[Date_clean]],2)</f>
        <v>12</v>
      </c>
      <c r="X1998" t="str" cm="1">
        <f t="array" ref="X1998">_xlfn.IFS(Sales_Table[[#This Row],[Revenue]]&gt;=50000,"High",Sales_Table[[#This Row],[Revenue]]&gt;=20000,"Medium",Sales_Table[[#This Row],[Revenue]]&lt;20000,"Low")</f>
        <v>Low</v>
      </c>
      <c r="Y1998" t="str">
        <f>IF(Sales_Table[[#This Row],[Payment Method_clean]]="cash","Offline","Online")</f>
        <v>Online</v>
      </c>
      <c r="Z1998">
        <f>IFERROR(Sales_Table[[#This Row],[Revenue]],0)</f>
        <v>10440</v>
      </c>
    </row>
    <row r="1999" spans="1:26" x14ac:dyDescent="0.3">
      <c r="A1999">
        <v>1998</v>
      </c>
      <c r="B1999" s="2">
        <f t="shared" si="217"/>
        <v>45375.208333333336</v>
      </c>
      <c r="C1999" t="s">
        <v>4433</v>
      </c>
      <c r="D1999" t="s">
        <v>45</v>
      </c>
      <c r="E1999" t="str">
        <f>PROPER(TRIM(CLEAN(Sales_Table[[#This Row],[Region]])))</f>
        <v>North</v>
      </c>
      <c r="F1999" t="s">
        <v>46</v>
      </c>
      <c r="G1999" t="str">
        <f t="shared" si="218"/>
        <v>Electronics</v>
      </c>
      <c r="H1999" t="str">
        <f>PROPER(TRIM(CLEAN(Sales_Table[[#This Row],[Product Name]])))</f>
        <v>Mixer Grinder</v>
      </c>
      <c r="I1999" t="s">
        <v>29</v>
      </c>
      <c r="J1999" t="str">
        <f t="shared" si="219"/>
        <v>CUST0111</v>
      </c>
      <c r="K1999" t="s">
        <v>1408</v>
      </c>
      <c r="L1999" t="str">
        <f>PROPER(TRIM(CLEAN(Sales_Table[[#This Row],[Salesperson]])))</f>
        <v>Rahul</v>
      </c>
      <c r="M1999" t="s">
        <v>31</v>
      </c>
      <c r="N1999" t="str">
        <f t="shared" si="220"/>
        <v>Upi</v>
      </c>
      <c r="O1999" t="s">
        <v>48</v>
      </c>
      <c r="P1999">
        <f t="shared" si="221"/>
        <v>8</v>
      </c>
      <c r="Q1999" t="s">
        <v>42</v>
      </c>
      <c r="R1999">
        <f t="shared" si="222"/>
        <v>200</v>
      </c>
      <c r="S1999" t="s">
        <v>4434</v>
      </c>
      <c r="T1999">
        <f t="shared" si="223"/>
        <v>1600</v>
      </c>
      <c r="U1999">
        <f>YEAR(Sales_Table[[#This Row],[Date_clean]])</f>
        <v>2024</v>
      </c>
      <c r="V1999" t="str">
        <f>TEXT(Sales_Table[[#This Row],[Date_clean]],"mmmm")</f>
        <v>March</v>
      </c>
      <c r="W1999">
        <f>WEEKNUM(Sales_Table[[#This Row],[Date_clean]],2)</f>
        <v>12</v>
      </c>
      <c r="X1999" t="str" cm="1">
        <f t="array" ref="X1999">_xlfn.IFS(Sales_Table[[#This Row],[Revenue]]&gt;=50000,"High",Sales_Table[[#This Row],[Revenue]]&gt;=20000,"Medium",Sales_Table[[#This Row],[Revenue]]&lt;20000,"Low")</f>
        <v>Low</v>
      </c>
      <c r="Y1999" t="str">
        <f>IF(Sales_Table[[#This Row],[Payment Method_clean]]="cash","Offline","Online")</f>
        <v>Online</v>
      </c>
      <c r="Z1999">
        <f>IFERROR(Sales_Table[[#This Row],[Revenue]],0)</f>
        <v>1600</v>
      </c>
    </row>
    <row r="2000" spans="1:26" x14ac:dyDescent="0.3">
      <c r="A2000">
        <v>1999</v>
      </c>
      <c r="B2000" s="2">
        <f t="shared" si="217"/>
        <v>45375.25</v>
      </c>
      <c r="C2000" t="s">
        <v>4435</v>
      </c>
      <c r="D2000" t="s">
        <v>27</v>
      </c>
      <c r="E2000" t="str">
        <f>PROPER(TRIM(CLEAN(Sales_Table[[#This Row],[Region]])))</f>
        <v>East</v>
      </c>
      <c r="F2000" t="s">
        <v>46</v>
      </c>
      <c r="G2000" t="str">
        <f t="shared" si="218"/>
        <v>Electronics</v>
      </c>
      <c r="H2000" t="str">
        <f>PROPER(TRIM(CLEAN(Sales_Table[[#This Row],[Product Name]])))</f>
        <v>Men T-Shirt</v>
      </c>
      <c r="I2000" t="s">
        <v>38</v>
      </c>
      <c r="J2000" t="str">
        <f t="shared" si="219"/>
        <v>CUST0232</v>
      </c>
      <c r="K2000" t="s">
        <v>1552</v>
      </c>
      <c r="L2000" t="str">
        <f>PROPER(TRIM(CLEAN(Sales_Table[[#This Row],[Salesperson]])))</f>
        <v>Meena</v>
      </c>
      <c r="M2000" t="s">
        <v>40</v>
      </c>
      <c r="N2000" t="str">
        <f t="shared" si="220"/>
        <v>Cash</v>
      </c>
      <c r="O2000" t="s">
        <v>32</v>
      </c>
      <c r="P2000">
        <f t="shared" si="221"/>
        <v>8</v>
      </c>
      <c r="Q2000" t="s">
        <v>42</v>
      </c>
      <c r="R2000">
        <f t="shared" si="222"/>
        <v>3187</v>
      </c>
      <c r="S2000" t="s">
        <v>2650</v>
      </c>
      <c r="T2000">
        <f t="shared" si="223"/>
        <v>25496</v>
      </c>
      <c r="U2000">
        <f>YEAR(Sales_Table[[#This Row],[Date_clean]])</f>
        <v>2024</v>
      </c>
      <c r="V2000" t="str">
        <f>TEXT(Sales_Table[[#This Row],[Date_clean]],"mmmm")</f>
        <v>March</v>
      </c>
      <c r="W2000">
        <f>WEEKNUM(Sales_Table[[#This Row],[Date_clean]],2)</f>
        <v>12</v>
      </c>
      <c r="X2000" t="str" cm="1">
        <f t="array" ref="X2000">_xlfn.IFS(Sales_Table[[#This Row],[Revenue]]&gt;=50000,"High",Sales_Table[[#This Row],[Revenue]]&gt;=20000,"Medium",Sales_Table[[#This Row],[Revenue]]&lt;20000,"Low")</f>
        <v>Medium</v>
      </c>
      <c r="Y2000" t="str">
        <f>IF(Sales_Table[[#This Row],[Payment Method_clean]]="cash","Offline","Online")</f>
        <v>Offline</v>
      </c>
      <c r="Z2000">
        <f>IFERROR(Sales_Table[[#This Row],[Revenue]],0)</f>
        <v>25496</v>
      </c>
    </row>
    <row r="2001" spans="1:26" x14ac:dyDescent="0.3">
      <c r="A2001">
        <v>2000</v>
      </c>
      <c r="B2001" s="2">
        <f t="shared" si="217"/>
        <v>45375.291666666664</v>
      </c>
      <c r="C2001" t="s">
        <v>4436</v>
      </c>
      <c r="D2001" t="s">
        <v>45</v>
      </c>
      <c r="E2001" t="str">
        <f>PROPER(TRIM(CLEAN(Sales_Table[[#This Row],[Region]])))</f>
        <v>North</v>
      </c>
      <c r="F2001" t="s">
        <v>46</v>
      </c>
      <c r="G2001" t="str">
        <f t="shared" si="218"/>
        <v>Electronics</v>
      </c>
      <c r="H2001" t="str">
        <f>PROPER(TRIM(CLEAN(Sales_Table[[#This Row],[Product Name]])))</f>
        <v>Led Tv 42Inch</v>
      </c>
      <c r="I2001" t="s">
        <v>58</v>
      </c>
      <c r="J2001" t="str">
        <f t="shared" si="219"/>
        <v>CUST0691</v>
      </c>
      <c r="K2001" t="s">
        <v>3785</v>
      </c>
      <c r="L2001" t="str">
        <f>PROPER(TRIM(CLEAN(Sales_Table[[#This Row],[Salesperson]])))</f>
        <v>Meena</v>
      </c>
      <c r="M2001" t="s">
        <v>40</v>
      </c>
      <c r="N2001" t="str">
        <f t="shared" si="220"/>
        <v>Upi</v>
      </c>
      <c r="O2001" t="s">
        <v>48</v>
      </c>
      <c r="P2001">
        <f t="shared" si="221"/>
        <v>13</v>
      </c>
      <c r="Q2001" t="s">
        <v>81</v>
      </c>
      <c r="R2001">
        <f t="shared" si="222"/>
        <v>2019</v>
      </c>
      <c r="S2001" t="s">
        <v>573</v>
      </c>
      <c r="T2001">
        <f t="shared" si="223"/>
        <v>26247</v>
      </c>
      <c r="U2001">
        <f>YEAR(Sales_Table[[#This Row],[Date_clean]])</f>
        <v>2024</v>
      </c>
      <c r="V2001" t="str">
        <f>TEXT(Sales_Table[[#This Row],[Date_clean]],"mmmm")</f>
        <v>March</v>
      </c>
      <c r="W2001">
        <f>WEEKNUM(Sales_Table[[#This Row],[Date_clean]],2)</f>
        <v>12</v>
      </c>
      <c r="X2001" t="str" cm="1">
        <f t="array" ref="X2001">_xlfn.IFS(Sales_Table[[#This Row],[Revenue]]&gt;=50000,"High",Sales_Table[[#This Row],[Revenue]]&gt;=20000,"Medium",Sales_Table[[#This Row],[Revenue]]&lt;20000,"Low")</f>
        <v>Medium</v>
      </c>
      <c r="Y2001" t="str">
        <f>IF(Sales_Table[[#This Row],[Payment Method_clean]]="cash","Offline","Online")</f>
        <v>Online</v>
      </c>
      <c r="Z2001">
        <f>IFERROR(Sales_Table[[#This Row],[Revenue]],0)</f>
        <v>26247</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Region_Analysis</vt:lpstr>
      <vt:lpstr>Category_Analysis</vt:lpstr>
      <vt:lpstr>Weekly_Performance</vt:lpstr>
      <vt:lpstr>Payment_Analysis</vt:lpstr>
      <vt:lpstr>Sales_Dashboard</vt:lpstr>
      <vt:lpstr>Sales_cleaned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2025-12-18T08:54:41Z</dcterms:created>
  <dcterms:modified xsi:type="dcterms:W3CDTF">2025-12-19T08:54:41Z</dcterms:modified>
</cp:coreProperties>
</file>